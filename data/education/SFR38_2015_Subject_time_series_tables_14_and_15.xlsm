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5A0" lockStructure="1"/>
  <bookViews>
    <workbookView xWindow="9555" yWindow="105" windowWidth="9600" windowHeight="11640" tabRatio="920"/>
  </bookViews>
  <sheets>
    <sheet name="Contents" sheetId="49" r:id="rId1"/>
    <sheet name="List of A and AS level subjects" sheetId="50" r:id="rId2"/>
    <sheet name="Table 14" sheetId="2" r:id="rId3"/>
    <sheet name="Table 15" sheetId="18" r:id="rId4"/>
    <sheet name="1996data_new" sheetId="32" state="hidden" r:id="rId5"/>
    <sheet name="1997data_new" sheetId="33" state="hidden" r:id="rId6"/>
    <sheet name="1998data_new" sheetId="34" state="hidden" r:id="rId7"/>
    <sheet name="1999data_new" sheetId="35" state="hidden" r:id="rId8"/>
    <sheet name="2000data_new" sheetId="36" state="hidden" r:id="rId9"/>
    <sheet name="2001data_new" sheetId="37" state="hidden" r:id="rId10"/>
    <sheet name="2002data_new" sheetId="38" state="hidden" r:id="rId11"/>
    <sheet name="2003data_new" sheetId="39" state="hidden" r:id="rId12"/>
    <sheet name="2004data_new" sheetId="40" state="hidden" r:id="rId13"/>
    <sheet name="2005data_new" sheetId="41" state="hidden" r:id="rId14"/>
    <sheet name="2006data_new" sheetId="42" state="hidden" r:id="rId15"/>
    <sheet name="2007 data" sheetId="14" state="hidden" r:id="rId16"/>
    <sheet name="2008 data" sheetId="15" state="hidden" r:id="rId17"/>
    <sheet name="2009 data" sheetId="17" state="hidden" r:id="rId18"/>
    <sheet name="2010 data" sheetId="28" state="hidden" r:id="rId19"/>
    <sheet name="2011 data" sheetId="30" state="hidden" r:id="rId20"/>
    <sheet name="2012 data" sheetId="43" state="hidden" r:id="rId21"/>
    <sheet name="2013 data" sheetId="45" state="hidden" r:id="rId22"/>
    <sheet name="2014 data" sheetId="47" state="hidden" r:id="rId23"/>
    <sheet name="2001AS" sheetId="19" state="hidden" r:id="rId24"/>
    <sheet name="2002AS" sheetId="20" state="hidden" r:id="rId25"/>
    <sheet name="2003AS" sheetId="21" state="hidden" r:id="rId26"/>
    <sheet name="2004AS" sheetId="22" state="hidden" r:id="rId27"/>
    <sheet name="2005AS" sheetId="23" state="hidden" r:id="rId28"/>
    <sheet name="2006AS" sheetId="24" state="hidden" r:id="rId29"/>
    <sheet name="2007AS" sheetId="25" state="hidden" r:id="rId30"/>
    <sheet name="2008AS" sheetId="26" state="hidden" r:id="rId31"/>
    <sheet name="2009AS" sheetId="27" state="hidden" r:id="rId32"/>
    <sheet name="2010AS" sheetId="29" state="hidden" r:id="rId33"/>
    <sheet name="2011AS" sheetId="31" state="hidden" r:id="rId34"/>
    <sheet name="2012AS" sheetId="44" state="hidden" r:id="rId35"/>
    <sheet name="2013AS" sheetId="46" state="hidden" r:id="rId36"/>
    <sheet name="2015AS" sheetId="52" state="hidden" r:id="rId37"/>
    <sheet name="2014AS" sheetId="48" state="hidden" r:id="rId38"/>
    <sheet name="Dropdown selection" sheetId="3" state="hidden" r:id="rId39"/>
    <sheet name="2015 data" sheetId="51" state="hidden" r:id="rId40"/>
  </sheets>
  <definedNames>
    <definedName name="data1996">#REF!</definedName>
    <definedName name="data1996_new">'1996data_new'!$B$41:$W$75</definedName>
    <definedName name="data1997">#REF!</definedName>
    <definedName name="data1997_new">'1997data_new'!$B$41:$W$75</definedName>
    <definedName name="data1998">#REF!</definedName>
    <definedName name="data1998_new">'1998data_new'!$B$41:$W$75</definedName>
    <definedName name="data1999">#REF!</definedName>
    <definedName name="data1999_new">'1999data_new'!$B$41:$W$75</definedName>
    <definedName name="data2000">#REF!</definedName>
    <definedName name="data2000_new">'2000data_new'!$B$41:$W$75</definedName>
    <definedName name="data2001">#REF!</definedName>
    <definedName name="data2001_new">'2001data_new'!$B$41:$W$75</definedName>
    <definedName name="data2001as">'2001AS'!$C$44:$X$78</definedName>
    <definedName name="data2002">#REF!</definedName>
    <definedName name="data2002_new">'2002data_new'!$B$41:$W$75</definedName>
    <definedName name="data2002as">'2002AS'!$C$44:$X$78</definedName>
    <definedName name="data2003">#REF!</definedName>
    <definedName name="data2003_new">'2003data_new'!$B$41:$W$75</definedName>
    <definedName name="data2003as">'2003AS'!$C$44:$X$78</definedName>
    <definedName name="data2004">#REF!</definedName>
    <definedName name="data2004_new">'2004data_new'!$B$41:$W$75</definedName>
    <definedName name="data2004as">'2004AS'!$C$44:$X$78</definedName>
    <definedName name="data2005">#REF!</definedName>
    <definedName name="data2005_new">'2005data_new'!$B$41:$W$75</definedName>
    <definedName name="data2005as">'2005AS'!$B$6:$W$40</definedName>
    <definedName name="data2006">#REF!</definedName>
    <definedName name="data2006_new">'2006data_new'!$B$41:$W$75</definedName>
    <definedName name="data2006as">'2006AS'!$B$6:$W$40</definedName>
    <definedName name="data2007">'2007 data'!$B$41:$W$75</definedName>
    <definedName name="data2007AS">'2007AS'!$B$6:$W$40</definedName>
    <definedName name="data2008AS">'2008AS'!$B$6:$W$40</definedName>
    <definedName name="data2009AS" localSheetId="32">'2010AS'!$B$6:$W$40</definedName>
    <definedName name="data2009AS" localSheetId="33">'2011AS'!$B$7:$W$41</definedName>
    <definedName name="data2009AS" localSheetId="34">'2012AS'!$B$7:$W$41</definedName>
    <definedName name="data2009AS">'2009AS'!$B$6:$W$40</definedName>
    <definedName name="data2010AS" localSheetId="33">'2011AS'!$B$7:$W$41</definedName>
    <definedName name="data2010AS" localSheetId="34">'2012AS'!$B$7:$W$41</definedName>
    <definedName name="data2010AS">'2010AS'!$B$6:$W$40</definedName>
    <definedName name="data2011AS" localSheetId="34">'2012AS'!$B$7:$W$41</definedName>
    <definedName name="data2011AS">'2011AS'!$B$7:$W$41</definedName>
    <definedName name="_xlnm.Print_Area" localSheetId="1">'List of A and AS level subjects'!$A$1:$D$109</definedName>
    <definedName name="_xlnm.Print_Area" localSheetId="2">'Table 14'!$A$1:$N$44</definedName>
    <definedName name="_xlnm.Print_Area" localSheetId="3">'Table 15'!$A$1:$N$42</definedName>
    <definedName name="selectedsex">'Table 14'!$F$4</definedName>
    <definedName name="selectedsubject">'Table 14'!$E$4</definedName>
    <definedName name="SelectedsubjectAS">'Table 15'!$E$5</definedName>
    <definedName name="sexlist">'Dropdown selection'!$D$1:$D$3</definedName>
    <definedName name="SlectedsubjectAS">'Table 15'!$E$5</definedName>
    <definedName name="subjects">'Dropdown selection'!$B$2:$B$36</definedName>
  </definedNames>
  <calcPr calcId="145621"/>
</workbook>
</file>

<file path=xl/calcChain.xml><?xml version="1.0" encoding="utf-8"?>
<calcChain xmlns="http://schemas.openxmlformats.org/spreadsheetml/2006/main">
  <c r="P14" i="47" l="1"/>
  <c r="Q14" i="47"/>
  <c r="P14" i="51"/>
  <c r="Q14" i="51"/>
  <c r="C25" i="52" l="1"/>
  <c r="W39" i="52" l="1"/>
  <c r="V39" i="52"/>
  <c r="U39" i="52"/>
  <c r="T39" i="52"/>
  <c r="S39" i="52"/>
  <c r="R39" i="52"/>
  <c r="Q39" i="52"/>
  <c r="P39" i="52"/>
  <c r="O39" i="52"/>
  <c r="N39" i="52"/>
  <c r="M39" i="52"/>
  <c r="L39" i="52"/>
  <c r="K39" i="52"/>
  <c r="J39" i="52"/>
  <c r="I39" i="52"/>
  <c r="H39" i="52"/>
  <c r="G39" i="52"/>
  <c r="F39" i="52"/>
  <c r="E39" i="52"/>
  <c r="D39" i="52"/>
  <c r="C39" i="52"/>
  <c r="W38" i="52"/>
  <c r="V38" i="52"/>
  <c r="U38" i="52"/>
  <c r="T38" i="52"/>
  <c r="S38" i="52"/>
  <c r="R38" i="52"/>
  <c r="Q38" i="52"/>
  <c r="P38" i="52"/>
  <c r="O38" i="52"/>
  <c r="N38" i="52"/>
  <c r="M38" i="52"/>
  <c r="L38" i="52"/>
  <c r="K38" i="52"/>
  <c r="J38" i="52"/>
  <c r="I38" i="52"/>
  <c r="H38" i="52"/>
  <c r="G38" i="52"/>
  <c r="F38" i="52"/>
  <c r="E38" i="52"/>
  <c r="D38" i="52"/>
  <c r="C38" i="52"/>
  <c r="W37" i="52"/>
  <c r="V37" i="52"/>
  <c r="U37" i="52"/>
  <c r="T37" i="52"/>
  <c r="S37" i="52"/>
  <c r="R37" i="52"/>
  <c r="Q37" i="52"/>
  <c r="P37" i="52"/>
  <c r="O37" i="52"/>
  <c r="N37" i="52"/>
  <c r="M37" i="52"/>
  <c r="L37" i="52"/>
  <c r="K37" i="52"/>
  <c r="J37" i="52"/>
  <c r="I37" i="52"/>
  <c r="H37" i="52"/>
  <c r="G37" i="52"/>
  <c r="F37" i="52"/>
  <c r="E37" i="52"/>
  <c r="D37" i="52"/>
  <c r="C37" i="52"/>
  <c r="W36" i="52"/>
  <c r="V36" i="52"/>
  <c r="U36" i="52"/>
  <c r="T36" i="52"/>
  <c r="S36" i="52"/>
  <c r="R36" i="52"/>
  <c r="Q36" i="52"/>
  <c r="P36" i="52"/>
  <c r="O36" i="52"/>
  <c r="N36" i="52"/>
  <c r="M36" i="52"/>
  <c r="L36" i="52"/>
  <c r="K36" i="52"/>
  <c r="J36" i="52"/>
  <c r="I36" i="52"/>
  <c r="H36" i="52"/>
  <c r="G36" i="52"/>
  <c r="F36" i="52"/>
  <c r="E36" i="52"/>
  <c r="D36" i="52"/>
  <c r="C36" i="52"/>
  <c r="W35" i="52"/>
  <c r="V35" i="52"/>
  <c r="U35" i="52"/>
  <c r="T35" i="52"/>
  <c r="S35" i="52"/>
  <c r="R35" i="52"/>
  <c r="Q35" i="52"/>
  <c r="P35" i="52"/>
  <c r="O35" i="52"/>
  <c r="N35" i="52"/>
  <c r="M35" i="52"/>
  <c r="L35" i="52"/>
  <c r="K35" i="52"/>
  <c r="J35" i="52"/>
  <c r="I35" i="52"/>
  <c r="H35" i="52"/>
  <c r="G35" i="52"/>
  <c r="F35" i="52"/>
  <c r="E35" i="52"/>
  <c r="D35" i="52"/>
  <c r="C35" i="52"/>
  <c r="W34" i="52"/>
  <c r="V34" i="52"/>
  <c r="U34" i="52"/>
  <c r="T34" i="52"/>
  <c r="S34" i="52"/>
  <c r="R34" i="52"/>
  <c r="Q34" i="52"/>
  <c r="P34" i="52"/>
  <c r="O34" i="52"/>
  <c r="N34" i="52"/>
  <c r="M34" i="52"/>
  <c r="L34" i="52"/>
  <c r="K34" i="52"/>
  <c r="J34" i="52"/>
  <c r="I34" i="52"/>
  <c r="H34" i="52"/>
  <c r="G34" i="52"/>
  <c r="F34" i="52"/>
  <c r="E34" i="52"/>
  <c r="D34" i="52"/>
  <c r="C34" i="52"/>
  <c r="W33" i="52"/>
  <c r="V33" i="52"/>
  <c r="U33" i="52"/>
  <c r="T33" i="52"/>
  <c r="S33" i="52"/>
  <c r="R33" i="52"/>
  <c r="Q33" i="52"/>
  <c r="P33" i="52"/>
  <c r="O33" i="52"/>
  <c r="N33" i="52"/>
  <c r="M33" i="52"/>
  <c r="L33" i="52"/>
  <c r="K33" i="52"/>
  <c r="J33" i="52"/>
  <c r="I33" i="52"/>
  <c r="H33" i="52"/>
  <c r="G33" i="52"/>
  <c r="F33" i="52"/>
  <c r="E33" i="52"/>
  <c r="D33" i="52"/>
  <c r="C33" i="52"/>
  <c r="W32" i="52"/>
  <c r="V32" i="52"/>
  <c r="U32" i="52"/>
  <c r="T32" i="52"/>
  <c r="S32" i="52"/>
  <c r="R32" i="52"/>
  <c r="Q32" i="52"/>
  <c r="P32" i="52"/>
  <c r="O32" i="52"/>
  <c r="N32" i="52"/>
  <c r="M32" i="52"/>
  <c r="L32" i="52"/>
  <c r="K32" i="52"/>
  <c r="J32" i="52"/>
  <c r="I32" i="52"/>
  <c r="H32" i="52"/>
  <c r="G32" i="52"/>
  <c r="F32" i="52"/>
  <c r="E32" i="52"/>
  <c r="D32" i="52"/>
  <c r="C32" i="52"/>
  <c r="W31" i="52"/>
  <c r="V31" i="52"/>
  <c r="U31" i="52"/>
  <c r="T31" i="52"/>
  <c r="S31" i="52"/>
  <c r="R31" i="52"/>
  <c r="Q31" i="52"/>
  <c r="P31" i="52"/>
  <c r="O31" i="52"/>
  <c r="N31" i="52"/>
  <c r="M31" i="52"/>
  <c r="L31" i="52"/>
  <c r="K31" i="52"/>
  <c r="J31" i="52"/>
  <c r="I31" i="52"/>
  <c r="H31" i="52"/>
  <c r="G31" i="52"/>
  <c r="F31" i="52"/>
  <c r="E31" i="52"/>
  <c r="D31" i="52"/>
  <c r="C31" i="52"/>
  <c r="W30" i="52"/>
  <c r="V30" i="52"/>
  <c r="U30" i="52"/>
  <c r="T30" i="52"/>
  <c r="S30" i="52"/>
  <c r="R30" i="52"/>
  <c r="Q30" i="52"/>
  <c r="P30" i="52"/>
  <c r="O30" i="52"/>
  <c r="N30" i="52"/>
  <c r="M30" i="52"/>
  <c r="L30" i="52"/>
  <c r="K30" i="52"/>
  <c r="J30" i="52"/>
  <c r="I30" i="52"/>
  <c r="H30" i="52"/>
  <c r="G30" i="52"/>
  <c r="F30" i="52"/>
  <c r="E30" i="52"/>
  <c r="D30" i="52"/>
  <c r="C30" i="52"/>
  <c r="W29" i="52"/>
  <c r="V29" i="52"/>
  <c r="U29" i="52"/>
  <c r="T29" i="52"/>
  <c r="S29" i="52"/>
  <c r="R29" i="52"/>
  <c r="Q29" i="52"/>
  <c r="P29" i="52"/>
  <c r="O29" i="52"/>
  <c r="N29" i="52"/>
  <c r="M29" i="52"/>
  <c r="L29" i="52"/>
  <c r="K29" i="52"/>
  <c r="J29" i="52"/>
  <c r="I29" i="52"/>
  <c r="H29" i="52"/>
  <c r="G29" i="52"/>
  <c r="F29" i="52"/>
  <c r="E29" i="52"/>
  <c r="D29" i="52"/>
  <c r="C29" i="52"/>
  <c r="W28" i="52"/>
  <c r="V28" i="52"/>
  <c r="U28" i="52"/>
  <c r="T28" i="52"/>
  <c r="S28" i="52"/>
  <c r="R28" i="52"/>
  <c r="Q28" i="52"/>
  <c r="P28" i="52"/>
  <c r="O28" i="52"/>
  <c r="N28" i="52"/>
  <c r="M28" i="52"/>
  <c r="L28" i="52"/>
  <c r="K28" i="52"/>
  <c r="J28" i="52"/>
  <c r="I28" i="52"/>
  <c r="H28" i="52"/>
  <c r="G28" i="52"/>
  <c r="F28" i="52"/>
  <c r="E28" i="52"/>
  <c r="D28" i="52"/>
  <c r="C28" i="52"/>
  <c r="W27" i="52"/>
  <c r="V27" i="52"/>
  <c r="U27" i="52"/>
  <c r="T27" i="52"/>
  <c r="S27" i="52"/>
  <c r="R27" i="52"/>
  <c r="Q27" i="52"/>
  <c r="P27" i="52"/>
  <c r="O27" i="52"/>
  <c r="N27" i="52"/>
  <c r="M27" i="52"/>
  <c r="L27" i="52"/>
  <c r="K27" i="52"/>
  <c r="J27" i="52"/>
  <c r="I27" i="52"/>
  <c r="H27" i="52"/>
  <c r="G27" i="52"/>
  <c r="F27" i="52"/>
  <c r="E27" i="52"/>
  <c r="D27" i="52"/>
  <c r="C27" i="52"/>
  <c r="W26" i="52"/>
  <c r="V26" i="52"/>
  <c r="U26" i="52"/>
  <c r="T26" i="52"/>
  <c r="S26" i="52"/>
  <c r="R26" i="52"/>
  <c r="Q26" i="52"/>
  <c r="P26" i="52"/>
  <c r="O26" i="52"/>
  <c r="N26" i="52"/>
  <c r="M26" i="52"/>
  <c r="L26" i="52"/>
  <c r="K26" i="52"/>
  <c r="J26" i="52"/>
  <c r="I26" i="52"/>
  <c r="H26" i="52"/>
  <c r="G26" i="52"/>
  <c r="F26" i="52"/>
  <c r="E26" i="52"/>
  <c r="D26" i="52"/>
  <c r="C26" i="52"/>
  <c r="W25" i="52"/>
  <c r="V25" i="52"/>
  <c r="U25" i="52"/>
  <c r="T25" i="52"/>
  <c r="S25" i="52"/>
  <c r="R25" i="52"/>
  <c r="Q25" i="52"/>
  <c r="P25" i="52"/>
  <c r="O25" i="52"/>
  <c r="N25" i="52"/>
  <c r="M25" i="52"/>
  <c r="L25" i="52"/>
  <c r="K25" i="52"/>
  <c r="J25" i="52"/>
  <c r="I25" i="52"/>
  <c r="H25" i="52"/>
  <c r="G25" i="52"/>
  <c r="F25" i="52"/>
  <c r="E25" i="52"/>
  <c r="D25" i="52"/>
  <c r="W24" i="52"/>
  <c r="V24" i="52"/>
  <c r="U24" i="52"/>
  <c r="T24" i="52"/>
  <c r="S24" i="52"/>
  <c r="R24" i="52"/>
  <c r="Q24" i="52"/>
  <c r="P24" i="52"/>
  <c r="O24" i="52"/>
  <c r="N24" i="52"/>
  <c r="M24" i="52"/>
  <c r="L24" i="52"/>
  <c r="K24" i="52"/>
  <c r="J24" i="52"/>
  <c r="I24" i="52"/>
  <c r="H24" i="52"/>
  <c r="G24" i="52"/>
  <c r="F24" i="52"/>
  <c r="E24" i="52"/>
  <c r="D24" i="52"/>
  <c r="C24" i="52"/>
  <c r="W23" i="52"/>
  <c r="V23" i="52"/>
  <c r="U23" i="52"/>
  <c r="T23" i="52"/>
  <c r="S23" i="52"/>
  <c r="R23" i="52"/>
  <c r="Q23" i="52"/>
  <c r="P23" i="52"/>
  <c r="O23" i="52"/>
  <c r="N23" i="52"/>
  <c r="M23" i="52"/>
  <c r="L23" i="52"/>
  <c r="K23" i="52"/>
  <c r="J23" i="52"/>
  <c r="I23" i="52"/>
  <c r="H23" i="52"/>
  <c r="G23" i="52"/>
  <c r="F23" i="52"/>
  <c r="E23" i="52"/>
  <c r="D23" i="52"/>
  <c r="C23" i="52"/>
  <c r="W22" i="52"/>
  <c r="V22" i="52"/>
  <c r="U22" i="52"/>
  <c r="T22" i="52"/>
  <c r="S22" i="52"/>
  <c r="R22" i="52"/>
  <c r="Q22" i="52"/>
  <c r="P22" i="52"/>
  <c r="O22" i="52"/>
  <c r="N22" i="52"/>
  <c r="M22" i="52"/>
  <c r="L22" i="52"/>
  <c r="K22" i="52"/>
  <c r="J22" i="52"/>
  <c r="I22" i="52"/>
  <c r="H22" i="52"/>
  <c r="G22" i="52"/>
  <c r="F22" i="52"/>
  <c r="E22" i="52"/>
  <c r="D22" i="52"/>
  <c r="C22" i="52"/>
  <c r="W21" i="52"/>
  <c r="V21" i="52"/>
  <c r="U21" i="52"/>
  <c r="T21" i="52"/>
  <c r="S21" i="52"/>
  <c r="R21" i="52"/>
  <c r="Q21" i="52"/>
  <c r="P21" i="52"/>
  <c r="O21" i="52"/>
  <c r="N21" i="52"/>
  <c r="M21" i="52"/>
  <c r="L21" i="52"/>
  <c r="K21" i="52"/>
  <c r="J21" i="52"/>
  <c r="I21" i="52"/>
  <c r="H21" i="52"/>
  <c r="G21" i="52"/>
  <c r="F21" i="52"/>
  <c r="E21" i="52"/>
  <c r="D21" i="52"/>
  <c r="C21" i="52"/>
  <c r="W20" i="52"/>
  <c r="V20" i="52"/>
  <c r="U20" i="52"/>
  <c r="T20" i="52"/>
  <c r="S20" i="52"/>
  <c r="R20" i="52"/>
  <c r="Q20" i="52"/>
  <c r="P20" i="52"/>
  <c r="O20" i="52"/>
  <c r="N20" i="52"/>
  <c r="M20" i="52"/>
  <c r="L20" i="52"/>
  <c r="K20" i="52"/>
  <c r="J20" i="52"/>
  <c r="I20" i="52"/>
  <c r="H20" i="52"/>
  <c r="G20" i="52"/>
  <c r="F20" i="52"/>
  <c r="E20" i="52"/>
  <c r="D20" i="52"/>
  <c r="C20" i="52"/>
  <c r="W19" i="52"/>
  <c r="V19" i="52"/>
  <c r="U19" i="52"/>
  <c r="T19" i="52"/>
  <c r="S19" i="52"/>
  <c r="R19" i="52"/>
  <c r="Q19" i="52"/>
  <c r="P19" i="52"/>
  <c r="O19" i="52"/>
  <c r="N19" i="52"/>
  <c r="M19" i="52"/>
  <c r="L19" i="52"/>
  <c r="K19" i="52"/>
  <c r="J19" i="52"/>
  <c r="I19" i="52"/>
  <c r="H19" i="52"/>
  <c r="G19" i="52"/>
  <c r="F19" i="52"/>
  <c r="E19" i="52"/>
  <c r="D19" i="52"/>
  <c r="C19" i="52"/>
  <c r="W18" i="52"/>
  <c r="V18" i="52"/>
  <c r="U18" i="52"/>
  <c r="T18" i="52"/>
  <c r="S18" i="52"/>
  <c r="R18" i="52"/>
  <c r="Q18" i="52"/>
  <c r="P18" i="52"/>
  <c r="O18" i="52"/>
  <c r="N18" i="52"/>
  <c r="M18" i="52"/>
  <c r="L18" i="52"/>
  <c r="K18" i="52"/>
  <c r="J18" i="52"/>
  <c r="I18" i="52"/>
  <c r="H18" i="52"/>
  <c r="G18" i="52"/>
  <c r="F18" i="52"/>
  <c r="E18" i="52"/>
  <c r="D18" i="52"/>
  <c r="C18" i="52"/>
  <c r="W17" i="52"/>
  <c r="V17" i="52"/>
  <c r="U17" i="52"/>
  <c r="T17" i="52"/>
  <c r="S17" i="52"/>
  <c r="R17" i="52"/>
  <c r="Q17" i="52"/>
  <c r="P17" i="52"/>
  <c r="O17" i="52"/>
  <c r="N17" i="52"/>
  <c r="M17" i="52"/>
  <c r="L17" i="52"/>
  <c r="K17" i="52"/>
  <c r="J17" i="52"/>
  <c r="I17" i="52"/>
  <c r="H17" i="52"/>
  <c r="G17" i="52"/>
  <c r="F17" i="52"/>
  <c r="E17" i="52"/>
  <c r="D17" i="52"/>
  <c r="C17" i="52"/>
  <c r="W16" i="52"/>
  <c r="V16" i="52"/>
  <c r="U16" i="52"/>
  <c r="T16" i="52"/>
  <c r="S16" i="52"/>
  <c r="R16" i="52"/>
  <c r="Q16" i="52"/>
  <c r="P16" i="52"/>
  <c r="O16" i="52"/>
  <c r="N16" i="52"/>
  <c r="M16" i="52"/>
  <c r="L16" i="52"/>
  <c r="K16" i="52"/>
  <c r="J16" i="52"/>
  <c r="I16" i="52"/>
  <c r="H16" i="52"/>
  <c r="G16" i="52"/>
  <c r="F16" i="52"/>
  <c r="E16" i="52"/>
  <c r="D16" i="52"/>
  <c r="C16" i="52"/>
  <c r="W15" i="52"/>
  <c r="V15" i="52"/>
  <c r="U15" i="52"/>
  <c r="T15" i="52"/>
  <c r="S15" i="52"/>
  <c r="R15" i="52"/>
  <c r="Q15" i="52"/>
  <c r="P15" i="52"/>
  <c r="O15" i="52"/>
  <c r="N15" i="52"/>
  <c r="M15" i="52"/>
  <c r="L15" i="52"/>
  <c r="K15" i="52"/>
  <c r="J15" i="52"/>
  <c r="I15" i="52"/>
  <c r="H15" i="52"/>
  <c r="G15" i="52"/>
  <c r="F15" i="52"/>
  <c r="E15" i="52"/>
  <c r="D15" i="52"/>
  <c r="C15" i="52"/>
  <c r="W14" i="52"/>
  <c r="V14" i="52"/>
  <c r="U14" i="52"/>
  <c r="T14" i="52"/>
  <c r="S14" i="52"/>
  <c r="R14" i="52"/>
  <c r="Q14" i="52"/>
  <c r="P14" i="52"/>
  <c r="O14" i="52"/>
  <c r="N14" i="52"/>
  <c r="M14" i="52"/>
  <c r="L14" i="52"/>
  <c r="K14" i="52"/>
  <c r="J14" i="52"/>
  <c r="I14" i="52"/>
  <c r="H14" i="52"/>
  <c r="G14" i="52"/>
  <c r="F14" i="52"/>
  <c r="E14" i="52"/>
  <c r="D14" i="52"/>
  <c r="C14" i="52"/>
  <c r="W13" i="52"/>
  <c r="V13" i="52"/>
  <c r="U13" i="52"/>
  <c r="T13" i="52"/>
  <c r="S13" i="52"/>
  <c r="R13" i="52"/>
  <c r="Q13" i="52"/>
  <c r="P13" i="52"/>
  <c r="O13" i="52"/>
  <c r="N13" i="52"/>
  <c r="M13" i="52"/>
  <c r="L13" i="52"/>
  <c r="K13" i="52"/>
  <c r="J13" i="52"/>
  <c r="I13" i="52"/>
  <c r="H13" i="52"/>
  <c r="G13" i="52"/>
  <c r="F13" i="52"/>
  <c r="E13" i="52"/>
  <c r="D13" i="52"/>
  <c r="C13" i="52"/>
  <c r="W12" i="52"/>
  <c r="V12" i="52"/>
  <c r="U12" i="52"/>
  <c r="T12" i="52"/>
  <c r="S12" i="52"/>
  <c r="R12" i="52"/>
  <c r="Q12" i="52"/>
  <c r="P12" i="52"/>
  <c r="O12" i="52"/>
  <c r="N12" i="52"/>
  <c r="M12" i="52"/>
  <c r="L12" i="52"/>
  <c r="K12" i="52"/>
  <c r="J12" i="52"/>
  <c r="I12" i="52"/>
  <c r="H12" i="52"/>
  <c r="G12" i="52"/>
  <c r="F12" i="52"/>
  <c r="E12" i="52"/>
  <c r="D12" i="52"/>
  <c r="C12" i="52"/>
  <c r="W11" i="52"/>
  <c r="V11" i="52"/>
  <c r="U11" i="52"/>
  <c r="T11" i="52"/>
  <c r="S11" i="52"/>
  <c r="R11" i="52"/>
  <c r="Q11" i="52"/>
  <c r="P11" i="52"/>
  <c r="O11" i="52"/>
  <c r="N11" i="52"/>
  <c r="M11" i="52"/>
  <c r="L11" i="52"/>
  <c r="K11" i="52"/>
  <c r="J11" i="52"/>
  <c r="I11" i="52"/>
  <c r="H11" i="52"/>
  <c r="G11" i="52"/>
  <c r="F11" i="52"/>
  <c r="E11" i="52"/>
  <c r="D11" i="52"/>
  <c r="C11" i="52"/>
  <c r="W10" i="52"/>
  <c r="V10" i="52"/>
  <c r="U10" i="52"/>
  <c r="T10" i="52"/>
  <c r="S10" i="52"/>
  <c r="R10" i="52"/>
  <c r="Q10" i="52"/>
  <c r="P10" i="52"/>
  <c r="O10" i="52"/>
  <c r="N10" i="52"/>
  <c r="M10" i="52"/>
  <c r="L10" i="52"/>
  <c r="K10" i="52"/>
  <c r="J10" i="52"/>
  <c r="I10" i="52"/>
  <c r="H10" i="52"/>
  <c r="G10" i="52"/>
  <c r="F10" i="52"/>
  <c r="E10" i="52"/>
  <c r="D10" i="52"/>
  <c r="C10" i="52"/>
  <c r="W9" i="52"/>
  <c r="V9" i="52"/>
  <c r="U9" i="52"/>
  <c r="T9" i="52"/>
  <c r="S9" i="52"/>
  <c r="R9" i="52"/>
  <c r="Q9" i="52"/>
  <c r="P9" i="52"/>
  <c r="O9" i="52"/>
  <c r="N9" i="52"/>
  <c r="M9" i="52"/>
  <c r="L9" i="52"/>
  <c r="K9" i="52"/>
  <c r="J9" i="52"/>
  <c r="I9" i="52"/>
  <c r="H9" i="52"/>
  <c r="G9" i="52"/>
  <c r="F9" i="52"/>
  <c r="E9" i="52"/>
  <c r="D9" i="52"/>
  <c r="C9" i="52"/>
  <c r="W8" i="52"/>
  <c r="V8" i="52"/>
  <c r="U8" i="52"/>
  <c r="T8" i="52"/>
  <c r="S8" i="52"/>
  <c r="R8" i="52"/>
  <c r="Q8" i="52"/>
  <c r="P8" i="52"/>
  <c r="O8" i="52"/>
  <c r="N8" i="52"/>
  <c r="M8" i="52"/>
  <c r="L8" i="52"/>
  <c r="K8" i="52"/>
  <c r="J8" i="52"/>
  <c r="I8" i="52"/>
  <c r="H8" i="52"/>
  <c r="G8" i="52"/>
  <c r="F8" i="52"/>
  <c r="E8" i="52"/>
  <c r="D8" i="52"/>
  <c r="C8" i="52"/>
  <c r="W7" i="52"/>
  <c r="V7" i="52"/>
  <c r="U7" i="52"/>
  <c r="T7" i="52"/>
  <c r="S7" i="52"/>
  <c r="R7" i="52"/>
  <c r="Q7" i="52"/>
  <c r="P7" i="52"/>
  <c r="O7" i="52"/>
  <c r="N7" i="52"/>
  <c r="M7" i="52"/>
  <c r="L7" i="52"/>
  <c r="K7" i="52"/>
  <c r="J7" i="52"/>
  <c r="I7" i="52"/>
  <c r="H7" i="52"/>
  <c r="G7" i="52"/>
  <c r="F7" i="52"/>
  <c r="E7" i="52"/>
  <c r="D7" i="52"/>
  <c r="C7" i="52"/>
  <c r="W6" i="52"/>
  <c r="V6" i="52"/>
  <c r="U6" i="52"/>
  <c r="T6" i="52"/>
  <c r="S6" i="52"/>
  <c r="R6" i="52"/>
  <c r="Q6" i="52"/>
  <c r="P6" i="52"/>
  <c r="O6" i="52"/>
  <c r="N6" i="52"/>
  <c r="M6" i="52"/>
  <c r="L6" i="52"/>
  <c r="K6" i="52"/>
  <c r="J6" i="52"/>
  <c r="I6" i="52"/>
  <c r="H6" i="52"/>
  <c r="G6" i="52"/>
  <c r="F6" i="52"/>
  <c r="E6" i="52"/>
  <c r="D6" i="52"/>
  <c r="C6" i="52"/>
  <c r="W5" i="52"/>
  <c r="V5" i="52"/>
  <c r="U5" i="52"/>
  <c r="T5" i="52"/>
  <c r="S5" i="52"/>
  <c r="R5" i="52"/>
  <c r="Q5" i="52"/>
  <c r="P5" i="52"/>
  <c r="O5" i="52"/>
  <c r="N5" i="52"/>
  <c r="M5" i="52"/>
  <c r="L5" i="52"/>
  <c r="K5" i="52"/>
  <c r="J5" i="52"/>
  <c r="I5" i="52"/>
  <c r="H5" i="52"/>
  <c r="G5" i="52"/>
  <c r="F5" i="52"/>
  <c r="E5" i="52"/>
  <c r="D5" i="52"/>
  <c r="C5" i="52"/>
  <c r="C5" i="51"/>
  <c r="C7" i="51"/>
  <c r="Z39" i="51"/>
  <c r="Y39" i="51"/>
  <c r="X39" i="51"/>
  <c r="W39" i="51"/>
  <c r="V39" i="51"/>
  <c r="U39" i="51"/>
  <c r="T39" i="51"/>
  <c r="S39" i="51"/>
  <c r="R39" i="51"/>
  <c r="Q39" i="51"/>
  <c r="P39" i="51"/>
  <c r="O39" i="51"/>
  <c r="N39" i="51"/>
  <c r="M39" i="51"/>
  <c r="L39" i="51"/>
  <c r="K39" i="51"/>
  <c r="J39" i="51"/>
  <c r="I39" i="51"/>
  <c r="H39" i="51"/>
  <c r="G39" i="51"/>
  <c r="F39" i="51"/>
  <c r="E39" i="51"/>
  <c r="D39" i="51"/>
  <c r="C39" i="51"/>
  <c r="Z38" i="51"/>
  <c r="Y38" i="51"/>
  <c r="X38" i="51"/>
  <c r="W38" i="51"/>
  <c r="V38" i="51"/>
  <c r="U38" i="51"/>
  <c r="T38" i="51"/>
  <c r="S38" i="51"/>
  <c r="R38" i="51"/>
  <c r="Q38" i="51"/>
  <c r="P38" i="51"/>
  <c r="O38" i="51"/>
  <c r="N38" i="51"/>
  <c r="M38" i="51"/>
  <c r="L38" i="51"/>
  <c r="K38" i="51"/>
  <c r="J38" i="51"/>
  <c r="I38" i="51"/>
  <c r="H38" i="51"/>
  <c r="G38" i="51"/>
  <c r="F38" i="51"/>
  <c r="E38" i="51"/>
  <c r="D38" i="51"/>
  <c r="C38" i="51"/>
  <c r="Z37" i="51"/>
  <c r="Y37" i="51"/>
  <c r="X37" i="51"/>
  <c r="W37" i="51"/>
  <c r="V37" i="51"/>
  <c r="U37" i="51"/>
  <c r="T37" i="51"/>
  <c r="S37" i="51"/>
  <c r="R37" i="51"/>
  <c r="Q37" i="51"/>
  <c r="P37" i="51"/>
  <c r="O37" i="51"/>
  <c r="N37" i="51"/>
  <c r="M37" i="51"/>
  <c r="L37" i="51"/>
  <c r="K37" i="51"/>
  <c r="J37" i="51"/>
  <c r="I37" i="51"/>
  <c r="H37" i="51"/>
  <c r="G37" i="51"/>
  <c r="F37" i="51"/>
  <c r="E37" i="51"/>
  <c r="D37" i="51"/>
  <c r="C37" i="51"/>
  <c r="Z36" i="51"/>
  <c r="Y36" i="51"/>
  <c r="X36" i="51"/>
  <c r="W36" i="51"/>
  <c r="V36" i="51"/>
  <c r="U36" i="51"/>
  <c r="T36" i="51"/>
  <c r="S36" i="51"/>
  <c r="R36" i="51"/>
  <c r="Q36" i="51"/>
  <c r="P36" i="51"/>
  <c r="O36" i="51"/>
  <c r="N36" i="51"/>
  <c r="M36" i="51"/>
  <c r="L36" i="51"/>
  <c r="K36" i="51"/>
  <c r="J36" i="51"/>
  <c r="I36" i="51"/>
  <c r="H36" i="51"/>
  <c r="G36" i="51"/>
  <c r="F36" i="51"/>
  <c r="E36" i="51"/>
  <c r="D36" i="51"/>
  <c r="C36" i="51"/>
  <c r="Z35" i="51"/>
  <c r="Y35" i="51"/>
  <c r="X35" i="51"/>
  <c r="W35" i="51"/>
  <c r="V35" i="51"/>
  <c r="U35" i="51"/>
  <c r="T35" i="51"/>
  <c r="S35" i="51"/>
  <c r="R35" i="51"/>
  <c r="Q35" i="51"/>
  <c r="P35" i="51"/>
  <c r="O35" i="51"/>
  <c r="N35" i="51"/>
  <c r="M35" i="51"/>
  <c r="L35" i="51"/>
  <c r="K35" i="51"/>
  <c r="J35" i="51"/>
  <c r="I35" i="51"/>
  <c r="H35" i="51"/>
  <c r="G35" i="51"/>
  <c r="F35" i="51"/>
  <c r="E35" i="51"/>
  <c r="D35" i="51"/>
  <c r="C35" i="51"/>
  <c r="Z34" i="51"/>
  <c r="Y34" i="51"/>
  <c r="X34" i="51"/>
  <c r="W34" i="51"/>
  <c r="V34" i="51"/>
  <c r="U34" i="51"/>
  <c r="T34" i="51"/>
  <c r="S34" i="51"/>
  <c r="R34" i="51"/>
  <c r="Q34" i="51"/>
  <c r="P34" i="51"/>
  <c r="O34" i="51"/>
  <c r="N34" i="51"/>
  <c r="M34" i="51"/>
  <c r="L34" i="51"/>
  <c r="K34" i="51"/>
  <c r="J34" i="51"/>
  <c r="I34" i="51"/>
  <c r="H34" i="51"/>
  <c r="G34" i="51"/>
  <c r="F34" i="51"/>
  <c r="E34" i="51"/>
  <c r="D34" i="51"/>
  <c r="C34" i="51"/>
  <c r="Z33" i="51"/>
  <c r="Y33" i="51"/>
  <c r="X33" i="51"/>
  <c r="W33" i="51"/>
  <c r="V33" i="51"/>
  <c r="U33" i="51"/>
  <c r="T33" i="51"/>
  <c r="S33" i="51"/>
  <c r="R33" i="51"/>
  <c r="Q33" i="51"/>
  <c r="P33" i="51"/>
  <c r="O33" i="51"/>
  <c r="N33" i="51"/>
  <c r="M33" i="51"/>
  <c r="L33" i="51"/>
  <c r="K33" i="51"/>
  <c r="J33" i="51"/>
  <c r="I33" i="51"/>
  <c r="H33" i="51"/>
  <c r="G33" i="51"/>
  <c r="F33" i="51"/>
  <c r="E33" i="51"/>
  <c r="D33" i="51"/>
  <c r="C33" i="51"/>
  <c r="Z32" i="51"/>
  <c r="Y32" i="51"/>
  <c r="X32" i="51"/>
  <c r="W32" i="51"/>
  <c r="V32" i="51"/>
  <c r="U32" i="51"/>
  <c r="T32" i="51"/>
  <c r="S32" i="51"/>
  <c r="R32" i="51"/>
  <c r="Q32" i="51"/>
  <c r="P32" i="51"/>
  <c r="O32" i="51"/>
  <c r="N32" i="51"/>
  <c r="M32" i="51"/>
  <c r="L32" i="51"/>
  <c r="K32" i="51"/>
  <c r="J32" i="51"/>
  <c r="I32" i="51"/>
  <c r="H32" i="51"/>
  <c r="G32" i="51"/>
  <c r="F32" i="51"/>
  <c r="E32" i="51"/>
  <c r="D32" i="51"/>
  <c r="C32" i="51"/>
  <c r="Z31" i="51"/>
  <c r="Y31" i="51"/>
  <c r="X31" i="51"/>
  <c r="W31" i="51"/>
  <c r="V31" i="51"/>
  <c r="U31" i="51"/>
  <c r="T31" i="51"/>
  <c r="S31" i="51"/>
  <c r="R31" i="51"/>
  <c r="Q31" i="51"/>
  <c r="P31" i="51"/>
  <c r="O31" i="51"/>
  <c r="N31" i="51"/>
  <c r="M31" i="51"/>
  <c r="L31" i="51"/>
  <c r="K31" i="51"/>
  <c r="J31" i="51"/>
  <c r="I31" i="51"/>
  <c r="H31" i="51"/>
  <c r="G31" i="51"/>
  <c r="F31" i="51"/>
  <c r="E31" i="51"/>
  <c r="D31" i="51"/>
  <c r="C31" i="51"/>
  <c r="Z30" i="51"/>
  <c r="Y30" i="51"/>
  <c r="X30" i="51"/>
  <c r="W30" i="51"/>
  <c r="V30" i="51"/>
  <c r="U30" i="51"/>
  <c r="T30" i="51"/>
  <c r="S30" i="51"/>
  <c r="R30" i="51"/>
  <c r="Q30" i="51"/>
  <c r="P30" i="51"/>
  <c r="O30" i="51"/>
  <c r="N30" i="51"/>
  <c r="M30" i="51"/>
  <c r="L30" i="51"/>
  <c r="K30" i="51"/>
  <c r="J30" i="51"/>
  <c r="I30" i="51"/>
  <c r="H30" i="51"/>
  <c r="G30" i="51"/>
  <c r="F30" i="51"/>
  <c r="E30" i="51"/>
  <c r="D30" i="51"/>
  <c r="C30" i="51"/>
  <c r="Z29" i="51"/>
  <c r="Y29" i="51"/>
  <c r="X29" i="51"/>
  <c r="W29" i="51"/>
  <c r="V29" i="51"/>
  <c r="U29" i="51"/>
  <c r="T29" i="51"/>
  <c r="S29" i="51"/>
  <c r="R29" i="51"/>
  <c r="Q29" i="51"/>
  <c r="P29" i="51"/>
  <c r="O29" i="51"/>
  <c r="N29" i="51"/>
  <c r="M29" i="51"/>
  <c r="L29" i="51"/>
  <c r="K29" i="51"/>
  <c r="J29" i="51"/>
  <c r="I29" i="51"/>
  <c r="H29" i="51"/>
  <c r="G29" i="51"/>
  <c r="F29" i="51"/>
  <c r="E29" i="51"/>
  <c r="D29" i="51"/>
  <c r="C29" i="51"/>
  <c r="Z28" i="51"/>
  <c r="Y28" i="51"/>
  <c r="X28" i="51"/>
  <c r="W28" i="51"/>
  <c r="V28" i="51"/>
  <c r="U28" i="51"/>
  <c r="T28" i="51"/>
  <c r="S28" i="51"/>
  <c r="R28" i="51"/>
  <c r="Q28" i="51"/>
  <c r="P28" i="51"/>
  <c r="O28" i="51"/>
  <c r="N28" i="51"/>
  <c r="M28" i="51"/>
  <c r="L28" i="51"/>
  <c r="K28" i="51"/>
  <c r="J28" i="51"/>
  <c r="I28" i="51"/>
  <c r="H28" i="51"/>
  <c r="G28" i="51"/>
  <c r="F28" i="51"/>
  <c r="E28" i="51"/>
  <c r="D28" i="51"/>
  <c r="C28" i="51"/>
  <c r="Z27" i="51"/>
  <c r="Y27" i="51"/>
  <c r="X27" i="51"/>
  <c r="W27" i="51"/>
  <c r="V27" i="51"/>
  <c r="U27" i="51"/>
  <c r="T27" i="51"/>
  <c r="S27" i="51"/>
  <c r="R27" i="51"/>
  <c r="Q27" i="51"/>
  <c r="P27" i="51"/>
  <c r="O27" i="51"/>
  <c r="N27" i="51"/>
  <c r="M27" i="51"/>
  <c r="L27" i="51"/>
  <c r="K27" i="51"/>
  <c r="J27" i="51"/>
  <c r="I27" i="51"/>
  <c r="H27" i="51"/>
  <c r="G27" i="51"/>
  <c r="F27" i="51"/>
  <c r="E27" i="51"/>
  <c r="D27" i="51"/>
  <c r="C27" i="51"/>
  <c r="Z26" i="51"/>
  <c r="Y26" i="51"/>
  <c r="X26" i="51"/>
  <c r="W26" i="51"/>
  <c r="V26" i="51"/>
  <c r="U26" i="51"/>
  <c r="T26" i="51"/>
  <c r="S26" i="51"/>
  <c r="R26" i="51"/>
  <c r="Q26" i="51"/>
  <c r="P26" i="51"/>
  <c r="O26" i="51"/>
  <c r="N26" i="51"/>
  <c r="M26" i="51"/>
  <c r="L26" i="51"/>
  <c r="K26" i="51"/>
  <c r="J26" i="51"/>
  <c r="I26" i="51"/>
  <c r="H26" i="51"/>
  <c r="G26" i="51"/>
  <c r="F26" i="51"/>
  <c r="E26" i="51"/>
  <c r="D26" i="51"/>
  <c r="C26" i="51"/>
  <c r="Z25" i="51"/>
  <c r="Y25" i="51"/>
  <c r="X25" i="51"/>
  <c r="W25" i="51"/>
  <c r="V25" i="51"/>
  <c r="U25" i="51"/>
  <c r="T25" i="51"/>
  <c r="S25" i="51"/>
  <c r="R25" i="51"/>
  <c r="Q25" i="51"/>
  <c r="P25" i="51"/>
  <c r="O25" i="51"/>
  <c r="N25" i="51"/>
  <c r="M25" i="51"/>
  <c r="L25" i="51"/>
  <c r="K25" i="51"/>
  <c r="J25" i="51"/>
  <c r="I25" i="51"/>
  <c r="H25" i="51"/>
  <c r="G25" i="51"/>
  <c r="F25" i="51"/>
  <c r="E25" i="51"/>
  <c r="D25" i="51"/>
  <c r="C25" i="51"/>
  <c r="Z24" i="51"/>
  <c r="Y24" i="51"/>
  <c r="X24" i="51"/>
  <c r="W24" i="51"/>
  <c r="V24" i="51"/>
  <c r="U24" i="51"/>
  <c r="T24" i="51"/>
  <c r="S24" i="51"/>
  <c r="R24" i="51"/>
  <c r="Q24" i="51"/>
  <c r="P24" i="51"/>
  <c r="O24" i="51"/>
  <c r="N24" i="51"/>
  <c r="M24" i="51"/>
  <c r="L24" i="51"/>
  <c r="K24" i="51"/>
  <c r="J24" i="51"/>
  <c r="I24" i="51"/>
  <c r="H24" i="51"/>
  <c r="G24" i="51"/>
  <c r="F24" i="51"/>
  <c r="E24" i="51"/>
  <c r="D24" i="51"/>
  <c r="C24" i="51"/>
  <c r="Z23" i="51"/>
  <c r="Y23" i="51"/>
  <c r="X23" i="51"/>
  <c r="W23" i="51"/>
  <c r="V23" i="51"/>
  <c r="U23" i="51"/>
  <c r="T23" i="51"/>
  <c r="S23" i="51"/>
  <c r="R23" i="51"/>
  <c r="Q23" i="51"/>
  <c r="P23" i="51"/>
  <c r="O23" i="51"/>
  <c r="N23" i="51"/>
  <c r="M23" i="51"/>
  <c r="L23" i="51"/>
  <c r="K23" i="51"/>
  <c r="J23" i="51"/>
  <c r="I23" i="51"/>
  <c r="H23" i="51"/>
  <c r="G23" i="51"/>
  <c r="F23" i="51"/>
  <c r="E23" i="51"/>
  <c r="D23" i="51"/>
  <c r="C23" i="51"/>
  <c r="Z22" i="51"/>
  <c r="Y22" i="51"/>
  <c r="X22" i="51"/>
  <c r="W22" i="51"/>
  <c r="V22" i="51"/>
  <c r="U22" i="51"/>
  <c r="T22" i="51"/>
  <c r="S22" i="51"/>
  <c r="R22" i="51"/>
  <c r="Q22" i="51"/>
  <c r="P22" i="51"/>
  <c r="O22" i="51"/>
  <c r="N22" i="51"/>
  <c r="M22" i="51"/>
  <c r="L22" i="51"/>
  <c r="K22" i="51"/>
  <c r="J22" i="51"/>
  <c r="I22" i="51"/>
  <c r="H22" i="51"/>
  <c r="G22" i="51"/>
  <c r="F22" i="51"/>
  <c r="E22" i="51"/>
  <c r="D22" i="51"/>
  <c r="C22" i="51"/>
  <c r="Z21" i="51"/>
  <c r="Y21" i="51"/>
  <c r="X21" i="51"/>
  <c r="W21" i="51"/>
  <c r="V21" i="51"/>
  <c r="U21" i="51"/>
  <c r="T21" i="51"/>
  <c r="S21" i="51"/>
  <c r="R21" i="51"/>
  <c r="Q21" i="51"/>
  <c r="P21" i="51"/>
  <c r="O21" i="51"/>
  <c r="N21" i="51"/>
  <c r="M21" i="51"/>
  <c r="L21" i="51"/>
  <c r="K21" i="51"/>
  <c r="J21" i="51"/>
  <c r="I21" i="51"/>
  <c r="H21" i="51"/>
  <c r="G21" i="51"/>
  <c r="F21" i="51"/>
  <c r="E21" i="51"/>
  <c r="D21" i="51"/>
  <c r="C21" i="51"/>
  <c r="Z20" i="51"/>
  <c r="Y20" i="51"/>
  <c r="X20" i="51"/>
  <c r="W20" i="51"/>
  <c r="V20" i="51"/>
  <c r="U20" i="51"/>
  <c r="T20" i="51"/>
  <c r="S20" i="51"/>
  <c r="R20" i="51"/>
  <c r="Q20" i="51"/>
  <c r="P20" i="51"/>
  <c r="O20" i="51"/>
  <c r="N20" i="51"/>
  <c r="M20" i="51"/>
  <c r="L20" i="51"/>
  <c r="K20" i="51"/>
  <c r="J20" i="51"/>
  <c r="I20" i="51"/>
  <c r="H20" i="51"/>
  <c r="G20" i="51"/>
  <c r="F20" i="51"/>
  <c r="E20" i="51"/>
  <c r="D20" i="51"/>
  <c r="C20" i="51"/>
  <c r="Z19" i="51"/>
  <c r="Y19" i="51"/>
  <c r="X19" i="51"/>
  <c r="W19" i="51"/>
  <c r="V19" i="51"/>
  <c r="U19" i="51"/>
  <c r="T19" i="51"/>
  <c r="S19" i="51"/>
  <c r="R19" i="51"/>
  <c r="Q19" i="51"/>
  <c r="P19" i="51"/>
  <c r="O19" i="51"/>
  <c r="N19" i="51"/>
  <c r="M19" i="51"/>
  <c r="L19" i="51"/>
  <c r="K19" i="51"/>
  <c r="J19" i="51"/>
  <c r="I19" i="51"/>
  <c r="H19" i="51"/>
  <c r="G19" i="51"/>
  <c r="F19" i="51"/>
  <c r="E19" i="51"/>
  <c r="D19" i="51"/>
  <c r="C19" i="51"/>
  <c r="Z18" i="51"/>
  <c r="Y18" i="51"/>
  <c r="X18" i="51"/>
  <c r="W18" i="51"/>
  <c r="V18" i="51"/>
  <c r="U18" i="51"/>
  <c r="T18" i="51"/>
  <c r="S18" i="51"/>
  <c r="R18" i="51"/>
  <c r="Q18" i="51"/>
  <c r="P18" i="51"/>
  <c r="O18" i="51"/>
  <c r="N18" i="51"/>
  <c r="M18" i="51"/>
  <c r="L18" i="51"/>
  <c r="K18" i="51"/>
  <c r="J18" i="51"/>
  <c r="I18" i="51"/>
  <c r="H18" i="51"/>
  <c r="G18" i="51"/>
  <c r="F18" i="51"/>
  <c r="E18" i="51"/>
  <c r="D18" i="51"/>
  <c r="C18" i="51"/>
  <c r="Z17" i="51"/>
  <c r="Y17" i="51"/>
  <c r="X17" i="51"/>
  <c r="W17" i="51"/>
  <c r="V17" i="51"/>
  <c r="U17" i="51"/>
  <c r="T17" i="51"/>
  <c r="S17" i="51"/>
  <c r="R17" i="51"/>
  <c r="Q17" i="51"/>
  <c r="P17" i="51"/>
  <c r="O17" i="51"/>
  <c r="N17" i="51"/>
  <c r="M17" i="51"/>
  <c r="L17" i="51"/>
  <c r="K17" i="51"/>
  <c r="J17" i="51"/>
  <c r="I17" i="51"/>
  <c r="H17" i="51"/>
  <c r="G17" i="51"/>
  <c r="F17" i="51"/>
  <c r="E17" i="51"/>
  <c r="D17" i="51"/>
  <c r="C17" i="51"/>
  <c r="Z16" i="51"/>
  <c r="Y16" i="51"/>
  <c r="X16" i="51"/>
  <c r="W16" i="51"/>
  <c r="V16" i="51"/>
  <c r="U16" i="51"/>
  <c r="T16" i="51"/>
  <c r="S16" i="51"/>
  <c r="R16" i="51"/>
  <c r="Q16" i="51"/>
  <c r="P16" i="51"/>
  <c r="O16" i="51"/>
  <c r="N16" i="51"/>
  <c r="M16" i="51"/>
  <c r="L16" i="51"/>
  <c r="K16" i="51"/>
  <c r="J16" i="51"/>
  <c r="I16" i="51"/>
  <c r="H16" i="51"/>
  <c r="G16" i="51"/>
  <c r="F16" i="51"/>
  <c r="E16" i="51"/>
  <c r="D16" i="51"/>
  <c r="C16" i="51"/>
  <c r="Z15" i="51"/>
  <c r="Y15" i="51"/>
  <c r="X15" i="51"/>
  <c r="W15" i="51"/>
  <c r="V15" i="51"/>
  <c r="U15" i="51"/>
  <c r="T15" i="51"/>
  <c r="S15" i="51"/>
  <c r="R15" i="51"/>
  <c r="Q15" i="51"/>
  <c r="P15" i="51"/>
  <c r="O15" i="51"/>
  <c r="N15" i="51"/>
  <c r="M15" i="51"/>
  <c r="L15" i="51"/>
  <c r="K15" i="51"/>
  <c r="J15" i="51"/>
  <c r="I15" i="51"/>
  <c r="H15" i="51"/>
  <c r="G15" i="51"/>
  <c r="F15" i="51"/>
  <c r="E15" i="51"/>
  <c r="D15" i="51"/>
  <c r="C15" i="51"/>
  <c r="Z14" i="51"/>
  <c r="Y14" i="51"/>
  <c r="X14" i="51"/>
  <c r="W14" i="51"/>
  <c r="V14" i="51"/>
  <c r="U14" i="51"/>
  <c r="T14" i="51"/>
  <c r="S14" i="51"/>
  <c r="R14" i="51"/>
  <c r="O14" i="51"/>
  <c r="N14" i="51"/>
  <c r="M14" i="51"/>
  <c r="L14" i="51"/>
  <c r="K14" i="51"/>
  <c r="J14" i="51"/>
  <c r="I14" i="51"/>
  <c r="H14" i="51"/>
  <c r="G14" i="51"/>
  <c r="F14" i="51"/>
  <c r="D14" i="51"/>
  <c r="Z13" i="51"/>
  <c r="Y13" i="51"/>
  <c r="X13" i="51"/>
  <c r="W13" i="51"/>
  <c r="V13" i="51"/>
  <c r="U13" i="51"/>
  <c r="T13" i="51"/>
  <c r="S13" i="51"/>
  <c r="R13" i="51"/>
  <c r="Q13" i="51"/>
  <c r="P13" i="51"/>
  <c r="O13" i="51"/>
  <c r="N13" i="51"/>
  <c r="M13" i="51"/>
  <c r="L13" i="51"/>
  <c r="K13" i="51"/>
  <c r="J13" i="51"/>
  <c r="I13" i="51"/>
  <c r="H13" i="51"/>
  <c r="G13" i="51"/>
  <c r="F13" i="51"/>
  <c r="E13" i="51"/>
  <c r="D13" i="51"/>
  <c r="C13" i="51"/>
  <c r="Z12" i="51"/>
  <c r="Y12" i="51"/>
  <c r="X12" i="51"/>
  <c r="W12" i="51"/>
  <c r="V12" i="51"/>
  <c r="U12" i="51"/>
  <c r="T12" i="51"/>
  <c r="S12" i="51"/>
  <c r="R12" i="51"/>
  <c r="Q12" i="51"/>
  <c r="P12" i="51"/>
  <c r="O12" i="51"/>
  <c r="N12" i="51"/>
  <c r="M12" i="51"/>
  <c r="L12" i="51"/>
  <c r="K12" i="51"/>
  <c r="J12" i="51"/>
  <c r="I12" i="51"/>
  <c r="H12" i="51"/>
  <c r="G12" i="51"/>
  <c r="F12" i="51"/>
  <c r="E12" i="51"/>
  <c r="D12" i="51"/>
  <c r="C12" i="51"/>
  <c r="Z11" i="51"/>
  <c r="Y11" i="51"/>
  <c r="X11" i="51"/>
  <c r="W11" i="51"/>
  <c r="V11" i="51"/>
  <c r="U11" i="51"/>
  <c r="T11" i="51"/>
  <c r="S11" i="51"/>
  <c r="R11" i="51"/>
  <c r="Q11" i="51"/>
  <c r="P11" i="51"/>
  <c r="O11" i="51"/>
  <c r="N11" i="51"/>
  <c r="M11" i="51"/>
  <c r="L11" i="51"/>
  <c r="K11" i="51"/>
  <c r="J11" i="51"/>
  <c r="I11" i="51"/>
  <c r="H11" i="51"/>
  <c r="G11" i="51"/>
  <c r="F11" i="51"/>
  <c r="E11" i="51"/>
  <c r="D11" i="51"/>
  <c r="C11" i="51"/>
  <c r="Z10" i="51"/>
  <c r="Y10" i="51"/>
  <c r="X10" i="51"/>
  <c r="W10" i="51"/>
  <c r="V10" i="51"/>
  <c r="U10" i="51"/>
  <c r="T10" i="51"/>
  <c r="S10" i="51"/>
  <c r="R10" i="51"/>
  <c r="Q10" i="51"/>
  <c r="P10" i="51"/>
  <c r="O10" i="51"/>
  <c r="N10" i="51"/>
  <c r="M10" i="51"/>
  <c r="L10" i="51"/>
  <c r="K10" i="51"/>
  <c r="J10" i="51"/>
  <c r="I10" i="51"/>
  <c r="H10" i="51"/>
  <c r="G10" i="51"/>
  <c r="F10" i="51"/>
  <c r="E10" i="51"/>
  <c r="D10" i="51"/>
  <c r="C10" i="51"/>
  <c r="Z9" i="51"/>
  <c r="Y9" i="51"/>
  <c r="X9" i="51"/>
  <c r="W9" i="51"/>
  <c r="V9" i="51"/>
  <c r="U9" i="51"/>
  <c r="T9" i="51"/>
  <c r="S9" i="51"/>
  <c r="R9" i="51"/>
  <c r="Q9" i="51"/>
  <c r="P9" i="51"/>
  <c r="O9" i="51"/>
  <c r="N9" i="51"/>
  <c r="M9" i="51"/>
  <c r="L9" i="51"/>
  <c r="K9" i="51"/>
  <c r="J9" i="51"/>
  <c r="I9" i="51"/>
  <c r="H9" i="51"/>
  <c r="G9" i="51"/>
  <c r="F9" i="51"/>
  <c r="E9" i="51"/>
  <c r="D9" i="51"/>
  <c r="C9" i="51"/>
  <c r="Z8" i="51"/>
  <c r="Y8" i="51"/>
  <c r="X8" i="51"/>
  <c r="W8" i="51"/>
  <c r="V8" i="51"/>
  <c r="U8" i="51"/>
  <c r="T8" i="51"/>
  <c r="S8" i="51"/>
  <c r="R8" i="51"/>
  <c r="Q8" i="51"/>
  <c r="P8" i="51"/>
  <c r="O8" i="51"/>
  <c r="N8" i="51"/>
  <c r="M8" i="51"/>
  <c r="L8" i="51"/>
  <c r="K8" i="51"/>
  <c r="J8" i="51"/>
  <c r="I8" i="51"/>
  <c r="H8" i="51"/>
  <c r="G8" i="51"/>
  <c r="F8" i="51"/>
  <c r="E8" i="51"/>
  <c r="D8" i="51"/>
  <c r="C8" i="51"/>
  <c r="Z7" i="51"/>
  <c r="Y7" i="51"/>
  <c r="X7" i="51"/>
  <c r="W7" i="51"/>
  <c r="V7" i="51"/>
  <c r="U7" i="51"/>
  <c r="T7" i="51"/>
  <c r="S7" i="51"/>
  <c r="R7" i="51"/>
  <c r="Q7" i="51"/>
  <c r="P7" i="51"/>
  <c r="O7" i="51"/>
  <c r="N7" i="51"/>
  <c r="M7" i="51"/>
  <c r="L7" i="51"/>
  <c r="K7" i="51"/>
  <c r="J7" i="51"/>
  <c r="I7" i="51"/>
  <c r="H7" i="51"/>
  <c r="G7" i="51"/>
  <c r="F7" i="51"/>
  <c r="E7" i="51"/>
  <c r="D7" i="51"/>
  <c r="Z6" i="51"/>
  <c r="Y6" i="51"/>
  <c r="X6" i="51"/>
  <c r="W6" i="51"/>
  <c r="V6" i="51"/>
  <c r="U6" i="51"/>
  <c r="T6" i="51"/>
  <c r="S6" i="51"/>
  <c r="R6" i="51"/>
  <c r="Q6" i="51"/>
  <c r="P6" i="51"/>
  <c r="O6" i="51"/>
  <c r="N6" i="51"/>
  <c r="M6" i="51"/>
  <c r="L6" i="51"/>
  <c r="K6" i="51"/>
  <c r="J6" i="51"/>
  <c r="I6" i="51"/>
  <c r="H6" i="51"/>
  <c r="G6" i="51"/>
  <c r="F6" i="51"/>
  <c r="E6" i="51"/>
  <c r="D6" i="51"/>
  <c r="C6" i="51"/>
  <c r="Z5" i="51"/>
  <c r="Y5" i="51"/>
  <c r="X5" i="51"/>
  <c r="W5" i="51"/>
  <c r="V5" i="51"/>
  <c r="U5" i="51"/>
  <c r="T5" i="51"/>
  <c r="S5" i="51"/>
  <c r="R5" i="51"/>
  <c r="Q5" i="51"/>
  <c r="P5" i="51"/>
  <c r="O5" i="51"/>
  <c r="N5" i="51"/>
  <c r="M5" i="51"/>
  <c r="L5" i="51"/>
  <c r="K5" i="51"/>
  <c r="J5" i="51"/>
  <c r="I5" i="51"/>
  <c r="H5" i="51"/>
  <c r="G5" i="51"/>
  <c r="F5" i="51"/>
  <c r="E5" i="51"/>
  <c r="D5" i="51"/>
  <c r="L3" i="18" l="1"/>
  <c r="F5" i="18" s="1"/>
  <c r="G4" i="18" s="1"/>
  <c r="E5" i="18"/>
  <c r="F4" i="2"/>
  <c r="I4" i="2" s="1"/>
  <c r="E4" i="2"/>
  <c r="L14" i="18" l="1"/>
  <c r="L16" i="18"/>
  <c r="L15" i="18"/>
  <c r="L22" i="18"/>
  <c r="L21" i="18"/>
  <c r="L20" i="18"/>
  <c r="L19" i="18"/>
  <c r="L18" i="18"/>
  <c r="L17" i="18"/>
  <c r="L13" i="18"/>
  <c r="L12" i="18"/>
  <c r="L11" i="18"/>
  <c r="L10" i="18"/>
  <c r="L9" i="18"/>
  <c r="L8" i="18"/>
  <c r="I8" i="18"/>
  <c r="G8" i="18"/>
  <c r="J8" i="18"/>
  <c r="K9" i="18"/>
  <c r="K8" i="18"/>
  <c r="H8" i="18"/>
  <c r="F8" i="18"/>
  <c r="J9" i="18"/>
  <c r="I8" i="2"/>
  <c r="L8" i="2"/>
  <c r="H8" i="2"/>
  <c r="K8" i="2"/>
  <c r="G8" i="2"/>
  <c r="J8" i="2"/>
  <c r="F8" i="2"/>
  <c r="M8" i="2"/>
  <c r="F11" i="2"/>
  <c r="F21" i="18"/>
  <c r="I16" i="18"/>
  <c r="I12" i="18"/>
  <c r="I11" i="18"/>
  <c r="J14" i="18"/>
  <c r="H12" i="18"/>
  <c r="H20" i="18"/>
  <c r="G13" i="18"/>
  <c r="G21" i="18"/>
  <c r="J10" i="18"/>
  <c r="K13" i="18"/>
  <c r="H10" i="18"/>
  <c r="G11" i="18"/>
  <c r="K11" i="18"/>
  <c r="J12" i="18"/>
  <c r="I13" i="18"/>
  <c r="H14" i="18"/>
  <c r="G15" i="18"/>
  <c r="K15" i="18"/>
  <c r="J16" i="18"/>
  <c r="I17" i="18"/>
  <c r="H18" i="18"/>
  <c r="G19" i="18"/>
  <c r="K19" i="18"/>
  <c r="J20" i="18"/>
  <c r="I21" i="18"/>
  <c r="H22" i="18"/>
  <c r="F10" i="18"/>
  <c r="F14" i="18"/>
  <c r="F18" i="18"/>
  <c r="F22" i="18"/>
  <c r="I10" i="18"/>
  <c r="H11" i="18"/>
  <c r="G12" i="18"/>
  <c r="K12" i="18"/>
  <c r="J13" i="18"/>
  <c r="I14" i="18"/>
  <c r="H15" i="18"/>
  <c r="G16" i="18"/>
  <c r="K16" i="18"/>
  <c r="J17" i="18"/>
  <c r="I18" i="18"/>
  <c r="H19" i="18"/>
  <c r="G20" i="18"/>
  <c r="K20" i="18"/>
  <c r="J21" i="18"/>
  <c r="I22" i="18"/>
  <c r="F11" i="18"/>
  <c r="F15" i="18"/>
  <c r="F19" i="18"/>
  <c r="I15" i="18"/>
  <c r="H16" i="18"/>
  <c r="G17" i="18"/>
  <c r="K17" i="18"/>
  <c r="J18" i="18"/>
  <c r="I19" i="18"/>
  <c r="K21" i="18"/>
  <c r="J22" i="18"/>
  <c r="F12" i="18"/>
  <c r="F16" i="18"/>
  <c r="F20" i="18"/>
  <c r="G10" i="18"/>
  <c r="K10" i="18"/>
  <c r="J11" i="18"/>
  <c r="H13" i="18"/>
  <c r="G14" i="18"/>
  <c r="K14" i="18"/>
  <c r="J15" i="18"/>
  <c r="H17" i="18"/>
  <c r="G18" i="18"/>
  <c r="K18" i="18"/>
  <c r="J19" i="18"/>
  <c r="I20" i="18"/>
  <c r="H21" i="18"/>
  <c r="G22" i="18"/>
  <c r="K22" i="18"/>
  <c r="F13" i="18"/>
  <c r="F17" i="18"/>
  <c r="F5" i="2"/>
  <c r="H4" i="2" l="1"/>
  <c r="J13" i="2"/>
  <c r="F10" i="2"/>
  <c r="W39" i="48" l="1"/>
  <c r="V39" i="48"/>
  <c r="U39" i="48"/>
  <c r="T39" i="48"/>
  <c r="S39" i="48"/>
  <c r="R39" i="48"/>
  <c r="Q39" i="48"/>
  <c r="P39" i="48"/>
  <c r="O39" i="48"/>
  <c r="N39" i="48"/>
  <c r="M39" i="48"/>
  <c r="L39" i="48"/>
  <c r="K39" i="48"/>
  <c r="J39" i="48"/>
  <c r="I39" i="48"/>
  <c r="H39" i="48"/>
  <c r="G39" i="48"/>
  <c r="F39" i="48"/>
  <c r="E39" i="48"/>
  <c r="D39" i="48"/>
  <c r="C39" i="48"/>
  <c r="W38" i="48"/>
  <c r="V38" i="48"/>
  <c r="U38" i="48"/>
  <c r="T38" i="48"/>
  <c r="S38" i="48"/>
  <c r="R38" i="48"/>
  <c r="Q38" i="48"/>
  <c r="P38" i="48"/>
  <c r="O38" i="48"/>
  <c r="N38" i="48"/>
  <c r="M38" i="48"/>
  <c r="L38" i="48"/>
  <c r="K38" i="48"/>
  <c r="J38" i="48"/>
  <c r="I38" i="48"/>
  <c r="H38" i="48"/>
  <c r="G38" i="48"/>
  <c r="F38" i="48"/>
  <c r="E38" i="48"/>
  <c r="D38" i="48"/>
  <c r="C38" i="48"/>
  <c r="W37" i="48"/>
  <c r="V37" i="48"/>
  <c r="U37" i="48"/>
  <c r="T37" i="48"/>
  <c r="S37" i="48"/>
  <c r="R37" i="48"/>
  <c r="Q37" i="48"/>
  <c r="P37" i="48"/>
  <c r="O37" i="48"/>
  <c r="N37" i="48"/>
  <c r="M37" i="48"/>
  <c r="L37" i="48"/>
  <c r="K37" i="48"/>
  <c r="J37" i="48"/>
  <c r="I37" i="48"/>
  <c r="H37" i="48"/>
  <c r="G37" i="48"/>
  <c r="F37" i="48"/>
  <c r="E37" i="48"/>
  <c r="D37" i="48"/>
  <c r="C37" i="48"/>
  <c r="W36" i="48"/>
  <c r="V36" i="48"/>
  <c r="U36" i="48"/>
  <c r="T36" i="48"/>
  <c r="S36" i="48"/>
  <c r="R36" i="48"/>
  <c r="Q36" i="48"/>
  <c r="P36" i="48"/>
  <c r="O36" i="48"/>
  <c r="N36" i="48"/>
  <c r="M36" i="48"/>
  <c r="L36" i="48"/>
  <c r="K36" i="48"/>
  <c r="J36" i="48"/>
  <c r="I36" i="48"/>
  <c r="H36" i="48"/>
  <c r="G36" i="48"/>
  <c r="F36" i="48"/>
  <c r="E36" i="48"/>
  <c r="D36" i="48"/>
  <c r="C36" i="48"/>
  <c r="W35" i="48"/>
  <c r="V35" i="48"/>
  <c r="U35" i="48"/>
  <c r="T35" i="48"/>
  <c r="S35" i="48"/>
  <c r="R35" i="48"/>
  <c r="Q35" i="48"/>
  <c r="P35" i="48"/>
  <c r="O35" i="48"/>
  <c r="N35" i="48"/>
  <c r="M35" i="48"/>
  <c r="L35" i="48"/>
  <c r="K35" i="48"/>
  <c r="J35" i="48"/>
  <c r="I35" i="48"/>
  <c r="H35" i="48"/>
  <c r="G35" i="48"/>
  <c r="F35" i="48"/>
  <c r="E35" i="48"/>
  <c r="D35" i="48"/>
  <c r="C35" i="48"/>
  <c r="W34" i="48"/>
  <c r="V34" i="48"/>
  <c r="U34" i="48"/>
  <c r="T34" i="48"/>
  <c r="S34" i="48"/>
  <c r="R34" i="48"/>
  <c r="Q34" i="48"/>
  <c r="P34" i="48"/>
  <c r="O34" i="48"/>
  <c r="N34" i="48"/>
  <c r="M34" i="48"/>
  <c r="L34" i="48"/>
  <c r="K34" i="48"/>
  <c r="J34" i="48"/>
  <c r="I34" i="48"/>
  <c r="H34" i="48"/>
  <c r="G34" i="48"/>
  <c r="F34" i="48"/>
  <c r="E34" i="48"/>
  <c r="D34" i="48"/>
  <c r="C34" i="48"/>
  <c r="W33" i="48"/>
  <c r="V33" i="48"/>
  <c r="U33" i="48"/>
  <c r="T33" i="48"/>
  <c r="S33" i="48"/>
  <c r="R33" i="48"/>
  <c r="Q33" i="48"/>
  <c r="P33" i="48"/>
  <c r="O33" i="48"/>
  <c r="N33" i="48"/>
  <c r="M33" i="48"/>
  <c r="L33" i="48"/>
  <c r="K33" i="48"/>
  <c r="J33" i="48"/>
  <c r="I33" i="48"/>
  <c r="H33" i="48"/>
  <c r="G33" i="48"/>
  <c r="F33" i="48"/>
  <c r="E33" i="48"/>
  <c r="D33" i="48"/>
  <c r="C33" i="48"/>
  <c r="W32" i="48"/>
  <c r="V32" i="48"/>
  <c r="U32" i="48"/>
  <c r="T32" i="48"/>
  <c r="S32" i="48"/>
  <c r="R32" i="48"/>
  <c r="Q32" i="48"/>
  <c r="P32" i="48"/>
  <c r="O32" i="48"/>
  <c r="N32" i="48"/>
  <c r="M32" i="48"/>
  <c r="L32" i="48"/>
  <c r="K32" i="48"/>
  <c r="J32" i="48"/>
  <c r="I32" i="48"/>
  <c r="H32" i="48"/>
  <c r="G32" i="48"/>
  <c r="F32" i="48"/>
  <c r="E32" i="48"/>
  <c r="D32" i="48"/>
  <c r="C32" i="48"/>
  <c r="W31" i="48"/>
  <c r="V31" i="48"/>
  <c r="U31" i="48"/>
  <c r="T31" i="48"/>
  <c r="S31" i="48"/>
  <c r="R31" i="48"/>
  <c r="Q31" i="48"/>
  <c r="P31" i="48"/>
  <c r="O31" i="48"/>
  <c r="N31" i="48"/>
  <c r="M31" i="48"/>
  <c r="L31" i="48"/>
  <c r="K31" i="48"/>
  <c r="J31" i="48"/>
  <c r="I31" i="48"/>
  <c r="H31" i="48"/>
  <c r="G31" i="48"/>
  <c r="F31" i="48"/>
  <c r="E31" i="48"/>
  <c r="D31" i="48"/>
  <c r="C31" i="48"/>
  <c r="W30" i="48"/>
  <c r="V30" i="48"/>
  <c r="U30" i="48"/>
  <c r="T30" i="48"/>
  <c r="S30" i="48"/>
  <c r="R30" i="48"/>
  <c r="Q30" i="48"/>
  <c r="P30" i="48"/>
  <c r="O30" i="48"/>
  <c r="N30" i="48"/>
  <c r="M30" i="48"/>
  <c r="L30" i="48"/>
  <c r="K30" i="48"/>
  <c r="J30" i="48"/>
  <c r="I30" i="48"/>
  <c r="H30" i="48"/>
  <c r="G30" i="48"/>
  <c r="F30" i="48"/>
  <c r="E30" i="48"/>
  <c r="D30" i="48"/>
  <c r="C30" i="48"/>
  <c r="W29" i="48"/>
  <c r="V29" i="48"/>
  <c r="U29" i="48"/>
  <c r="T29" i="48"/>
  <c r="S29" i="48"/>
  <c r="R29" i="48"/>
  <c r="Q29" i="48"/>
  <c r="P29" i="48"/>
  <c r="O29" i="48"/>
  <c r="N29" i="48"/>
  <c r="M29" i="48"/>
  <c r="L29" i="48"/>
  <c r="K29" i="48"/>
  <c r="J29" i="48"/>
  <c r="I29" i="48"/>
  <c r="H29" i="48"/>
  <c r="G29" i="48"/>
  <c r="F29" i="48"/>
  <c r="E29" i="48"/>
  <c r="D29" i="48"/>
  <c r="C29" i="48"/>
  <c r="W28" i="48"/>
  <c r="V28" i="48"/>
  <c r="U28" i="48"/>
  <c r="T28" i="48"/>
  <c r="S28" i="48"/>
  <c r="R28" i="48"/>
  <c r="Q28" i="48"/>
  <c r="P28" i="48"/>
  <c r="O28" i="48"/>
  <c r="N28" i="48"/>
  <c r="M28" i="48"/>
  <c r="L28" i="48"/>
  <c r="K28" i="48"/>
  <c r="J28" i="48"/>
  <c r="I28" i="48"/>
  <c r="H28" i="48"/>
  <c r="G28" i="48"/>
  <c r="F28" i="48"/>
  <c r="E28" i="48"/>
  <c r="D28" i="48"/>
  <c r="C28" i="48"/>
  <c r="W27" i="48"/>
  <c r="V27" i="48"/>
  <c r="U27" i="48"/>
  <c r="T27" i="48"/>
  <c r="S27" i="48"/>
  <c r="R27" i="48"/>
  <c r="Q27" i="48"/>
  <c r="P27" i="48"/>
  <c r="O27" i="48"/>
  <c r="N27" i="48"/>
  <c r="M27" i="48"/>
  <c r="L27" i="48"/>
  <c r="K27" i="48"/>
  <c r="J27" i="48"/>
  <c r="I27" i="48"/>
  <c r="H27" i="48"/>
  <c r="G27" i="48"/>
  <c r="F27" i="48"/>
  <c r="E27" i="48"/>
  <c r="D27" i="48"/>
  <c r="C27" i="48"/>
  <c r="W26" i="48"/>
  <c r="V26" i="48"/>
  <c r="U26" i="48"/>
  <c r="T26" i="48"/>
  <c r="S26" i="48"/>
  <c r="R26" i="48"/>
  <c r="Q26" i="48"/>
  <c r="P26" i="48"/>
  <c r="O26" i="48"/>
  <c r="N26" i="48"/>
  <c r="M26" i="48"/>
  <c r="L26" i="48"/>
  <c r="K26" i="48"/>
  <c r="J26" i="48"/>
  <c r="I26" i="48"/>
  <c r="H26" i="48"/>
  <c r="G26" i="48"/>
  <c r="F26" i="48"/>
  <c r="E26" i="48"/>
  <c r="D26" i="48"/>
  <c r="C26" i="48"/>
  <c r="W25" i="48"/>
  <c r="V25" i="48"/>
  <c r="U25" i="48"/>
  <c r="T25" i="48"/>
  <c r="S25" i="48"/>
  <c r="R25" i="48"/>
  <c r="Q25" i="48"/>
  <c r="P25" i="48"/>
  <c r="O25" i="48"/>
  <c r="N25" i="48"/>
  <c r="M25" i="48"/>
  <c r="L25" i="48"/>
  <c r="K25" i="48"/>
  <c r="J25" i="48"/>
  <c r="I25" i="48"/>
  <c r="H25" i="48"/>
  <c r="G25" i="48"/>
  <c r="F25" i="48"/>
  <c r="E25" i="48"/>
  <c r="D25" i="48"/>
  <c r="C25" i="48"/>
  <c r="W24" i="48"/>
  <c r="V24" i="48"/>
  <c r="U24" i="48"/>
  <c r="T24" i="48"/>
  <c r="S24" i="48"/>
  <c r="R24" i="48"/>
  <c r="Q24" i="48"/>
  <c r="P24" i="48"/>
  <c r="O24" i="48"/>
  <c r="N24" i="48"/>
  <c r="M24" i="48"/>
  <c r="L24" i="48"/>
  <c r="K24" i="48"/>
  <c r="J24" i="48"/>
  <c r="I24" i="48"/>
  <c r="H24" i="48"/>
  <c r="G24" i="48"/>
  <c r="F24" i="48"/>
  <c r="E24" i="48"/>
  <c r="D24" i="48"/>
  <c r="C24" i="48"/>
  <c r="W23" i="48"/>
  <c r="V23" i="48"/>
  <c r="U23" i="48"/>
  <c r="T23" i="48"/>
  <c r="S23" i="48"/>
  <c r="R23" i="48"/>
  <c r="Q23" i="48"/>
  <c r="P23" i="48"/>
  <c r="O23" i="48"/>
  <c r="N23" i="48"/>
  <c r="M23" i="48"/>
  <c r="L23" i="48"/>
  <c r="K23" i="48"/>
  <c r="J23" i="48"/>
  <c r="I23" i="48"/>
  <c r="H23" i="48"/>
  <c r="G23" i="48"/>
  <c r="F23" i="48"/>
  <c r="E23" i="48"/>
  <c r="D23" i="48"/>
  <c r="C23" i="48"/>
  <c r="W22" i="48"/>
  <c r="V22" i="48"/>
  <c r="U22" i="48"/>
  <c r="T22" i="48"/>
  <c r="S22" i="48"/>
  <c r="R22" i="48"/>
  <c r="Q22" i="48"/>
  <c r="P22" i="48"/>
  <c r="O22" i="48"/>
  <c r="N22" i="48"/>
  <c r="M22" i="48"/>
  <c r="L22" i="48"/>
  <c r="K22" i="48"/>
  <c r="J22" i="48"/>
  <c r="I22" i="48"/>
  <c r="H22" i="48"/>
  <c r="G22" i="48"/>
  <c r="F22" i="48"/>
  <c r="E22" i="48"/>
  <c r="D22" i="48"/>
  <c r="C22" i="48"/>
  <c r="W21" i="48"/>
  <c r="V21" i="48"/>
  <c r="U21" i="48"/>
  <c r="T21" i="48"/>
  <c r="S21" i="48"/>
  <c r="R21" i="48"/>
  <c r="Q21" i="48"/>
  <c r="P21" i="48"/>
  <c r="O21" i="48"/>
  <c r="N21" i="48"/>
  <c r="M21" i="48"/>
  <c r="L21" i="48"/>
  <c r="K21" i="48"/>
  <c r="J21" i="48"/>
  <c r="I21" i="48"/>
  <c r="H21" i="48"/>
  <c r="G21" i="48"/>
  <c r="F21" i="48"/>
  <c r="E21" i="48"/>
  <c r="D21" i="48"/>
  <c r="C21" i="48"/>
  <c r="W20" i="48"/>
  <c r="V20" i="48"/>
  <c r="U20" i="48"/>
  <c r="T20" i="48"/>
  <c r="S20" i="48"/>
  <c r="R20" i="48"/>
  <c r="Q20" i="48"/>
  <c r="P20" i="48"/>
  <c r="O20" i="48"/>
  <c r="N20" i="48"/>
  <c r="M20" i="48"/>
  <c r="L20" i="48"/>
  <c r="K20" i="48"/>
  <c r="J20" i="48"/>
  <c r="I20" i="48"/>
  <c r="H20" i="48"/>
  <c r="G20" i="48"/>
  <c r="F20" i="48"/>
  <c r="E20" i="48"/>
  <c r="D20" i="48"/>
  <c r="C20" i="48"/>
  <c r="W19" i="48"/>
  <c r="V19" i="48"/>
  <c r="U19" i="48"/>
  <c r="T19" i="48"/>
  <c r="S19" i="48"/>
  <c r="R19" i="48"/>
  <c r="Q19" i="48"/>
  <c r="P19" i="48"/>
  <c r="O19" i="48"/>
  <c r="N19" i="48"/>
  <c r="M19" i="48"/>
  <c r="L19" i="48"/>
  <c r="K19" i="48"/>
  <c r="J19" i="48"/>
  <c r="I19" i="48"/>
  <c r="H19" i="48"/>
  <c r="G19" i="48"/>
  <c r="F19" i="48"/>
  <c r="E19" i="48"/>
  <c r="D19" i="48"/>
  <c r="C19" i="48"/>
  <c r="W18" i="48"/>
  <c r="V18" i="48"/>
  <c r="U18" i="48"/>
  <c r="T18" i="48"/>
  <c r="S18" i="48"/>
  <c r="R18" i="48"/>
  <c r="Q18" i="48"/>
  <c r="P18" i="48"/>
  <c r="O18" i="48"/>
  <c r="N18" i="48"/>
  <c r="M18" i="48"/>
  <c r="L18" i="48"/>
  <c r="K18" i="48"/>
  <c r="J18" i="48"/>
  <c r="I18" i="48"/>
  <c r="H18" i="48"/>
  <c r="G18" i="48"/>
  <c r="F18" i="48"/>
  <c r="E18" i="48"/>
  <c r="D18" i="48"/>
  <c r="C18" i="48"/>
  <c r="W17" i="48"/>
  <c r="V17" i="48"/>
  <c r="U17" i="48"/>
  <c r="T17" i="48"/>
  <c r="S17" i="48"/>
  <c r="R17" i="48"/>
  <c r="Q17" i="48"/>
  <c r="P17" i="48"/>
  <c r="O17" i="48"/>
  <c r="N17" i="48"/>
  <c r="M17" i="48"/>
  <c r="L17" i="48"/>
  <c r="K17" i="48"/>
  <c r="J17" i="48"/>
  <c r="I17" i="48"/>
  <c r="H17" i="48"/>
  <c r="G17" i="48"/>
  <c r="F17" i="48"/>
  <c r="E17" i="48"/>
  <c r="D17" i="48"/>
  <c r="C17" i="48"/>
  <c r="W16" i="48"/>
  <c r="V16" i="48"/>
  <c r="U16" i="48"/>
  <c r="T16" i="48"/>
  <c r="S16" i="48"/>
  <c r="R16" i="48"/>
  <c r="Q16" i="48"/>
  <c r="P16" i="48"/>
  <c r="O16" i="48"/>
  <c r="N16" i="48"/>
  <c r="M16" i="48"/>
  <c r="L16" i="48"/>
  <c r="K16" i="48"/>
  <c r="J16" i="48"/>
  <c r="I16" i="48"/>
  <c r="H16" i="48"/>
  <c r="G16" i="48"/>
  <c r="F16" i="48"/>
  <c r="E16" i="48"/>
  <c r="D16" i="48"/>
  <c r="C16" i="48"/>
  <c r="W15" i="48"/>
  <c r="V15" i="48"/>
  <c r="U15" i="48"/>
  <c r="T15" i="48"/>
  <c r="S15" i="48"/>
  <c r="R15" i="48"/>
  <c r="Q15" i="48"/>
  <c r="P15" i="48"/>
  <c r="O15" i="48"/>
  <c r="N15" i="48"/>
  <c r="M15" i="48"/>
  <c r="L15" i="48"/>
  <c r="K15" i="48"/>
  <c r="J15" i="48"/>
  <c r="I15" i="48"/>
  <c r="H15" i="48"/>
  <c r="G15" i="48"/>
  <c r="F15" i="48"/>
  <c r="E15" i="48"/>
  <c r="D15" i="48"/>
  <c r="C15" i="48"/>
  <c r="W14" i="48"/>
  <c r="V14" i="48"/>
  <c r="U14" i="48"/>
  <c r="T14" i="48"/>
  <c r="S14" i="48"/>
  <c r="R14" i="48"/>
  <c r="Q14" i="48"/>
  <c r="P14" i="48"/>
  <c r="O14" i="48"/>
  <c r="N14" i="48"/>
  <c r="M14" i="48"/>
  <c r="L14" i="48"/>
  <c r="K14" i="48"/>
  <c r="J14" i="48"/>
  <c r="I14" i="48"/>
  <c r="H14" i="48"/>
  <c r="G14" i="48"/>
  <c r="F14" i="48"/>
  <c r="E14" i="48"/>
  <c r="D14" i="48"/>
  <c r="C14" i="48"/>
  <c r="W13" i="48"/>
  <c r="V13" i="48"/>
  <c r="U13" i="48"/>
  <c r="T13" i="48"/>
  <c r="S13" i="48"/>
  <c r="R13" i="48"/>
  <c r="Q13" i="48"/>
  <c r="P13" i="48"/>
  <c r="O13" i="48"/>
  <c r="N13" i="48"/>
  <c r="M13" i="48"/>
  <c r="L13" i="48"/>
  <c r="K13" i="48"/>
  <c r="J13" i="48"/>
  <c r="I13" i="48"/>
  <c r="H13" i="48"/>
  <c r="G13" i="48"/>
  <c r="F13" i="48"/>
  <c r="E13" i="48"/>
  <c r="D13" i="48"/>
  <c r="C13" i="48"/>
  <c r="W12" i="48"/>
  <c r="V12" i="48"/>
  <c r="U12" i="48"/>
  <c r="T12" i="48"/>
  <c r="S12" i="48"/>
  <c r="R12" i="48"/>
  <c r="Q12" i="48"/>
  <c r="P12" i="48"/>
  <c r="O12" i="48"/>
  <c r="N12" i="48"/>
  <c r="M12" i="48"/>
  <c r="L12" i="48"/>
  <c r="K12" i="48"/>
  <c r="J12" i="48"/>
  <c r="I12" i="48"/>
  <c r="H12" i="48"/>
  <c r="G12" i="48"/>
  <c r="F12" i="48"/>
  <c r="E12" i="48"/>
  <c r="D12" i="48"/>
  <c r="C12" i="48"/>
  <c r="W11" i="48"/>
  <c r="V11" i="48"/>
  <c r="U11" i="48"/>
  <c r="T11" i="48"/>
  <c r="S11" i="48"/>
  <c r="R11" i="48"/>
  <c r="Q11" i="48"/>
  <c r="P11" i="48"/>
  <c r="O11" i="48"/>
  <c r="N11" i="48"/>
  <c r="M11" i="48"/>
  <c r="L11" i="48"/>
  <c r="K11" i="48"/>
  <c r="J11" i="48"/>
  <c r="I11" i="48"/>
  <c r="H11" i="48"/>
  <c r="G11" i="48"/>
  <c r="F11" i="48"/>
  <c r="E11" i="48"/>
  <c r="D11" i="48"/>
  <c r="C11" i="48"/>
  <c r="W10" i="48"/>
  <c r="V10" i="48"/>
  <c r="U10" i="48"/>
  <c r="T10" i="48"/>
  <c r="I9" i="18" s="1"/>
  <c r="S10" i="48"/>
  <c r="H9" i="18" s="1"/>
  <c r="R10" i="48"/>
  <c r="G9" i="18" s="1"/>
  <c r="Q10" i="48"/>
  <c r="F9" i="18" s="1"/>
  <c r="P10" i="48"/>
  <c r="O10" i="48"/>
  <c r="N10" i="48"/>
  <c r="M10" i="48"/>
  <c r="L10" i="48"/>
  <c r="K10" i="48"/>
  <c r="J10" i="48"/>
  <c r="I10" i="48"/>
  <c r="H10" i="48"/>
  <c r="G10" i="48"/>
  <c r="F10" i="48"/>
  <c r="E10" i="48"/>
  <c r="D10" i="48"/>
  <c r="C10" i="48"/>
  <c r="W9" i="48"/>
  <c r="V9" i="48"/>
  <c r="U9" i="48"/>
  <c r="T9" i="48"/>
  <c r="S9" i="48"/>
  <c r="R9" i="48"/>
  <c r="Q9" i="48"/>
  <c r="P9" i="48"/>
  <c r="O9" i="48"/>
  <c r="N9" i="48"/>
  <c r="M9" i="48"/>
  <c r="L9" i="48"/>
  <c r="K9" i="48"/>
  <c r="J9" i="48"/>
  <c r="I9" i="48"/>
  <c r="H9" i="48"/>
  <c r="G9" i="48"/>
  <c r="F9" i="48"/>
  <c r="E9" i="48"/>
  <c r="D9" i="48"/>
  <c r="C9" i="48"/>
  <c r="W8" i="48"/>
  <c r="V8" i="48"/>
  <c r="U8" i="48"/>
  <c r="T8" i="48"/>
  <c r="S8" i="48"/>
  <c r="R8" i="48"/>
  <c r="Q8" i="48"/>
  <c r="P8" i="48"/>
  <c r="O8" i="48"/>
  <c r="N8" i="48"/>
  <c r="M8" i="48"/>
  <c r="L8" i="48"/>
  <c r="K8" i="48"/>
  <c r="J8" i="48"/>
  <c r="I8" i="48"/>
  <c r="H8" i="48"/>
  <c r="G8" i="48"/>
  <c r="F8" i="48"/>
  <c r="E8" i="48"/>
  <c r="D8" i="48"/>
  <c r="C8" i="48"/>
  <c r="W7" i="48"/>
  <c r="V7" i="48"/>
  <c r="U7" i="48"/>
  <c r="T7" i="48"/>
  <c r="S7" i="48"/>
  <c r="R7" i="48"/>
  <c r="Q7" i="48"/>
  <c r="P7" i="48"/>
  <c r="O7" i="48"/>
  <c r="N7" i="48"/>
  <c r="M7" i="48"/>
  <c r="L7" i="48"/>
  <c r="K7" i="48"/>
  <c r="J7" i="48"/>
  <c r="I7" i="48"/>
  <c r="H7" i="48"/>
  <c r="G7" i="48"/>
  <c r="F7" i="48"/>
  <c r="E7" i="48"/>
  <c r="D7" i="48"/>
  <c r="C7" i="48"/>
  <c r="W6" i="48"/>
  <c r="V6" i="48"/>
  <c r="U6" i="48"/>
  <c r="T6" i="48"/>
  <c r="S6" i="48"/>
  <c r="R6" i="48"/>
  <c r="Q6" i="48"/>
  <c r="P6" i="48"/>
  <c r="O6" i="48"/>
  <c r="N6" i="48"/>
  <c r="M6" i="48"/>
  <c r="L6" i="48"/>
  <c r="K6" i="48"/>
  <c r="J6" i="48"/>
  <c r="I6" i="48"/>
  <c r="H6" i="48"/>
  <c r="G6" i="48"/>
  <c r="F6" i="48"/>
  <c r="E6" i="48"/>
  <c r="D6" i="48"/>
  <c r="C6" i="48"/>
  <c r="W5" i="48"/>
  <c r="V5" i="48"/>
  <c r="U5" i="48"/>
  <c r="T5" i="48"/>
  <c r="S5" i="48"/>
  <c r="R5" i="48"/>
  <c r="Q5" i="48"/>
  <c r="P5" i="48"/>
  <c r="O5" i="48"/>
  <c r="N5" i="48"/>
  <c r="M5" i="48"/>
  <c r="L5" i="48"/>
  <c r="K5" i="48"/>
  <c r="J5" i="48"/>
  <c r="I5" i="48"/>
  <c r="H5" i="48"/>
  <c r="G5" i="48"/>
  <c r="F5" i="48"/>
  <c r="E5" i="48"/>
  <c r="D5" i="48"/>
  <c r="C5" i="48"/>
  <c r="Z39" i="47"/>
  <c r="Y39" i="47"/>
  <c r="X39" i="47"/>
  <c r="W39" i="47"/>
  <c r="V39" i="47"/>
  <c r="U39" i="47"/>
  <c r="T39" i="47"/>
  <c r="S39" i="47"/>
  <c r="R39" i="47"/>
  <c r="Q39" i="47"/>
  <c r="P39" i="47"/>
  <c r="O39" i="47"/>
  <c r="N39" i="47"/>
  <c r="M39" i="47"/>
  <c r="L39" i="47"/>
  <c r="K39" i="47"/>
  <c r="J39" i="47"/>
  <c r="I39" i="47"/>
  <c r="H39" i="47"/>
  <c r="G39" i="47"/>
  <c r="F39" i="47"/>
  <c r="E39" i="47"/>
  <c r="D39" i="47"/>
  <c r="C39" i="47"/>
  <c r="Z38" i="47"/>
  <c r="Y38" i="47"/>
  <c r="X38" i="47"/>
  <c r="W38" i="47"/>
  <c r="V38" i="47"/>
  <c r="U38" i="47"/>
  <c r="T38" i="47"/>
  <c r="S38" i="47"/>
  <c r="R38" i="47"/>
  <c r="Q38" i="47"/>
  <c r="P38" i="47"/>
  <c r="O38" i="47"/>
  <c r="N38" i="47"/>
  <c r="M38" i="47"/>
  <c r="L38" i="47"/>
  <c r="K38" i="47"/>
  <c r="J38" i="47"/>
  <c r="I38" i="47"/>
  <c r="H38" i="47"/>
  <c r="G38" i="47"/>
  <c r="F38" i="47"/>
  <c r="E38" i="47"/>
  <c r="D38" i="47"/>
  <c r="C38" i="47"/>
  <c r="Z37" i="47"/>
  <c r="Y37" i="47"/>
  <c r="X37" i="47"/>
  <c r="W37" i="47"/>
  <c r="V37" i="47"/>
  <c r="U37" i="47"/>
  <c r="T37" i="47"/>
  <c r="S37" i="47"/>
  <c r="R37" i="47"/>
  <c r="Q37" i="47"/>
  <c r="P37" i="47"/>
  <c r="O37" i="47"/>
  <c r="N37" i="47"/>
  <c r="M37" i="47"/>
  <c r="L37" i="47"/>
  <c r="K37" i="47"/>
  <c r="J37" i="47"/>
  <c r="I37" i="47"/>
  <c r="H37" i="47"/>
  <c r="G37" i="47"/>
  <c r="F37" i="47"/>
  <c r="E37" i="47"/>
  <c r="D37" i="47"/>
  <c r="C37" i="47"/>
  <c r="Z36" i="47"/>
  <c r="Y36" i="47"/>
  <c r="X36" i="47"/>
  <c r="W36" i="47"/>
  <c r="V36" i="47"/>
  <c r="U36" i="47"/>
  <c r="T36" i="47"/>
  <c r="S36" i="47"/>
  <c r="R36" i="47"/>
  <c r="Q36" i="47"/>
  <c r="P36" i="47"/>
  <c r="O36" i="47"/>
  <c r="N36" i="47"/>
  <c r="M36" i="47"/>
  <c r="L36" i="47"/>
  <c r="K36" i="47"/>
  <c r="J36" i="47"/>
  <c r="I36" i="47"/>
  <c r="H36" i="47"/>
  <c r="G36" i="47"/>
  <c r="F36" i="47"/>
  <c r="E36" i="47"/>
  <c r="D36" i="47"/>
  <c r="C36" i="47"/>
  <c r="Z35" i="47"/>
  <c r="Y35" i="47"/>
  <c r="X35" i="47"/>
  <c r="W35" i="47"/>
  <c r="V35" i="47"/>
  <c r="U35" i="47"/>
  <c r="T35" i="47"/>
  <c r="S35" i="47"/>
  <c r="R35" i="47"/>
  <c r="Q35" i="47"/>
  <c r="P35" i="47"/>
  <c r="O35" i="47"/>
  <c r="N35" i="47"/>
  <c r="M35" i="47"/>
  <c r="L35" i="47"/>
  <c r="K35" i="47"/>
  <c r="J35" i="47"/>
  <c r="I35" i="47"/>
  <c r="H35" i="47"/>
  <c r="G35" i="47"/>
  <c r="F35" i="47"/>
  <c r="E35" i="47"/>
  <c r="D35" i="47"/>
  <c r="C35" i="47"/>
  <c r="Z34" i="47"/>
  <c r="Y34" i="47"/>
  <c r="X34" i="47"/>
  <c r="W34" i="47"/>
  <c r="V34" i="47"/>
  <c r="U34" i="47"/>
  <c r="T34" i="47"/>
  <c r="S34" i="47"/>
  <c r="R34" i="47"/>
  <c r="Q34" i="47"/>
  <c r="P34" i="47"/>
  <c r="O34" i="47"/>
  <c r="N34" i="47"/>
  <c r="M34" i="47"/>
  <c r="L34" i="47"/>
  <c r="K34" i="47"/>
  <c r="J34" i="47"/>
  <c r="I34" i="47"/>
  <c r="H34" i="47"/>
  <c r="G34" i="47"/>
  <c r="F34" i="47"/>
  <c r="E34" i="47"/>
  <c r="D34" i="47"/>
  <c r="C34" i="47"/>
  <c r="Z33" i="47"/>
  <c r="Y33" i="47"/>
  <c r="X33" i="47"/>
  <c r="W33" i="47"/>
  <c r="V33" i="47"/>
  <c r="U33" i="47"/>
  <c r="T33" i="47"/>
  <c r="S33" i="47"/>
  <c r="R33" i="47"/>
  <c r="Q33" i="47"/>
  <c r="P33" i="47"/>
  <c r="O33" i="47"/>
  <c r="N33" i="47"/>
  <c r="M33" i="47"/>
  <c r="L33" i="47"/>
  <c r="K33" i="47"/>
  <c r="J33" i="47"/>
  <c r="I33" i="47"/>
  <c r="H33" i="47"/>
  <c r="G33" i="47"/>
  <c r="F33" i="47"/>
  <c r="E33" i="47"/>
  <c r="D33" i="47"/>
  <c r="C33" i="47"/>
  <c r="Z32" i="47"/>
  <c r="Y32" i="47"/>
  <c r="X32" i="47"/>
  <c r="W32" i="47"/>
  <c r="V32" i="47"/>
  <c r="U32" i="47"/>
  <c r="T32" i="47"/>
  <c r="S32" i="47"/>
  <c r="R32" i="47"/>
  <c r="Q32" i="47"/>
  <c r="P32" i="47"/>
  <c r="O32" i="47"/>
  <c r="N32" i="47"/>
  <c r="M32" i="47"/>
  <c r="L32" i="47"/>
  <c r="K32" i="47"/>
  <c r="J32" i="47"/>
  <c r="I32" i="47"/>
  <c r="H32" i="47"/>
  <c r="G32" i="47"/>
  <c r="F32" i="47"/>
  <c r="E32" i="47"/>
  <c r="D32" i="47"/>
  <c r="C32" i="47"/>
  <c r="Z31" i="47"/>
  <c r="Y31" i="47"/>
  <c r="X31" i="47"/>
  <c r="W31" i="47"/>
  <c r="V31" i="47"/>
  <c r="U31" i="47"/>
  <c r="T31" i="47"/>
  <c r="S31" i="47"/>
  <c r="R31" i="47"/>
  <c r="Q31" i="47"/>
  <c r="P31" i="47"/>
  <c r="O31" i="47"/>
  <c r="N31" i="47"/>
  <c r="M31" i="47"/>
  <c r="L31" i="47"/>
  <c r="K31" i="47"/>
  <c r="J31" i="47"/>
  <c r="I31" i="47"/>
  <c r="H31" i="47"/>
  <c r="G31" i="47"/>
  <c r="F31" i="47"/>
  <c r="E31" i="47"/>
  <c r="D31" i="47"/>
  <c r="C31" i="47"/>
  <c r="Z30" i="47"/>
  <c r="Y30" i="47"/>
  <c r="X30" i="47"/>
  <c r="W30" i="47"/>
  <c r="V30" i="47"/>
  <c r="U30" i="47"/>
  <c r="T30" i="47"/>
  <c r="S30" i="47"/>
  <c r="R30" i="47"/>
  <c r="Q30" i="47"/>
  <c r="P30" i="47"/>
  <c r="O30" i="47"/>
  <c r="N30" i="47"/>
  <c r="M30" i="47"/>
  <c r="L30" i="47"/>
  <c r="K30" i="47"/>
  <c r="J30" i="47"/>
  <c r="I30" i="47"/>
  <c r="H30" i="47"/>
  <c r="G30" i="47"/>
  <c r="F30" i="47"/>
  <c r="E30" i="47"/>
  <c r="D30" i="47"/>
  <c r="C30" i="47"/>
  <c r="Z29" i="47"/>
  <c r="Y29" i="47"/>
  <c r="X29" i="47"/>
  <c r="W29" i="47"/>
  <c r="V29" i="47"/>
  <c r="U29" i="47"/>
  <c r="T29" i="47"/>
  <c r="S29" i="47"/>
  <c r="R29" i="47"/>
  <c r="Q29" i="47"/>
  <c r="P29" i="47"/>
  <c r="O29" i="47"/>
  <c r="N29" i="47"/>
  <c r="M29" i="47"/>
  <c r="L29" i="47"/>
  <c r="K29" i="47"/>
  <c r="J29" i="47"/>
  <c r="I29" i="47"/>
  <c r="H29" i="47"/>
  <c r="G29" i="47"/>
  <c r="F29" i="47"/>
  <c r="E29" i="47"/>
  <c r="D29" i="47"/>
  <c r="C29" i="47"/>
  <c r="Z28" i="47"/>
  <c r="Y28" i="47"/>
  <c r="X28" i="47"/>
  <c r="W28" i="47"/>
  <c r="V28" i="47"/>
  <c r="U28" i="47"/>
  <c r="T28" i="47"/>
  <c r="S28" i="47"/>
  <c r="R28" i="47"/>
  <c r="Q28" i="47"/>
  <c r="P28" i="47"/>
  <c r="O28" i="47"/>
  <c r="N28" i="47"/>
  <c r="M28" i="47"/>
  <c r="L28" i="47"/>
  <c r="K28" i="47"/>
  <c r="J28" i="47"/>
  <c r="I28" i="47"/>
  <c r="H28" i="47"/>
  <c r="G28" i="47"/>
  <c r="F28" i="47"/>
  <c r="E28" i="47"/>
  <c r="D28" i="47"/>
  <c r="C28" i="47"/>
  <c r="Z27" i="47"/>
  <c r="Y27" i="47"/>
  <c r="X27" i="47"/>
  <c r="W27" i="47"/>
  <c r="V27" i="47"/>
  <c r="U27" i="47"/>
  <c r="T27" i="47"/>
  <c r="S27" i="47"/>
  <c r="R27" i="47"/>
  <c r="Q27" i="47"/>
  <c r="P27" i="47"/>
  <c r="O27" i="47"/>
  <c r="N27" i="47"/>
  <c r="M27" i="47"/>
  <c r="L27" i="47"/>
  <c r="K27" i="47"/>
  <c r="J27" i="47"/>
  <c r="I27" i="47"/>
  <c r="H27" i="47"/>
  <c r="G27" i="47"/>
  <c r="F27" i="47"/>
  <c r="E27" i="47"/>
  <c r="D27" i="47"/>
  <c r="C27" i="47"/>
  <c r="Z26" i="47"/>
  <c r="Y26" i="47"/>
  <c r="X26" i="47"/>
  <c r="W26" i="47"/>
  <c r="V26" i="47"/>
  <c r="U26" i="47"/>
  <c r="T26" i="47"/>
  <c r="S26" i="47"/>
  <c r="R26" i="47"/>
  <c r="Q26" i="47"/>
  <c r="P26" i="47"/>
  <c r="O26" i="47"/>
  <c r="N26" i="47"/>
  <c r="M26" i="47"/>
  <c r="L26" i="47"/>
  <c r="K26" i="47"/>
  <c r="J26" i="47"/>
  <c r="I26" i="47"/>
  <c r="H26" i="47"/>
  <c r="G26" i="47"/>
  <c r="F26" i="47"/>
  <c r="E26" i="47"/>
  <c r="D26" i="47"/>
  <c r="C26" i="47"/>
  <c r="Z25" i="47"/>
  <c r="Y25" i="47"/>
  <c r="X25" i="47"/>
  <c r="W25" i="47"/>
  <c r="V25" i="47"/>
  <c r="U25" i="47"/>
  <c r="T25" i="47"/>
  <c r="S25" i="47"/>
  <c r="R25" i="47"/>
  <c r="Q25" i="47"/>
  <c r="P25" i="47"/>
  <c r="O25" i="47"/>
  <c r="N25" i="47"/>
  <c r="M25" i="47"/>
  <c r="L25" i="47"/>
  <c r="K25" i="47"/>
  <c r="J25" i="47"/>
  <c r="I25" i="47"/>
  <c r="H25" i="47"/>
  <c r="G25" i="47"/>
  <c r="F25" i="47"/>
  <c r="E25" i="47"/>
  <c r="D25" i="47"/>
  <c r="C25" i="47"/>
  <c r="Z24" i="47"/>
  <c r="Y24" i="47"/>
  <c r="X24" i="47"/>
  <c r="W24" i="47"/>
  <c r="V24" i="47"/>
  <c r="U24" i="47"/>
  <c r="T24" i="47"/>
  <c r="S24" i="47"/>
  <c r="R24" i="47"/>
  <c r="Q24" i="47"/>
  <c r="P24" i="47"/>
  <c r="O24" i="47"/>
  <c r="N24" i="47"/>
  <c r="M24" i="47"/>
  <c r="L24" i="47"/>
  <c r="K24" i="47"/>
  <c r="J24" i="47"/>
  <c r="I24" i="47"/>
  <c r="H24" i="47"/>
  <c r="G24" i="47"/>
  <c r="F24" i="47"/>
  <c r="E24" i="47"/>
  <c r="D24" i="47"/>
  <c r="C24" i="47"/>
  <c r="Z23" i="47"/>
  <c r="Y23" i="47"/>
  <c r="X23" i="47"/>
  <c r="W23" i="47"/>
  <c r="V23" i="47"/>
  <c r="U23" i="47"/>
  <c r="T23" i="47"/>
  <c r="S23" i="47"/>
  <c r="R23" i="47"/>
  <c r="Q23" i="47"/>
  <c r="P23" i="47"/>
  <c r="O23" i="47"/>
  <c r="N23" i="47"/>
  <c r="M23" i="47"/>
  <c r="L23" i="47"/>
  <c r="K23" i="47"/>
  <c r="J23" i="47"/>
  <c r="I23" i="47"/>
  <c r="H23" i="47"/>
  <c r="G23" i="47"/>
  <c r="F23" i="47"/>
  <c r="E23" i="47"/>
  <c r="D23" i="47"/>
  <c r="C23" i="47"/>
  <c r="Z22" i="47"/>
  <c r="Y22" i="47"/>
  <c r="X22" i="47"/>
  <c r="W22" i="47"/>
  <c r="V22" i="47"/>
  <c r="U22" i="47"/>
  <c r="T22" i="47"/>
  <c r="S22" i="47"/>
  <c r="R22" i="47"/>
  <c r="Q22" i="47"/>
  <c r="P22" i="47"/>
  <c r="O22" i="47"/>
  <c r="N22" i="47"/>
  <c r="M22" i="47"/>
  <c r="L22" i="47"/>
  <c r="K22" i="47"/>
  <c r="J22" i="47"/>
  <c r="I22" i="47"/>
  <c r="H22" i="47"/>
  <c r="G22" i="47"/>
  <c r="F22" i="47"/>
  <c r="E22" i="47"/>
  <c r="D22" i="47"/>
  <c r="C22" i="47"/>
  <c r="Z21" i="47"/>
  <c r="Y21" i="47"/>
  <c r="X21" i="47"/>
  <c r="W21" i="47"/>
  <c r="V21" i="47"/>
  <c r="U21" i="47"/>
  <c r="T21" i="47"/>
  <c r="S21" i="47"/>
  <c r="R21" i="47"/>
  <c r="Q21" i="47"/>
  <c r="P21" i="47"/>
  <c r="O21" i="47"/>
  <c r="N21" i="47"/>
  <c r="M21" i="47"/>
  <c r="L21" i="47"/>
  <c r="K21" i="47"/>
  <c r="J21" i="47"/>
  <c r="I21" i="47"/>
  <c r="H21" i="47"/>
  <c r="G21" i="47"/>
  <c r="F21" i="47"/>
  <c r="E21" i="47"/>
  <c r="D21" i="47"/>
  <c r="C21" i="47"/>
  <c r="Z20" i="47"/>
  <c r="Y20" i="47"/>
  <c r="X20" i="47"/>
  <c r="W20" i="47"/>
  <c r="V20" i="47"/>
  <c r="U20" i="47"/>
  <c r="T20" i="47"/>
  <c r="S20" i="47"/>
  <c r="R20" i="47"/>
  <c r="Q20" i="47"/>
  <c r="P20" i="47"/>
  <c r="O20" i="47"/>
  <c r="N20" i="47"/>
  <c r="M20" i="47"/>
  <c r="L20" i="47"/>
  <c r="K20" i="47"/>
  <c r="J20" i="47"/>
  <c r="I20" i="47"/>
  <c r="H20" i="47"/>
  <c r="G20" i="47"/>
  <c r="F20" i="47"/>
  <c r="E20" i="47"/>
  <c r="D20" i="47"/>
  <c r="C20" i="47"/>
  <c r="Z19" i="47"/>
  <c r="Y19" i="47"/>
  <c r="X19" i="47"/>
  <c r="W19" i="47"/>
  <c r="V19" i="47"/>
  <c r="U19" i="47"/>
  <c r="T19" i="47"/>
  <c r="S19" i="47"/>
  <c r="R19" i="47"/>
  <c r="Q19" i="47"/>
  <c r="P19" i="47"/>
  <c r="O19" i="47"/>
  <c r="N19" i="47"/>
  <c r="M19" i="47"/>
  <c r="L19" i="47"/>
  <c r="K19" i="47"/>
  <c r="J19" i="47"/>
  <c r="I19" i="47"/>
  <c r="H19" i="47"/>
  <c r="G19" i="47"/>
  <c r="F19" i="47"/>
  <c r="E19" i="47"/>
  <c r="D19" i="47"/>
  <c r="C19" i="47"/>
  <c r="Z18" i="47"/>
  <c r="Y18" i="47"/>
  <c r="X18" i="47"/>
  <c r="W18" i="47"/>
  <c r="V18" i="47"/>
  <c r="U18" i="47"/>
  <c r="T18" i="47"/>
  <c r="S18" i="47"/>
  <c r="R18" i="47"/>
  <c r="Q18" i="47"/>
  <c r="P18" i="47"/>
  <c r="O18" i="47"/>
  <c r="N18" i="47"/>
  <c r="M18" i="47"/>
  <c r="L18" i="47"/>
  <c r="K18" i="47"/>
  <c r="J18" i="47"/>
  <c r="I18" i="47"/>
  <c r="H18" i="47"/>
  <c r="G18" i="47"/>
  <c r="F18" i="47"/>
  <c r="E18" i="47"/>
  <c r="D18" i="47"/>
  <c r="C18" i="47"/>
  <c r="Z17" i="47"/>
  <c r="Y17" i="47"/>
  <c r="X17" i="47"/>
  <c r="W17" i="47"/>
  <c r="V17" i="47"/>
  <c r="U17" i="47"/>
  <c r="T17" i="47"/>
  <c r="S17" i="47"/>
  <c r="R17" i="47"/>
  <c r="Q17" i="47"/>
  <c r="P17" i="47"/>
  <c r="O17" i="47"/>
  <c r="N17" i="47"/>
  <c r="M17" i="47"/>
  <c r="L17" i="47"/>
  <c r="K17" i="47"/>
  <c r="J17" i="47"/>
  <c r="I17" i="47"/>
  <c r="H17" i="47"/>
  <c r="G17" i="47"/>
  <c r="F17" i="47"/>
  <c r="E17" i="47"/>
  <c r="D17" i="47"/>
  <c r="C17" i="47"/>
  <c r="Z16" i="47"/>
  <c r="Y16" i="47"/>
  <c r="X16" i="47"/>
  <c r="W16" i="47"/>
  <c r="V16" i="47"/>
  <c r="U16" i="47"/>
  <c r="T16" i="47"/>
  <c r="S16" i="47"/>
  <c r="R16" i="47"/>
  <c r="Q16" i="47"/>
  <c r="P16" i="47"/>
  <c r="O16" i="47"/>
  <c r="N16" i="47"/>
  <c r="M16" i="47"/>
  <c r="L16" i="47"/>
  <c r="K16" i="47"/>
  <c r="J16" i="47"/>
  <c r="I16" i="47"/>
  <c r="H16" i="47"/>
  <c r="G16" i="47"/>
  <c r="F16" i="47"/>
  <c r="E16" i="47"/>
  <c r="D16" i="47"/>
  <c r="C16" i="47"/>
  <c r="Z15" i="47"/>
  <c r="Y15" i="47"/>
  <c r="X15" i="47"/>
  <c r="W15" i="47"/>
  <c r="V15" i="47"/>
  <c r="U15" i="47"/>
  <c r="T15" i="47"/>
  <c r="S15" i="47"/>
  <c r="R15" i="47"/>
  <c r="Q15" i="47"/>
  <c r="P15" i="47"/>
  <c r="O15" i="47"/>
  <c r="N15" i="47"/>
  <c r="M15" i="47"/>
  <c r="L15" i="47"/>
  <c r="K15" i="47"/>
  <c r="J15" i="47"/>
  <c r="I15" i="47"/>
  <c r="H15" i="47"/>
  <c r="G15" i="47"/>
  <c r="F15" i="47"/>
  <c r="E15" i="47"/>
  <c r="D15" i="47"/>
  <c r="C15" i="47"/>
  <c r="Z14" i="47"/>
  <c r="Y14" i="47"/>
  <c r="X14" i="47"/>
  <c r="W14" i="47"/>
  <c r="V14" i="47"/>
  <c r="U14" i="47"/>
  <c r="T14" i="47"/>
  <c r="S14" i="47"/>
  <c r="R14" i="47"/>
  <c r="O14" i="47"/>
  <c r="N14" i="47"/>
  <c r="M14" i="47"/>
  <c r="L14" i="47"/>
  <c r="K14" i="47"/>
  <c r="J14" i="47"/>
  <c r="I14" i="47"/>
  <c r="H14" i="47"/>
  <c r="G14" i="47"/>
  <c r="F14" i="47"/>
  <c r="E14" i="47"/>
  <c r="D14" i="47"/>
  <c r="Z13" i="47"/>
  <c r="Y13" i="47"/>
  <c r="X13" i="47"/>
  <c r="W13" i="47"/>
  <c r="V13" i="47"/>
  <c r="U13" i="47"/>
  <c r="T13" i="47"/>
  <c r="S13" i="47"/>
  <c r="R13" i="47"/>
  <c r="Q13" i="47"/>
  <c r="P13" i="47"/>
  <c r="O13" i="47"/>
  <c r="N13" i="47"/>
  <c r="M13" i="47"/>
  <c r="L13" i="47"/>
  <c r="K13" i="47"/>
  <c r="J13" i="47"/>
  <c r="I13" i="47"/>
  <c r="H13" i="47"/>
  <c r="G13" i="47"/>
  <c r="F13" i="47"/>
  <c r="E13" i="47"/>
  <c r="D13" i="47"/>
  <c r="C13" i="47"/>
  <c r="Z12" i="47"/>
  <c r="Y12" i="47"/>
  <c r="X12" i="47"/>
  <c r="W12" i="47"/>
  <c r="V12" i="47"/>
  <c r="U12" i="47"/>
  <c r="T12" i="47"/>
  <c r="S12" i="47"/>
  <c r="R12" i="47"/>
  <c r="Q12" i="47"/>
  <c r="P12" i="47"/>
  <c r="O12" i="47"/>
  <c r="N12" i="47"/>
  <c r="M12" i="47"/>
  <c r="L12" i="47"/>
  <c r="K12" i="47"/>
  <c r="J12" i="47"/>
  <c r="I12" i="47"/>
  <c r="H12" i="47"/>
  <c r="G12" i="47"/>
  <c r="F12" i="47"/>
  <c r="E12" i="47"/>
  <c r="D12" i="47"/>
  <c r="C12" i="47"/>
  <c r="Z11" i="47"/>
  <c r="Y11" i="47"/>
  <c r="X11" i="47"/>
  <c r="W11" i="47"/>
  <c r="V11" i="47"/>
  <c r="U11" i="47"/>
  <c r="T11" i="47"/>
  <c r="S11" i="47"/>
  <c r="R11" i="47"/>
  <c r="Q11" i="47"/>
  <c r="P11" i="47"/>
  <c r="O11" i="47"/>
  <c r="N11" i="47"/>
  <c r="M11" i="47"/>
  <c r="L11" i="47"/>
  <c r="K11" i="47"/>
  <c r="J11" i="47"/>
  <c r="I11" i="47"/>
  <c r="H11" i="47"/>
  <c r="G11" i="47"/>
  <c r="F11" i="47"/>
  <c r="E11" i="47"/>
  <c r="D11" i="47"/>
  <c r="C11" i="47"/>
  <c r="Z10" i="47"/>
  <c r="Y10" i="47"/>
  <c r="X10" i="47"/>
  <c r="W10" i="47"/>
  <c r="V10" i="47"/>
  <c r="U10" i="47"/>
  <c r="T10" i="47"/>
  <c r="S10" i="47"/>
  <c r="R10" i="47"/>
  <c r="Q10" i="47"/>
  <c r="P10" i="47"/>
  <c r="O10" i="47"/>
  <c r="N10" i="47"/>
  <c r="M10" i="47"/>
  <c r="L10" i="47"/>
  <c r="K10" i="47"/>
  <c r="J10" i="47"/>
  <c r="I10" i="47"/>
  <c r="H10" i="47"/>
  <c r="G10" i="47"/>
  <c r="F10" i="47"/>
  <c r="E10" i="47"/>
  <c r="D10" i="47"/>
  <c r="C10" i="47"/>
  <c r="Z9" i="47"/>
  <c r="Y9" i="47"/>
  <c r="X9" i="47"/>
  <c r="W9" i="47"/>
  <c r="V9" i="47"/>
  <c r="U9" i="47"/>
  <c r="T9" i="47"/>
  <c r="S9" i="47"/>
  <c r="R9" i="47"/>
  <c r="Q9" i="47"/>
  <c r="P9" i="47"/>
  <c r="O9" i="47"/>
  <c r="N9" i="47"/>
  <c r="M9" i="47"/>
  <c r="L9" i="47"/>
  <c r="K9" i="47"/>
  <c r="J9" i="47"/>
  <c r="I9" i="47"/>
  <c r="H9" i="47"/>
  <c r="G9" i="47"/>
  <c r="F9" i="47"/>
  <c r="E9" i="47"/>
  <c r="D9" i="47"/>
  <c r="C9" i="47"/>
  <c r="Z8" i="47"/>
  <c r="Y8" i="47"/>
  <c r="X8" i="47"/>
  <c r="W8" i="47"/>
  <c r="V8" i="47"/>
  <c r="U8" i="47"/>
  <c r="T8" i="47"/>
  <c r="S8" i="47"/>
  <c r="R8" i="47"/>
  <c r="Q8" i="47"/>
  <c r="P8" i="47"/>
  <c r="O8" i="47"/>
  <c r="N8" i="47"/>
  <c r="M8" i="47"/>
  <c r="L8" i="47"/>
  <c r="K8" i="47"/>
  <c r="J8" i="47"/>
  <c r="I8" i="47"/>
  <c r="H8" i="47"/>
  <c r="G8" i="47"/>
  <c r="F8" i="47"/>
  <c r="E8" i="47"/>
  <c r="D8" i="47"/>
  <c r="C8" i="47"/>
  <c r="Z7" i="47"/>
  <c r="Y7" i="47"/>
  <c r="X7" i="47"/>
  <c r="W7" i="47"/>
  <c r="V7" i="47"/>
  <c r="U7" i="47"/>
  <c r="T7" i="47"/>
  <c r="S7" i="47"/>
  <c r="R7" i="47"/>
  <c r="Q7" i="47"/>
  <c r="P7" i="47"/>
  <c r="O7" i="47"/>
  <c r="N7" i="47"/>
  <c r="M7" i="47"/>
  <c r="L7" i="47"/>
  <c r="K7" i="47"/>
  <c r="J7" i="47"/>
  <c r="I7" i="47"/>
  <c r="H7" i="47"/>
  <c r="G7" i="47"/>
  <c r="F7" i="47"/>
  <c r="E7" i="47"/>
  <c r="D7" i="47"/>
  <c r="C7" i="47"/>
  <c r="Z6" i="47"/>
  <c r="Y6" i="47"/>
  <c r="X6" i="47"/>
  <c r="W6" i="47"/>
  <c r="V6" i="47"/>
  <c r="U6" i="47"/>
  <c r="T6" i="47"/>
  <c r="S6" i="47"/>
  <c r="R6" i="47"/>
  <c r="Q6" i="47"/>
  <c r="P6" i="47"/>
  <c r="O6" i="47"/>
  <c r="N6" i="47"/>
  <c r="M6" i="47"/>
  <c r="L6" i="47"/>
  <c r="K6" i="47"/>
  <c r="J6" i="47"/>
  <c r="I6" i="47"/>
  <c r="H6" i="47"/>
  <c r="G6" i="47"/>
  <c r="F6" i="47"/>
  <c r="E6" i="47"/>
  <c r="D6" i="47"/>
  <c r="G9" i="2" s="1"/>
  <c r="C6" i="47"/>
  <c r="F9" i="2" s="1"/>
  <c r="Z5" i="47"/>
  <c r="Y5" i="47"/>
  <c r="X5" i="47"/>
  <c r="W5" i="47"/>
  <c r="V5" i="47"/>
  <c r="U5" i="47"/>
  <c r="T5" i="47"/>
  <c r="S5" i="47"/>
  <c r="R5" i="47"/>
  <c r="Q5" i="47"/>
  <c r="P5" i="47"/>
  <c r="O5" i="47"/>
  <c r="N5" i="47"/>
  <c r="M5" i="47"/>
  <c r="L5" i="47"/>
  <c r="K5" i="47"/>
  <c r="J5" i="47"/>
  <c r="I5" i="47"/>
  <c r="H5" i="47"/>
  <c r="G5" i="47"/>
  <c r="F5" i="47"/>
  <c r="E5" i="47"/>
  <c r="D5" i="47"/>
  <c r="C5" i="47"/>
  <c r="W39" i="46" l="1"/>
  <c r="V39" i="46"/>
  <c r="U39" i="46"/>
  <c r="T39" i="46"/>
  <c r="S39" i="46"/>
  <c r="R39" i="46"/>
  <c r="Q39" i="46"/>
  <c r="P39" i="46"/>
  <c r="O39" i="46"/>
  <c r="N39" i="46"/>
  <c r="M39" i="46"/>
  <c r="L39" i="46"/>
  <c r="K39" i="46"/>
  <c r="J39" i="46"/>
  <c r="I39" i="46"/>
  <c r="H39" i="46"/>
  <c r="G39" i="46"/>
  <c r="F39" i="46"/>
  <c r="E39" i="46"/>
  <c r="D39" i="46"/>
  <c r="C39" i="46"/>
  <c r="W38" i="46"/>
  <c r="V38" i="46"/>
  <c r="U38" i="46"/>
  <c r="T38" i="46"/>
  <c r="S38" i="46"/>
  <c r="R38" i="46"/>
  <c r="Q38" i="46"/>
  <c r="P38" i="46"/>
  <c r="O38" i="46"/>
  <c r="N38" i="46"/>
  <c r="M38" i="46"/>
  <c r="L38" i="46"/>
  <c r="K38" i="46"/>
  <c r="J38" i="46"/>
  <c r="I38" i="46"/>
  <c r="H38" i="46"/>
  <c r="G38" i="46"/>
  <c r="F38" i="46"/>
  <c r="E38" i="46"/>
  <c r="D38" i="46"/>
  <c r="C38" i="46"/>
  <c r="W37" i="46"/>
  <c r="V37" i="46"/>
  <c r="U37" i="46"/>
  <c r="T37" i="46"/>
  <c r="S37" i="46"/>
  <c r="R37" i="46"/>
  <c r="Q37" i="46"/>
  <c r="P37" i="46"/>
  <c r="O37" i="46"/>
  <c r="N37" i="46"/>
  <c r="M37" i="46"/>
  <c r="L37" i="46"/>
  <c r="K37" i="46"/>
  <c r="J37" i="46"/>
  <c r="I37" i="46"/>
  <c r="H37" i="46"/>
  <c r="G37" i="46"/>
  <c r="F37" i="46"/>
  <c r="E37" i="46"/>
  <c r="D37" i="46"/>
  <c r="C37" i="46"/>
  <c r="W36" i="46"/>
  <c r="V36" i="46"/>
  <c r="U36" i="46"/>
  <c r="T36" i="46"/>
  <c r="S36" i="46"/>
  <c r="R36" i="46"/>
  <c r="Q36" i="46"/>
  <c r="P36" i="46"/>
  <c r="O36" i="46"/>
  <c r="N36" i="46"/>
  <c r="M36" i="46"/>
  <c r="L36" i="46"/>
  <c r="K36" i="46"/>
  <c r="J36" i="46"/>
  <c r="I36" i="46"/>
  <c r="H36" i="46"/>
  <c r="G36" i="46"/>
  <c r="F36" i="46"/>
  <c r="E36" i="46"/>
  <c r="D36" i="46"/>
  <c r="C36" i="46"/>
  <c r="W35" i="46"/>
  <c r="V35" i="46"/>
  <c r="U35" i="46"/>
  <c r="T35" i="46"/>
  <c r="S35" i="46"/>
  <c r="R35" i="46"/>
  <c r="Q35" i="46"/>
  <c r="P35" i="46"/>
  <c r="O35" i="46"/>
  <c r="N35" i="46"/>
  <c r="M35" i="46"/>
  <c r="L35" i="46"/>
  <c r="K35" i="46"/>
  <c r="J35" i="46"/>
  <c r="I35" i="46"/>
  <c r="H35" i="46"/>
  <c r="G35" i="46"/>
  <c r="F35" i="46"/>
  <c r="E35" i="46"/>
  <c r="D35" i="46"/>
  <c r="C35" i="46"/>
  <c r="W34" i="46"/>
  <c r="V34" i="46"/>
  <c r="U34" i="46"/>
  <c r="T34" i="46"/>
  <c r="S34" i="46"/>
  <c r="R34" i="46"/>
  <c r="Q34" i="46"/>
  <c r="P34" i="46"/>
  <c r="O34" i="46"/>
  <c r="N34" i="46"/>
  <c r="M34" i="46"/>
  <c r="L34" i="46"/>
  <c r="K34" i="46"/>
  <c r="J34" i="46"/>
  <c r="I34" i="46"/>
  <c r="H34" i="46"/>
  <c r="G34" i="46"/>
  <c r="F34" i="46"/>
  <c r="E34" i="46"/>
  <c r="D34" i="46"/>
  <c r="C34" i="46"/>
  <c r="W33" i="46"/>
  <c r="V33" i="46"/>
  <c r="U33" i="46"/>
  <c r="T33" i="46"/>
  <c r="S33" i="46"/>
  <c r="R33" i="46"/>
  <c r="Q33" i="46"/>
  <c r="P33" i="46"/>
  <c r="O33" i="46"/>
  <c r="N33" i="46"/>
  <c r="M33" i="46"/>
  <c r="L33" i="46"/>
  <c r="K33" i="46"/>
  <c r="J33" i="46"/>
  <c r="I33" i="46"/>
  <c r="H33" i="46"/>
  <c r="G33" i="46"/>
  <c r="F33" i="46"/>
  <c r="E33" i="46"/>
  <c r="D33" i="46"/>
  <c r="C33" i="46"/>
  <c r="W32" i="46"/>
  <c r="V32" i="46"/>
  <c r="U32" i="46"/>
  <c r="T32" i="46"/>
  <c r="S32" i="46"/>
  <c r="R32" i="46"/>
  <c r="Q32" i="46"/>
  <c r="P32" i="46"/>
  <c r="O32" i="46"/>
  <c r="N32" i="46"/>
  <c r="M32" i="46"/>
  <c r="L32" i="46"/>
  <c r="K32" i="46"/>
  <c r="J32" i="46"/>
  <c r="I32" i="46"/>
  <c r="H32" i="46"/>
  <c r="G32" i="46"/>
  <c r="F32" i="46"/>
  <c r="E32" i="46"/>
  <c r="D32" i="46"/>
  <c r="C32" i="46"/>
  <c r="W31" i="46"/>
  <c r="V31" i="46"/>
  <c r="U31" i="46"/>
  <c r="T31" i="46"/>
  <c r="S31" i="46"/>
  <c r="R31" i="46"/>
  <c r="Q31" i="46"/>
  <c r="P31" i="46"/>
  <c r="O31" i="46"/>
  <c r="N31" i="46"/>
  <c r="M31" i="46"/>
  <c r="L31" i="46"/>
  <c r="K31" i="46"/>
  <c r="J31" i="46"/>
  <c r="I31" i="46"/>
  <c r="H31" i="46"/>
  <c r="G31" i="46"/>
  <c r="F31" i="46"/>
  <c r="E31" i="46"/>
  <c r="D31" i="46"/>
  <c r="C31" i="46"/>
  <c r="W30" i="46"/>
  <c r="V30" i="46"/>
  <c r="U30" i="46"/>
  <c r="T30" i="46"/>
  <c r="S30" i="46"/>
  <c r="R30" i="46"/>
  <c r="Q30" i="46"/>
  <c r="P30" i="46"/>
  <c r="O30" i="46"/>
  <c r="N30" i="46"/>
  <c r="M30" i="46"/>
  <c r="L30" i="46"/>
  <c r="K30" i="46"/>
  <c r="J30" i="46"/>
  <c r="I30" i="46"/>
  <c r="H30" i="46"/>
  <c r="G30" i="46"/>
  <c r="F30" i="46"/>
  <c r="E30" i="46"/>
  <c r="D30" i="46"/>
  <c r="C30" i="46"/>
  <c r="W29" i="46"/>
  <c r="V29" i="46"/>
  <c r="U29" i="46"/>
  <c r="T29" i="46"/>
  <c r="S29" i="46"/>
  <c r="R29" i="46"/>
  <c r="Q29" i="46"/>
  <c r="P29" i="46"/>
  <c r="O29" i="46"/>
  <c r="N29" i="46"/>
  <c r="M29" i="46"/>
  <c r="L29" i="46"/>
  <c r="K29" i="46"/>
  <c r="J29" i="46"/>
  <c r="I29" i="46"/>
  <c r="H29" i="46"/>
  <c r="G29" i="46"/>
  <c r="F29" i="46"/>
  <c r="E29" i="46"/>
  <c r="D29" i="46"/>
  <c r="C29" i="46"/>
  <c r="W28" i="46"/>
  <c r="V28" i="46"/>
  <c r="U28" i="46"/>
  <c r="T28" i="46"/>
  <c r="S28" i="46"/>
  <c r="R28" i="46"/>
  <c r="Q28" i="46"/>
  <c r="P28" i="46"/>
  <c r="O28" i="46"/>
  <c r="N28" i="46"/>
  <c r="M28" i="46"/>
  <c r="L28" i="46"/>
  <c r="K28" i="46"/>
  <c r="J28" i="46"/>
  <c r="I28" i="46"/>
  <c r="H28" i="46"/>
  <c r="G28" i="46"/>
  <c r="F28" i="46"/>
  <c r="E28" i="46"/>
  <c r="D28" i="46"/>
  <c r="C28" i="46"/>
  <c r="W27" i="46"/>
  <c r="V27" i="46"/>
  <c r="U27" i="46"/>
  <c r="T27" i="46"/>
  <c r="S27" i="46"/>
  <c r="R27" i="46"/>
  <c r="Q27" i="46"/>
  <c r="P27" i="46"/>
  <c r="O27" i="46"/>
  <c r="N27" i="46"/>
  <c r="M27" i="46"/>
  <c r="L27" i="46"/>
  <c r="K27" i="46"/>
  <c r="J27" i="46"/>
  <c r="I27" i="46"/>
  <c r="H27" i="46"/>
  <c r="G27" i="46"/>
  <c r="F27" i="46"/>
  <c r="E27" i="46"/>
  <c r="D27" i="46"/>
  <c r="C27" i="46"/>
  <c r="W26" i="46"/>
  <c r="V26" i="46"/>
  <c r="U26" i="46"/>
  <c r="T26" i="46"/>
  <c r="S26" i="46"/>
  <c r="R26" i="46"/>
  <c r="Q26" i="46"/>
  <c r="P26" i="46"/>
  <c r="O26" i="46"/>
  <c r="N26" i="46"/>
  <c r="M26" i="46"/>
  <c r="L26" i="46"/>
  <c r="K26" i="46"/>
  <c r="J26" i="46"/>
  <c r="I26" i="46"/>
  <c r="H26" i="46"/>
  <c r="G26" i="46"/>
  <c r="F26" i="46"/>
  <c r="E26" i="46"/>
  <c r="D26" i="46"/>
  <c r="C26" i="46"/>
  <c r="W25" i="46"/>
  <c r="V25" i="46"/>
  <c r="U25" i="46"/>
  <c r="T25" i="46"/>
  <c r="S25" i="46"/>
  <c r="R25" i="46"/>
  <c r="Q25" i="46"/>
  <c r="P25" i="46"/>
  <c r="O25" i="46"/>
  <c r="N25" i="46"/>
  <c r="M25" i="46"/>
  <c r="L25" i="46"/>
  <c r="K25" i="46"/>
  <c r="J25" i="46"/>
  <c r="I25" i="46"/>
  <c r="H25" i="46"/>
  <c r="G25" i="46"/>
  <c r="F25" i="46"/>
  <c r="E25" i="46"/>
  <c r="D25" i="46"/>
  <c r="C25" i="46"/>
  <c r="W24" i="46"/>
  <c r="V24" i="46"/>
  <c r="U24" i="46"/>
  <c r="T24" i="46"/>
  <c r="S24" i="46"/>
  <c r="R24" i="46"/>
  <c r="Q24" i="46"/>
  <c r="P24" i="46"/>
  <c r="O24" i="46"/>
  <c r="N24" i="46"/>
  <c r="M24" i="46"/>
  <c r="L24" i="46"/>
  <c r="K24" i="46"/>
  <c r="J24" i="46"/>
  <c r="I24" i="46"/>
  <c r="H24" i="46"/>
  <c r="G24" i="46"/>
  <c r="F24" i="46"/>
  <c r="E24" i="46"/>
  <c r="D24" i="46"/>
  <c r="C24" i="46"/>
  <c r="W23" i="46"/>
  <c r="V23" i="46"/>
  <c r="U23" i="46"/>
  <c r="T23" i="46"/>
  <c r="S23" i="46"/>
  <c r="R23" i="46"/>
  <c r="Q23" i="46"/>
  <c r="P23" i="46"/>
  <c r="O23" i="46"/>
  <c r="N23" i="46"/>
  <c r="M23" i="46"/>
  <c r="L23" i="46"/>
  <c r="K23" i="46"/>
  <c r="J23" i="46"/>
  <c r="I23" i="46"/>
  <c r="H23" i="46"/>
  <c r="G23" i="46"/>
  <c r="F23" i="46"/>
  <c r="E23" i="46"/>
  <c r="D23" i="46"/>
  <c r="C23" i="46"/>
  <c r="W22" i="46"/>
  <c r="V22" i="46"/>
  <c r="U22" i="46"/>
  <c r="T22" i="46"/>
  <c r="S22" i="46"/>
  <c r="R22" i="46"/>
  <c r="Q22" i="46"/>
  <c r="P22" i="46"/>
  <c r="O22" i="46"/>
  <c r="N22" i="46"/>
  <c r="M22" i="46"/>
  <c r="L22" i="46"/>
  <c r="K22" i="46"/>
  <c r="J22" i="46"/>
  <c r="I22" i="46"/>
  <c r="H22" i="46"/>
  <c r="G22" i="46"/>
  <c r="F22" i="46"/>
  <c r="E22" i="46"/>
  <c r="D22" i="46"/>
  <c r="C22" i="46"/>
  <c r="W21" i="46"/>
  <c r="V21" i="46"/>
  <c r="U21" i="46"/>
  <c r="T21" i="46"/>
  <c r="S21" i="46"/>
  <c r="R21" i="46"/>
  <c r="Q21" i="46"/>
  <c r="P21" i="46"/>
  <c r="O21" i="46"/>
  <c r="N21" i="46"/>
  <c r="M21" i="46"/>
  <c r="L21" i="46"/>
  <c r="K21" i="46"/>
  <c r="J21" i="46"/>
  <c r="I21" i="46"/>
  <c r="H21" i="46"/>
  <c r="G21" i="46"/>
  <c r="F21" i="46"/>
  <c r="E21" i="46"/>
  <c r="D21" i="46"/>
  <c r="C21" i="46"/>
  <c r="W20" i="46"/>
  <c r="V20" i="46"/>
  <c r="U20" i="46"/>
  <c r="T20" i="46"/>
  <c r="S20" i="46"/>
  <c r="R20" i="46"/>
  <c r="Q20" i="46"/>
  <c r="P20" i="46"/>
  <c r="O20" i="46"/>
  <c r="N20" i="46"/>
  <c r="M20" i="46"/>
  <c r="L20" i="46"/>
  <c r="K20" i="46"/>
  <c r="J20" i="46"/>
  <c r="I20" i="46"/>
  <c r="H20" i="46"/>
  <c r="G20" i="46"/>
  <c r="F20" i="46"/>
  <c r="E20" i="46"/>
  <c r="D20" i="46"/>
  <c r="C20" i="46"/>
  <c r="W19" i="46"/>
  <c r="V19" i="46"/>
  <c r="U19" i="46"/>
  <c r="T19" i="46"/>
  <c r="S19" i="46"/>
  <c r="R19" i="46"/>
  <c r="Q19" i="46"/>
  <c r="P19" i="46"/>
  <c r="O19" i="46"/>
  <c r="N19" i="46"/>
  <c r="M19" i="46"/>
  <c r="L19" i="46"/>
  <c r="K19" i="46"/>
  <c r="J19" i="46"/>
  <c r="I19" i="46"/>
  <c r="H19" i="46"/>
  <c r="G19" i="46"/>
  <c r="F19" i="46"/>
  <c r="E19" i="46"/>
  <c r="D19" i="46"/>
  <c r="C19" i="46"/>
  <c r="W18" i="46"/>
  <c r="V18" i="46"/>
  <c r="U18" i="46"/>
  <c r="T18" i="46"/>
  <c r="S18" i="46"/>
  <c r="R18" i="46"/>
  <c r="Q18" i="46"/>
  <c r="P18" i="46"/>
  <c r="O18" i="46"/>
  <c r="N18" i="46"/>
  <c r="M18" i="46"/>
  <c r="L18" i="46"/>
  <c r="K18" i="46"/>
  <c r="J18" i="46"/>
  <c r="I18" i="46"/>
  <c r="H18" i="46"/>
  <c r="G18" i="46"/>
  <c r="F18" i="46"/>
  <c r="E18" i="46"/>
  <c r="D18" i="46"/>
  <c r="C18" i="46"/>
  <c r="W17" i="46"/>
  <c r="V17" i="46"/>
  <c r="U17" i="46"/>
  <c r="T17" i="46"/>
  <c r="S17" i="46"/>
  <c r="R17" i="46"/>
  <c r="Q17" i="46"/>
  <c r="P17" i="46"/>
  <c r="O17" i="46"/>
  <c r="N17" i="46"/>
  <c r="M17" i="46"/>
  <c r="L17" i="46"/>
  <c r="K17" i="46"/>
  <c r="J17" i="46"/>
  <c r="I17" i="46"/>
  <c r="H17" i="46"/>
  <c r="G17" i="46"/>
  <c r="F17" i="46"/>
  <c r="E17" i="46"/>
  <c r="D17" i="46"/>
  <c r="C17" i="46"/>
  <c r="W16" i="46"/>
  <c r="V16" i="46"/>
  <c r="U16" i="46"/>
  <c r="T16" i="46"/>
  <c r="S16" i="46"/>
  <c r="R16" i="46"/>
  <c r="Q16" i="46"/>
  <c r="P16" i="46"/>
  <c r="O16" i="46"/>
  <c r="N16" i="46"/>
  <c r="M16" i="46"/>
  <c r="L16" i="46"/>
  <c r="K16" i="46"/>
  <c r="J16" i="46"/>
  <c r="I16" i="46"/>
  <c r="H16" i="46"/>
  <c r="G16" i="46"/>
  <c r="F16" i="46"/>
  <c r="E16" i="46"/>
  <c r="D16" i="46"/>
  <c r="C16" i="46"/>
  <c r="W15" i="46"/>
  <c r="V15" i="46"/>
  <c r="U15" i="46"/>
  <c r="T15" i="46"/>
  <c r="S15" i="46"/>
  <c r="R15" i="46"/>
  <c r="Q15" i="46"/>
  <c r="P15" i="46"/>
  <c r="O15" i="46"/>
  <c r="N15" i="46"/>
  <c r="M15" i="46"/>
  <c r="L15" i="46"/>
  <c r="K15" i="46"/>
  <c r="J15" i="46"/>
  <c r="I15" i="46"/>
  <c r="H15" i="46"/>
  <c r="G15" i="46"/>
  <c r="F15" i="46"/>
  <c r="E15" i="46"/>
  <c r="D15" i="46"/>
  <c r="C15" i="46"/>
  <c r="W14" i="46"/>
  <c r="V14" i="46"/>
  <c r="U14" i="46"/>
  <c r="T14" i="46"/>
  <c r="S14" i="46"/>
  <c r="R14" i="46"/>
  <c r="Q14" i="46"/>
  <c r="P14" i="46"/>
  <c r="O14" i="46"/>
  <c r="N14" i="46"/>
  <c r="M14" i="46"/>
  <c r="L14" i="46"/>
  <c r="K14" i="46"/>
  <c r="J14" i="46"/>
  <c r="I14" i="46"/>
  <c r="H14" i="46"/>
  <c r="G14" i="46"/>
  <c r="F14" i="46"/>
  <c r="E14" i="46"/>
  <c r="D14" i="46"/>
  <c r="C14" i="46"/>
  <c r="W13" i="46"/>
  <c r="V13" i="46"/>
  <c r="U13" i="46"/>
  <c r="T13" i="46"/>
  <c r="S13" i="46"/>
  <c r="R13" i="46"/>
  <c r="Q13" i="46"/>
  <c r="P13" i="46"/>
  <c r="O13" i="46"/>
  <c r="N13" i="46"/>
  <c r="M13" i="46"/>
  <c r="L13" i="46"/>
  <c r="K13" i="46"/>
  <c r="J13" i="46"/>
  <c r="I13" i="46"/>
  <c r="H13" i="46"/>
  <c r="G13" i="46"/>
  <c r="F13" i="46"/>
  <c r="E13" i="46"/>
  <c r="D13" i="46"/>
  <c r="C13" i="46"/>
  <c r="W12" i="46"/>
  <c r="V12" i="46"/>
  <c r="U12" i="46"/>
  <c r="T12" i="46"/>
  <c r="S12" i="46"/>
  <c r="R12" i="46"/>
  <c r="Q12" i="46"/>
  <c r="P12" i="46"/>
  <c r="O12" i="46"/>
  <c r="N12" i="46"/>
  <c r="M12" i="46"/>
  <c r="L12" i="46"/>
  <c r="K12" i="46"/>
  <c r="J12" i="46"/>
  <c r="I12" i="46"/>
  <c r="H12" i="46"/>
  <c r="G12" i="46"/>
  <c r="F12" i="46"/>
  <c r="E12" i="46"/>
  <c r="D12" i="46"/>
  <c r="C12" i="46"/>
  <c r="W11" i="46"/>
  <c r="V11" i="46"/>
  <c r="U11" i="46"/>
  <c r="T11" i="46"/>
  <c r="S11" i="46"/>
  <c r="R11" i="46"/>
  <c r="Q11" i="46"/>
  <c r="P11" i="46"/>
  <c r="O11" i="46"/>
  <c r="N11" i="46"/>
  <c r="M11" i="46"/>
  <c r="L11" i="46"/>
  <c r="K11" i="46"/>
  <c r="J11" i="46"/>
  <c r="I11" i="46"/>
  <c r="H11" i="46"/>
  <c r="G11" i="46"/>
  <c r="F11" i="46"/>
  <c r="E11" i="46"/>
  <c r="D11" i="46"/>
  <c r="C11" i="46"/>
  <c r="W10" i="46"/>
  <c r="V10" i="46"/>
  <c r="U10" i="46"/>
  <c r="T10" i="46"/>
  <c r="S10" i="46"/>
  <c r="R10" i="46"/>
  <c r="Q10" i="46"/>
  <c r="P10" i="46"/>
  <c r="O10" i="46"/>
  <c r="N10" i="46"/>
  <c r="M10" i="46"/>
  <c r="L10" i="46"/>
  <c r="K10" i="46"/>
  <c r="J10" i="46"/>
  <c r="I10" i="46"/>
  <c r="H10" i="46"/>
  <c r="G10" i="46"/>
  <c r="F10" i="46"/>
  <c r="E10" i="46"/>
  <c r="D10" i="46"/>
  <c r="C10" i="46"/>
  <c r="W9" i="46"/>
  <c r="V9" i="46"/>
  <c r="U9" i="46"/>
  <c r="T9" i="46"/>
  <c r="S9" i="46"/>
  <c r="R9" i="46"/>
  <c r="Q9" i="46"/>
  <c r="P9" i="46"/>
  <c r="O9" i="46"/>
  <c r="N9" i="46"/>
  <c r="M9" i="46"/>
  <c r="L9" i="46"/>
  <c r="K9" i="46"/>
  <c r="J9" i="46"/>
  <c r="I9" i="46"/>
  <c r="H9" i="46"/>
  <c r="G9" i="46"/>
  <c r="F9" i="46"/>
  <c r="E9" i="46"/>
  <c r="D9" i="46"/>
  <c r="C9" i="46"/>
  <c r="W8" i="46"/>
  <c r="V8" i="46"/>
  <c r="U8" i="46"/>
  <c r="T8" i="46"/>
  <c r="S8" i="46"/>
  <c r="R8" i="46"/>
  <c r="Q8" i="46"/>
  <c r="P8" i="46"/>
  <c r="O8" i="46"/>
  <c r="N8" i="46"/>
  <c r="M8" i="46"/>
  <c r="L8" i="46"/>
  <c r="K8" i="46"/>
  <c r="J8" i="46"/>
  <c r="I8" i="46"/>
  <c r="H8" i="46"/>
  <c r="G8" i="46"/>
  <c r="F8" i="46"/>
  <c r="E8" i="46"/>
  <c r="D8" i="46"/>
  <c r="C8" i="46"/>
  <c r="W7" i="46"/>
  <c r="V7" i="46"/>
  <c r="U7" i="46"/>
  <c r="T7" i="46"/>
  <c r="S7" i="46"/>
  <c r="R7" i="46"/>
  <c r="Q7" i="46"/>
  <c r="P7" i="46"/>
  <c r="O7" i="46"/>
  <c r="N7" i="46"/>
  <c r="M7" i="46"/>
  <c r="L7" i="46"/>
  <c r="K7" i="46"/>
  <c r="J7" i="46"/>
  <c r="I7" i="46"/>
  <c r="H7" i="46"/>
  <c r="G7" i="46"/>
  <c r="F7" i="46"/>
  <c r="E7" i="46"/>
  <c r="D7" i="46"/>
  <c r="C7" i="46"/>
  <c r="W6" i="46"/>
  <c r="V6" i="46"/>
  <c r="U6" i="46"/>
  <c r="T6" i="46"/>
  <c r="S6" i="46"/>
  <c r="R6" i="46"/>
  <c r="Q6" i="46"/>
  <c r="P6" i="46"/>
  <c r="O6" i="46"/>
  <c r="N6" i="46"/>
  <c r="M6" i="46"/>
  <c r="L6" i="46"/>
  <c r="K6" i="46"/>
  <c r="J6" i="46"/>
  <c r="I6" i="46"/>
  <c r="H6" i="46"/>
  <c r="G6" i="46"/>
  <c r="F6" i="46"/>
  <c r="E6" i="46"/>
  <c r="D6" i="46"/>
  <c r="C6" i="46"/>
  <c r="W5" i="46"/>
  <c r="V5" i="46"/>
  <c r="U5" i="46"/>
  <c r="T5" i="46"/>
  <c r="S5" i="46"/>
  <c r="R5" i="46"/>
  <c r="Q5" i="46"/>
  <c r="P5" i="46"/>
  <c r="O5" i="46"/>
  <c r="N5" i="46"/>
  <c r="M5" i="46"/>
  <c r="L5" i="46"/>
  <c r="K5" i="46"/>
  <c r="J5" i="46"/>
  <c r="I5" i="46"/>
  <c r="H5" i="46"/>
  <c r="G5" i="46"/>
  <c r="F5" i="46"/>
  <c r="E5" i="46"/>
  <c r="D5" i="46"/>
  <c r="C5" i="46"/>
  <c r="Z39" i="45"/>
  <c r="Y39" i="45"/>
  <c r="X39" i="45"/>
  <c r="W39" i="45"/>
  <c r="V39" i="45"/>
  <c r="U39" i="45"/>
  <c r="T39" i="45"/>
  <c r="S39" i="45"/>
  <c r="R39" i="45"/>
  <c r="Q39" i="45"/>
  <c r="P39" i="45"/>
  <c r="O39" i="45"/>
  <c r="N39" i="45"/>
  <c r="M39" i="45"/>
  <c r="L39" i="45"/>
  <c r="K39" i="45"/>
  <c r="J39" i="45"/>
  <c r="I39" i="45"/>
  <c r="H39" i="45"/>
  <c r="G39" i="45"/>
  <c r="F39" i="45"/>
  <c r="E39" i="45"/>
  <c r="D39" i="45"/>
  <c r="C39" i="45"/>
  <c r="Z38" i="45"/>
  <c r="Y38" i="45"/>
  <c r="X38" i="45"/>
  <c r="W38" i="45"/>
  <c r="V38" i="45"/>
  <c r="U38" i="45"/>
  <c r="T38" i="45"/>
  <c r="S38" i="45"/>
  <c r="R38" i="45"/>
  <c r="Q38" i="45"/>
  <c r="P38" i="45"/>
  <c r="O38" i="45"/>
  <c r="N38" i="45"/>
  <c r="M38" i="45"/>
  <c r="L38" i="45"/>
  <c r="K38" i="45"/>
  <c r="J38" i="45"/>
  <c r="I38" i="45"/>
  <c r="H38" i="45"/>
  <c r="G38" i="45"/>
  <c r="F38" i="45"/>
  <c r="E38" i="45"/>
  <c r="D38" i="45"/>
  <c r="C38" i="45"/>
  <c r="Z37" i="45"/>
  <c r="Y37" i="45"/>
  <c r="X37" i="45"/>
  <c r="W37" i="45"/>
  <c r="V37" i="45"/>
  <c r="U37" i="45"/>
  <c r="T37" i="45"/>
  <c r="S37" i="45"/>
  <c r="R37" i="45"/>
  <c r="Q37" i="45"/>
  <c r="P37" i="45"/>
  <c r="O37" i="45"/>
  <c r="N37" i="45"/>
  <c r="M37" i="45"/>
  <c r="L37" i="45"/>
  <c r="K37" i="45"/>
  <c r="J37" i="45"/>
  <c r="I37" i="45"/>
  <c r="H37" i="45"/>
  <c r="G37" i="45"/>
  <c r="F37" i="45"/>
  <c r="E37" i="45"/>
  <c r="D37" i="45"/>
  <c r="C37" i="45"/>
  <c r="Z36" i="45"/>
  <c r="Y36" i="45"/>
  <c r="X36" i="45"/>
  <c r="W36" i="45"/>
  <c r="V36" i="45"/>
  <c r="U36" i="45"/>
  <c r="T36" i="45"/>
  <c r="S36" i="45"/>
  <c r="R36" i="45"/>
  <c r="Q36" i="45"/>
  <c r="P36" i="45"/>
  <c r="O36" i="45"/>
  <c r="N36" i="45"/>
  <c r="M36" i="45"/>
  <c r="L36" i="45"/>
  <c r="K36" i="45"/>
  <c r="J36" i="45"/>
  <c r="I36" i="45"/>
  <c r="H36" i="45"/>
  <c r="G36" i="45"/>
  <c r="F36" i="45"/>
  <c r="E36" i="45"/>
  <c r="D36" i="45"/>
  <c r="C36" i="45"/>
  <c r="Z35" i="45"/>
  <c r="Y35" i="45"/>
  <c r="X35" i="45"/>
  <c r="W35" i="45"/>
  <c r="V35" i="45"/>
  <c r="U35" i="45"/>
  <c r="T35" i="45"/>
  <c r="S35" i="45"/>
  <c r="R35" i="45"/>
  <c r="Q35" i="45"/>
  <c r="P35" i="45"/>
  <c r="O35" i="45"/>
  <c r="N35" i="45"/>
  <c r="M35" i="45"/>
  <c r="L35" i="45"/>
  <c r="K35" i="45"/>
  <c r="J35" i="45"/>
  <c r="I35" i="45"/>
  <c r="H35" i="45"/>
  <c r="G35" i="45"/>
  <c r="F35" i="45"/>
  <c r="E35" i="45"/>
  <c r="D35" i="45"/>
  <c r="C35" i="45"/>
  <c r="Z34" i="45"/>
  <c r="Y34" i="45"/>
  <c r="X34" i="45"/>
  <c r="W34" i="45"/>
  <c r="V34" i="45"/>
  <c r="U34" i="45"/>
  <c r="T34" i="45"/>
  <c r="S34" i="45"/>
  <c r="R34" i="45"/>
  <c r="Q34" i="45"/>
  <c r="P34" i="45"/>
  <c r="O34" i="45"/>
  <c r="N34" i="45"/>
  <c r="M34" i="45"/>
  <c r="L34" i="45"/>
  <c r="K34" i="45"/>
  <c r="J34" i="45"/>
  <c r="I34" i="45"/>
  <c r="H34" i="45"/>
  <c r="G34" i="45"/>
  <c r="F34" i="45"/>
  <c r="E34" i="45"/>
  <c r="D34" i="45"/>
  <c r="C34" i="45"/>
  <c r="Z33" i="45"/>
  <c r="Y33" i="45"/>
  <c r="X33" i="45"/>
  <c r="W33" i="45"/>
  <c r="V33" i="45"/>
  <c r="U33" i="45"/>
  <c r="T33" i="45"/>
  <c r="S33" i="45"/>
  <c r="R33" i="45"/>
  <c r="Q33" i="45"/>
  <c r="P33" i="45"/>
  <c r="O33" i="45"/>
  <c r="N33" i="45"/>
  <c r="M33" i="45"/>
  <c r="L33" i="45"/>
  <c r="K33" i="45"/>
  <c r="J33" i="45"/>
  <c r="I33" i="45"/>
  <c r="H33" i="45"/>
  <c r="G33" i="45"/>
  <c r="F33" i="45"/>
  <c r="E33" i="45"/>
  <c r="D33" i="45"/>
  <c r="C33" i="45"/>
  <c r="Z32" i="45"/>
  <c r="Y32" i="45"/>
  <c r="X32" i="45"/>
  <c r="W32" i="45"/>
  <c r="V32" i="45"/>
  <c r="U32" i="45"/>
  <c r="T32" i="45"/>
  <c r="S32" i="45"/>
  <c r="R32" i="45"/>
  <c r="Q32" i="45"/>
  <c r="P32" i="45"/>
  <c r="O32" i="45"/>
  <c r="N32" i="45"/>
  <c r="M32" i="45"/>
  <c r="L32" i="45"/>
  <c r="K32" i="45"/>
  <c r="J32" i="45"/>
  <c r="I32" i="45"/>
  <c r="H32" i="45"/>
  <c r="G32" i="45"/>
  <c r="F32" i="45"/>
  <c r="E32" i="45"/>
  <c r="D32" i="45"/>
  <c r="C32" i="45"/>
  <c r="Z31" i="45"/>
  <c r="Y31" i="45"/>
  <c r="X31" i="45"/>
  <c r="W31" i="45"/>
  <c r="V31" i="45"/>
  <c r="U31" i="45"/>
  <c r="T31" i="45"/>
  <c r="S31" i="45"/>
  <c r="R31" i="45"/>
  <c r="Q31" i="45"/>
  <c r="P31" i="45"/>
  <c r="O31" i="45"/>
  <c r="N31" i="45"/>
  <c r="M31" i="45"/>
  <c r="L31" i="45"/>
  <c r="K31" i="45"/>
  <c r="J31" i="45"/>
  <c r="I31" i="45"/>
  <c r="H31" i="45"/>
  <c r="G31" i="45"/>
  <c r="F31" i="45"/>
  <c r="E31" i="45"/>
  <c r="D31" i="45"/>
  <c r="C31" i="45"/>
  <c r="Z30" i="45"/>
  <c r="Y30" i="45"/>
  <c r="X30" i="45"/>
  <c r="W30" i="45"/>
  <c r="V30" i="45"/>
  <c r="U30" i="45"/>
  <c r="T30" i="45"/>
  <c r="S30" i="45"/>
  <c r="R30" i="45"/>
  <c r="Q30" i="45"/>
  <c r="P30" i="45"/>
  <c r="O30" i="45"/>
  <c r="N30" i="45"/>
  <c r="M30" i="45"/>
  <c r="L30" i="45"/>
  <c r="K30" i="45"/>
  <c r="J30" i="45"/>
  <c r="I30" i="45"/>
  <c r="H30" i="45"/>
  <c r="G30" i="45"/>
  <c r="F30" i="45"/>
  <c r="E30" i="45"/>
  <c r="D30" i="45"/>
  <c r="C30" i="45"/>
  <c r="Z29" i="45"/>
  <c r="Y29" i="45"/>
  <c r="X29" i="45"/>
  <c r="W29" i="45"/>
  <c r="V29" i="45"/>
  <c r="U29" i="45"/>
  <c r="T29" i="45"/>
  <c r="S29" i="45"/>
  <c r="R29" i="45"/>
  <c r="Q29" i="45"/>
  <c r="P29" i="45"/>
  <c r="O29" i="45"/>
  <c r="N29" i="45"/>
  <c r="M29" i="45"/>
  <c r="L29" i="45"/>
  <c r="K29" i="45"/>
  <c r="J29" i="45"/>
  <c r="I29" i="45"/>
  <c r="H29" i="45"/>
  <c r="G29" i="45"/>
  <c r="F29" i="45"/>
  <c r="E29" i="45"/>
  <c r="D29" i="45"/>
  <c r="C29" i="45"/>
  <c r="Z28" i="45"/>
  <c r="Y28" i="45"/>
  <c r="X28" i="45"/>
  <c r="W28" i="45"/>
  <c r="V28" i="45"/>
  <c r="U28" i="45"/>
  <c r="T28" i="45"/>
  <c r="S28" i="45"/>
  <c r="R28" i="45"/>
  <c r="Q28" i="45"/>
  <c r="P28" i="45"/>
  <c r="O28" i="45"/>
  <c r="N28" i="45"/>
  <c r="M28" i="45"/>
  <c r="L28" i="45"/>
  <c r="K28" i="45"/>
  <c r="J28" i="45"/>
  <c r="I28" i="45"/>
  <c r="H28" i="45"/>
  <c r="G28" i="45"/>
  <c r="F28" i="45"/>
  <c r="E28" i="45"/>
  <c r="D28" i="45"/>
  <c r="C28" i="45"/>
  <c r="Z27" i="45"/>
  <c r="Y27" i="45"/>
  <c r="X27" i="45"/>
  <c r="W27" i="45"/>
  <c r="V27" i="45"/>
  <c r="U27" i="45"/>
  <c r="T27" i="45"/>
  <c r="S27" i="45"/>
  <c r="R27" i="45"/>
  <c r="Q27" i="45"/>
  <c r="P27" i="45"/>
  <c r="O27" i="45"/>
  <c r="N27" i="45"/>
  <c r="M27" i="45"/>
  <c r="L27" i="45"/>
  <c r="K27" i="45"/>
  <c r="J27" i="45"/>
  <c r="I27" i="45"/>
  <c r="H27" i="45"/>
  <c r="G27" i="45"/>
  <c r="F27" i="45"/>
  <c r="E27" i="45"/>
  <c r="D27" i="45"/>
  <c r="C27" i="45"/>
  <c r="Z26" i="45"/>
  <c r="Y26" i="45"/>
  <c r="X26" i="45"/>
  <c r="W26" i="45"/>
  <c r="V26" i="45"/>
  <c r="U26" i="45"/>
  <c r="T26" i="45"/>
  <c r="S26" i="45"/>
  <c r="R26" i="45"/>
  <c r="Q26" i="45"/>
  <c r="P26" i="45"/>
  <c r="O26" i="45"/>
  <c r="N26" i="45"/>
  <c r="M26" i="45"/>
  <c r="L26" i="45"/>
  <c r="K26" i="45"/>
  <c r="J26" i="45"/>
  <c r="I26" i="45"/>
  <c r="H26" i="45"/>
  <c r="G26" i="45"/>
  <c r="F26" i="45"/>
  <c r="E26" i="45"/>
  <c r="D26" i="45"/>
  <c r="C26" i="45"/>
  <c r="Z25" i="45"/>
  <c r="Y25" i="45"/>
  <c r="X25" i="45"/>
  <c r="W25" i="45"/>
  <c r="V25" i="45"/>
  <c r="U25" i="45"/>
  <c r="T25" i="45"/>
  <c r="S25" i="45"/>
  <c r="R25" i="45"/>
  <c r="Q25" i="45"/>
  <c r="P25" i="45"/>
  <c r="O25" i="45"/>
  <c r="N25" i="45"/>
  <c r="M25" i="45"/>
  <c r="L25" i="45"/>
  <c r="K25" i="45"/>
  <c r="J25" i="45"/>
  <c r="I25" i="45"/>
  <c r="H25" i="45"/>
  <c r="G25" i="45"/>
  <c r="F25" i="45"/>
  <c r="E25" i="45"/>
  <c r="D25" i="45"/>
  <c r="C25" i="45"/>
  <c r="Z24" i="45"/>
  <c r="Y24" i="45"/>
  <c r="X24" i="45"/>
  <c r="W24" i="45"/>
  <c r="V24" i="45"/>
  <c r="U24" i="45"/>
  <c r="T24" i="45"/>
  <c r="S24" i="45"/>
  <c r="R24" i="45"/>
  <c r="Q24" i="45"/>
  <c r="P24" i="45"/>
  <c r="O24" i="45"/>
  <c r="N24" i="45"/>
  <c r="M24" i="45"/>
  <c r="L24" i="45"/>
  <c r="K24" i="45"/>
  <c r="J24" i="45"/>
  <c r="I24" i="45"/>
  <c r="H24" i="45"/>
  <c r="G24" i="45"/>
  <c r="F24" i="45"/>
  <c r="E24" i="45"/>
  <c r="D24" i="45"/>
  <c r="C24" i="45"/>
  <c r="Z23" i="45"/>
  <c r="Y23" i="45"/>
  <c r="X23" i="45"/>
  <c r="W23" i="45"/>
  <c r="V23" i="45"/>
  <c r="U23" i="45"/>
  <c r="T23" i="45"/>
  <c r="S23" i="45"/>
  <c r="R23" i="45"/>
  <c r="Q23" i="45"/>
  <c r="P23" i="45"/>
  <c r="O23" i="45"/>
  <c r="N23" i="45"/>
  <c r="M23" i="45"/>
  <c r="L23" i="45"/>
  <c r="K23" i="45"/>
  <c r="J23" i="45"/>
  <c r="I23" i="45"/>
  <c r="H23" i="45"/>
  <c r="G23" i="45"/>
  <c r="F23" i="45"/>
  <c r="E23" i="45"/>
  <c r="D23" i="45"/>
  <c r="C23" i="45"/>
  <c r="Z22" i="45"/>
  <c r="Y22" i="45"/>
  <c r="X22" i="45"/>
  <c r="W22" i="45"/>
  <c r="V22" i="45"/>
  <c r="U22" i="45"/>
  <c r="T22" i="45"/>
  <c r="S22" i="45"/>
  <c r="R22" i="45"/>
  <c r="Q22" i="45"/>
  <c r="P22" i="45"/>
  <c r="O22" i="45"/>
  <c r="N22" i="45"/>
  <c r="M22" i="45"/>
  <c r="L22" i="45"/>
  <c r="K22" i="45"/>
  <c r="J22" i="45"/>
  <c r="I22" i="45"/>
  <c r="H22" i="45"/>
  <c r="G22" i="45"/>
  <c r="F22" i="45"/>
  <c r="E22" i="45"/>
  <c r="D22" i="45"/>
  <c r="C22" i="45"/>
  <c r="Z21" i="45"/>
  <c r="Y21" i="45"/>
  <c r="X21" i="45"/>
  <c r="W21" i="45"/>
  <c r="V21" i="45"/>
  <c r="U21" i="45"/>
  <c r="T21" i="45"/>
  <c r="S21" i="45"/>
  <c r="R21" i="45"/>
  <c r="Q21" i="45"/>
  <c r="P21" i="45"/>
  <c r="O21" i="45"/>
  <c r="N21" i="45"/>
  <c r="M21" i="45"/>
  <c r="L21" i="45"/>
  <c r="K21" i="45"/>
  <c r="J21" i="45"/>
  <c r="I21" i="45"/>
  <c r="H21" i="45"/>
  <c r="G21" i="45"/>
  <c r="F21" i="45"/>
  <c r="E21" i="45"/>
  <c r="D21" i="45"/>
  <c r="C21" i="45"/>
  <c r="Z20" i="45"/>
  <c r="Y20" i="45"/>
  <c r="X20" i="45"/>
  <c r="W20" i="45"/>
  <c r="V20" i="45"/>
  <c r="U20" i="45"/>
  <c r="T20" i="45"/>
  <c r="S20" i="45"/>
  <c r="R20" i="45"/>
  <c r="Q20" i="45"/>
  <c r="P20" i="45"/>
  <c r="O20" i="45"/>
  <c r="N20" i="45"/>
  <c r="M20" i="45"/>
  <c r="L20" i="45"/>
  <c r="K20" i="45"/>
  <c r="J20" i="45"/>
  <c r="I20" i="45"/>
  <c r="H20" i="45"/>
  <c r="G20" i="45"/>
  <c r="F20" i="45"/>
  <c r="E20" i="45"/>
  <c r="D20" i="45"/>
  <c r="C20" i="45"/>
  <c r="Z19" i="45"/>
  <c r="Y19" i="45"/>
  <c r="X19" i="45"/>
  <c r="W19" i="45"/>
  <c r="V19" i="45"/>
  <c r="U19" i="45"/>
  <c r="T19" i="45"/>
  <c r="S19" i="45"/>
  <c r="R19" i="45"/>
  <c r="Q19" i="45"/>
  <c r="P19" i="45"/>
  <c r="O19" i="45"/>
  <c r="N19" i="45"/>
  <c r="M19" i="45"/>
  <c r="L19" i="45"/>
  <c r="K19" i="45"/>
  <c r="J19" i="45"/>
  <c r="I19" i="45"/>
  <c r="H19" i="45"/>
  <c r="G19" i="45"/>
  <c r="F19" i="45"/>
  <c r="E19" i="45"/>
  <c r="D19" i="45"/>
  <c r="C19" i="45"/>
  <c r="Z18" i="45"/>
  <c r="Y18" i="45"/>
  <c r="X18" i="45"/>
  <c r="W18" i="45"/>
  <c r="V18" i="45"/>
  <c r="U18" i="45"/>
  <c r="T18" i="45"/>
  <c r="S18" i="45"/>
  <c r="R18" i="45"/>
  <c r="Q18" i="45"/>
  <c r="P18" i="45"/>
  <c r="O18" i="45"/>
  <c r="N18" i="45"/>
  <c r="M18" i="45"/>
  <c r="L18" i="45"/>
  <c r="K18" i="45"/>
  <c r="J18" i="45"/>
  <c r="I18" i="45"/>
  <c r="H18" i="45"/>
  <c r="G18" i="45"/>
  <c r="F18" i="45"/>
  <c r="E18" i="45"/>
  <c r="D18" i="45"/>
  <c r="C18" i="45"/>
  <c r="Z17" i="45"/>
  <c r="Y17" i="45"/>
  <c r="X17" i="45"/>
  <c r="W17" i="45"/>
  <c r="V17" i="45"/>
  <c r="U17" i="45"/>
  <c r="T17" i="45"/>
  <c r="S17" i="45"/>
  <c r="R17" i="45"/>
  <c r="Q17" i="45"/>
  <c r="P17" i="45"/>
  <c r="O17" i="45"/>
  <c r="N17" i="45"/>
  <c r="M17" i="45"/>
  <c r="L17" i="45"/>
  <c r="K17" i="45"/>
  <c r="J17" i="45"/>
  <c r="I17" i="45"/>
  <c r="H17" i="45"/>
  <c r="G17" i="45"/>
  <c r="F17" i="45"/>
  <c r="E17" i="45"/>
  <c r="D17" i="45"/>
  <c r="C17" i="45"/>
  <c r="Z16" i="45"/>
  <c r="Y16" i="45"/>
  <c r="X16" i="45"/>
  <c r="W16" i="45"/>
  <c r="V16" i="45"/>
  <c r="U16" i="45"/>
  <c r="T16" i="45"/>
  <c r="S16" i="45"/>
  <c r="R16" i="45"/>
  <c r="Q16" i="45"/>
  <c r="P16" i="45"/>
  <c r="O16" i="45"/>
  <c r="N16" i="45"/>
  <c r="M16" i="45"/>
  <c r="L16" i="45"/>
  <c r="K16" i="45"/>
  <c r="J16" i="45"/>
  <c r="I16" i="45"/>
  <c r="H16" i="45"/>
  <c r="G16" i="45"/>
  <c r="F16" i="45"/>
  <c r="E16" i="45"/>
  <c r="D16" i="45"/>
  <c r="C16" i="45"/>
  <c r="Z15" i="45"/>
  <c r="Y15" i="45"/>
  <c r="X15" i="45"/>
  <c r="W15" i="45"/>
  <c r="V15" i="45"/>
  <c r="U15" i="45"/>
  <c r="T15" i="45"/>
  <c r="S15" i="45"/>
  <c r="R15" i="45"/>
  <c r="Q15" i="45"/>
  <c r="P15" i="45"/>
  <c r="O15" i="45"/>
  <c r="N15" i="45"/>
  <c r="M15" i="45"/>
  <c r="L15" i="45"/>
  <c r="K15" i="45"/>
  <c r="J15" i="45"/>
  <c r="I15" i="45"/>
  <c r="H15" i="45"/>
  <c r="G15" i="45"/>
  <c r="F15" i="45"/>
  <c r="E15" i="45"/>
  <c r="D15" i="45"/>
  <c r="C15" i="45"/>
  <c r="Z14" i="45"/>
  <c r="Y14" i="45"/>
  <c r="X14" i="45"/>
  <c r="W14" i="45"/>
  <c r="V14" i="45"/>
  <c r="U14" i="45"/>
  <c r="T14" i="45"/>
  <c r="S14" i="45"/>
  <c r="R14" i="45"/>
  <c r="Q14" i="45"/>
  <c r="P14" i="45"/>
  <c r="O14" i="45"/>
  <c r="N14" i="45"/>
  <c r="M14" i="45"/>
  <c r="L14" i="45"/>
  <c r="K14" i="45"/>
  <c r="J14" i="45"/>
  <c r="I14" i="45"/>
  <c r="H14" i="45"/>
  <c r="G14" i="45"/>
  <c r="F14" i="45"/>
  <c r="E14" i="45"/>
  <c r="D14" i="45"/>
  <c r="C14" i="45"/>
  <c r="Z13" i="45"/>
  <c r="Y13" i="45"/>
  <c r="X13" i="45"/>
  <c r="W13" i="45"/>
  <c r="V13" i="45"/>
  <c r="U13" i="45"/>
  <c r="T13" i="45"/>
  <c r="S13" i="45"/>
  <c r="R13" i="45"/>
  <c r="Q13" i="45"/>
  <c r="P13" i="45"/>
  <c r="O13" i="45"/>
  <c r="N13" i="45"/>
  <c r="M13" i="45"/>
  <c r="L13" i="45"/>
  <c r="K13" i="45"/>
  <c r="J13" i="45"/>
  <c r="I13" i="45"/>
  <c r="H13" i="45"/>
  <c r="G13" i="45"/>
  <c r="F13" i="45"/>
  <c r="E13" i="45"/>
  <c r="D13" i="45"/>
  <c r="C13" i="45"/>
  <c r="Z12" i="45"/>
  <c r="Y12" i="45"/>
  <c r="X12" i="45"/>
  <c r="W12" i="45"/>
  <c r="V12" i="45"/>
  <c r="U12" i="45"/>
  <c r="T12" i="45"/>
  <c r="S12" i="45"/>
  <c r="R12" i="45"/>
  <c r="Q12" i="45"/>
  <c r="P12" i="45"/>
  <c r="O12" i="45"/>
  <c r="N12" i="45"/>
  <c r="M12" i="45"/>
  <c r="L12" i="45"/>
  <c r="K12" i="45"/>
  <c r="J12" i="45"/>
  <c r="I12" i="45"/>
  <c r="H12" i="45"/>
  <c r="G12" i="45"/>
  <c r="F12" i="45"/>
  <c r="E12" i="45"/>
  <c r="D12" i="45"/>
  <c r="C12" i="45"/>
  <c r="Z11" i="45"/>
  <c r="Y11" i="45"/>
  <c r="X11" i="45"/>
  <c r="W11" i="45"/>
  <c r="V11" i="45"/>
  <c r="U11" i="45"/>
  <c r="T11" i="45"/>
  <c r="S11" i="45"/>
  <c r="R11" i="45"/>
  <c r="Q11" i="45"/>
  <c r="P11" i="45"/>
  <c r="O11" i="45"/>
  <c r="N11" i="45"/>
  <c r="M11" i="45"/>
  <c r="L11" i="45"/>
  <c r="K11" i="45"/>
  <c r="J11" i="45"/>
  <c r="I11" i="45"/>
  <c r="H11" i="45"/>
  <c r="G11" i="45"/>
  <c r="F11" i="45"/>
  <c r="E11" i="45"/>
  <c r="D11" i="45"/>
  <c r="C11" i="45"/>
  <c r="Z10" i="45"/>
  <c r="Y10" i="45"/>
  <c r="X10" i="45"/>
  <c r="W10" i="45"/>
  <c r="V10" i="45"/>
  <c r="U10" i="45"/>
  <c r="T10" i="45"/>
  <c r="S10" i="45"/>
  <c r="R10" i="45"/>
  <c r="Q10" i="45"/>
  <c r="P10" i="45"/>
  <c r="O10" i="45"/>
  <c r="N10" i="45"/>
  <c r="M10" i="45"/>
  <c r="L10" i="45"/>
  <c r="K10" i="45"/>
  <c r="J10" i="45"/>
  <c r="I10" i="45"/>
  <c r="H10" i="45"/>
  <c r="G10" i="45"/>
  <c r="F10" i="45"/>
  <c r="E10" i="45"/>
  <c r="D10" i="45"/>
  <c r="C10" i="45"/>
  <c r="Z9" i="45"/>
  <c r="Y9" i="45"/>
  <c r="X9" i="45"/>
  <c r="W9" i="45"/>
  <c r="V9" i="45"/>
  <c r="U9" i="45"/>
  <c r="T9" i="45"/>
  <c r="S9" i="45"/>
  <c r="R9" i="45"/>
  <c r="Q9" i="45"/>
  <c r="P9" i="45"/>
  <c r="O9" i="45"/>
  <c r="N9" i="45"/>
  <c r="M9" i="45"/>
  <c r="L9" i="45"/>
  <c r="K9" i="45"/>
  <c r="J9" i="45"/>
  <c r="I9" i="45"/>
  <c r="H9" i="45"/>
  <c r="G9" i="45"/>
  <c r="F9" i="45"/>
  <c r="E9" i="45"/>
  <c r="D9" i="45"/>
  <c r="C9" i="45"/>
  <c r="Z8" i="45"/>
  <c r="Y8" i="45"/>
  <c r="X8" i="45"/>
  <c r="W8" i="45"/>
  <c r="V8" i="45"/>
  <c r="U8" i="45"/>
  <c r="T8" i="45"/>
  <c r="S8" i="45"/>
  <c r="R8" i="45"/>
  <c r="Q8" i="45"/>
  <c r="P8" i="45"/>
  <c r="O8" i="45"/>
  <c r="N8" i="45"/>
  <c r="M8" i="45"/>
  <c r="L8" i="45"/>
  <c r="K8" i="45"/>
  <c r="J8" i="45"/>
  <c r="I8" i="45"/>
  <c r="H8" i="45"/>
  <c r="G8" i="45"/>
  <c r="F8" i="45"/>
  <c r="E8" i="45"/>
  <c r="D8" i="45"/>
  <c r="C8" i="45"/>
  <c r="Z7" i="45"/>
  <c r="Y7" i="45"/>
  <c r="X7" i="45"/>
  <c r="W7" i="45"/>
  <c r="V7" i="45"/>
  <c r="U7" i="45"/>
  <c r="T7" i="45"/>
  <c r="S7" i="45"/>
  <c r="R7" i="45"/>
  <c r="Q7" i="45"/>
  <c r="P7" i="45"/>
  <c r="O7" i="45"/>
  <c r="N7" i="45"/>
  <c r="M7" i="45"/>
  <c r="L7" i="45"/>
  <c r="K7" i="45"/>
  <c r="J7" i="45"/>
  <c r="I7" i="45"/>
  <c r="H7" i="45"/>
  <c r="G7" i="45"/>
  <c r="F7" i="45"/>
  <c r="E7" i="45"/>
  <c r="D7" i="45"/>
  <c r="C7" i="45"/>
  <c r="Z6" i="45"/>
  <c r="Y6" i="45"/>
  <c r="X6" i="45"/>
  <c r="W6" i="45"/>
  <c r="V6" i="45"/>
  <c r="U6" i="45"/>
  <c r="T6" i="45"/>
  <c r="S6" i="45"/>
  <c r="R6" i="45"/>
  <c r="Q6" i="45"/>
  <c r="P6" i="45"/>
  <c r="O6" i="45"/>
  <c r="N6" i="45"/>
  <c r="M6" i="45"/>
  <c r="L6" i="45"/>
  <c r="K6" i="45"/>
  <c r="J6" i="45"/>
  <c r="I6" i="45"/>
  <c r="H6" i="45"/>
  <c r="G6" i="45"/>
  <c r="F6" i="45"/>
  <c r="E6" i="45"/>
  <c r="D6" i="45"/>
  <c r="C6" i="45"/>
  <c r="Z5" i="45"/>
  <c r="Y5" i="45"/>
  <c r="X5" i="45"/>
  <c r="W5" i="45"/>
  <c r="V5" i="45"/>
  <c r="U5" i="45"/>
  <c r="T5" i="45"/>
  <c r="S5" i="45"/>
  <c r="R5" i="45"/>
  <c r="Q5" i="45"/>
  <c r="P5" i="45"/>
  <c r="O5" i="45"/>
  <c r="N5" i="45"/>
  <c r="M5" i="45"/>
  <c r="L5" i="45"/>
  <c r="K5" i="45"/>
  <c r="J5" i="45"/>
  <c r="I5" i="45"/>
  <c r="H5" i="45"/>
  <c r="G5" i="45"/>
  <c r="F5" i="45"/>
  <c r="E5" i="45"/>
  <c r="D5" i="45"/>
  <c r="C5" i="45"/>
  <c r="W111" i="32" l="1"/>
  <c r="V111" i="32"/>
  <c r="U111" i="32"/>
  <c r="T111" i="32"/>
  <c r="S111" i="32"/>
  <c r="R111" i="32"/>
  <c r="Q111" i="32"/>
  <c r="P111" i="32"/>
  <c r="O111" i="32"/>
  <c r="N111" i="32"/>
  <c r="M111" i="32"/>
  <c r="L111" i="32"/>
  <c r="K111" i="32"/>
  <c r="J111" i="32"/>
  <c r="I111" i="32"/>
  <c r="H111" i="32"/>
  <c r="G111" i="32"/>
  <c r="F111" i="32"/>
  <c r="E111" i="32"/>
  <c r="D111" i="32"/>
  <c r="C111" i="32"/>
  <c r="W110" i="32"/>
  <c r="V110" i="32"/>
  <c r="U110" i="32"/>
  <c r="T110" i="32"/>
  <c r="S110" i="32"/>
  <c r="R110" i="32"/>
  <c r="Q110" i="32"/>
  <c r="P110" i="32"/>
  <c r="O110" i="32"/>
  <c r="N110" i="32"/>
  <c r="M110" i="32"/>
  <c r="L110" i="32"/>
  <c r="K110" i="32"/>
  <c r="J110" i="32"/>
  <c r="I110" i="32"/>
  <c r="H110" i="32"/>
  <c r="G110" i="32"/>
  <c r="F110" i="32"/>
  <c r="E110" i="32"/>
  <c r="D110" i="32"/>
  <c r="C110" i="32"/>
  <c r="W109" i="32"/>
  <c r="V109" i="32"/>
  <c r="U109" i="32"/>
  <c r="T109" i="32"/>
  <c r="S109" i="32"/>
  <c r="R109" i="32"/>
  <c r="Q109" i="32"/>
  <c r="P109" i="32"/>
  <c r="O109" i="32"/>
  <c r="N109" i="32"/>
  <c r="M109" i="32"/>
  <c r="L109" i="32"/>
  <c r="K109" i="32"/>
  <c r="J109" i="32"/>
  <c r="I109" i="32"/>
  <c r="H109" i="32"/>
  <c r="G109" i="32"/>
  <c r="F109" i="32"/>
  <c r="E109" i="32"/>
  <c r="D109" i="32"/>
  <c r="C109" i="32"/>
  <c r="W108" i="32"/>
  <c r="V108" i="32"/>
  <c r="U108" i="32"/>
  <c r="T108" i="32"/>
  <c r="S108" i="32"/>
  <c r="R108" i="32"/>
  <c r="Q108" i="32"/>
  <c r="P108" i="32"/>
  <c r="O108" i="32"/>
  <c r="N108" i="32"/>
  <c r="M108" i="32"/>
  <c r="L108" i="32"/>
  <c r="K108" i="32"/>
  <c r="J108" i="32"/>
  <c r="I108" i="32"/>
  <c r="H108" i="32"/>
  <c r="G108" i="32"/>
  <c r="F108" i="32"/>
  <c r="E108" i="32"/>
  <c r="D108" i="32"/>
  <c r="C108" i="32"/>
  <c r="W107" i="32"/>
  <c r="V107" i="32"/>
  <c r="U107" i="32"/>
  <c r="T107" i="32"/>
  <c r="S107" i="32"/>
  <c r="R107" i="32"/>
  <c r="Q107" i="32"/>
  <c r="P107" i="32"/>
  <c r="O107" i="32"/>
  <c r="N107" i="32"/>
  <c r="M107" i="32"/>
  <c r="L107" i="32"/>
  <c r="K107" i="32"/>
  <c r="J107" i="32"/>
  <c r="I107" i="32"/>
  <c r="H107" i="32"/>
  <c r="G107" i="32"/>
  <c r="F107" i="32"/>
  <c r="E107" i="32"/>
  <c r="D107" i="32"/>
  <c r="C107" i="32"/>
  <c r="W106" i="32"/>
  <c r="V106" i="32"/>
  <c r="U106" i="32"/>
  <c r="T106" i="32"/>
  <c r="S106" i="32"/>
  <c r="R106" i="32"/>
  <c r="Q106" i="32"/>
  <c r="P106" i="32"/>
  <c r="O106" i="32"/>
  <c r="N106" i="32"/>
  <c r="M106" i="32"/>
  <c r="L106" i="32"/>
  <c r="K106" i="32"/>
  <c r="J106" i="32"/>
  <c r="I106" i="32"/>
  <c r="H106" i="32"/>
  <c r="G106" i="32"/>
  <c r="F106" i="32"/>
  <c r="E106" i="32"/>
  <c r="D106" i="32"/>
  <c r="C106" i="32"/>
  <c r="W105" i="32"/>
  <c r="V105" i="32"/>
  <c r="U105" i="32"/>
  <c r="T105" i="32"/>
  <c r="S105" i="32"/>
  <c r="R105" i="32"/>
  <c r="Q105" i="32"/>
  <c r="P105" i="32"/>
  <c r="O105" i="32"/>
  <c r="N105" i="32"/>
  <c r="M105" i="32"/>
  <c r="L105" i="32"/>
  <c r="K105" i="32"/>
  <c r="J105" i="32"/>
  <c r="I105" i="32"/>
  <c r="H105" i="32"/>
  <c r="G105" i="32"/>
  <c r="F105" i="32"/>
  <c r="E105" i="32"/>
  <c r="D105" i="32"/>
  <c r="C105" i="32"/>
  <c r="W104" i="32"/>
  <c r="V104" i="32"/>
  <c r="U104" i="32"/>
  <c r="T104" i="32"/>
  <c r="S104" i="32"/>
  <c r="R104" i="32"/>
  <c r="Q104" i="32"/>
  <c r="P104" i="32"/>
  <c r="O104" i="32"/>
  <c r="N104" i="32"/>
  <c r="M104" i="32"/>
  <c r="L104" i="32"/>
  <c r="K104" i="32"/>
  <c r="J104" i="32"/>
  <c r="I104" i="32"/>
  <c r="H104" i="32"/>
  <c r="G104" i="32"/>
  <c r="F104" i="32"/>
  <c r="E104" i="32"/>
  <c r="D104" i="32"/>
  <c r="C104" i="32"/>
  <c r="W103" i="32"/>
  <c r="V103" i="32"/>
  <c r="U103" i="32"/>
  <c r="T103" i="32"/>
  <c r="S103" i="32"/>
  <c r="R103" i="32"/>
  <c r="Q103" i="32"/>
  <c r="P103" i="32"/>
  <c r="O103" i="32"/>
  <c r="N103" i="32"/>
  <c r="M103" i="32"/>
  <c r="L103" i="32"/>
  <c r="K103" i="32"/>
  <c r="J103" i="32"/>
  <c r="I103" i="32"/>
  <c r="H103" i="32"/>
  <c r="G103" i="32"/>
  <c r="F103" i="32"/>
  <c r="E103" i="32"/>
  <c r="D103" i="32"/>
  <c r="C103" i="32"/>
  <c r="W102" i="32"/>
  <c r="V102" i="32"/>
  <c r="U102" i="32"/>
  <c r="T102" i="32"/>
  <c r="S102" i="32"/>
  <c r="R102" i="32"/>
  <c r="Q102" i="32"/>
  <c r="P102" i="32"/>
  <c r="O102" i="32"/>
  <c r="N102" i="32"/>
  <c r="M102" i="32"/>
  <c r="L102" i="32"/>
  <c r="K102" i="32"/>
  <c r="J102" i="32"/>
  <c r="I102" i="32"/>
  <c r="H102" i="32"/>
  <c r="G102" i="32"/>
  <c r="F102" i="32"/>
  <c r="E102" i="32"/>
  <c r="D102" i="32"/>
  <c r="C102" i="32"/>
  <c r="W101" i="32"/>
  <c r="V101" i="32"/>
  <c r="U101" i="32"/>
  <c r="T101" i="32"/>
  <c r="S101" i="32"/>
  <c r="R101" i="32"/>
  <c r="Q101" i="32"/>
  <c r="P101" i="32"/>
  <c r="O101" i="32"/>
  <c r="N101" i="32"/>
  <c r="M101" i="32"/>
  <c r="L101" i="32"/>
  <c r="K101" i="32"/>
  <c r="J101" i="32"/>
  <c r="I101" i="32"/>
  <c r="H101" i="32"/>
  <c r="G101" i="32"/>
  <c r="F101" i="32"/>
  <c r="E101" i="32"/>
  <c r="D101" i="32"/>
  <c r="C101" i="32"/>
  <c r="W100" i="32"/>
  <c r="V100" i="32"/>
  <c r="U100" i="32"/>
  <c r="T100" i="32"/>
  <c r="S100" i="32"/>
  <c r="R100" i="32"/>
  <c r="Q100" i="32"/>
  <c r="P100" i="32"/>
  <c r="O100" i="32"/>
  <c r="N100" i="32"/>
  <c r="M100" i="32"/>
  <c r="L100" i="32"/>
  <c r="K100" i="32"/>
  <c r="J100" i="32"/>
  <c r="I100" i="32"/>
  <c r="H100" i="32"/>
  <c r="G100" i="32"/>
  <c r="F100" i="32"/>
  <c r="E100" i="32"/>
  <c r="D100" i="32"/>
  <c r="C100" i="32"/>
  <c r="W99" i="32"/>
  <c r="V99" i="32"/>
  <c r="U99" i="32"/>
  <c r="T99" i="32"/>
  <c r="S99" i="32"/>
  <c r="R99" i="32"/>
  <c r="Q99" i="32"/>
  <c r="P99" i="32"/>
  <c r="O99" i="32"/>
  <c r="N99" i="32"/>
  <c r="M99" i="32"/>
  <c r="L99" i="32"/>
  <c r="K99" i="32"/>
  <c r="J99" i="32"/>
  <c r="I99" i="32"/>
  <c r="H99" i="32"/>
  <c r="G99" i="32"/>
  <c r="F99" i="32"/>
  <c r="E99" i="32"/>
  <c r="D99" i="32"/>
  <c r="C99" i="32"/>
  <c r="W98" i="32"/>
  <c r="V98" i="32"/>
  <c r="U98" i="32"/>
  <c r="T98" i="32"/>
  <c r="S98" i="32"/>
  <c r="R98" i="32"/>
  <c r="Q98" i="32"/>
  <c r="P98" i="32"/>
  <c r="O98" i="32"/>
  <c r="N98" i="32"/>
  <c r="M98" i="32"/>
  <c r="L98" i="32"/>
  <c r="K98" i="32"/>
  <c r="J98" i="32"/>
  <c r="I98" i="32"/>
  <c r="H98" i="32"/>
  <c r="G98" i="32"/>
  <c r="F98" i="32"/>
  <c r="E98" i="32"/>
  <c r="D98" i="32"/>
  <c r="C98" i="32"/>
  <c r="W97" i="32"/>
  <c r="V97" i="32"/>
  <c r="U97" i="32"/>
  <c r="T97" i="32"/>
  <c r="S97" i="32"/>
  <c r="R97" i="32"/>
  <c r="Q97" i="32"/>
  <c r="P97" i="32"/>
  <c r="O97" i="32"/>
  <c r="N97" i="32"/>
  <c r="M97" i="32"/>
  <c r="L97" i="32"/>
  <c r="K97" i="32"/>
  <c r="J97" i="32"/>
  <c r="I97" i="32"/>
  <c r="H97" i="32"/>
  <c r="G97" i="32"/>
  <c r="F97" i="32"/>
  <c r="E97" i="32"/>
  <c r="D97" i="32"/>
  <c r="C97" i="32"/>
  <c r="W96" i="32"/>
  <c r="V96" i="32"/>
  <c r="U96" i="32"/>
  <c r="T96" i="32"/>
  <c r="S96" i="32"/>
  <c r="R96" i="32"/>
  <c r="Q96" i="32"/>
  <c r="P96" i="32"/>
  <c r="O96" i="32"/>
  <c r="N96" i="32"/>
  <c r="M96" i="32"/>
  <c r="L96" i="32"/>
  <c r="K96" i="32"/>
  <c r="J96" i="32"/>
  <c r="I96" i="32"/>
  <c r="H96" i="32"/>
  <c r="G96" i="32"/>
  <c r="F96" i="32"/>
  <c r="E96" i="32"/>
  <c r="D96" i="32"/>
  <c r="C96" i="32"/>
  <c r="W95" i="32"/>
  <c r="V95" i="32"/>
  <c r="U95" i="32"/>
  <c r="T95" i="32"/>
  <c r="S95" i="32"/>
  <c r="R95" i="32"/>
  <c r="Q95" i="32"/>
  <c r="P95" i="32"/>
  <c r="O95" i="32"/>
  <c r="N95" i="32"/>
  <c r="M95" i="32"/>
  <c r="L95" i="32"/>
  <c r="K95" i="32"/>
  <c r="J95" i="32"/>
  <c r="I95" i="32"/>
  <c r="H95" i="32"/>
  <c r="G95" i="32"/>
  <c r="F95" i="32"/>
  <c r="E95" i="32"/>
  <c r="D95" i="32"/>
  <c r="C95" i="32"/>
  <c r="W94" i="32"/>
  <c r="V94" i="32"/>
  <c r="U94" i="32"/>
  <c r="T94" i="32"/>
  <c r="S94" i="32"/>
  <c r="R94" i="32"/>
  <c r="Q94" i="32"/>
  <c r="P94" i="32"/>
  <c r="O94" i="32"/>
  <c r="N94" i="32"/>
  <c r="M94" i="32"/>
  <c r="L94" i="32"/>
  <c r="K94" i="32"/>
  <c r="J94" i="32"/>
  <c r="I94" i="32"/>
  <c r="H94" i="32"/>
  <c r="G94" i="32"/>
  <c r="F94" i="32"/>
  <c r="E94" i="32"/>
  <c r="D94" i="32"/>
  <c r="C94" i="32"/>
  <c r="W93" i="32"/>
  <c r="V93" i="32"/>
  <c r="U93" i="32"/>
  <c r="T93" i="32"/>
  <c r="S93" i="32"/>
  <c r="R93" i="32"/>
  <c r="Q93" i="32"/>
  <c r="P93" i="32"/>
  <c r="O93" i="32"/>
  <c r="N93" i="32"/>
  <c r="M93" i="32"/>
  <c r="L93" i="32"/>
  <c r="K93" i="32"/>
  <c r="J93" i="32"/>
  <c r="I93" i="32"/>
  <c r="H93" i="32"/>
  <c r="G93" i="32"/>
  <c r="F93" i="32"/>
  <c r="E93" i="32"/>
  <c r="D93" i="32"/>
  <c r="C93" i="32"/>
  <c r="W92" i="32"/>
  <c r="V92" i="32"/>
  <c r="U92" i="32"/>
  <c r="T92" i="32"/>
  <c r="S92" i="32"/>
  <c r="R92" i="32"/>
  <c r="Q92" i="32"/>
  <c r="P92" i="32"/>
  <c r="O92" i="32"/>
  <c r="N92" i="32"/>
  <c r="M92" i="32"/>
  <c r="L92" i="32"/>
  <c r="K92" i="32"/>
  <c r="J92" i="32"/>
  <c r="I92" i="32"/>
  <c r="H92" i="32"/>
  <c r="G92" i="32"/>
  <c r="F92" i="32"/>
  <c r="E92" i="32"/>
  <c r="D92" i="32"/>
  <c r="C92" i="32"/>
  <c r="W91" i="32"/>
  <c r="V91" i="32"/>
  <c r="U91" i="32"/>
  <c r="T91" i="32"/>
  <c r="S91" i="32"/>
  <c r="R91" i="32"/>
  <c r="Q91" i="32"/>
  <c r="P91" i="32"/>
  <c r="O91" i="32"/>
  <c r="N91" i="32"/>
  <c r="M91" i="32"/>
  <c r="L91" i="32"/>
  <c r="K91" i="32"/>
  <c r="J91" i="32"/>
  <c r="I91" i="32"/>
  <c r="H91" i="32"/>
  <c r="G91" i="32"/>
  <c r="F91" i="32"/>
  <c r="E91" i="32"/>
  <c r="D91" i="32"/>
  <c r="C91" i="32"/>
  <c r="W90" i="32"/>
  <c r="V90" i="32"/>
  <c r="U90" i="32"/>
  <c r="T90" i="32"/>
  <c r="S90" i="32"/>
  <c r="R90" i="32"/>
  <c r="Q90" i="32"/>
  <c r="P90" i="32"/>
  <c r="O90" i="32"/>
  <c r="N90" i="32"/>
  <c r="M90" i="32"/>
  <c r="L90" i="32"/>
  <c r="K90" i="32"/>
  <c r="J90" i="32"/>
  <c r="I90" i="32"/>
  <c r="H90" i="32"/>
  <c r="G90" i="32"/>
  <c r="F90" i="32"/>
  <c r="E90" i="32"/>
  <c r="D90" i="32"/>
  <c r="C90" i="32"/>
  <c r="W89" i="32"/>
  <c r="V89" i="32"/>
  <c r="U89" i="32"/>
  <c r="T89" i="32"/>
  <c r="S89" i="32"/>
  <c r="R89" i="32"/>
  <c r="Q89" i="32"/>
  <c r="P89" i="32"/>
  <c r="O89" i="32"/>
  <c r="N89" i="32"/>
  <c r="M89" i="32"/>
  <c r="L89" i="32"/>
  <c r="K89" i="32"/>
  <c r="J89" i="32"/>
  <c r="I89" i="32"/>
  <c r="H89" i="32"/>
  <c r="G89" i="32"/>
  <c r="F89" i="32"/>
  <c r="E89" i="32"/>
  <c r="D89" i="32"/>
  <c r="C89" i="32"/>
  <c r="W88" i="32"/>
  <c r="V88" i="32"/>
  <c r="U88" i="32"/>
  <c r="T88" i="32"/>
  <c r="S88" i="32"/>
  <c r="R88" i="32"/>
  <c r="Q88" i="32"/>
  <c r="P88" i="32"/>
  <c r="O88" i="32"/>
  <c r="N88" i="32"/>
  <c r="M88" i="32"/>
  <c r="L88" i="32"/>
  <c r="K88" i="32"/>
  <c r="J88" i="32"/>
  <c r="I88" i="32"/>
  <c r="H88" i="32"/>
  <c r="G88" i="32"/>
  <c r="F88" i="32"/>
  <c r="E88" i="32"/>
  <c r="D88" i="32"/>
  <c r="C88" i="32"/>
  <c r="W87" i="32"/>
  <c r="V87" i="32"/>
  <c r="U87" i="32"/>
  <c r="T87" i="32"/>
  <c r="S87" i="32"/>
  <c r="R87" i="32"/>
  <c r="Q87" i="32"/>
  <c r="P87" i="32"/>
  <c r="O87" i="32"/>
  <c r="N87" i="32"/>
  <c r="M87" i="32"/>
  <c r="L87" i="32"/>
  <c r="K87" i="32"/>
  <c r="J87" i="32"/>
  <c r="I87" i="32"/>
  <c r="H87" i="32"/>
  <c r="G87" i="32"/>
  <c r="F87" i="32"/>
  <c r="E87" i="32"/>
  <c r="D87" i="32"/>
  <c r="C87" i="32"/>
  <c r="W86" i="32"/>
  <c r="V86" i="32"/>
  <c r="U86" i="32"/>
  <c r="T86" i="32"/>
  <c r="S86" i="32"/>
  <c r="R86" i="32"/>
  <c r="Q86" i="32"/>
  <c r="P86" i="32"/>
  <c r="O86" i="32"/>
  <c r="N86" i="32"/>
  <c r="M86" i="32"/>
  <c r="L86" i="32"/>
  <c r="K86" i="32"/>
  <c r="J86" i="32"/>
  <c r="I86" i="32"/>
  <c r="H86" i="32"/>
  <c r="G86" i="32"/>
  <c r="F86" i="32"/>
  <c r="E86" i="32"/>
  <c r="D86" i="32"/>
  <c r="C86" i="32"/>
  <c r="W85" i="32"/>
  <c r="V85" i="32"/>
  <c r="U85" i="32"/>
  <c r="T85" i="32"/>
  <c r="S85" i="32"/>
  <c r="R85" i="32"/>
  <c r="Q85" i="32"/>
  <c r="P85" i="32"/>
  <c r="O85" i="32"/>
  <c r="N85" i="32"/>
  <c r="M85" i="32"/>
  <c r="L85" i="32"/>
  <c r="K85" i="32"/>
  <c r="J85" i="32"/>
  <c r="I85" i="32"/>
  <c r="H85" i="32"/>
  <c r="G85" i="32"/>
  <c r="F85" i="32"/>
  <c r="E85" i="32"/>
  <c r="D85" i="32"/>
  <c r="C85" i="32"/>
  <c r="W84" i="32"/>
  <c r="V84" i="32"/>
  <c r="U84" i="32"/>
  <c r="T84" i="32"/>
  <c r="S84" i="32"/>
  <c r="R84" i="32"/>
  <c r="Q84" i="32"/>
  <c r="P84" i="32"/>
  <c r="O84" i="32"/>
  <c r="N84" i="32"/>
  <c r="M84" i="32"/>
  <c r="L84" i="32"/>
  <c r="K84" i="32"/>
  <c r="J84" i="32"/>
  <c r="I84" i="32"/>
  <c r="H84" i="32"/>
  <c r="G84" i="32"/>
  <c r="F84" i="32"/>
  <c r="E84" i="32"/>
  <c r="D84" i="32"/>
  <c r="C84" i="32"/>
  <c r="W83" i="32"/>
  <c r="V83" i="32"/>
  <c r="U83" i="32"/>
  <c r="T83" i="32"/>
  <c r="S83" i="32"/>
  <c r="R83" i="32"/>
  <c r="Q83" i="32"/>
  <c r="P83" i="32"/>
  <c r="O83" i="32"/>
  <c r="N83" i="32"/>
  <c r="M83" i="32"/>
  <c r="L83" i="32"/>
  <c r="K83" i="32"/>
  <c r="J83" i="32"/>
  <c r="I83" i="32"/>
  <c r="H83" i="32"/>
  <c r="G83" i="32"/>
  <c r="F83" i="32"/>
  <c r="E83" i="32"/>
  <c r="D83" i="32"/>
  <c r="C83" i="32"/>
  <c r="W82" i="32"/>
  <c r="V82" i="32"/>
  <c r="U82" i="32"/>
  <c r="T82" i="32"/>
  <c r="S82" i="32"/>
  <c r="R82" i="32"/>
  <c r="Q82" i="32"/>
  <c r="P82" i="32"/>
  <c r="O82" i="32"/>
  <c r="N82" i="32"/>
  <c r="M82" i="32"/>
  <c r="L82" i="32"/>
  <c r="K82" i="32"/>
  <c r="J82" i="32"/>
  <c r="I82" i="32"/>
  <c r="H82" i="32"/>
  <c r="G82" i="32"/>
  <c r="F82" i="32"/>
  <c r="E82" i="32"/>
  <c r="D82" i="32"/>
  <c r="C82" i="32"/>
  <c r="W81" i="32"/>
  <c r="V81" i="32"/>
  <c r="U81" i="32"/>
  <c r="T81" i="32"/>
  <c r="S81" i="32"/>
  <c r="R81" i="32"/>
  <c r="Q81" i="32"/>
  <c r="P81" i="32"/>
  <c r="O81" i="32"/>
  <c r="N81" i="32"/>
  <c r="M81" i="32"/>
  <c r="L81" i="32"/>
  <c r="K81" i="32"/>
  <c r="J81" i="32"/>
  <c r="I81" i="32"/>
  <c r="H81" i="32"/>
  <c r="G81" i="32"/>
  <c r="F81" i="32"/>
  <c r="E81" i="32"/>
  <c r="D81" i="32"/>
  <c r="C81" i="32"/>
  <c r="W80" i="32"/>
  <c r="V80" i="32"/>
  <c r="U80" i="32"/>
  <c r="T80" i="32"/>
  <c r="S80" i="32"/>
  <c r="R80" i="32"/>
  <c r="Q80" i="32"/>
  <c r="P80" i="32"/>
  <c r="O80" i="32"/>
  <c r="N80" i="32"/>
  <c r="M80" i="32"/>
  <c r="L80" i="32"/>
  <c r="K80" i="32"/>
  <c r="J80" i="32"/>
  <c r="I80" i="32"/>
  <c r="H80" i="32"/>
  <c r="G80" i="32"/>
  <c r="F80" i="32"/>
  <c r="E80" i="32"/>
  <c r="D80" i="32"/>
  <c r="C80" i="32"/>
  <c r="W79" i="32"/>
  <c r="V79" i="32"/>
  <c r="U79" i="32"/>
  <c r="T79" i="32"/>
  <c r="S79" i="32"/>
  <c r="R79" i="32"/>
  <c r="Q79" i="32"/>
  <c r="P79" i="32"/>
  <c r="O79" i="32"/>
  <c r="N79" i="32"/>
  <c r="M79" i="32"/>
  <c r="L79" i="32"/>
  <c r="K79" i="32"/>
  <c r="J79" i="32"/>
  <c r="I79" i="32"/>
  <c r="H79" i="32"/>
  <c r="G79" i="32"/>
  <c r="F79" i="32"/>
  <c r="E79" i="32"/>
  <c r="D79" i="32"/>
  <c r="C79" i="32"/>
  <c r="W78" i="32"/>
  <c r="V78" i="32"/>
  <c r="U78" i="32"/>
  <c r="T78" i="32"/>
  <c r="S78" i="32"/>
  <c r="R78" i="32"/>
  <c r="Q78" i="32"/>
  <c r="P78" i="32"/>
  <c r="O78" i="32"/>
  <c r="N78" i="32"/>
  <c r="M78" i="32"/>
  <c r="L78" i="32"/>
  <c r="K78" i="32"/>
  <c r="J78" i="32"/>
  <c r="I78" i="32"/>
  <c r="H78" i="32"/>
  <c r="G78" i="32"/>
  <c r="F78" i="32"/>
  <c r="E78" i="32"/>
  <c r="D78" i="32"/>
  <c r="C78" i="32"/>
  <c r="W77" i="32"/>
  <c r="V77" i="32"/>
  <c r="U77" i="32"/>
  <c r="T77" i="32"/>
  <c r="S77" i="32"/>
  <c r="R77" i="32"/>
  <c r="Q77" i="32"/>
  <c r="P77" i="32"/>
  <c r="O77" i="32"/>
  <c r="N77" i="32"/>
  <c r="M77" i="32"/>
  <c r="L77" i="32"/>
  <c r="K77" i="32"/>
  <c r="J77" i="32"/>
  <c r="I77" i="32"/>
  <c r="H77" i="32"/>
  <c r="G77" i="32"/>
  <c r="F77" i="32"/>
  <c r="E77" i="32"/>
  <c r="D77" i="32"/>
  <c r="C77" i="32"/>
  <c r="W111" i="33"/>
  <c r="V111" i="33"/>
  <c r="U111" i="33"/>
  <c r="T111" i="33"/>
  <c r="S111" i="33"/>
  <c r="R111" i="33"/>
  <c r="Q111" i="33"/>
  <c r="P111" i="33"/>
  <c r="O111" i="33"/>
  <c r="N111" i="33"/>
  <c r="M111" i="33"/>
  <c r="L111" i="33"/>
  <c r="K111" i="33"/>
  <c r="J111" i="33"/>
  <c r="I111" i="33"/>
  <c r="H111" i="33"/>
  <c r="G111" i="33"/>
  <c r="F111" i="33"/>
  <c r="E111" i="33"/>
  <c r="D111" i="33"/>
  <c r="C111" i="33"/>
  <c r="W110" i="33"/>
  <c r="V110" i="33"/>
  <c r="U110" i="33"/>
  <c r="T110" i="33"/>
  <c r="S110" i="33"/>
  <c r="R110" i="33"/>
  <c r="Q110" i="33"/>
  <c r="P110" i="33"/>
  <c r="O110" i="33"/>
  <c r="N110" i="33"/>
  <c r="M110" i="33"/>
  <c r="L110" i="33"/>
  <c r="K110" i="33"/>
  <c r="J110" i="33"/>
  <c r="I110" i="33"/>
  <c r="H110" i="33"/>
  <c r="G110" i="33"/>
  <c r="F110" i="33"/>
  <c r="E110" i="33"/>
  <c r="D110" i="33"/>
  <c r="C110" i="33"/>
  <c r="W109" i="33"/>
  <c r="V109" i="33"/>
  <c r="U109" i="33"/>
  <c r="T109" i="33"/>
  <c r="S109" i="33"/>
  <c r="R109" i="33"/>
  <c r="Q109" i="33"/>
  <c r="P109" i="33"/>
  <c r="O109" i="33"/>
  <c r="N109" i="33"/>
  <c r="M109" i="33"/>
  <c r="L109" i="33"/>
  <c r="K109" i="33"/>
  <c r="J109" i="33"/>
  <c r="I109" i="33"/>
  <c r="H109" i="33"/>
  <c r="G109" i="33"/>
  <c r="F109" i="33"/>
  <c r="E109" i="33"/>
  <c r="D109" i="33"/>
  <c r="C109" i="33"/>
  <c r="W108" i="33"/>
  <c r="V108" i="33"/>
  <c r="U108" i="33"/>
  <c r="T108" i="33"/>
  <c r="S108" i="33"/>
  <c r="R108" i="33"/>
  <c r="Q108" i="33"/>
  <c r="P108" i="33"/>
  <c r="O108" i="33"/>
  <c r="N108" i="33"/>
  <c r="M108" i="33"/>
  <c r="L108" i="33"/>
  <c r="K108" i="33"/>
  <c r="J108" i="33"/>
  <c r="I108" i="33"/>
  <c r="H108" i="33"/>
  <c r="G108" i="33"/>
  <c r="F108" i="33"/>
  <c r="E108" i="33"/>
  <c r="D108" i="33"/>
  <c r="C108" i="33"/>
  <c r="W107" i="33"/>
  <c r="V107" i="33"/>
  <c r="U107" i="33"/>
  <c r="T107" i="33"/>
  <c r="S107" i="33"/>
  <c r="R107" i="33"/>
  <c r="Q107" i="33"/>
  <c r="P107" i="33"/>
  <c r="O107" i="33"/>
  <c r="N107" i="33"/>
  <c r="M107" i="33"/>
  <c r="L107" i="33"/>
  <c r="K107" i="33"/>
  <c r="J107" i="33"/>
  <c r="I107" i="33"/>
  <c r="H107" i="33"/>
  <c r="G107" i="33"/>
  <c r="F107" i="33"/>
  <c r="E107" i="33"/>
  <c r="D107" i="33"/>
  <c r="C107" i="33"/>
  <c r="W106" i="33"/>
  <c r="V106" i="33"/>
  <c r="U106" i="33"/>
  <c r="T106" i="33"/>
  <c r="S106" i="33"/>
  <c r="R106" i="33"/>
  <c r="Q106" i="33"/>
  <c r="P106" i="33"/>
  <c r="O106" i="33"/>
  <c r="N106" i="33"/>
  <c r="M106" i="33"/>
  <c r="L106" i="33"/>
  <c r="K106" i="33"/>
  <c r="J106" i="33"/>
  <c r="I106" i="33"/>
  <c r="H106" i="33"/>
  <c r="G106" i="33"/>
  <c r="F106" i="33"/>
  <c r="E106" i="33"/>
  <c r="D106" i="33"/>
  <c r="C106" i="33"/>
  <c r="W105" i="33"/>
  <c r="V105" i="33"/>
  <c r="U105" i="33"/>
  <c r="T105" i="33"/>
  <c r="S105" i="33"/>
  <c r="R105" i="33"/>
  <c r="Q105" i="33"/>
  <c r="P105" i="33"/>
  <c r="O105" i="33"/>
  <c r="N105" i="33"/>
  <c r="M105" i="33"/>
  <c r="L105" i="33"/>
  <c r="K105" i="33"/>
  <c r="J105" i="33"/>
  <c r="I105" i="33"/>
  <c r="H105" i="33"/>
  <c r="G105" i="33"/>
  <c r="F105" i="33"/>
  <c r="E105" i="33"/>
  <c r="D105" i="33"/>
  <c r="C105" i="33"/>
  <c r="W104" i="33"/>
  <c r="V104" i="33"/>
  <c r="U104" i="33"/>
  <c r="T104" i="33"/>
  <c r="S104" i="33"/>
  <c r="R104" i="33"/>
  <c r="Q104" i="33"/>
  <c r="P104" i="33"/>
  <c r="O104" i="33"/>
  <c r="N104" i="33"/>
  <c r="M104" i="33"/>
  <c r="L104" i="33"/>
  <c r="K104" i="33"/>
  <c r="J104" i="33"/>
  <c r="I104" i="33"/>
  <c r="H104" i="33"/>
  <c r="G104" i="33"/>
  <c r="F104" i="33"/>
  <c r="E104" i="33"/>
  <c r="D104" i="33"/>
  <c r="C104" i="33"/>
  <c r="W103" i="33"/>
  <c r="V103" i="33"/>
  <c r="U103" i="33"/>
  <c r="T103" i="33"/>
  <c r="S103" i="33"/>
  <c r="R103" i="33"/>
  <c r="Q103" i="33"/>
  <c r="P103" i="33"/>
  <c r="O103" i="33"/>
  <c r="N103" i="33"/>
  <c r="M103" i="33"/>
  <c r="L103" i="33"/>
  <c r="K103" i="33"/>
  <c r="J103" i="33"/>
  <c r="I103" i="33"/>
  <c r="H103" i="33"/>
  <c r="G103" i="33"/>
  <c r="F103" i="33"/>
  <c r="E103" i="33"/>
  <c r="D103" i="33"/>
  <c r="C103" i="33"/>
  <c r="W102" i="33"/>
  <c r="V102" i="33"/>
  <c r="U102" i="33"/>
  <c r="T102" i="33"/>
  <c r="S102" i="33"/>
  <c r="R102" i="33"/>
  <c r="Q102" i="33"/>
  <c r="P102" i="33"/>
  <c r="O102" i="33"/>
  <c r="N102" i="33"/>
  <c r="M102" i="33"/>
  <c r="L102" i="33"/>
  <c r="K102" i="33"/>
  <c r="J102" i="33"/>
  <c r="I102" i="33"/>
  <c r="H102" i="33"/>
  <c r="G102" i="33"/>
  <c r="F102" i="33"/>
  <c r="E102" i="33"/>
  <c r="D102" i="33"/>
  <c r="C102" i="33"/>
  <c r="W101" i="33"/>
  <c r="V101" i="33"/>
  <c r="U101" i="33"/>
  <c r="T101" i="33"/>
  <c r="S101" i="33"/>
  <c r="R101" i="33"/>
  <c r="Q101" i="33"/>
  <c r="P101" i="33"/>
  <c r="O101" i="33"/>
  <c r="N101" i="33"/>
  <c r="M101" i="33"/>
  <c r="L101" i="33"/>
  <c r="K101" i="33"/>
  <c r="J101" i="33"/>
  <c r="I101" i="33"/>
  <c r="H101" i="33"/>
  <c r="G101" i="33"/>
  <c r="F101" i="33"/>
  <c r="E101" i="33"/>
  <c r="D101" i="33"/>
  <c r="C101" i="33"/>
  <c r="W100" i="33"/>
  <c r="V100" i="33"/>
  <c r="U100" i="33"/>
  <c r="T100" i="33"/>
  <c r="S100" i="33"/>
  <c r="R100" i="33"/>
  <c r="Q100" i="33"/>
  <c r="P100" i="33"/>
  <c r="O100" i="33"/>
  <c r="N100" i="33"/>
  <c r="M100" i="33"/>
  <c r="L100" i="33"/>
  <c r="K100" i="33"/>
  <c r="J100" i="33"/>
  <c r="I100" i="33"/>
  <c r="H100" i="33"/>
  <c r="G100" i="33"/>
  <c r="F100" i="33"/>
  <c r="E100" i="33"/>
  <c r="D100" i="33"/>
  <c r="C100" i="33"/>
  <c r="W99" i="33"/>
  <c r="V99" i="33"/>
  <c r="U99" i="33"/>
  <c r="T99" i="33"/>
  <c r="S99" i="33"/>
  <c r="R99" i="33"/>
  <c r="Q99" i="33"/>
  <c r="P99" i="33"/>
  <c r="O99" i="33"/>
  <c r="N99" i="33"/>
  <c r="M99" i="33"/>
  <c r="L99" i="33"/>
  <c r="K99" i="33"/>
  <c r="J99" i="33"/>
  <c r="I99" i="33"/>
  <c r="H99" i="33"/>
  <c r="G99" i="33"/>
  <c r="F99" i="33"/>
  <c r="E99" i="33"/>
  <c r="D99" i="33"/>
  <c r="C99" i="33"/>
  <c r="W98" i="33"/>
  <c r="V98" i="33"/>
  <c r="U98" i="33"/>
  <c r="T98" i="33"/>
  <c r="S98" i="33"/>
  <c r="R98" i="33"/>
  <c r="Q98" i="33"/>
  <c r="P98" i="33"/>
  <c r="O98" i="33"/>
  <c r="N98" i="33"/>
  <c r="M98" i="33"/>
  <c r="L98" i="33"/>
  <c r="K98" i="33"/>
  <c r="J98" i="33"/>
  <c r="I98" i="33"/>
  <c r="H98" i="33"/>
  <c r="G98" i="33"/>
  <c r="F98" i="33"/>
  <c r="E98" i="33"/>
  <c r="D98" i="33"/>
  <c r="C98" i="33"/>
  <c r="W97" i="33"/>
  <c r="V97" i="33"/>
  <c r="U97" i="33"/>
  <c r="T97" i="33"/>
  <c r="S97" i="33"/>
  <c r="R97" i="33"/>
  <c r="Q97" i="33"/>
  <c r="P97" i="33"/>
  <c r="O97" i="33"/>
  <c r="N97" i="33"/>
  <c r="M97" i="33"/>
  <c r="L97" i="33"/>
  <c r="K97" i="33"/>
  <c r="J97" i="33"/>
  <c r="I97" i="33"/>
  <c r="H97" i="33"/>
  <c r="G97" i="33"/>
  <c r="F97" i="33"/>
  <c r="E97" i="33"/>
  <c r="D97" i="33"/>
  <c r="C97" i="33"/>
  <c r="W96" i="33"/>
  <c r="V96" i="33"/>
  <c r="U96" i="33"/>
  <c r="T96" i="33"/>
  <c r="S96" i="33"/>
  <c r="R96" i="33"/>
  <c r="Q96" i="33"/>
  <c r="P96" i="33"/>
  <c r="O96" i="33"/>
  <c r="N96" i="33"/>
  <c r="M96" i="33"/>
  <c r="L96" i="33"/>
  <c r="K96" i="33"/>
  <c r="J96" i="33"/>
  <c r="I96" i="33"/>
  <c r="H96" i="33"/>
  <c r="G96" i="33"/>
  <c r="F96" i="33"/>
  <c r="E96" i="33"/>
  <c r="D96" i="33"/>
  <c r="C96" i="33"/>
  <c r="W95" i="33"/>
  <c r="V95" i="33"/>
  <c r="U95" i="33"/>
  <c r="T95" i="33"/>
  <c r="S95" i="33"/>
  <c r="R95" i="33"/>
  <c r="Q95" i="33"/>
  <c r="P95" i="33"/>
  <c r="O95" i="33"/>
  <c r="N95" i="33"/>
  <c r="M95" i="33"/>
  <c r="L95" i="33"/>
  <c r="K95" i="33"/>
  <c r="J95" i="33"/>
  <c r="I95" i="33"/>
  <c r="H95" i="33"/>
  <c r="G95" i="33"/>
  <c r="F95" i="33"/>
  <c r="E95" i="33"/>
  <c r="D95" i="33"/>
  <c r="C95" i="33"/>
  <c r="W94" i="33"/>
  <c r="V94" i="33"/>
  <c r="U94" i="33"/>
  <c r="T94" i="33"/>
  <c r="S94" i="33"/>
  <c r="R94" i="33"/>
  <c r="Q94" i="33"/>
  <c r="P94" i="33"/>
  <c r="O94" i="33"/>
  <c r="N94" i="33"/>
  <c r="M94" i="33"/>
  <c r="L94" i="33"/>
  <c r="K94" i="33"/>
  <c r="J94" i="33"/>
  <c r="I94" i="33"/>
  <c r="H94" i="33"/>
  <c r="G94" i="33"/>
  <c r="F94" i="33"/>
  <c r="E94" i="33"/>
  <c r="D94" i="33"/>
  <c r="C94" i="33"/>
  <c r="W93" i="33"/>
  <c r="V93" i="33"/>
  <c r="U93" i="33"/>
  <c r="T93" i="33"/>
  <c r="S93" i="33"/>
  <c r="R93" i="33"/>
  <c r="Q93" i="33"/>
  <c r="P93" i="33"/>
  <c r="O93" i="33"/>
  <c r="N93" i="33"/>
  <c r="M93" i="33"/>
  <c r="L93" i="33"/>
  <c r="K93" i="33"/>
  <c r="J93" i="33"/>
  <c r="I93" i="33"/>
  <c r="H93" i="33"/>
  <c r="G93" i="33"/>
  <c r="F93" i="33"/>
  <c r="E93" i="33"/>
  <c r="D93" i="33"/>
  <c r="C93" i="33"/>
  <c r="W92" i="33"/>
  <c r="V92" i="33"/>
  <c r="U92" i="33"/>
  <c r="T92" i="33"/>
  <c r="S92" i="33"/>
  <c r="R92" i="33"/>
  <c r="Q92" i="33"/>
  <c r="P92" i="33"/>
  <c r="O92" i="33"/>
  <c r="N92" i="33"/>
  <c r="M92" i="33"/>
  <c r="L92" i="33"/>
  <c r="K92" i="33"/>
  <c r="J92" i="33"/>
  <c r="I92" i="33"/>
  <c r="H92" i="33"/>
  <c r="G92" i="33"/>
  <c r="F92" i="33"/>
  <c r="E92" i="33"/>
  <c r="D92" i="33"/>
  <c r="C92" i="33"/>
  <c r="W91" i="33"/>
  <c r="V91" i="33"/>
  <c r="U91" i="33"/>
  <c r="T91" i="33"/>
  <c r="S91" i="33"/>
  <c r="R91" i="33"/>
  <c r="Q91" i="33"/>
  <c r="P91" i="33"/>
  <c r="O91" i="33"/>
  <c r="N91" i="33"/>
  <c r="M91" i="33"/>
  <c r="L91" i="33"/>
  <c r="K91" i="33"/>
  <c r="J91" i="33"/>
  <c r="I91" i="33"/>
  <c r="H91" i="33"/>
  <c r="G91" i="33"/>
  <c r="F91" i="33"/>
  <c r="E91" i="33"/>
  <c r="D91" i="33"/>
  <c r="C91" i="33"/>
  <c r="W90" i="33"/>
  <c r="V90" i="33"/>
  <c r="U90" i="33"/>
  <c r="T90" i="33"/>
  <c r="S90" i="33"/>
  <c r="R90" i="33"/>
  <c r="Q90" i="33"/>
  <c r="P90" i="33"/>
  <c r="O90" i="33"/>
  <c r="N90" i="33"/>
  <c r="M90" i="33"/>
  <c r="L90" i="33"/>
  <c r="K90" i="33"/>
  <c r="J90" i="33"/>
  <c r="I90" i="33"/>
  <c r="H90" i="33"/>
  <c r="G90" i="33"/>
  <c r="F90" i="33"/>
  <c r="E90" i="33"/>
  <c r="D90" i="33"/>
  <c r="C90" i="33"/>
  <c r="W89" i="33"/>
  <c r="V89" i="33"/>
  <c r="U89" i="33"/>
  <c r="T89" i="33"/>
  <c r="S89" i="33"/>
  <c r="R89" i="33"/>
  <c r="Q89" i="33"/>
  <c r="P89" i="33"/>
  <c r="O89" i="33"/>
  <c r="N89" i="33"/>
  <c r="M89" i="33"/>
  <c r="L89" i="33"/>
  <c r="K89" i="33"/>
  <c r="J89" i="33"/>
  <c r="I89" i="33"/>
  <c r="H89" i="33"/>
  <c r="G89" i="33"/>
  <c r="F89" i="33"/>
  <c r="E89" i="33"/>
  <c r="D89" i="33"/>
  <c r="C89" i="33"/>
  <c r="W88" i="33"/>
  <c r="V88" i="33"/>
  <c r="U88" i="33"/>
  <c r="T88" i="33"/>
  <c r="S88" i="33"/>
  <c r="R88" i="33"/>
  <c r="Q88" i="33"/>
  <c r="P88" i="33"/>
  <c r="O88" i="33"/>
  <c r="N88" i="33"/>
  <c r="M88" i="33"/>
  <c r="L88" i="33"/>
  <c r="K88" i="33"/>
  <c r="J88" i="33"/>
  <c r="I88" i="33"/>
  <c r="H88" i="33"/>
  <c r="G88" i="33"/>
  <c r="F88" i="33"/>
  <c r="E88" i="33"/>
  <c r="D88" i="33"/>
  <c r="C88" i="33"/>
  <c r="W87" i="33"/>
  <c r="V87" i="33"/>
  <c r="U87" i="33"/>
  <c r="T87" i="33"/>
  <c r="S87" i="33"/>
  <c r="R87" i="33"/>
  <c r="Q87" i="33"/>
  <c r="P87" i="33"/>
  <c r="O87" i="33"/>
  <c r="N87" i="33"/>
  <c r="M87" i="33"/>
  <c r="L87" i="33"/>
  <c r="K87" i="33"/>
  <c r="J87" i="33"/>
  <c r="I87" i="33"/>
  <c r="H87" i="33"/>
  <c r="G87" i="33"/>
  <c r="F87" i="33"/>
  <c r="E87" i="33"/>
  <c r="D87" i="33"/>
  <c r="C87" i="33"/>
  <c r="W86" i="33"/>
  <c r="V86" i="33"/>
  <c r="U86" i="33"/>
  <c r="T86" i="33"/>
  <c r="S86" i="33"/>
  <c r="R86" i="33"/>
  <c r="Q86" i="33"/>
  <c r="P86" i="33"/>
  <c r="O86" i="33"/>
  <c r="N86" i="33"/>
  <c r="M86" i="33"/>
  <c r="L86" i="33"/>
  <c r="K86" i="33"/>
  <c r="J86" i="33"/>
  <c r="I86" i="33"/>
  <c r="H86" i="33"/>
  <c r="G86" i="33"/>
  <c r="F86" i="33"/>
  <c r="E86" i="33"/>
  <c r="D86" i="33"/>
  <c r="C86" i="33"/>
  <c r="W85" i="33"/>
  <c r="V85" i="33"/>
  <c r="U85" i="33"/>
  <c r="T85" i="33"/>
  <c r="S85" i="33"/>
  <c r="R85" i="33"/>
  <c r="Q85" i="33"/>
  <c r="P85" i="33"/>
  <c r="O85" i="33"/>
  <c r="N85" i="33"/>
  <c r="M85" i="33"/>
  <c r="L85" i="33"/>
  <c r="K85" i="33"/>
  <c r="J85" i="33"/>
  <c r="I85" i="33"/>
  <c r="H85" i="33"/>
  <c r="G85" i="33"/>
  <c r="F85" i="33"/>
  <c r="E85" i="33"/>
  <c r="D85" i="33"/>
  <c r="C85" i="33"/>
  <c r="W84" i="33"/>
  <c r="V84" i="33"/>
  <c r="U84" i="33"/>
  <c r="T84" i="33"/>
  <c r="S84" i="33"/>
  <c r="R84" i="33"/>
  <c r="Q84" i="33"/>
  <c r="P84" i="33"/>
  <c r="O84" i="33"/>
  <c r="N84" i="33"/>
  <c r="M84" i="33"/>
  <c r="L84" i="33"/>
  <c r="K84" i="33"/>
  <c r="J84" i="33"/>
  <c r="I84" i="33"/>
  <c r="H84" i="33"/>
  <c r="G84" i="33"/>
  <c r="F84" i="33"/>
  <c r="E84" i="33"/>
  <c r="D84" i="33"/>
  <c r="C84" i="33"/>
  <c r="W83" i="33"/>
  <c r="V83" i="33"/>
  <c r="U83" i="33"/>
  <c r="T83" i="33"/>
  <c r="S83" i="33"/>
  <c r="R83" i="33"/>
  <c r="Q83" i="33"/>
  <c r="P83" i="33"/>
  <c r="O83" i="33"/>
  <c r="N83" i="33"/>
  <c r="M83" i="33"/>
  <c r="L83" i="33"/>
  <c r="K83" i="33"/>
  <c r="J83" i="33"/>
  <c r="I83" i="33"/>
  <c r="H83" i="33"/>
  <c r="G83" i="33"/>
  <c r="F83" i="33"/>
  <c r="E83" i="33"/>
  <c r="D83" i="33"/>
  <c r="C83" i="33"/>
  <c r="W82" i="33"/>
  <c r="V82" i="33"/>
  <c r="U82" i="33"/>
  <c r="T82" i="33"/>
  <c r="S82" i="33"/>
  <c r="R82" i="33"/>
  <c r="Q82" i="33"/>
  <c r="P82" i="33"/>
  <c r="O82" i="33"/>
  <c r="N82" i="33"/>
  <c r="M82" i="33"/>
  <c r="L82" i="33"/>
  <c r="K82" i="33"/>
  <c r="J82" i="33"/>
  <c r="I82" i="33"/>
  <c r="H82" i="33"/>
  <c r="G82" i="33"/>
  <c r="F82" i="33"/>
  <c r="E82" i="33"/>
  <c r="D82" i="33"/>
  <c r="C82" i="33"/>
  <c r="W81" i="33"/>
  <c r="V81" i="33"/>
  <c r="U81" i="33"/>
  <c r="T81" i="33"/>
  <c r="S81" i="33"/>
  <c r="R81" i="33"/>
  <c r="Q81" i="33"/>
  <c r="P81" i="33"/>
  <c r="O81" i="33"/>
  <c r="N81" i="33"/>
  <c r="M81" i="33"/>
  <c r="L81" i="33"/>
  <c r="K81" i="33"/>
  <c r="J81" i="33"/>
  <c r="I81" i="33"/>
  <c r="H81" i="33"/>
  <c r="G81" i="33"/>
  <c r="F81" i="33"/>
  <c r="E81" i="33"/>
  <c r="D81" i="33"/>
  <c r="C81" i="33"/>
  <c r="W80" i="33"/>
  <c r="V80" i="33"/>
  <c r="U80" i="33"/>
  <c r="T80" i="33"/>
  <c r="S80" i="33"/>
  <c r="R80" i="33"/>
  <c r="Q80" i="33"/>
  <c r="P80" i="33"/>
  <c r="O80" i="33"/>
  <c r="N80" i="33"/>
  <c r="M80" i="33"/>
  <c r="L80" i="33"/>
  <c r="K80" i="33"/>
  <c r="J80" i="33"/>
  <c r="I80" i="33"/>
  <c r="H80" i="33"/>
  <c r="G80" i="33"/>
  <c r="F80" i="33"/>
  <c r="E80" i="33"/>
  <c r="D80" i="33"/>
  <c r="C80" i="33"/>
  <c r="W79" i="33"/>
  <c r="V79" i="33"/>
  <c r="U79" i="33"/>
  <c r="T79" i="33"/>
  <c r="S79" i="33"/>
  <c r="R79" i="33"/>
  <c r="Q79" i="33"/>
  <c r="P79" i="33"/>
  <c r="O79" i="33"/>
  <c r="N79" i="33"/>
  <c r="M79" i="33"/>
  <c r="L79" i="33"/>
  <c r="K79" i="33"/>
  <c r="J79" i="33"/>
  <c r="I79" i="33"/>
  <c r="H79" i="33"/>
  <c r="G79" i="33"/>
  <c r="F79" i="33"/>
  <c r="E79" i="33"/>
  <c r="D79" i="33"/>
  <c r="C79" i="33"/>
  <c r="W78" i="33"/>
  <c r="V78" i="33"/>
  <c r="U78" i="33"/>
  <c r="T78" i="33"/>
  <c r="S78" i="33"/>
  <c r="R78" i="33"/>
  <c r="Q78" i="33"/>
  <c r="P78" i="33"/>
  <c r="O78" i="33"/>
  <c r="N78" i="33"/>
  <c r="M78" i="33"/>
  <c r="L78" i="33"/>
  <c r="K78" i="33"/>
  <c r="J78" i="33"/>
  <c r="I78" i="33"/>
  <c r="H78" i="33"/>
  <c r="G78" i="33"/>
  <c r="F78" i="33"/>
  <c r="E78" i="33"/>
  <c r="D78" i="33"/>
  <c r="C78" i="33"/>
  <c r="W77" i="33"/>
  <c r="V77" i="33"/>
  <c r="U77" i="33"/>
  <c r="T77" i="33"/>
  <c r="S77" i="33"/>
  <c r="R77" i="33"/>
  <c r="Q77" i="33"/>
  <c r="P77" i="33"/>
  <c r="O77" i="33"/>
  <c r="N77" i="33"/>
  <c r="M77" i="33"/>
  <c r="L77" i="33"/>
  <c r="K77" i="33"/>
  <c r="J77" i="33"/>
  <c r="I77" i="33"/>
  <c r="H77" i="33"/>
  <c r="G77" i="33"/>
  <c r="F77" i="33"/>
  <c r="E77" i="33"/>
  <c r="D77" i="33"/>
  <c r="C77" i="33"/>
  <c r="W111" i="34"/>
  <c r="V111" i="34"/>
  <c r="U111" i="34"/>
  <c r="T111" i="34"/>
  <c r="S111" i="34"/>
  <c r="R111" i="34"/>
  <c r="Q111" i="34"/>
  <c r="P111" i="34"/>
  <c r="O111" i="34"/>
  <c r="N111" i="34"/>
  <c r="M111" i="34"/>
  <c r="L111" i="34"/>
  <c r="K111" i="34"/>
  <c r="J111" i="34"/>
  <c r="I111" i="34"/>
  <c r="H111" i="34"/>
  <c r="G111" i="34"/>
  <c r="F111" i="34"/>
  <c r="E111" i="34"/>
  <c r="D111" i="34"/>
  <c r="C111" i="34"/>
  <c r="W110" i="34"/>
  <c r="V110" i="34"/>
  <c r="U110" i="34"/>
  <c r="T110" i="34"/>
  <c r="S110" i="34"/>
  <c r="R110" i="34"/>
  <c r="Q110" i="34"/>
  <c r="P110" i="34"/>
  <c r="O110" i="34"/>
  <c r="N110" i="34"/>
  <c r="M110" i="34"/>
  <c r="L110" i="34"/>
  <c r="K110" i="34"/>
  <c r="J110" i="34"/>
  <c r="I110" i="34"/>
  <c r="H110" i="34"/>
  <c r="G110" i="34"/>
  <c r="F110" i="34"/>
  <c r="E110" i="34"/>
  <c r="D110" i="34"/>
  <c r="C110" i="34"/>
  <c r="W109" i="34"/>
  <c r="V109" i="34"/>
  <c r="U109" i="34"/>
  <c r="T109" i="34"/>
  <c r="S109" i="34"/>
  <c r="R109" i="34"/>
  <c r="Q109" i="34"/>
  <c r="P109" i="34"/>
  <c r="O109" i="34"/>
  <c r="N109" i="34"/>
  <c r="M109" i="34"/>
  <c r="L109" i="34"/>
  <c r="K109" i="34"/>
  <c r="J109" i="34"/>
  <c r="I109" i="34"/>
  <c r="H109" i="34"/>
  <c r="G109" i="34"/>
  <c r="F109" i="34"/>
  <c r="E109" i="34"/>
  <c r="D109" i="34"/>
  <c r="C109" i="34"/>
  <c r="W108" i="34"/>
  <c r="V108" i="34"/>
  <c r="U108" i="34"/>
  <c r="T108" i="34"/>
  <c r="S108" i="34"/>
  <c r="R108" i="34"/>
  <c r="Q108" i="34"/>
  <c r="P108" i="34"/>
  <c r="O108" i="34"/>
  <c r="N108" i="34"/>
  <c r="M108" i="34"/>
  <c r="L108" i="34"/>
  <c r="K108" i="34"/>
  <c r="J108" i="34"/>
  <c r="I108" i="34"/>
  <c r="H108" i="34"/>
  <c r="G108" i="34"/>
  <c r="F108" i="34"/>
  <c r="E108" i="34"/>
  <c r="D108" i="34"/>
  <c r="C108" i="34"/>
  <c r="W107" i="34"/>
  <c r="V107" i="34"/>
  <c r="U107" i="34"/>
  <c r="T107" i="34"/>
  <c r="S107" i="34"/>
  <c r="R107" i="34"/>
  <c r="Q107" i="34"/>
  <c r="P107" i="34"/>
  <c r="O107" i="34"/>
  <c r="N107" i="34"/>
  <c r="M107" i="34"/>
  <c r="L107" i="34"/>
  <c r="K107" i="34"/>
  <c r="J107" i="34"/>
  <c r="I107" i="34"/>
  <c r="H107" i="34"/>
  <c r="G107" i="34"/>
  <c r="F107" i="34"/>
  <c r="E107" i="34"/>
  <c r="D107" i="34"/>
  <c r="C107" i="34"/>
  <c r="W106" i="34"/>
  <c r="V106" i="34"/>
  <c r="U106" i="34"/>
  <c r="T106" i="34"/>
  <c r="S106" i="34"/>
  <c r="R106" i="34"/>
  <c r="Q106" i="34"/>
  <c r="P106" i="34"/>
  <c r="O106" i="34"/>
  <c r="N106" i="34"/>
  <c r="M106" i="34"/>
  <c r="L106" i="34"/>
  <c r="K106" i="34"/>
  <c r="J106" i="34"/>
  <c r="I106" i="34"/>
  <c r="H106" i="34"/>
  <c r="G106" i="34"/>
  <c r="F106" i="34"/>
  <c r="E106" i="34"/>
  <c r="D106" i="34"/>
  <c r="C106" i="34"/>
  <c r="W105" i="34"/>
  <c r="V105" i="34"/>
  <c r="U105" i="34"/>
  <c r="T105" i="34"/>
  <c r="S105" i="34"/>
  <c r="R105" i="34"/>
  <c r="Q105" i="34"/>
  <c r="P105" i="34"/>
  <c r="O105" i="34"/>
  <c r="N105" i="34"/>
  <c r="M105" i="34"/>
  <c r="L105" i="34"/>
  <c r="K105" i="34"/>
  <c r="J105" i="34"/>
  <c r="I105" i="34"/>
  <c r="H105" i="34"/>
  <c r="G105" i="34"/>
  <c r="F105" i="34"/>
  <c r="E105" i="34"/>
  <c r="D105" i="34"/>
  <c r="C105" i="34"/>
  <c r="W104" i="34"/>
  <c r="V104" i="34"/>
  <c r="U104" i="34"/>
  <c r="T104" i="34"/>
  <c r="S104" i="34"/>
  <c r="R104" i="34"/>
  <c r="Q104" i="34"/>
  <c r="P104" i="34"/>
  <c r="O104" i="34"/>
  <c r="N104" i="34"/>
  <c r="M104" i="34"/>
  <c r="L104" i="34"/>
  <c r="K104" i="34"/>
  <c r="J104" i="34"/>
  <c r="I104" i="34"/>
  <c r="H104" i="34"/>
  <c r="G104" i="34"/>
  <c r="F104" i="34"/>
  <c r="E104" i="34"/>
  <c r="D104" i="34"/>
  <c r="C104" i="34"/>
  <c r="W103" i="34"/>
  <c r="V103" i="34"/>
  <c r="U103" i="34"/>
  <c r="T103" i="34"/>
  <c r="S103" i="34"/>
  <c r="R103" i="34"/>
  <c r="Q103" i="34"/>
  <c r="P103" i="34"/>
  <c r="O103" i="34"/>
  <c r="N103" i="34"/>
  <c r="M103" i="34"/>
  <c r="L103" i="34"/>
  <c r="K103" i="34"/>
  <c r="J103" i="34"/>
  <c r="I103" i="34"/>
  <c r="H103" i="34"/>
  <c r="G103" i="34"/>
  <c r="F103" i="34"/>
  <c r="E103" i="34"/>
  <c r="D103" i="34"/>
  <c r="C103" i="34"/>
  <c r="W102" i="34"/>
  <c r="V102" i="34"/>
  <c r="U102" i="34"/>
  <c r="T102" i="34"/>
  <c r="S102" i="34"/>
  <c r="R102" i="34"/>
  <c r="Q102" i="34"/>
  <c r="P102" i="34"/>
  <c r="O102" i="34"/>
  <c r="N102" i="34"/>
  <c r="M102" i="34"/>
  <c r="L102" i="34"/>
  <c r="K102" i="34"/>
  <c r="J102" i="34"/>
  <c r="I102" i="34"/>
  <c r="H102" i="34"/>
  <c r="G102" i="34"/>
  <c r="F102" i="34"/>
  <c r="E102" i="34"/>
  <c r="D102" i="34"/>
  <c r="C102" i="34"/>
  <c r="W101" i="34"/>
  <c r="V101" i="34"/>
  <c r="U101" i="34"/>
  <c r="T101" i="34"/>
  <c r="S101" i="34"/>
  <c r="R101" i="34"/>
  <c r="Q101" i="34"/>
  <c r="P101" i="34"/>
  <c r="O101" i="34"/>
  <c r="N101" i="34"/>
  <c r="M101" i="34"/>
  <c r="L101" i="34"/>
  <c r="K101" i="34"/>
  <c r="J101" i="34"/>
  <c r="I101" i="34"/>
  <c r="H101" i="34"/>
  <c r="G101" i="34"/>
  <c r="F101" i="34"/>
  <c r="E101" i="34"/>
  <c r="D101" i="34"/>
  <c r="C101" i="34"/>
  <c r="W100" i="34"/>
  <c r="V100" i="34"/>
  <c r="U100" i="34"/>
  <c r="T100" i="34"/>
  <c r="S100" i="34"/>
  <c r="R100" i="34"/>
  <c r="Q100" i="34"/>
  <c r="P100" i="34"/>
  <c r="O100" i="34"/>
  <c r="N100" i="34"/>
  <c r="M100" i="34"/>
  <c r="L100" i="34"/>
  <c r="K100" i="34"/>
  <c r="J100" i="34"/>
  <c r="I100" i="34"/>
  <c r="H100" i="34"/>
  <c r="G100" i="34"/>
  <c r="F100" i="34"/>
  <c r="E100" i="34"/>
  <c r="D100" i="34"/>
  <c r="C100" i="34"/>
  <c r="W99" i="34"/>
  <c r="V99" i="34"/>
  <c r="U99" i="34"/>
  <c r="T99" i="34"/>
  <c r="S99" i="34"/>
  <c r="R99" i="34"/>
  <c r="Q99" i="34"/>
  <c r="P99" i="34"/>
  <c r="O99" i="34"/>
  <c r="N99" i="34"/>
  <c r="M99" i="34"/>
  <c r="L99" i="34"/>
  <c r="K99" i="34"/>
  <c r="J99" i="34"/>
  <c r="I99" i="34"/>
  <c r="H99" i="34"/>
  <c r="G99" i="34"/>
  <c r="F99" i="34"/>
  <c r="E99" i="34"/>
  <c r="D99" i="34"/>
  <c r="C99" i="34"/>
  <c r="W98" i="34"/>
  <c r="V98" i="34"/>
  <c r="U98" i="34"/>
  <c r="T98" i="34"/>
  <c r="S98" i="34"/>
  <c r="R98" i="34"/>
  <c r="Q98" i="34"/>
  <c r="P98" i="34"/>
  <c r="O98" i="34"/>
  <c r="N98" i="34"/>
  <c r="M98" i="34"/>
  <c r="L98" i="34"/>
  <c r="K98" i="34"/>
  <c r="J98" i="34"/>
  <c r="I98" i="34"/>
  <c r="H98" i="34"/>
  <c r="G98" i="34"/>
  <c r="F98" i="34"/>
  <c r="E98" i="34"/>
  <c r="D98" i="34"/>
  <c r="C98" i="34"/>
  <c r="W97" i="34"/>
  <c r="V97" i="34"/>
  <c r="U97" i="34"/>
  <c r="T97" i="34"/>
  <c r="S97" i="34"/>
  <c r="R97" i="34"/>
  <c r="Q97" i="34"/>
  <c r="P97" i="34"/>
  <c r="O97" i="34"/>
  <c r="N97" i="34"/>
  <c r="M97" i="34"/>
  <c r="L97" i="34"/>
  <c r="K97" i="34"/>
  <c r="J97" i="34"/>
  <c r="I97" i="34"/>
  <c r="H97" i="34"/>
  <c r="G97" i="34"/>
  <c r="F97" i="34"/>
  <c r="E97" i="34"/>
  <c r="D97" i="34"/>
  <c r="C97" i="34"/>
  <c r="W96" i="34"/>
  <c r="V96" i="34"/>
  <c r="U96" i="34"/>
  <c r="T96" i="34"/>
  <c r="S96" i="34"/>
  <c r="R96" i="34"/>
  <c r="Q96" i="34"/>
  <c r="P96" i="34"/>
  <c r="O96" i="34"/>
  <c r="N96" i="34"/>
  <c r="M96" i="34"/>
  <c r="L96" i="34"/>
  <c r="K96" i="34"/>
  <c r="J96" i="34"/>
  <c r="I96" i="34"/>
  <c r="H96" i="34"/>
  <c r="G96" i="34"/>
  <c r="F96" i="34"/>
  <c r="E96" i="34"/>
  <c r="D96" i="34"/>
  <c r="C96" i="34"/>
  <c r="W95" i="34"/>
  <c r="V95" i="34"/>
  <c r="U95" i="34"/>
  <c r="T95" i="34"/>
  <c r="S95" i="34"/>
  <c r="R95" i="34"/>
  <c r="Q95" i="34"/>
  <c r="P95" i="34"/>
  <c r="O95" i="34"/>
  <c r="N95" i="34"/>
  <c r="M95" i="34"/>
  <c r="L95" i="34"/>
  <c r="K95" i="34"/>
  <c r="J95" i="34"/>
  <c r="I95" i="34"/>
  <c r="H95" i="34"/>
  <c r="G95" i="34"/>
  <c r="F95" i="34"/>
  <c r="E95" i="34"/>
  <c r="D95" i="34"/>
  <c r="C95" i="34"/>
  <c r="W94" i="34"/>
  <c r="V94" i="34"/>
  <c r="U94" i="34"/>
  <c r="T94" i="34"/>
  <c r="S94" i="34"/>
  <c r="R94" i="34"/>
  <c r="Q94" i="34"/>
  <c r="P94" i="34"/>
  <c r="O94" i="34"/>
  <c r="N94" i="34"/>
  <c r="M94" i="34"/>
  <c r="L94" i="34"/>
  <c r="K94" i="34"/>
  <c r="J94" i="34"/>
  <c r="I94" i="34"/>
  <c r="H94" i="34"/>
  <c r="G94" i="34"/>
  <c r="F94" i="34"/>
  <c r="E94" i="34"/>
  <c r="D94" i="34"/>
  <c r="C94" i="34"/>
  <c r="W93" i="34"/>
  <c r="V93" i="34"/>
  <c r="U93" i="34"/>
  <c r="T93" i="34"/>
  <c r="S93" i="34"/>
  <c r="R93" i="34"/>
  <c r="Q93" i="34"/>
  <c r="P93" i="34"/>
  <c r="O93" i="34"/>
  <c r="N93" i="34"/>
  <c r="M93" i="34"/>
  <c r="L93" i="34"/>
  <c r="K93" i="34"/>
  <c r="J93" i="34"/>
  <c r="I93" i="34"/>
  <c r="H93" i="34"/>
  <c r="G93" i="34"/>
  <c r="F93" i="34"/>
  <c r="E93" i="34"/>
  <c r="D93" i="34"/>
  <c r="C93" i="34"/>
  <c r="W92" i="34"/>
  <c r="V92" i="34"/>
  <c r="U92" i="34"/>
  <c r="T92" i="34"/>
  <c r="S92" i="34"/>
  <c r="R92" i="34"/>
  <c r="Q92" i="34"/>
  <c r="P92" i="34"/>
  <c r="O92" i="34"/>
  <c r="N92" i="34"/>
  <c r="M92" i="34"/>
  <c r="L92" i="34"/>
  <c r="K92" i="34"/>
  <c r="J92" i="34"/>
  <c r="I92" i="34"/>
  <c r="H92" i="34"/>
  <c r="G92" i="34"/>
  <c r="F92" i="34"/>
  <c r="E92" i="34"/>
  <c r="D92" i="34"/>
  <c r="C92" i="34"/>
  <c r="W91" i="34"/>
  <c r="V91" i="34"/>
  <c r="U91" i="34"/>
  <c r="T91" i="34"/>
  <c r="S91" i="34"/>
  <c r="R91" i="34"/>
  <c r="Q91" i="34"/>
  <c r="P91" i="34"/>
  <c r="O91" i="34"/>
  <c r="N91" i="34"/>
  <c r="M91" i="34"/>
  <c r="L91" i="34"/>
  <c r="K91" i="34"/>
  <c r="J91" i="34"/>
  <c r="I91" i="34"/>
  <c r="H91" i="34"/>
  <c r="G91" i="34"/>
  <c r="F91" i="34"/>
  <c r="E91" i="34"/>
  <c r="D91" i="34"/>
  <c r="C91" i="34"/>
  <c r="W90" i="34"/>
  <c r="V90" i="34"/>
  <c r="U90" i="34"/>
  <c r="T90" i="34"/>
  <c r="S90" i="34"/>
  <c r="R90" i="34"/>
  <c r="Q90" i="34"/>
  <c r="P90" i="34"/>
  <c r="O90" i="34"/>
  <c r="N90" i="34"/>
  <c r="M90" i="34"/>
  <c r="L90" i="34"/>
  <c r="K90" i="34"/>
  <c r="J90" i="34"/>
  <c r="I90" i="34"/>
  <c r="H90" i="34"/>
  <c r="G90" i="34"/>
  <c r="F90" i="34"/>
  <c r="E90" i="34"/>
  <c r="D90" i="34"/>
  <c r="C90" i="34"/>
  <c r="W89" i="34"/>
  <c r="V89" i="34"/>
  <c r="U89" i="34"/>
  <c r="T89" i="34"/>
  <c r="S89" i="34"/>
  <c r="R89" i="34"/>
  <c r="Q89" i="34"/>
  <c r="P89" i="34"/>
  <c r="O89" i="34"/>
  <c r="N89" i="34"/>
  <c r="M89" i="34"/>
  <c r="L89" i="34"/>
  <c r="K89" i="34"/>
  <c r="J89" i="34"/>
  <c r="I89" i="34"/>
  <c r="H89" i="34"/>
  <c r="G89" i="34"/>
  <c r="F89" i="34"/>
  <c r="E89" i="34"/>
  <c r="D89" i="34"/>
  <c r="C89" i="34"/>
  <c r="W88" i="34"/>
  <c r="V88" i="34"/>
  <c r="U88" i="34"/>
  <c r="T88" i="34"/>
  <c r="S88" i="34"/>
  <c r="R88" i="34"/>
  <c r="Q88" i="34"/>
  <c r="P88" i="34"/>
  <c r="O88" i="34"/>
  <c r="N88" i="34"/>
  <c r="M88" i="34"/>
  <c r="L88" i="34"/>
  <c r="K88" i="34"/>
  <c r="J88" i="34"/>
  <c r="I88" i="34"/>
  <c r="H88" i="34"/>
  <c r="G88" i="34"/>
  <c r="F88" i="34"/>
  <c r="E88" i="34"/>
  <c r="D88" i="34"/>
  <c r="C88" i="34"/>
  <c r="W87" i="34"/>
  <c r="V87" i="34"/>
  <c r="U87" i="34"/>
  <c r="T87" i="34"/>
  <c r="S87" i="34"/>
  <c r="R87" i="34"/>
  <c r="Q87" i="34"/>
  <c r="P87" i="34"/>
  <c r="O87" i="34"/>
  <c r="N87" i="34"/>
  <c r="M87" i="34"/>
  <c r="L87" i="34"/>
  <c r="K87" i="34"/>
  <c r="J87" i="34"/>
  <c r="I87" i="34"/>
  <c r="H87" i="34"/>
  <c r="G87" i="34"/>
  <c r="F87" i="34"/>
  <c r="E87" i="34"/>
  <c r="D87" i="34"/>
  <c r="C87" i="34"/>
  <c r="W86" i="34"/>
  <c r="V86" i="34"/>
  <c r="U86" i="34"/>
  <c r="T86" i="34"/>
  <c r="S86" i="34"/>
  <c r="R86" i="34"/>
  <c r="Q86" i="34"/>
  <c r="P86" i="34"/>
  <c r="O86" i="34"/>
  <c r="N86" i="34"/>
  <c r="M86" i="34"/>
  <c r="L86" i="34"/>
  <c r="K86" i="34"/>
  <c r="J86" i="34"/>
  <c r="I86" i="34"/>
  <c r="H86" i="34"/>
  <c r="G86" i="34"/>
  <c r="F86" i="34"/>
  <c r="E86" i="34"/>
  <c r="D86" i="34"/>
  <c r="C86" i="34"/>
  <c r="W85" i="34"/>
  <c r="V85" i="34"/>
  <c r="U85" i="34"/>
  <c r="T85" i="34"/>
  <c r="S85" i="34"/>
  <c r="R85" i="34"/>
  <c r="Q85" i="34"/>
  <c r="P85" i="34"/>
  <c r="O85" i="34"/>
  <c r="N85" i="34"/>
  <c r="M85" i="34"/>
  <c r="L85" i="34"/>
  <c r="K85" i="34"/>
  <c r="J85" i="34"/>
  <c r="I85" i="34"/>
  <c r="H85" i="34"/>
  <c r="G85" i="34"/>
  <c r="F85" i="34"/>
  <c r="E85" i="34"/>
  <c r="D85" i="34"/>
  <c r="C85" i="34"/>
  <c r="W84" i="34"/>
  <c r="V84" i="34"/>
  <c r="U84" i="34"/>
  <c r="T84" i="34"/>
  <c r="S84" i="34"/>
  <c r="R84" i="34"/>
  <c r="Q84" i="34"/>
  <c r="P84" i="34"/>
  <c r="O84" i="34"/>
  <c r="N84" i="34"/>
  <c r="M84" i="34"/>
  <c r="L84" i="34"/>
  <c r="K84" i="34"/>
  <c r="J84" i="34"/>
  <c r="I84" i="34"/>
  <c r="H84" i="34"/>
  <c r="G84" i="34"/>
  <c r="F84" i="34"/>
  <c r="E84" i="34"/>
  <c r="D84" i="34"/>
  <c r="C84" i="34"/>
  <c r="W83" i="34"/>
  <c r="V83" i="34"/>
  <c r="U83" i="34"/>
  <c r="T83" i="34"/>
  <c r="S83" i="34"/>
  <c r="R83" i="34"/>
  <c r="Q83" i="34"/>
  <c r="P83" i="34"/>
  <c r="O83" i="34"/>
  <c r="N83" i="34"/>
  <c r="M83" i="34"/>
  <c r="L83" i="34"/>
  <c r="K83" i="34"/>
  <c r="J83" i="34"/>
  <c r="I83" i="34"/>
  <c r="H83" i="34"/>
  <c r="G83" i="34"/>
  <c r="F83" i="34"/>
  <c r="E83" i="34"/>
  <c r="D83" i="34"/>
  <c r="C83" i="34"/>
  <c r="W82" i="34"/>
  <c r="V82" i="34"/>
  <c r="U82" i="34"/>
  <c r="T82" i="34"/>
  <c r="S82" i="34"/>
  <c r="R82" i="34"/>
  <c r="Q82" i="34"/>
  <c r="P82" i="34"/>
  <c r="O82" i="34"/>
  <c r="N82" i="34"/>
  <c r="M82" i="34"/>
  <c r="L82" i="34"/>
  <c r="K82" i="34"/>
  <c r="J82" i="34"/>
  <c r="I82" i="34"/>
  <c r="H82" i="34"/>
  <c r="G82" i="34"/>
  <c r="F82" i="34"/>
  <c r="E82" i="34"/>
  <c r="D82" i="34"/>
  <c r="C82" i="34"/>
  <c r="W81" i="34"/>
  <c r="V81" i="34"/>
  <c r="U81" i="34"/>
  <c r="T81" i="34"/>
  <c r="S81" i="34"/>
  <c r="R81" i="34"/>
  <c r="Q81" i="34"/>
  <c r="P81" i="34"/>
  <c r="O81" i="34"/>
  <c r="N81" i="34"/>
  <c r="M81" i="34"/>
  <c r="L81" i="34"/>
  <c r="K81" i="34"/>
  <c r="J81" i="34"/>
  <c r="I81" i="34"/>
  <c r="H81" i="34"/>
  <c r="G81" i="34"/>
  <c r="F81" i="34"/>
  <c r="E81" i="34"/>
  <c r="D81" i="34"/>
  <c r="C81" i="34"/>
  <c r="W80" i="34"/>
  <c r="V80" i="34"/>
  <c r="U80" i="34"/>
  <c r="T80" i="34"/>
  <c r="S80" i="34"/>
  <c r="R80" i="34"/>
  <c r="Q80" i="34"/>
  <c r="P80" i="34"/>
  <c r="O80" i="34"/>
  <c r="N80" i="34"/>
  <c r="M80" i="34"/>
  <c r="L80" i="34"/>
  <c r="K80" i="34"/>
  <c r="J80" i="34"/>
  <c r="I80" i="34"/>
  <c r="H80" i="34"/>
  <c r="G80" i="34"/>
  <c r="F80" i="34"/>
  <c r="E80" i="34"/>
  <c r="D80" i="34"/>
  <c r="C80" i="34"/>
  <c r="W79" i="34"/>
  <c r="V79" i="34"/>
  <c r="U79" i="34"/>
  <c r="T79" i="34"/>
  <c r="S79" i="34"/>
  <c r="R79" i="34"/>
  <c r="Q79" i="34"/>
  <c r="P79" i="34"/>
  <c r="O79" i="34"/>
  <c r="N79" i="34"/>
  <c r="M79" i="34"/>
  <c r="L79" i="34"/>
  <c r="K79" i="34"/>
  <c r="J79" i="34"/>
  <c r="I79" i="34"/>
  <c r="H79" i="34"/>
  <c r="G79" i="34"/>
  <c r="F79" i="34"/>
  <c r="E79" i="34"/>
  <c r="D79" i="34"/>
  <c r="C79" i="34"/>
  <c r="W78" i="34"/>
  <c r="V78" i="34"/>
  <c r="U78" i="34"/>
  <c r="T78" i="34"/>
  <c r="S78" i="34"/>
  <c r="R78" i="34"/>
  <c r="Q78" i="34"/>
  <c r="P78" i="34"/>
  <c r="O78" i="34"/>
  <c r="N78" i="34"/>
  <c r="M78" i="34"/>
  <c r="L78" i="34"/>
  <c r="K78" i="34"/>
  <c r="J78" i="34"/>
  <c r="I78" i="34"/>
  <c r="H78" i="34"/>
  <c r="G78" i="34"/>
  <c r="F78" i="34"/>
  <c r="E78" i="34"/>
  <c r="D78" i="34"/>
  <c r="C78" i="34"/>
  <c r="W77" i="34"/>
  <c r="V77" i="34"/>
  <c r="U77" i="34"/>
  <c r="T77" i="34"/>
  <c r="S77" i="34"/>
  <c r="R77" i="34"/>
  <c r="Q77" i="34"/>
  <c r="P77" i="34"/>
  <c r="O77" i="34"/>
  <c r="N77" i="34"/>
  <c r="M77" i="34"/>
  <c r="L77" i="34"/>
  <c r="K77" i="34"/>
  <c r="J77" i="34"/>
  <c r="I77" i="34"/>
  <c r="H77" i="34"/>
  <c r="G77" i="34"/>
  <c r="F77" i="34"/>
  <c r="E77" i="34"/>
  <c r="D77" i="34"/>
  <c r="C77" i="34"/>
  <c r="W111" i="35"/>
  <c r="V111" i="35"/>
  <c r="U111" i="35"/>
  <c r="T111" i="35"/>
  <c r="S111" i="35"/>
  <c r="R111" i="35"/>
  <c r="Q111" i="35"/>
  <c r="P111" i="35"/>
  <c r="O111" i="35"/>
  <c r="N111" i="35"/>
  <c r="M111" i="35"/>
  <c r="L111" i="35"/>
  <c r="K111" i="35"/>
  <c r="J111" i="35"/>
  <c r="I111" i="35"/>
  <c r="H111" i="35"/>
  <c r="G111" i="35"/>
  <c r="F111" i="35"/>
  <c r="E111" i="35"/>
  <c r="D111" i="35"/>
  <c r="C111" i="35"/>
  <c r="W110" i="35"/>
  <c r="V110" i="35"/>
  <c r="U110" i="35"/>
  <c r="T110" i="35"/>
  <c r="S110" i="35"/>
  <c r="R110" i="35"/>
  <c r="Q110" i="35"/>
  <c r="P110" i="35"/>
  <c r="O110" i="35"/>
  <c r="N110" i="35"/>
  <c r="M110" i="35"/>
  <c r="L110" i="35"/>
  <c r="K110" i="35"/>
  <c r="J110" i="35"/>
  <c r="I110" i="35"/>
  <c r="H110" i="35"/>
  <c r="G110" i="35"/>
  <c r="F110" i="35"/>
  <c r="E110" i="35"/>
  <c r="D110" i="35"/>
  <c r="C110" i="35"/>
  <c r="W109" i="35"/>
  <c r="V109" i="35"/>
  <c r="U109" i="35"/>
  <c r="T109" i="35"/>
  <c r="S109" i="35"/>
  <c r="R109" i="35"/>
  <c r="Q109" i="35"/>
  <c r="P109" i="35"/>
  <c r="O109" i="35"/>
  <c r="N109" i="35"/>
  <c r="M109" i="35"/>
  <c r="L109" i="35"/>
  <c r="K109" i="35"/>
  <c r="J109" i="35"/>
  <c r="I109" i="35"/>
  <c r="H109" i="35"/>
  <c r="G109" i="35"/>
  <c r="F109" i="35"/>
  <c r="E109" i="35"/>
  <c r="D109" i="35"/>
  <c r="C109" i="35"/>
  <c r="W108" i="35"/>
  <c r="V108" i="35"/>
  <c r="U108" i="35"/>
  <c r="T108" i="35"/>
  <c r="S108" i="35"/>
  <c r="R108" i="35"/>
  <c r="Q108" i="35"/>
  <c r="P108" i="35"/>
  <c r="O108" i="35"/>
  <c r="N108" i="35"/>
  <c r="M108" i="35"/>
  <c r="L108" i="35"/>
  <c r="K108" i="35"/>
  <c r="J108" i="35"/>
  <c r="I108" i="35"/>
  <c r="H108" i="35"/>
  <c r="G108" i="35"/>
  <c r="F108" i="35"/>
  <c r="E108" i="35"/>
  <c r="D108" i="35"/>
  <c r="C108" i="35"/>
  <c r="W107" i="35"/>
  <c r="V107" i="35"/>
  <c r="U107" i="35"/>
  <c r="T107" i="35"/>
  <c r="S107" i="35"/>
  <c r="R107" i="35"/>
  <c r="Q107" i="35"/>
  <c r="P107" i="35"/>
  <c r="O107" i="35"/>
  <c r="N107" i="35"/>
  <c r="M107" i="35"/>
  <c r="L107" i="35"/>
  <c r="K107" i="35"/>
  <c r="J107" i="35"/>
  <c r="I107" i="35"/>
  <c r="H107" i="35"/>
  <c r="G107" i="35"/>
  <c r="F107" i="35"/>
  <c r="E107" i="35"/>
  <c r="D107" i="35"/>
  <c r="C107" i="35"/>
  <c r="W106" i="35"/>
  <c r="V106" i="35"/>
  <c r="U106" i="35"/>
  <c r="T106" i="35"/>
  <c r="S106" i="35"/>
  <c r="R106" i="35"/>
  <c r="Q106" i="35"/>
  <c r="P106" i="35"/>
  <c r="O106" i="35"/>
  <c r="N106" i="35"/>
  <c r="M106" i="35"/>
  <c r="L106" i="35"/>
  <c r="K106" i="35"/>
  <c r="J106" i="35"/>
  <c r="I106" i="35"/>
  <c r="H106" i="35"/>
  <c r="G106" i="35"/>
  <c r="F106" i="35"/>
  <c r="E106" i="35"/>
  <c r="D106" i="35"/>
  <c r="C106" i="35"/>
  <c r="W105" i="35"/>
  <c r="V105" i="35"/>
  <c r="U105" i="35"/>
  <c r="T105" i="35"/>
  <c r="S105" i="35"/>
  <c r="R105" i="35"/>
  <c r="Q105" i="35"/>
  <c r="P105" i="35"/>
  <c r="O105" i="35"/>
  <c r="N105" i="35"/>
  <c r="M105" i="35"/>
  <c r="L105" i="35"/>
  <c r="K105" i="35"/>
  <c r="J105" i="35"/>
  <c r="I105" i="35"/>
  <c r="H105" i="35"/>
  <c r="G105" i="35"/>
  <c r="F105" i="35"/>
  <c r="E105" i="35"/>
  <c r="D105" i="35"/>
  <c r="C105" i="35"/>
  <c r="W104" i="35"/>
  <c r="V104" i="35"/>
  <c r="U104" i="35"/>
  <c r="T104" i="35"/>
  <c r="S104" i="35"/>
  <c r="R104" i="35"/>
  <c r="Q104" i="35"/>
  <c r="P104" i="35"/>
  <c r="O104" i="35"/>
  <c r="N104" i="35"/>
  <c r="M104" i="35"/>
  <c r="L104" i="35"/>
  <c r="K104" i="35"/>
  <c r="J104" i="35"/>
  <c r="I104" i="35"/>
  <c r="H104" i="35"/>
  <c r="G104" i="35"/>
  <c r="F104" i="35"/>
  <c r="E104" i="35"/>
  <c r="D104" i="35"/>
  <c r="C104" i="35"/>
  <c r="W103" i="35"/>
  <c r="V103" i="35"/>
  <c r="U103" i="35"/>
  <c r="T103" i="35"/>
  <c r="S103" i="35"/>
  <c r="R103" i="35"/>
  <c r="Q103" i="35"/>
  <c r="P103" i="35"/>
  <c r="O103" i="35"/>
  <c r="N103" i="35"/>
  <c r="M103" i="35"/>
  <c r="L103" i="35"/>
  <c r="K103" i="35"/>
  <c r="J103" i="35"/>
  <c r="I103" i="35"/>
  <c r="H103" i="35"/>
  <c r="G103" i="35"/>
  <c r="F103" i="35"/>
  <c r="E103" i="35"/>
  <c r="D103" i="35"/>
  <c r="C103" i="35"/>
  <c r="W102" i="35"/>
  <c r="V102" i="35"/>
  <c r="U102" i="35"/>
  <c r="T102" i="35"/>
  <c r="S102" i="35"/>
  <c r="R102" i="35"/>
  <c r="Q102" i="35"/>
  <c r="P102" i="35"/>
  <c r="O102" i="35"/>
  <c r="N102" i="35"/>
  <c r="M102" i="35"/>
  <c r="L102" i="35"/>
  <c r="K102" i="35"/>
  <c r="J102" i="35"/>
  <c r="I102" i="35"/>
  <c r="H102" i="35"/>
  <c r="G102" i="35"/>
  <c r="F102" i="35"/>
  <c r="E102" i="35"/>
  <c r="D102" i="35"/>
  <c r="C102" i="35"/>
  <c r="W101" i="35"/>
  <c r="V101" i="35"/>
  <c r="U101" i="35"/>
  <c r="T101" i="35"/>
  <c r="S101" i="35"/>
  <c r="R101" i="35"/>
  <c r="Q101" i="35"/>
  <c r="P101" i="35"/>
  <c r="O101" i="35"/>
  <c r="N101" i="35"/>
  <c r="M101" i="35"/>
  <c r="L101" i="35"/>
  <c r="K101" i="35"/>
  <c r="J101" i="35"/>
  <c r="I101" i="35"/>
  <c r="H101" i="35"/>
  <c r="G101" i="35"/>
  <c r="F101" i="35"/>
  <c r="E101" i="35"/>
  <c r="D101" i="35"/>
  <c r="C101" i="35"/>
  <c r="W100" i="35"/>
  <c r="V100" i="35"/>
  <c r="U100" i="35"/>
  <c r="T100" i="35"/>
  <c r="S100" i="35"/>
  <c r="R100" i="35"/>
  <c r="Q100" i="35"/>
  <c r="P100" i="35"/>
  <c r="O100" i="35"/>
  <c r="N100" i="35"/>
  <c r="M100" i="35"/>
  <c r="L100" i="35"/>
  <c r="K100" i="35"/>
  <c r="J100" i="35"/>
  <c r="I100" i="35"/>
  <c r="H100" i="35"/>
  <c r="G100" i="35"/>
  <c r="F100" i="35"/>
  <c r="E100" i="35"/>
  <c r="D100" i="35"/>
  <c r="C100" i="35"/>
  <c r="W99" i="35"/>
  <c r="V99" i="35"/>
  <c r="U99" i="35"/>
  <c r="T99" i="35"/>
  <c r="S99" i="35"/>
  <c r="R99" i="35"/>
  <c r="Q99" i="35"/>
  <c r="P99" i="35"/>
  <c r="O99" i="35"/>
  <c r="N99" i="35"/>
  <c r="M99" i="35"/>
  <c r="L99" i="35"/>
  <c r="K99" i="35"/>
  <c r="J99" i="35"/>
  <c r="I99" i="35"/>
  <c r="H99" i="35"/>
  <c r="G99" i="35"/>
  <c r="F99" i="35"/>
  <c r="E99" i="35"/>
  <c r="D99" i="35"/>
  <c r="C99" i="35"/>
  <c r="W98" i="35"/>
  <c r="V98" i="35"/>
  <c r="U98" i="35"/>
  <c r="T98" i="35"/>
  <c r="S98" i="35"/>
  <c r="R98" i="35"/>
  <c r="Q98" i="35"/>
  <c r="P98" i="35"/>
  <c r="O98" i="35"/>
  <c r="N98" i="35"/>
  <c r="M98" i="35"/>
  <c r="L98" i="35"/>
  <c r="K98" i="35"/>
  <c r="J98" i="35"/>
  <c r="I98" i="35"/>
  <c r="H98" i="35"/>
  <c r="G98" i="35"/>
  <c r="F98" i="35"/>
  <c r="E98" i="35"/>
  <c r="D98" i="35"/>
  <c r="C98" i="35"/>
  <c r="W97" i="35"/>
  <c r="V97" i="35"/>
  <c r="U97" i="35"/>
  <c r="T97" i="35"/>
  <c r="S97" i="35"/>
  <c r="R97" i="35"/>
  <c r="Q97" i="35"/>
  <c r="P97" i="35"/>
  <c r="O97" i="35"/>
  <c r="N97" i="35"/>
  <c r="M97" i="35"/>
  <c r="L97" i="35"/>
  <c r="K97" i="35"/>
  <c r="J97" i="35"/>
  <c r="I97" i="35"/>
  <c r="H97" i="35"/>
  <c r="G97" i="35"/>
  <c r="F97" i="35"/>
  <c r="E97" i="35"/>
  <c r="D97" i="35"/>
  <c r="C97" i="35"/>
  <c r="W96" i="35"/>
  <c r="V96" i="35"/>
  <c r="U96" i="35"/>
  <c r="T96" i="35"/>
  <c r="S96" i="35"/>
  <c r="R96" i="35"/>
  <c r="Q96" i="35"/>
  <c r="P96" i="35"/>
  <c r="O96" i="35"/>
  <c r="N96" i="35"/>
  <c r="M96" i="35"/>
  <c r="L96" i="35"/>
  <c r="K96" i="35"/>
  <c r="J96" i="35"/>
  <c r="I96" i="35"/>
  <c r="H96" i="35"/>
  <c r="G96" i="35"/>
  <c r="F96" i="35"/>
  <c r="E96" i="35"/>
  <c r="D96" i="35"/>
  <c r="C96" i="35"/>
  <c r="W95" i="35"/>
  <c r="V95" i="35"/>
  <c r="U95" i="35"/>
  <c r="T95" i="35"/>
  <c r="S95" i="35"/>
  <c r="R95" i="35"/>
  <c r="Q95" i="35"/>
  <c r="P95" i="35"/>
  <c r="O95" i="35"/>
  <c r="N95" i="35"/>
  <c r="M95" i="35"/>
  <c r="L95" i="35"/>
  <c r="K95" i="35"/>
  <c r="J95" i="35"/>
  <c r="I95" i="35"/>
  <c r="H95" i="35"/>
  <c r="G95" i="35"/>
  <c r="F95" i="35"/>
  <c r="E95" i="35"/>
  <c r="D95" i="35"/>
  <c r="C95" i="35"/>
  <c r="W94" i="35"/>
  <c r="V94" i="35"/>
  <c r="U94" i="35"/>
  <c r="T94" i="35"/>
  <c r="S94" i="35"/>
  <c r="R94" i="35"/>
  <c r="Q94" i="35"/>
  <c r="P94" i="35"/>
  <c r="O94" i="35"/>
  <c r="N94" i="35"/>
  <c r="M94" i="35"/>
  <c r="L94" i="35"/>
  <c r="K94" i="35"/>
  <c r="J94" i="35"/>
  <c r="I94" i="35"/>
  <c r="H94" i="35"/>
  <c r="G94" i="35"/>
  <c r="F94" i="35"/>
  <c r="E94" i="35"/>
  <c r="D94" i="35"/>
  <c r="C94" i="35"/>
  <c r="W93" i="35"/>
  <c r="V93" i="35"/>
  <c r="U93" i="35"/>
  <c r="T93" i="35"/>
  <c r="S93" i="35"/>
  <c r="R93" i="35"/>
  <c r="Q93" i="35"/>
  <c r="P93" i="35"/>
  <c r="O93" i="35"/>
  <c r="N93" i="35"/>
  <c r="M93" i="35"/>
  <c r="L93" i="35"/>
  <c r="K93" i="35"/>
  <c r="J93" i="35"/>
  <c r="I93" i="35"/>
  <c r="H93" i="35"/>
  <c r="G93" i="35"/>
  <c r="F93" i="35"/>
  <c r="E93" i="35"/>
  <c r="D93" i="35"/>
  <c r="C93" i="35"/>
  <c r="W92" i="35"/>
  <c r="V92" i="35"/>
  <c r="U92" i="35"/>
  <c r="T92" i="35"/>
  <c r="S92" i="35"/>
  <c r="R92" i="35"/>
  <c r="Q92" i="35"/>
  <c r="P92" i="35"/>
  <c r="O92" i="35"/>
  <c r="N92" i="35"/>
  <c r="M92" i="35"/>
  <c r="L92" i="35"/>
  <c r="K92" i="35"/>
  <c r="J92" i="35"/>
  <c r="I92" i="35"/>
  <c r="H92" i="35"/>
  <c r="G92" i="35"/>
  <c r="F92" i="35"/>
  <c r="E92" i="35"/>
  <c r="D92" i="35"/>
  <c r="C92" i="35"/>
  <c r="W91" i="35"/>
  <c r="V91" i="35"/>
  <c r="U91" i="35"/>
  <c r="T91" i="35"/>
  <c r="S91" i="35"/>
  <c r="R91" i="35"/>
  <c r="Q91" i="35"/>
  <c r="P91" i="35"/>
  <c r="O91" i="35"/>
  <c r="N91" i="35"/>
  <c r="M91" i="35"/>
  <c r="L91" i="35"/>
  <c r="K91" i="35"/>
  <c r="J91" i="35"/>
  <c r="I91" i="35"/>
  <c r="H91" i="35"/>
  <c r="G91" i="35"/>
  <c r="F91" i="35"/>
  <c r="E91" i="35"/>
  <c r="D91" i="35"/>
  <c r="C91" i="35"/>
  <c r="W90" i="35"/>
  <c r="V90" i="35"/>
  <c r="U90" i="35"/>
  <c r="T90" i="35"/>
  <c r="S90" i="35"/>
  <c r="R90" i="35"/>
  <c r="Q90" i="35"/>
  <c r="P90" i="35"/>
  <c r="O90" i="35"/>
  <c r="N90" i="35"/>
  <c r="M90" i="35"/>
  <c r="L90" i="35"/>
  <c r="K90" i="35"/>
  <c r="J90" i="35"/>
  <c r="I90" i="35"/>
  <c r="H90" i="35"/>
  <c r="G90" i="35"/>
  <c r="F90" i="35"/>
  <c r="E90" i="35"/>
  <c r="D90" i="35"/>
  <c r="C90" i="35"/>
  <c r="W89" i="35"/>
  <c r="V89" i="35"/>
  <c r="U89" i="35"/>
  <c r="T89" i="35"/>
  <c r="S89" i="35"/>
  <c r="R89" i="35"/>
  <c r="Q89" i="35"/>
  <c r="P89" i="35"/>
  <c r="O89" i="35"/>
  <c r="N89" i="35"/>
  <c r="M89" i="35"/>
  <c r="L89" i="35"/>
  <c r="K89" i="35"/>
  <c r="J89" i="35"/>
  <c r="I89" i="35"/>
  <c r="H89" i="35"/>
  <c r="G89" i="35"/>
  <c r="F89" i="35"/>
  <c r="E89" i="35"/>
  <c r="D89" i="35"/>
  <c r="C89" i="35"/>
  <c r="W88" i="35"/>
  <c r="V88" i="35"/>
  <c r="U88" i="35"/>
  <c r="T88" i="35"/>
  <c r="S88" i="35"/>
  <c r="R88" i="35"/>
  <c r="Q88" i="35"/>
  <c r="P88" i="35"/>
  <c r="O88" i="35"/>
  <c r="N88" i="35"/>
  <c r="M88" i="35"/>
  <c r="L88" i="35"/>
  <c r="K88" i="35"/>
  <c r="J88" i="35"/>
  <c r="I88" i="35"/>
  <c r="H88" i="35"/>
  <c r="G88" i="35"/>
  <c r="F88" i="35"/>
  <c r="E88" i="35"/>
  <c r="D88" i="35"/>
  <c r="C88" i="35"/>
  <c r="W87" i="35"/>
  <c r="V87" i="35"/>
  <c r="U87" i="35"/>
  <c r="T87" i="35"/>
  <c r="S87" i="35"/>
  <c r="R87" i="35"/>
  <c r="Q87" i="35"/>
  <c r="P87" i="35"/>
  <c r="O87" i="35"/>
  <c r="N87" i="35"/>
  <c r="M87" i="35"/>
  <c r="L87" i="35"/>
  <c r="K87" i="35"/>
  <c r="J87" i="35"/>
  <c r="I87" i="35"/>
  <c r="H87" i="35"/>
  <c r="G87" i="35"/>
  <c r="F87" i="35"/>
  <c r="E87" i="35"/>
  <c r="D87" i="35"/>
  <c r="C87" i="35"/>
  <c r="W86" i="35"/>
  <c r="V86" i="35"/>
  <c r="U86" i="35"/>
  <c r="T86" i="35"/>
  <c r="S86" i="35"/>
  <c r="R86" i="35"/>
  <c r="Q86" i="35"/>
  <c r="P86" i="35"/>
  <c r="O86" i="35"/>
  <c r="N86" i="35"/>
  <c r="M86" i="35"/>
  <c r="L86" i="35"/>
  <c r="K86" i="35"/>
  <c r="J86" i="35"/>
  <c r="I86" i="35"/>
  <c r="H86" i="35"/>
  <c r="G86" i="35"/>
  <c r="F86" i="35"/>
  <c r="E86" i="35"/>
  <c r="D86" i="35"/>
  <c r="C86" i="35"/>
  <c r="W85" i="35"/>
  <c r="V85" i="35"/>
  <c r="U85" i="35"/>
  <c r="T85" i="35"/>
  <c r="S85" i="35"/>
  <c r="R85" i="35"/>
  <c r="Q85" i="35"/>
  <c r="P85" i="35"/>
  <c r="O85" i="35"/>
  <c r="N85" i="35"/>
  <c r="M85" i="35"/>
  <c r="L85" i="35"/>
  <c r="K85" i="35"/>
  <c r="J85" i="35"/>
  <c r="I85" i="35"/>
  <c r="H85" i="35"/>
  <c r="G85" i="35"/>
  <c r="F85" i="35"/>
  <c r="E85" i="35"/>
  <c r="D85" i="35"/>
  <c r="C85" i="35"/>
  <c r="W84" i="35"/>
  <c r="V84" i="35"/>
  <c r="U84" i="35"/>
  <c r="T84" i="35"/>
  <c r="S84" i="35"/>
  <c r="R84" i="35"/>
  <c r="Q84" i="35"/>
  <c r="P84" i="35"/>
  <c r="O84" i="35"/>
  <c r="N84" i="35"/>
  <c r="M84" i="35"/>
  <c r="L84" i="35"/>
  <c r="K84" i="35"/>
  <c r="J84" i="35"/>
  <c r="I84" i="35"/>
  <c r="H84" i="35"/>
  <c r="G84" i="35"/>
  <c r="F84" i="35"/>
  <c r="E84" i="35"/>
  <c r="D84" i="35"/>
  <c r="C84" i="35"/>
  <c r="W83" i="35"/>
  <c r="V83" i="35"/>
  <c r="U83" i="35"/>
  <c r="T83" i="35"/>
  <c r="S83" i="35"/>
  <c r="R83" i="35"/>
  <c r="Q83" i="35"/>
  <c r="P83" i="35"/>
  <c r="O83" i="35"/>
  <c r="N83" i="35"/>
  <c r="M83" i="35"/>
  <c r="L83" i="35"/>
  <c r="K83" i="35"/>
  <c r="J83" i="35"/>
  <c r="I83" i="35"/>
  <c r="H83" i="35"/>
  <c r="G83" i="35"/>
  <c r="F83" i="35"/>
  <c r="E83" i="35"/>
  <c r="D83" i="35"/>
  <c r="C83" i="35"/>
  <c r="W82" i="35"/>
  <c r="V82" i="35"/>
  <c r="U82" i="35"/>
  <c r="T82" i="35"/>
  <c r="S82" i="35"/>
  <c r="R82" i="35"/>
  <c r="Q82" i="35"/>
  <c r="P82" i="35"/>
  <c r="O82" i="35"/>
  <c r="N82" i="35"/>
  <c r="M82" i="35"/>
  <c r="L82" i="35"/>
  <c r="K82" i="35"/>
  <c r="J82" i="35"/>
  <c r="I82" i="35"/>
  <c r="H82" i="35"/>
  <c r="G82" i="35"/>
  <c r="F82" i="35"/>
  <c r="E82" i="35"/>
  <c r="D82" i="35"/>
  <c r="C82" i="35"/>
  <c r="W81" i="35"/>
  <c r="V81" i="35"/>
  <c r="U81" i="35"/>
  <c r="T81" i="35"/>
  <c r="S81" i="35"/>
  <c r="R81" i="35"/>
  <c r="Q81" i="35"/>
  <c r="P81" i="35"/>
  <c r="O81" i="35"/>
  <c r="N81" i="35"/>
  <c r="M81" i="35"/>
  <c r="L81" i="35"/>
  <c r="K81" i="35"/>
  <c r="J81" i="35"/>
  <c r="I81" i="35"/>
  <c r="H81" i="35"/>
  <c r="G81" i="35"/>
  <c r="F81" i="35"/>
  <c r="E81" i="35"/>
  <c r="D81" i="35"/>
  <c r="C81" i="35"/>
  <c r="W80" i="35"/>
  <c r="V80" i="35"/>
  <c r="U80" i="35"/>
  <c r="T80" i="35"/>
  <c r="S80" i="35"/>
  <c r="R80" i="35"/>
  <c r="Q80" i="35"/>
  <c r="P80" i="35"/>
  <c r="O80" i="35"/>
  <c r="N80" i="35"/>
  <c r="M80" i="35"/>
  <c r="L80" i="35"/>
  <c r="K80" i="35"/>
  <c r="J80" i="35"/>
  <c r="I80" i="35"/>
  <c r="H80" i="35"/>
  <c r="G80" i="35"/>
  <c r="F80" i="35"/>
  <c r="E80" i="35"/>
  <c r="D80" i="35"/>
  <c r="C80" i="35"/>
  <c r="W79" i="35"/>
  <c r="V79" i="35"/>
  <c r="U79" i="35"/>
  <c r="T79" i="35"/>
  <c r="S79" i="35"/>
  <c r="R79" i="35"/>
  <c r="Q79" i="35"/>
  <c r="P79" i="35"/>
  <c r="O79" i="35"/>
  <c r="N79" i="35"/>
  <c r="M79" i="35"/>
  <c r="L79" i="35"/>
  <c r="K79" i="35"/>
  <c r="J79" i="35"/>
  <c r="I79" i="35"/>
  <c r="H79" i="35"/>
  <c r="G79" i="35"/>
  <c r="F79" i="35"/>
  <c r="E79" i="35"/>
  <c r="D79" i="35"/>
  <c r="C79" i="35"/>
  <c r="W78" i="35"/>
  <c r="V78" i="35"/>
  <c r="U78" i="35"/>
  <c r="T78" i="35"/>
  <c r="S78" i="35"/>
  <c r="R78" i="35"/>
  <c r="Q78" i="35"/>
  <c r="P78" i="35"/>
  <c r="O78" i="35"/>
  <c r="N78" i="35"/>
  <c r="M78" i="35"/>
  <c r="L78" i="35"/>
  <c r="K78" i="35"/>
  <c r="J78" i="35"/>
  <c r="I78" i="35"/>
  <c r="H78" i="35"/>
  <c r="G78" i="35"/>
  <c r="F78" i="35"/>
  <c r="E78" i="35"/>
  <c r="D78" i="35"/>
  <c r="C78" i="35"/>
  <c r="W77" i="35"/>
  <c r="V77" i="35"/>
  <c r="U77" i="35"/>
  <c r="T77" i="35"/>
  <c r="S77" i="35"/>
  <c r="R77" i="35"/>
  <c r="Q77" i="35"/>
  <c r="P77" i="35"/>
  <c r="O77" i="35"/>
  <c r="N77" i="35"/>
  <c r="M77" i="35"/>
  <c r="L77" i="35"/>
  <c r="K77" i="35"/>
  <c r="J77" i="35"/>
  <c r="I77" i="35"/>
  <c r="H77" i="35"/>
  <c r="G77" i="35"/>
  <c r="F77" i="35"/>
  <c r="E77" i="35"/>
  <c r="D77" i="35"/>
  <c r="C77" i="35"/>
  <c r="C111" i="36"/>
  <c r="D111" i="36"/>
  <c r="E111" i="36"/>
  <c r="F111" i="36"/>
  <c r="G111" i="36"/>
  <c r="H111" i="36"/>
  <c r="I111" i="36"/>
  <c r="J111" i="36"/>
  <c r="K111" i="36"/>
  <c r="L111" i="36"/>
  <c r="M111" i="36"/>
  <c r="N111" i="36"/>
  <c r="O111" i="36"/>
  <c r="P111" i="36"/>
  <c r="Q111" i="36"/>
  <c r="R111" i="36"/>
  <c r="S111" i="36"/>
  <c r="T111" i="36"/>
  <c r="U111" i="36"/>
  <c r="V111" i="36"/>
  <c r="W111" i="36"/>
  <c r="C78" i="36"/>
  <c r="D78" i="36"/>
  <c r="E78" i="36"/>
  <c r="F78" i="36"/>
  <c r="G78" i="36"/>
  <c r="H78" i="36"/>
  <c r="I78" i="36"/>
  <c r="J78" i="36"/>
  <c r="K78" i="36"/>
  <c r="L78" i="36"/>
  <c r="M78" i="36"/>
  <c r="N78" i="36"/>
  <c r="O78" i="36"/>
  <c r="P78" i="36"/>
  <c r="Q78" i="36"/>
  <c r="R78" i="36"/>
  <c r="S78" i="36"/>
  <c r="T78" i="36"/>
  <c r="U78" i="36"/>
  <c r="V78" i="36"/>
  <c r="W78" i="36"/>
  <c r="C79" i="36"/>
  <c r="D79" i="36"/>
  <c r="E79" i="36"/>
  <c r="F79" i="36"/>
  <c r="G79" i="36"/>
  <c r="H79" i="36"/>
  <c r="I79" i="36"/>
  <c r="J79" i="36"/>
  <c r="K79" i="36"/>
  <c r="L79" i="36"/>
  <c r="M79" i="36"/>
  <c r="N79" i="36"/>
  <c r="O79" i="36"/>
  <c r="P79" i="36"/>
  <c r="Q79" i="36"/>
  <c r="R79" i="36"/>
  <c r="S79" i="36"/>
  <c r="T79" i="36"/>
  <c r="U79" i="36"/>
  <c r="V79" i="36"/>
  <c r="W79" i="36"/>
  <c r="C80" i="36"/>
  <c r="D80" i="36"/>
  <c r="E80" i="36"/>
  <c r="F80" i="36"/>
  <c r="G80" i="36"/>
  <c r="H80" i="36"/>
  <c r="I80" i="36"/>
  <c r="J80" i="36"/>
  <c r="K80" i="36"/>
  <c r="L80" i="36"/>
  <c r="M80" i="36"/>
  <c r="N80" i="36"/>
  <c r="O80" i="36"/>
  <c r="P80" i="36"/>
  <c r="Q80" i="36"/>
  <c r="R80" i="36"/>
  <c r="S80" i="36"/>
  <c r="T80" i="36"/>
  <c r="U80" i="36"/>
  <c r="V80" i="36"/>
  <c r="W80" i="36"/>
  <c r="C81" i="36"/>
  <c r="D81" i="36"/>
  <c r="E81" i="36"/>
  <c r="F81" i="36"/>
  <c r="G81" i="36"/>
  <c r="H81" i="36"/>
  <c r="I81" i="36"/>
  <c r="J81" i="36"/>
  <c r="K81" i="36"/>
  <c r="L81" i="36"/>
  <c r="M81" i="36"/>
  <c r="N81" i="36"/>
  <c r="O81" i="36"/>
  <c r="P81" i="36"/>
  <c r="Q81" i="36"/>
  <c r="R81" i="36"/>
  <c r="S81" i="36"/>
  <c r="T81" i="36"/>
  <c r="U81" i="36"/>
  <c r="V81" i="36"/>
  <c r="W81" i="36"/>
  <c r="C82" i="36"/>
  <c r="D82" i="36"/>
  <c r="E82" i="36"/>
  <c r="F82" i="36"/>
  <c r="G82" i="36"/>
  <c r="H82" i="36"/>
  <c r="I82" i="36"/>
  <c r="J82" i="36"/>
  <c r="K82" i="36"/>
  <c r="L82" i="36"/>
  <c r="M82" i="36"/>
  <c r="N82" i="36"/>
  <c r="O82" i="36"/>
  <c r="P82" i="36"/>
  <c r="Q82" i="36"/>
  <c r="R82" i="36"/>
  <c r="S82" i="36"/>
  <c r="T82" i="36"/>
  <c r="U82" i="36"/>
  <c r="V82" i="36"/>
  <c r="W82" i="36"/>
  <c r="C83" i="36"/>
  <c r="D83" i="36"/>
  <c r="E83" i="36"/>
  <c r="F83" i="36"/>
  <c r="G83" i="36"/>
  <c r="H83" i="36"/>
  <c r="I83" i="36"/>
  <c r="J83" i="36"/>
  <c r="K83" i="36"/>
  <c r="L83" i="36"/>
  <c r="M83" i="36"/>
  <c r="N83" i="36"/>
  <c r="O83" i="36"/>
  <c r="P83" i="36"/>
  <c r="Q83" i="36"/>
  <c r="R83" i="36"/>
  <c r="S83" i="36"/>
  <c r="T83" i="36"/>
  <c r="U83" i="36"/>
  <c r="V83" i="36"/>
  <c r="W83" i="36"/>
  <c r="C84" i="36"/>
  <c r="D84" i="36"/>
  <c r="E84" i="36"/>
  <c r="F84" i="36"/>
  <c r="G84" i="36"/>
  <c r="H84" i="36"/>
  <c r="I84" i="36"/>
  <c r="J84" i="36"/>
  <c r="K84" i="36"/>
  <c r="L84" i="36"/>
  <c r="M84" i="36"/>
  <c r="N84" i="36"/>
  <c r="O84" i="36"/>
  <c r="P84" i="36"/>
  <c r="Q84" i="36"/>
  <c r="R84" i="36"/>
  <c r="S84" i="36"/>
  <c r="T84" i="36"/>
  <c r="U84" i="36"/>
  <c r="V84" i="36"/>
  <c r="W84" i="36"/>
  <c r="C85" i="36"/>
  <c r="D85" i="36"/>
  <c r="E85" i="36"/>
  <c r="F85" i="36"/>
  <c r="G85" i="36"/>
  <c r="H85" i="36"/>
  <c r="I85" i="36"/>
  <c r="J85" i="36"/>
  <c r="K85" i="36"/>
  <c r="L85" i="36"/>
  <c r="M85" i="36"/>
  <c r="N85" i="36"/>
  <c r="O85" i="36"/>
  <c r="P85" i="36"/>
  <c r="Q85" i="36"/>
  <c r="R85" i="36"/>
  <c r="S85" i="36"/>
  <c r="T85" i="36"/>
  <c r="U85" i="36"/>
  <c r="V85" i="36"/>
  <c r="W85" i="36"/>
  <c r="C86" i="36"/>
  <c r="D86" i="36"/>
  <c r="E86" i="36"/>
  <c r="F86" i="36"/>
  <c r="G86" i="36"/>
  <c r="H86" i="36"/>
  <c r="I86" i="36"/>
  <c r="J86" i="36"/>
  <c r="K86" i="36"/>
  <c r="L86" i="36"/>
  <c r="M86" i="36"/>
  <c r="N86" i="36"/>
  <c r="O86" i="36"/>
  <c r="P86" i="36"/>
  <c r="Q86" i="36"/>
  <c r="R86" i="36"/>
  <c r="S86" i="36"/>
  <c r="T86" i="36"/>
  <c r="U86" i="36"/>
  <c r="V86" i="36"/>
  <c r="W86" i="36"/>
  <c r="C87" i="36"/>
  <c r="D87" i="36"/>
  <c r="E87" i="36"/>
  <c r="F87" i="36"/>
  <c r="G87" i="36"/>
  <c r="H87" i="36"/>
  <c r="I87" i="36"/>
  <c r="J87" i="36"/>
  <c r="K87" i="36"/>
  <c r="L87" i="36"/>
  <c r="M87" i="36"/>
  <c r="N87" i="36"/>
  <c r="O87" i="36"/>
  <c r="P87" i="36"/>
  <c r="Q87" i="36"/>
  <c r="R87" i="36"/>
  <c r="S87" i="36"/>
  <c r="T87" i="36"/>
  <c r="U87" i="36"/>
  <c r="V87" i="36"/>
  <c r="W87" i="36"/>
  <c r="C88" i="36"/>
  <c r="D88" i="36"/>
  <c r="E88" i="36"/>
  <c r="F88" i="36"/>
  <c r="G88" i="36"/>
  <c r="H88" i="36"/>
  <c r="I88" i="36"/>
  <c r="J88" i="36"/>
  <c r="K88" i="36"/>
  <c r="L88" i="36"/>
  <c r="M88" i="36"/>
  <c r="N88" i="36"/>
  <c r="O88" i="36"/>
  <c r="P88" i="36"/>
  <c r="Q88" i="36"/>
  <c r="R88" i="36"/>
  <c r="S88" i="36"/>
  <c r="T88" i="36"/>
  <c r="U88" i="36"/>
  <c r="V88" i="36"/>
  <c r="W88" i="36"/>
  <c r="C89" i="36"/>
  <c r="D89" i="36"/>
  <c r="E89" i="36"/>
  <c r="F89" i="36"/>
  <c r="G89" i="36"/>
  <c r="H89" i="36"/>
  <c r="I89" i="36"/>
  <c r="J89" i="36"/>
  <c r="K89" i="36"/>
  <c r="L89" i="36"/>
  <c r="M89" i="36"/>
  <c r="N89" i="36"/>
  <c r="O89" i="36"/>
  <c r="P89" i="36"/>
  <c r="Q89" i="36"/>
  <c r="R89" i="36"/>
  <c r="S89" i="36"/>
  <c r="T89" i="36"/>
  <c r="U89" i="36"/>
  <c r="V89" i="36"/>
  <c r="W89" i="36"/>
  <c r="C90" i="36"/>
  <c r="D90" i="36"/>
  <c r="E90" i="36"/>
  <c r="F90" i="36"/>
  <c r="G90" i="36"/>
  <c r="H90" i="36"/>
  <c r="I90" i="36"/>
  <c r="J90" i="36"/>
  <c r="K90" i="36"/>
  <c r="L90" i="36"/>
  <c r="M90" i="36"/>
  <c r="N90" i="36"/>
  <c r="O90" i="36"/>
  <c r="P90" i="36"/>
  <c r="Q90" i="36"/>
  <c r="R90" i="36"/>
  <c r="S90" i="36"/>
  <c r="T90" i="36"/>
  <c r="U90" i="36"/>
  <c r="V90" i="36"/>
  <c r="W90" i="36"/>
  <c r="C91" i="36"/>
  <c r="D91" i="36"/>
  <c r="E91" i="36"/>
  <c r="F91" i="36"/>
  <c r="G91" i="36"/>
  <c r="H91" i="36"/>
  <c r="I91" i="36"/>
  <c r="J91" i="36"/>
  <c r="K91" i="36"/>
  <c r="L91" i="36"/>
  <c r="M91" i="36"/>
  <c r="N91" i="36"/>
  <c r="O91" i="36"/>
  <c r="P91" i="36"/>
  <c r="Q91" i="36"/>
  <c r="R91" i="36"/>
  <c r="S91" i="36"/>
  <c r="T91" i="36"/>
  <c r="U91" i="36"/>
  <c r="V91" i="36"/>
  <c r="W91" i="36"/>
  <c r="C92" i="36"/>
  <c r="D92" i="36"/>
  <c r="E92" i="36"/>
  <c r="F92" i="36"/>
  <c r="G92" i="36"/>
  <c r="H92" i="36"/>
  <c r="I92" i="36"/>
  <c r="J92" i="36"/>
  <c r="K92" i="36"/>
  <c r="L92" i="36"/>
  <c r="M92" i="36"/>
  <c r="N92" i="36"/>
  <c r="O92" i="36"/>
  <c r="P92" i="36"/>
  <c r="Q92" i="36"/>
  <c r="R92" i="36"/>
  <c r="S92" i="36"/>
  <c r="T92" i="36"/>
  <c r="U92" i="36"/>
  <c r="V92" i="36"/>
  <c r="W92" i="36"/>
  <c r="C93" i="36"/>
  <c r="D93" i="36"/>
  <c r="E93" i="36"/>
  <c r="F93" i="36"/>
  <c r="G93" i="36"/>
  <c r="H93" i="36"/>
  <c r="I93" i="36"/>
  <c r="J93" i="36"/>
  <c r="K93" i="36"/>
  <c r="L93" i="36"/>
  <c r="M93" i="36"/>
  <c r="N93" i="36"/>
  <c r="O93" i="36"/>
  <c r="P93" i="36"/>
  <c r="Q93" i="36"/>
  <c r="R93" i="36"/>
  <c r="S93" i="36"/>
  <c r="T93" i="36"/>
  <c r="U93" i="36"/>
  <c r="V93" i="36"/>
  <c r="W93" i="36"/>
  <c r="C94" i="36"/>
  <c r="D94" i="36"/>
  <c r="E94" i="36"/>
  <c r="F94" i="36"/>
  <c r="G94" i="36"/>
  <c r="H94" i="36"/>
  <c r="I94" i="36"/>
  <c r="J94" i="36"/>
  <c r="K94" i="36"/>
  <c r="L94" i="36"/>
  <c r="M94" i="36"/>
  <c r="N94" i="36"/>
  <c r="O94" i="36"/>
  <c r="P94" i="36"/>
  <c r="Q94" i="36"/>
  <c r="R94" i="36"/>
  <c r="S94" i="36"/>
  <c r="T94" i="36"/>
  <c r="U94" i="36"/>
  <c r="V94" i="36"/>
  <c r="W94" i="36"/>
  <c r="C95" i="36"/>
  <c r="D95" i="36"/>
  <c r="E95" i="36"/>
  <c r="F95" i="36"/>
  <c r="G95" i="36"/>
  <c r="H95" i="36"/>
  <c r="I95" i="36"/>
  <c r="J95" i="36"/>
  <c r="K95" i="36"/>
  <c r="L95" i="36"/>
  <c r="M95" i="36"/>
  <c r="N95" i="36"/>
  <c r="O95" i="36"/>
  <c r="P95" i="36"/>
  <c r="Q95" i="36"/>
  <c r="R95" i="36"/>
  <c r="S95" i="36"/>
  <c r="T95" i="36"/>
  <c r="U95" i="36"/>
  <c r="V95" i="36"/>
  <c r="W95" i="36"/>
  <c r="C96" i="36"/>
  <c r="D96" i="36"/>
  <c r="E96" i="36"/>
  <c r="F96" i="36"/>
  <c r="G96" i="36"/>
  <c r="H96" i="36"/>
  <c r="I96" i="36"/>
  <c r="J96" i="36"/>
  <c r="K96" i="36"/>
  <c r="L96" i="36"/>
  <c r="M96" i="36"/>
  <c r="N96" i="36"/>
  <c r="O96" i="36"/>
  <c r="P96" i="36"/>
  <c r="Q96" i="36"/>
  <c r="R96" i="36"/>
  <c r="S96" i="36"/>
  <c r="T96" i="36"/>
  <c r="U96" i="36"/>
  <c r="V96" i="36"/>
  <c r="W96" i="36"/>
  <c r="C97" i="36"/>
  <c r="D97" i="36"/>
  <c r="E97" i="36"/>
  <c r="F97" i="36"/>
  <c r="G97" i="36"/>
  <c r="H97" i="36"/>
  <c r="I97" i="36"/>
  <c r="J97" i="36"/>
  <c r="K97" i="36"/>
  <c r="L97" i="36"/>
  <c r="M97" i="36"/>
  <c r="N97" i="36"/>
  <c r="O97" i="36"/>
  <c r="P97" i="36"/>
  <c r="Q97" i="36"/>
  <c r="R97" i="36"/>
  <c r="S97" i="36"/>
  <c r="T97" i="36"/>
  <c r="U97" i="36"/>
  <c r="V97" i="36"/>
  <c r="W97" i="36"/>
  <c r="C98" i="36"/>
  <c r="D98" i="36"/>
  <c r="E98" i="36"/>
  <c r="F98" i="36"/>
  <c r="G98" i="36"/>
  <c r="H98" i="36"/>
  <c r="I98" i="36"/>
  <c r="J98" i="36"/>
  <c r="K98" i="36"/>
  <c r="L98" i="36"/>
  <c r="M98" i="36"/>
  <c r="N98" i="36"/>
  <c r="O98" i="36"/>
  <c r="P98" i="36"/>
  <c r="Q98" i="36"/>
  <c r="R98" i="36"/>
  <c r="S98" i="36"/>
  <c r="T98" i="36"/>
  <c r="U98" i="36"/>
  <c r="V98" i="36"/>
  <c r="W98" i="36"/>
  <c r="C99" i="36"/>
  <c r="D99" i="36"/>
  <c r="E99" i="36"/>
  <c r="F99" i="36"/>
  <c r="G99" i="36"/>
  <c r="H99" i="36"/>
  <c r="I99" i="36"/>
  <c r="J99" i="36"/>
  <c r="K99" i="36"/>
  <c r="L99" i="36"/>
  <c r="M99" i="36"/>
  <c r="N99" i="36"/>
  <c r="O99" i="36"/>
  <c r="P99" i="36"/>
  <c r="Q99" i="36"/>
  <c r="R99" i="36"/>
  <c r="S99" i="36"/>
  <c r="T99" i="36"/>
  <c r="U99" i="36"/>
  <c r="V99" i="36"/>
  <c r="W99" i="36"/>
  <c r="C100" i="36"/>
  <c r="D100" i="36"/>
  <c r="E100" i="36"/>
  <c r="F100" i="36"/>
  <c r="G100" i="36"/>
  <c r="H100" i="36"/>
  <c r="I100" i="36"/>
  <c r="J100" i="36"/>
  <c r="K100" i="36"/>
  <c r="L100" i="36"/>
  <c r="M100" i="36"/>
  <c r="N100" i="36"/>
  <c r="O100" i="36"/>
  <c r="P100" i="36"/>
  <c r="Q100" i="36"/>
  <c r="R100" i="36"/>
  <c r="S100" i="36"/>
  <c r="T100" i="36"/>
  <c r="U100" i="36"/>
  <c r="V100" i="36"/>
  <c r="W100" i="36"/>
  <c r="C101" i="36"/>
  <c r="D101" i="36"/>
  <c r="E101" i="36"/>
  <c r="F101" i="36"/>
  <c r="G101" i="36"/>
  <c r="H101" i="36"/>
  <c r="I101" i="36"/>
  <c r="J101" i="36"/>
  <c r="K101" i="36"/>
  <c r="L101" i="36"/>
  <c r="M101" i="36"/>
  <c r="N101" i="36"/>
  <c r="O101" i="36"/>
  <c r="P101" i="36"/>
  <c r="Q101" i="36"/>
  <c r="R101" i="36"/>
  <c r="S101" i="36"/>
  <c r="T101" i="36"/>
  <c r="U101" i="36"/>
  <c r="V101" i="36"/>
  <c r="W101" i="36"/>
  <c r="C102" i="36"/>
  <c r="D102" i="36"/>
  <c r="E102" i="36"/>
  <c r="F102" i="36"/>
  <c r="G102" i="36"/>
  <c r="H102" i="36"/>
  <c r="I102" i="36"/>
  <c r="J102" i="36"/>
  <c r="K102" i="36"/>
  <c r="L102" i="36"/>
  <c r="M102" i="36"/>
  <c r="N102" i="36"/>
  <c r="O102" i="36"/>
  <c r="P102" i="36"/>
  <c r="Q102" i="36"/>
  <c r="R102" i="36"/>
  <c r="S102" i="36"/>
  <c r="T102" i="36"/>
  <c r="U102" i="36"/>
  <c r="V102" i="36"/>
  <c r="W102" i="36"/>
  <c r="C103" i="36"/>
  <c r="D103" i="36"/>
  <c r="E103" i="36"/>
  <c r="F103" i="36"/>
  <c r="G103" i="36"/>
  <c r="H103" i="36"/>
  <c r="I103" i="36"/>
  <c r="J103" i="36"/>
  <c r="K103" i="36"/>
  <c r="L103" i="36"/>
  <c r="M103" i="36"/>
  <c r="N103" i="36"/>
  <c r="O103" i="36"/>
  <c r="P103" i="36"/>
  <c r="Q103" i="36"/>
  <c r="R103" i="36"/>
  <c r="S103" i="36"/>
  <c r="T103" i="36"/>
  <c r="U103" i="36"/>
  <c r="V103" i="36"/>
  <c r="W103" i="36"/>
  <c r="C104" i="36"/>
  <c r="D104" i="36"/>
  <c r="E104" i="36"/>
  <c r="F104" i="36"/>
  <c r="G104" i="36"/>
  <c r="H104" i="36"/>
  <c r="I104" i="36"/>
  <c r="J104" i="36"/>
  <c r="K104" i="36"/>
  <c r="L104" i="36"/>
  <c r="M104" i="36"/>
  <c r="N104" i="36"/>
  <c r="O104" i="36"/>
  <c r="P104" i="36"/>
  <c r="Q104" i="36"/>
  <c r="R104" i="36"/>
  <c r="S104" i="36"/>
  <c r="T104" i="36"/>
  <c r="U104" i="36"/>
  <c r="V104" i="36"/>
  <c r="W104" i="36"/>
  <c r="C105" i="36"/>
  <c r="D105" i="36"/>
  <c r="E105" i="36"/>
  <c r="F105" i="36"/>
  <c r="G105" i="36"/>
  <c r="H105" i="36"/>
  <c r="I105" i="36"/>
  <c r="J105" i="36"/>
  <c r="K105" i="36"/>
  <c r="L105" i="36"/>
  <c r="M105" i="36"/>
  <c r="N105" i="36"/>
  <c r="O105" i="36"/>
  <c r="P105" i="36"/>
  <c r="Q105" i="36"/>
  <c r="R105" i="36"/>
  <c r="S105" i="36"/>
  <c r="T105" i="36"/>
  <c r="U105" i="36"/>
  <c r="V105" i="36"/>
  <c r="W105" i="36"/>
  <c r="C106" i="36"/>
  <c r="D106" i="36"/>
  <c r="E106" i="36"/>
  <c r="F106" i="36"/>
  <c r="G106" i="36"/>
  <c r="H106" i="36"/>
  <c r="I106" i="36"/>
  <c r="J106" i="36"/>
  <c r="K106" i="36"/>
  <c r="L106" i="36"/>
  <c r="M106" i="36"/>
  <c r="N106" i="36"/>
  <c r="O106" i="36"/>
  <c r="P106" i="36"/>
  <c r="Q106" i="36"/>
  <c r="R106" i="36"/>
  <c r="S106" i="36"/>
  <c r="T106" i="36"/>
  <c r="U106" i="36"/>
  <c r="V106" i="36"/>
  <c r="W106" i="36"/>
  <c r="C107" i="36"/>
  <c r="D107" i="36"/>
  <c r="E107" i="36"/>
  <c r="F107" i="36"/>
  <c r="G107" i="36"/>
  <c r="H107" i="36"/>
  <c r="I107" i="36"/>
  <c r="J107" i="36"/>
  <c r="K107" i="36"/>
  <c r="L107" i="36"/>
  <c r="M107" i="36"/>
  <c r="N107" i="36"/>
  <c r="O107" i="36"/>
  <c r="P107" i="36"/>
  <c r="Q107" i="36"/>
  <c r="R107" i="36"/>
  <c r="S107" i="36"/>
  <c r="T107" i="36"/>
  <c r="U107" i="36"/>
  <c r="V107" i="36"/>
  <c r="W107" i="36"/>
  <c r="C108" i="36"/>
  <c r="D108" i="36"/>
  <c r="E108" i="36"/>
  <c r="F108" i="36"/>
  <c r="G108" i="36"/>
  <c r="H108" i="36"/>
  <c r="I108" i="36"/>
  <c r="J108" i="36"/>
  <c r="K108" i="36"/>
  <c r="L108" i="36"/>
  <c r="M108" i="36"/>
  <c r="N108" i="36"/>
  <c r="O108" i="36"/>
  <c r="P108" i="36"/>
  <c r="Q108" i="36"/>
  <c r="R108" i="36"/>
  <c r="S108" i="36"/>
  <c r="T108" i="36"/>
  <c r="U108" i="36"/>
  <c r="V108" i="36"/>
  <c r="W108" i="36"/>
  <c r="C109" i="36"/>
  <c r="D109" i="36"/>
  <c r="E109" i="36"/>
  <c r="F109" i="36"/>
  <c r="G109" i="36"/>
  <c r="H109" i="36"/>
  <c r="I109" i="36"/>
  <c r="J109" i="36"/>
  <c r="K109" i="36"/>
  <c r="L109" i="36"/>
  <c r="M109" i="36"/>
  <c r="N109" i="36"/>
  <c r="O109" i="36"/>
  <c r="P109" i="36"/>
  <c r="Q109" i="36"/>
  <c r="R109" i="36"/>
  <c r="S109" i="36"/>
  <c r="T109" i="36"/>
  <c r="U109" i="36"/>
  <c r="V109" i="36"/>
  <c r="W109" i="36"/>
  <c r="C110" i="36"/>
  <c r="D110" i="36"/>
  <c r="E110" i="36"/>
  <c r="F110" i="36"/>
  <c r="G110" i="36"/>
  <c r="H110" i="36"/>
  <c r="I110" i="36"/>
  <c r="J110" i="36"/>
  <c r="K110" i="36"/>
  <c r="L110" i="36"/>
  <c r="M110" i="36"/>
  <c r="N110" i="36"/>
  <c r="O110" i="36"/>
  <c r="P110" i="36"/>
  <c r="Q110" i="36"/>
  <c r="R110" i="36"/>
  <c r="S110" i="36"/>
  <c r="T110" i="36"/>
  <c r="U110" i="36"/>
  <c r="V110" i="36"/>
  <c r="W110" i="36"/>
  <c r="P77" i="36"/>
  <c r="I77" i="36"/>
  <c r="W77" i="36"/>
  <c r="D77" i="36"/>
  <c r="E77" i="36"/>
  <c r="F77" i="36"/>
  <c r="G77" i="36"/>
  <c r="H77" i="36"/>
  <c r="J77" i="36"/>
  <c r="K77" i="36"/>
  <c r="L77" i="36"/>
  <c r="M77" i="36"/>
  <c r="N77" i="36"/>
  <c r="O77" i="36"/>
  <c r="Q77" i="36"/>
  <c r="R77" i="36"/>
  <c r="S77" i="36"/>
  <c r="T77" i="36"/>
  <c r="U77" i="36"/>
  <c r="V77" i="36"/>
  <c r="C77" i="36"/>
  <c r="C109" i="37"/>
  <c r="D109" i="37"/>
  <c r="E109" i="37"/>
  <c r="F109" i="37"/>
  <c r="G109" i="37"/>
  <c r="H109" i="37"/>
  <c r="I109" i="37"/>
  <c r="J109" i="37"/>
  <c r="K109" i="37"/>
  <c r="L109" i="37"/>
  <c r="M109" i="37"/>
  <c r="N109" i="37"/>
  <c r="O109" i="37"/>
  <c r="P109" i="37"/>
  <c r="Q109" i="37"/>
  <c r="R109" i="37"/>
  <c r="S109" i="37"/>
  <c r="T109" i="37"/>
  <c r="U109" i="37"/>
  <c r="V109" i="37"/>
  <c r="W109" i="37"/>
  <c r="C110" i="37"/>
  <c r="D110" i="37"/>
  <c r="E110" i="37"/>
  <c r="F110" i="37"/>
  <c r="G110" i="37"/>
  <c r="H110" i="37"/>
  <c r="I110" i="37"/>
  <c r="J110" i="37"/>
  <c r="K110" i="37"/>
  <c r="L110" i="37"/>
  <c r="M110" i="37"/>
  <c r="N110" i="37"/>
  <c r="O110" i="37"/>
  <c r="P110" i="37"/>
  <c r="Q110" i="37"/>
  <c r="R110" i="37"/>
  <c r="S110" i="37"/>
  <c r="T110" i="37"/>
  <c r="U110" i="37"/>
  <c r="V110" i="37"/>
  <c r="W110" i="37"/>
  <c r="C111" i="37"/>
  <c r="D111" i="37"/>
  <c r="E111" i="37"/>
  <c r="F111" i="37"/>
  <c r="G111" i="37"/>
  <c r="H111" i="37"/>
  <c r="I111" i="37"/>
  <c r="J111" i="37"/>
  <c r="K111" i="37"/>
  <c r="L111" i="37"/>
  <c r="M111" i="37"/>
  <c r="N111" i="37"/>
  <c r="O111" i="37"/>
  <c r="P111" i="37"/>
  <c r="Q111" i="37"/>
  <c r="R111" i="37"/>
  <c r="S111" i="37"/>
  <c r="T111" i="37"/>
  <c r="U111" i="37"/>
  <c r="V111" i="37"/>
  <c r="W111" i="37"/>
  <c r="C78" i="37"/>
  <c r="D78" i="37"/>
  <c r="E78" i="37"/>
  <c r="F78" i="37"/>
  <c r="G78" i="37"/>
  <c r="H78" i="37"/>
  <c r="I78" i="37"/>
  <c r="J78" i="37"/>
  <c r="K78" i="37"/>
  <c r="L78" i="37"/>
  <c r="M78" i="37"/>
  <c r="N78" i="37"/>
  <c r="O78" i="37"/>
  <c r="P78" i="37"/>
  <c r="Q78" i="37"/>
  <c r="R78" i="37"/>
  <c r="S78" i="37"/>
  <c r="T78" i="37"/>
  <c r="U78" i="37"/>
  <c r="V78" i="37"/>
  <c r="W78" i="37"/>
  <c r="C79" i="37"/>
  <c r="D79" i="37"/>
  <c r="E79" i="37"/>
  <c r="F79" i="37"/>
  <c r="G79" i="37"/>
  <c r="H79" i="37"/>
  <c r="I79" i="37"/>
  <c r="J79" i="37"/>
  <c r="K79" i="37"/>
  <c r="L79" i="37"/>
  <c r="M79" i="37"/>
  <c r="N79" i="37"/>
  <c r="O79" i="37"/>
  <c r="P79" i="37"/>
  <c r="Q79" i="37"/>
  <c r="R79" i="37"/>
  <c r="S79" i="37"/>
  <c r="T79" i="37"/>
  <c r="U79" i="37"/>
  <c r="V79" i="37"/>
  <c r="W79" i="37"/>
  <c r="C80" i="37"/>
  <c r="D80" i="37"/>
  <c r="E80" i="37"/>
  <c r="F80" i="37"/>
  <c r="G80" i="37"/>
  <c r="H80" i="37"/>
  <c r="I80" i="37"/>
  <c r="J80" i="37"/>
  <c r="K80" i="37"/>
  <c r="L80" i="37"/>
  <c r="M80" i="37"/>
  <c r="N80" i="37"/>
  <c r="O80" i="37"/>
  <c r="P80" i="37"/>
  <c r="Q80" i="37"/>
  <c r="R80" i="37"/>
  <c r="S80" i="37"/>
  <c r="T80" i="37"/>
  <c r="U80" i="37"/>
  <c r="V80" i="37"/>
  <c r="W80" i="37"/>
  <c r="C81" i="37"/>
  <c r="D81" i="37"/>
  <c r="E81" i="37"/>
  <c r="F81" i="37"/>
  <c r="G81" i="37"/>
  <c r="H81" i="37"/>
  <c r="I81" i="37"/>
  <c r="J81" i="37"/>
  <c r="K81" i="37"/>
  <c r="L81" i="37"/>
  <c r="M81" i="37"/>
  <c r="N81" i="37"/>
  <c r="O81" i="37"/>
  <c r="P81" i="37"/>
  <c r="Q81" i="37"/>
  <c r="R81" i="37"/>
  <c r="S81" i="37"/>
  <c r="T81" i="37"/>
  <c r="U81" i="37"/>
  <c r="V81" i="37"/>
  <c r="W81" i="37"/>
  <c r="C82" i="37"/>
  <c r="D82" i="37"/>
  <c r="E82" i="37"/>
  <c r="F82" i="37"/>
  <c r="G82" i="37"/>
  <c r="H82" i="37"/>
  <c r="I82" i="37"/>
  <c r="J82" i="37"/>
  <c r="K82" i="37"/>
  <c r="L82" i="37"/>
  <c r="M82" i="37"/>
  <c r="N82" i="37"/>
  <c r="O82" i="37"/>
  <c r="P82" i="37"/>
  <c r="Q82" i="37"/>
  <c r="R82" i="37"/>
  <c r="S82" i="37"/>
  <c r="T82" i="37"/>
  <c r="U82" i="37"/>
  <c r="V82" i="37"/>
  <c r="W82" i="37"/>
  <c r="C83" i="37"/>
  <c r="D83" i="37"/>
  <c r="E83" i="37"/>
  <c r="F83" i="37"/>
  <c r="G83" i="37"/>
  <c r="H83" i="37"/>
  <c r="I83" i="37"/>
  <c r="J83" i="37"/>
  <c r="K83" i="37"/>
  <c r="L83" i="37"/>
  <c r="M83" i="37"/>
  <c r="N83" i="37"/>
  <c r="O83" i="37"/>
  <c r="P83" i="37"/>
  <c r="Q83" i="37"/>
  <c r="R83" i="37"/>
  <c r="S83" i="37"/>
  <c r="T83" i="37"/>
  <c r="U83" i="37"/>
  <c r="V83" i="37"/>
  <c r="W83" i="37"/>
  <c r="C84" i="37"/>
  <c r="D84" i="37"/>
  <c r="E84" i="37"/>
  <c r="F84" i="37"/>
  <c r="G84" i="37"/>
  <c r="H84" i="37"/>
  <c r="I84" i="37"/>
  <c r="J84" i="37"/>
  <c r="K84" i="37"/>
  <c r="L84" i="37"/>
  <c r="M84" i="37"/>
  <c r="N84" i="37"/>
  <c r="O84" i="37"/>
  <c r="P84" i="37"/>
  <c r="Q84" i="37"/>
  <c r="R84" i="37"/>
  <c r="S84" i="37"/>
  <c r="T84" i="37"/>
  <c r="U84" i="37"/>
  <c r="V84" i="37"/>
  <c r="W84" i="37"/>
  <c r="C85" i="37"/>
  <c r="D85" i="37"/>
  <c r="E85" i="37"/>
  <c r="F85" i="37"/>
  <c r="G85" i="37"/>
  <c r="H85" i="37"/>
  <c r="I85" i="37"/>
  <c r="J85" i="37"/>
  <c r="K85" i="37"/>
  <c r="L85" i="37"/>
  <c r="M85" i="37"/>
  <c r="N85" i="37"/>
  <c r="O85" i="37"/>
  <c r="P85" i="37"/>
  <c r="Q85" i="37"/>
  <c r="R85" i="37"/>
  <c r="S85" i="37"/>
  <c r="T85" i="37"/>
  <c r="U85" i="37"/>
  <c r="V85" i="37"/>
  <c r="W85" i="37"/>
  <c r="C86" i="37"/>
  <c r="D86" i="37"/>
  <c r="E86" i="37"/>
  <c r="F86" i="37"/>
  <c r="G86" i="37"/>
  <c r="H86" i="37"/>
  <c r="I86" i="37"/>
  <c r="J86" i="37"/>
  <c r="K86" i="37"/>
  <c r="L86" i="37"/>
  <c r="M86" i="37"/>
  <c r="N86" i="37"/>
  <c r="O86" i="37"/>
  <c r="P86" i="37"/>
  <c r="Q86" i="37"/>
  <c r="R86" i="37"/>
  <c r="S86" i="37"/>
  <c r="T86" i="37"/>
  <c r="U86" i="37"/>
  <c r="V86" i="37"/>
  <c r="W86" i="37"/>
  <c r="C87" i="37"/>
  <c r="D87" i="37"/>
  <c r="E87" i="37"/>
  <c r="F87" i="37"/>
  <c r="G87" i="37"/>
  <c r="H87" i="37"/>
  <c r="I87" i="37"/>
  <c r="J87" i="37"/>
  <c r="K87" i="37"/>
  <c r="L87" i="37"/>
  <c r="M87" i="37"/>
  <c r="N87" i="37"/>
  <c r="O87" i="37"/>
  <c r="P87" i="37"/>
  <c r="Q87" i="37"/>
  <c r="R87" i="37"/>
  <c r="S87" i="37"/>
  <c r="T87" i="37"/>
  <c r="U87" i="37"/>
  <c r="V87" i="37"/>
  <c r="W87" i="37"/>
  <c r="C88" i="37"/>
  <c r="D88" i="37"/>
  <c r="E88" i="37"/>
  <c r="F88" i="37"/>
  <c r="G88" i="37"/>
  <c r="H88" i="37"/>
  <c r="I88" i="37"/>
  <c r="J88" i="37"/>
  <c r="K88" i="37"/>
  <c r="L88" i="37"/>
  <c r="M88" i="37"/>
  <c r="N88" i="37"/>
  <c r="O88" i="37"/>
  <c r="P88" i="37"/>
  <c r="Q88" i="37"/>
  <c r="R88" i="37"/>
  <c r="S88" i="37"/>
  <c r="T88" i="37"/>
  <c r="U88" i="37"/>
  <c r="V88" i="37"/>
  <c r="W88" i="37"/>
  <c r="C89" i="37"/>
  <c r="D89" i="37"/>
  <c r="E89" i="37"/>
  <c r="F89" i="37"/>
  <c r="G89" i="37"/>
  <c r="H89" i="37"/>
  <c r="I89" i="37"/>
  <c r="J89" i="37"/>
  <c r="K89" i="37"/>
  <c r="L89" i="37"/>
  <c r="M89" i="37"/>
  <c r="N89" i="37"/>
  <c r="O89" i="37"/>
  <c r="P89" i="37"/>
  <c r="Q89" i="37"/>
  <c r="R89" i="37"/>
  <c r="S89" i="37"/>
  <c r="T89" i="37"/>
  <c r="U89" i="37"/>
  <c r="V89" i="37"/>
  <c r="W89" i="37"/>
  <c r="C90" i="37"/>
  <c r="D90" i="37"/>
  <c r="E90" i="37"/>
  <c r="F90" i="37"/>
  <c r="G90" i="37"/>
  <c r="H90" i="37"/>
  <c r="I90" i="37"/>
  <c r="J90" i="37"/>
  <c r="K90" i="37"/>
  <c r="L90" i="37"/>
  <c r="M90" i="37"/>
  <c r="N90" i="37"/>
  <c r="O90" i="37"/>
  <c r="P90" i="37"/>
  <c r="Q90" i="37"/>
  <c r="R90" i="37"/>
  <c r="S90" i="37"/>
  <c r="T90" i="37"/>
  <c r="U90" i="37"/>
  <c r="V90" i="37"/>
  <c r="W90" i="37"/>
  <c r="C91" i="37"/>
  <c r="D91" i="37"/>
  <c r="E91" i="37"/>
  <c r="F91" i="37"/>
  <c r="G91" i="37"/>
  <c r="H91" i="37"/>
  <c r="I91" i="37"/>
  <c r="J91" i="37"/>
  <c r="K91" i="37"/>
  <c r="L91" i="37"/>
  <c r="M91" i="37"/>
  <c r="N91" i="37"/>
  <c r="O91" i="37"/>
  <c r="P91" i="37"/>
  <c r="Q91" i="37"/>
  <c r="R91" i="37"/>
  <c r="S91" i="37"/>
  <c r="T91" i="37"/>
  <c r="U91" i="37"/>
  <c r="V91" i="37"/>
  <c r="W91" i="37"/>
  <c r="C92" i="37"/>
  <c r="D92" i="37"/>
  <c r="E92" i="37"/>
  <c r="F92" i="37"/>
  <c r="G92" i="37"/>
  <c r="H92" i="37"/>
  <c r="I92" i="37"/>
  <c r="J92" i="37"/>
  <c r="K92" i="37"/>
  <c r="L92" i="37"/>
  <c r="M92" i="37"/>
  <c r="N92" i="37"/>
  <c r="O92" i="37"/>
  <c r="P92" i="37"/>
  <c r="Q92" i="37"/>
  <c r="R92" i="37"/>
  <c r="S92" i="37"/>
  <c r="T92" i="37"/>
  <c r="U92" i="37"/>
  <c r="V92" i="37"/>
  <c r="W92" i="37"/>
  <c r="C93" i="37"/>
  <c r="D93" i="37"/>
  <c r="E93" i="37"/>
  <c r="F93" i="37"/>
  <c r="G93" i="37"/>
  <c r="H93" i="37"/>
  <c r="I93" i="37"/>
  <c r="J93" i="37"/>
  <c r="K93" i="37"/>
  <c r="L93" i="37"/>
  <c r="M93" i="37"/>
  <c r="N93" i="37"/>
  <c r="O93" i="37"/>
  <c r="P93" i="37"/>
  <c r="Q93" i="37"/>
  <c r="R93" i="37"/>
  <c r="S93" i="37"/>
  <c r="T93" i="37"/>
  <c r="U93" i="37"/>
  <c r="V93" i="37"/>
  <c r="W93" i="37"/>
  <c r="C94" i="37"/>
  <c r="D94" i="37"/>
  <c r="E94" i="37"/>
  <c r="F94" i="37"/>
  <c r="G94" i="37"/>
  <c r="H94" i="37"/>
  <c r="I94" i="37"/>
  <c r="J94" i="37"/>
  <c r="K94" i="37"/>
  <c r="L94" i="37"/>
  <c r="M94" i="37"/>
  <c r="N94" i="37"/>
  <c r="O94" i="37"/>
  <c r="P94" i="37"/>
  <c r="Q94" i="37"/>
  <c r="R94" i="37"/>
  <c r="S94" i="37"/>
  <c r="T94" i="37"/>
  <c r="U94" i="37"/>
  <c r="V94" i="37"/>
  <c r="W94" i="37"/>
  <c r="C95" i="37"/>
  <c r="D95" i="37"/>
  <c r="E95" i="37"/>
  <c r="F95" i="37"/>
  <c r="G95" i="37"/>
  <c r="H95" i="37"/>
  <c r="I95" i="37"/>
  <c r="J95" i="37"/>
  <c r="K95" i="37"/>
  <c r="L95" i="37"/>
  <c r="M95" i="37"/>
  <c r="N95" i="37"/>
  <c r="O95" i="37"/>
  <c r="P95" i="37"/>
  <c r="Q95" i="37"/>
  <c r="R95" i="37"/>
  <c r="S95" i="37"/>
  <c r="T95" i="37"/>
  <c r="U95" i="37"/>
  <c r="V95" i="37"/>
  <c r="W95" i="37"/>
  <c r="C96" i="37"/>
  <c r="D96" i="37"/>
  <c r="E96" i="37"/>
  <c r="F96" i="37"/>
  <c r="G96" i="37"/>
  <c r="H96" i="37"/>
  <c r="I96" i="37"/>
  <c r="J96" i="37"/>
  <c r="K96" i="37"/>
  <c r="L96" i="37"/>
  <c r="M96" i="37"/>
  <c r="N96" i="37"/>
  <c r="O96" i="37"/>
  <c r="P96" i="37"/>
  <c r="Q96" i="37"/>
  <c r="R96" i="37"/>
  <c r="S96" i="37"/>
  <c r="T96" i="37"/>
  <c r="U96" i="37"/>
  <c r="V96" i="37"/>
  <c r="W96" i="37"/>
  <c r="C97" i="37"/>
  <c r="D97" i="37"/>
  <c r="E97" i="37"/>
  <c r="F97" i="37"/>
  <c r="G97" i="37"/>
  <c r="H97" i="37"/>
  <c r="I97" i="37"/>
  <c r="J97" i="37"/>
  <c r="K97" i="37"/>
  <c r="L97" i="37"/>
  <c r="M97" i="37"/>
  <c r="N97" i="37"/>
  <c r="O97" i="37"/>
  <c r="P97" i="37"/>
  <c r="Q97" i="37"/>
  <c r="R97" i="37"/>
  <c r="S97" i="37"/>
  <c r="T97" i="37"/>
  <c r="U97" i="37"/>
  <c r="V97" i="37"/>
  <c r="W97" i="37"/>
  <c r="C98" i="37"/>
  <c r="D98" i="37"/>
  <c r="E98" i="37"/>
  <c r="F98" i="37"/>
  <c r="G98" i="37"/>
  <c r="H98" i="37"/>
  <c r="I98" i="37"/>
  <c r="J98" i="37"/>
  <c r="K98" i="37"/>
  <c r="L98" i="37"/>
  <c r="M98" i="37"/>
  <c r="N98" i="37"/>
  <c r="O98" i="37"/>
  <c r="P98" i="37"/>
  <c r="Q98" i="37"/>
  <c r="R98" i="37"/>
  <c r="S98" i="37"/>
  <c r="T98" i="37"/>
  <c r="U98" i="37"/>
  <c r="V98" i="37"/>
  <c r="W98" i="37"/>
  <c r="C99" i="37"/>
  <c r="D99" i="37"/>
  <c r="E99" i="37"/>
  <c r="F99" i="37"/>
  <c r="G99" i="37"/>
  <c r="H99" i="37"/>
  <c r="I99" i="37"/>
  <c r="J99" i="37"/>
  <c r="K99" i="37"/>
  <c r="L99" i="37"/>
  <c r="M99" i="37"/>
  <c r="N99" i="37"/>
  <c r="O99" i="37"/>
  <c r="P99" i="37"/>
  <c r="Q99" i="37"/>
  <c r="R99" i="37"/>
  <c r="S99" i="37"/>
  <c r="T99" i="37"/>
  <c r="U99" i="37"/>
  <c r="V99" i="37"/>
  <c r="W99" i="37"/>
  <c r="C100" i="37"/>
  <c r="D100" i="37"/>
  <c r="E100" i="37"/>
  <c r="F100" i="37"/>
  <c r="G100" i="37"/>
  <c r="H100" i="37"/>
  <c r="I100" i="37"/>
  <c r="J100" i="37"/>
  <c r="K100" i="37"/>
  <c r="L100" i="37"/>
  <c r="M100" i="37"/>
  <c r="N100" i="37"/>
  <c r="O100" i="37"/>
  <c r="P100" i="37"/>
  <c r="Q100" i="37"/>
  <c r="R100" i="37"/>
  <c r="S100" i="37"/>
  <c r="T100" i="37"/>
  <c r="U100" i="37"/>
  <c r="V100" i="37"/>
  <c r="W100" i="37"/>
  <c r="C101" i="37"/>
  <c r="D101" i="37"/>
  <c r="E101" i="37"/>
  <c r="F101" i="37"/>
  <c r="G101" i="37"/>
  <c r="H101" i="37"/>
  <c r="I101" i="37"/>
  <c r="J101" i="37"/>
  <c r="K101" i="37"/>
  <c r="L101" i="37"/>
  <c r="M101" i="37"/>
  <c r="N101" i="37"/>
  <c r="O101" i="37"/>
  <c r="P101" i="37"/>
  <c r="Q101" i="37"/>
  <c r="R101" i="37"/>
  <c r="S101" i="37"/>
  <c r="T101" i="37"/>
  <c r="U101" i="37"/>
  <c r="V101" i="37"/>
  <c r="W101" i="37"/>
  <c r="C102" i="37"/>
  <c r="D102" i="37"/>
  <c r="E102" i="37"/>
  <c r="F102" i="37"/>
  <c r="G102" i="37"/>
  <c r="H102" i="37"/>
  <c r="I102" i="37"/>
  <c r="J102" i="37"/>
  <c r="K102" i="37"/>
  <c r="L102" i="37"/>
  <c r="M102" i="37"/>
  <c r="N102" i="37"/>
  <c r="O102" i="37"/>
  <c r="P102" i="37"/>
  <c r="Q102" i="37"/>
  <c r="R102" i="37"/>
  <c r="S102" i="37"/>
  <c r="T102" i="37"/>
  <c r="U102" i="37"/>
  <c r="V102" i="37"/>
  <c r="W102" i="37"/>
  <c r="C103" i="37"/>
  <c r="D103" i="37"/>
  <c r="E103" i="37"/>
  <c r="F103" i="37"/>
  <c r="G103" i="37"/>
  <c r="H103" i="37"/>
  <c r="I103" i="37"/>
  <c r="J103" i="37"/>
  <c r="K103" i="37"/>
  <c r="L103" i="37"/>
  <c r="M103" i="37"/>
  <c r="N103" i="37"/>
  <c r="O103" i="37"/>
  <c r="P103" i="37"/>
  <c r="Q103" i="37"/>
  <c r="R103" i="37"/>
  <c r="S103" i="37"/>
  <c r="T103" i="37"/>
  <c r="U103" i="37"/>
  <c r="V103" i="37"/>
  <c r="W103" i="37"/>
  <c r="C104" i="37"/>
  <c r="D104" i="37"/>
  <c r="E104" i="37"/>
  <c r="F104" i="37"/>
  <c r="G104" i="37"/>
  <c r="H104" i="37"/>
  <c r="I104" i="37"/>
  <c r="J104" i="37"/>
  <c r="K104" i="37"/>
  <c r="L104" i="37"/>
  <c r="M104" i="37"/>
  <c r="N104" i="37"/>
  <c r="O104" i="37"/>
  <c r="P104" i="37"/>
  <c r="Q104" i="37"/>
  <c r="R104" i="37"/>
  <c r="S104" i="37"/>
  <c r="T104" i="37"/>
  <c r="U104" i="37"/>
  <c r="V104" i="37"/>
  <c r="W104" i="37"/>
  <c r="C105" i="37"/>
  <c r="D105" i="37"/>
  <c r="E105" i="37"/>
  <c r="F105" i="37"/>
  <c r="G105" i="37"/>
  <c r="H105" i="37"/>
  <c r="I105" i="37"/>
  <c r="J105" i="37"/>
  <c r="K105" i="37"/>
  <c r="L105" i="37"/>
  <c r="M105" i="37"/>
  <c r="N105" i="37"/>
  <c r="O105" i="37"/>
  <c r="P105" i="37"/>
  <c r="Q105" i="37"/>
  <c r="R105" i="37"/>
  <c r="S105" i="37"/>
  <c r="T105" i="37"/>
  <c r="U105" i="37"/>
  <c r="V105" i="37"/>
  <c r="W105" i="37"/>
  <c r="C106" i="37"/>
  <c r="D106" i="37"/>
  <c r="E106" i="37"/>
  <c r="F106" i="37"/>
  <c r="G106" i="37"/>
  <c r="H106" i="37"/>
  <c r="I106" i="37"/>
  <c r="J106" i="37"/>
  <c r="K106" i="37"/>
  <c r="L106" i="37"/>
  <c r="M106" i="37"/>
  <c r="N106" i="37"/>
  <c r="O106" i="37"/>
  <c r="P106" i="37"/>
  <c r="Q106" i="37"/>
  <c r="R106" i="37"/>
  <c r="S106" i="37"/>
  <c r="T106" i="37"/>
  <c r="U106" i="37"/>
  <c r="V106" i="37"/>
  <c r="W106" i="37"/>
  <c r="C107" i="37"/>
  <c r="D107" i="37"/>
  <c r="E107" i="37"/>
  <c r="F107" i="37"/>
  <c r="G107" i="37"/>
  <c r="H107" i="37"/>
  <c r="I107" i="37"/>
  <c r="J107" i="37"/>
  <c r="K107" i="37"/>
  <c r="L107" i="37"/>
  <c r="M107" i="37"/>
  <c r="N107" i="37"/>
  <c r="O107" i="37"/>
  <c r="P107" i="37"/>
  <c r="Q107" i="37"/>
  <c r="R107" i="37"/>
  <c r="S107" i="37"/>
  <c r="T107" i="37"/>
  <c r="U107" i="37"/>
  <c r="V107" i="37"/>
  <c r="W107" i="37"/>
  <c r="C108" i="37"/>
  <c r="D108" i="37"/>
  <c r="E108" i="37"/>
  <c r="F108" i="37"/>
  <c r="G108" i="37"/>
  <c r="H108" i="37"/>
  <c r="I108" i="37"/>
  <c r="J108" i="37"/>
  <c r="K108" i="37"/>
  <c r="L108" i="37"/>
  <c r="M108" i="37"/>
  <c r="N108" i="37"/>
  <c r="O108" i="37"/>
  <c r="P108" i="37"/>
  <c r="Q108" i="37"/>
  <c r="R108" i="37"/>
  <c r="S108" i="37"/>
  <c r="T108" i="37"/>
  <c r="U108" i="37"/>
  <c r="V108" i="37"/>
  <c r="W108" i="37"/>
  <c r="W77" i="37"/>
  <c r="P77" i="37"/>
  <c r="I77" i="37"/>
  <c r="D77" i="37"/>
  <c r="E77" i="37"/>
  <c r="F77" i="37"/>
  <c r="G77" i="37"/>
  <c r="H77" i="37"/>
  <c r="J77" i="37"/>
  <c r="K77" i="37"/>
  <c r="L77" i="37"/>
  <c r="M77" i="37"/>
  <c r="N77" i="37"/>
  <c r="O77" i="37"/>
  <c r="Q77" i="37"/>
  <c r="R77" i="37"/>
  <c r="S77" i="37"/>
  <c r="T77" i="37"/>
  <c r="U77" i="37"/>
  <c r="V77" i="37"/>
  <c r="C77" i="37"/>
  <c r="C78" i="38" l="1"/>
  <c r="D78" i="38"/>
  <c r="E78" i="38"/>
  <c r="F78" i="38"/>
  <c r="G78" i="38"/>
  <c r="H78" i="38"/>
  <c r="I78" i="38"/>
  <c r="J78" i="38"/>
  <c r="K78" i="38"/>
  <c r="L78" i="38"/>
  <c r="M78" i="38"/>
  <c r="N78" i="38"/>
  <c r="O78" i="38"/>
  <c r="P78" i="38"/>
  <c r="Q78" i="38"/>
  <c r="R78" i="38"/>
  <c r="S78" i="38"/>
  <c r="T78" i="38"/>
  <c r="U78" i="38"/>
  <c r="V78" i="38"/>
  <c r="W78" i="38"/>
  <c r="C79" i="38"/>
  <c r="D79" i="38"/>
  <c r="E79" i="38"/>
  <c r="F79" i="38"/>
  <c r="G79" i="38"/>
  <c r="H79" i="38"/>
  <c r="I79" i="38"/>
  <c r="J79" i="38"/>
  <c r="K79" i="38"/>
  <c r="L79" i="38"/>
  <c r="M79" i="38"/>
  <c r="N79" i="38"/>
  <c r="O79" i="38"/>
  <c r="P79" i="38"/>
  <c r="Q79" i="38"/>
  <c r="R79" i="38"/>
  <c r="S79" i="38"/>
  <c r="T79" i="38"/>
  <c r="U79" i="38"/>
  <c r="V79" i="38"/>
  <c r="W79" i="38"/>
  <c r="C80" i="38"/>
  <c r="D80" i="38"/>
  <c r="E80" i="38"/>
  <c r="F80" i="38"/>
  <c r="G80" i="38"/>
  <c r="H80" i="38"/>
  <c r="I80" i="38"/>
  <c r="J80" i="38"/>
  <c r="K80" i="38"/>
  <c r="L80" i="38"/>
  <c r="M80" i="38"/>
  <c r="N80" i="38"/>
  <c r="O80" i="38"/>
  <c r="P80" i="38"/>
  <c r="Q80" i="38"/>
  <c r="R80" i="38"/>
  <c r="S80" i="38"/>
  <c r="T80" i="38"/>
  <c r="U80" i="38"/>
  <c r="V80" i="38"/>
  <c r="W80" i="38"/>
  <c r="C81" i="38"/>
  <c r="D81" i="38"/>
  <c r="E81" i="38"/>
  <c r="F81" i="38"/>
  <c r="G81" i="38"/>
  <c r="H81" i="38"/>
  <c r="I81" i="38"/>
  <c r="J81" i="38"/>
  <c r="K81" i="38"/>
  <c r="L81" i="38"/>
  <c r="M81" i="38"/>
  <c r="N81" i="38"/>
  <c r="O81" i="38"/>
  <c r="P81" i="38"/>
  <c r="Q81" i="38"/>
  <c r="R81" i="38"/>
  <c r="S81" i="38"/>
  <c r="T81" i="38"/>
  <c r="U81" i="38"/>
  <c r="V81" i="38"/>
  <c r="W81" i="38"/>
  <c r="C82" i="38"/>
  <c r="D82" i="38"/>
  <c r="E82" i="38"/>
  <c r="F82" i="38"/>
  <c r="G82" i="38"/>
  <c r="H82" i="38"/>
  <c r="I82" i="38"/>
  <c r="J82" i="38"/>
  <c r="K82" i="38"/>
  <c r="L82" i="38"/>
  <c r="M82" i="38"/>
  <c r="N82" i="38"/>
  <c r="O82" i="38"/>
  <c r="P82" i="38"/>
  <c r="Q82" i="38"/>
  <c r="R82" i="38"/>
  <c r="S82" i="38"/>
  <c r="T82" i="38"/>
  <c r="U82" i="38"/>
  <c r="V82" i="38"/>
  <c r="W82" i="38"/>
  <c r="C83" i="38"/>
  <c r="D83" i="38"/>
  <c r="E83" i="38"/>
  <c r="F83" i="38"/>
  <c r="G83" i="38"/>
  <c r="H83" i="38"/>
  <c r="I83" i="38"/>
  <c r="J83" i="38"/>
  <c r="K83" i="38"/>
  <c r="L83" i="38"/>
  <c r="M83" i="38"/>
  <c r="N83" i="38"/>
  <c r="O83" i="38"/>
  <c r="P83" i="38"/>
  <c r="Q83" i="38"/>
  <c r="R83" i="38"/>
  <c r="S83" i="38"/>
  <c r="T83" i="38"/>
  <c r="U83" i="38"/>
  <c r="V83" i="38"/>
  <c r="W83" i="38"/>
  <c r="C84" i="38"/>
  <c r="D84" i="38"/>
  <c r="E84" i="38"/>
  <c r="F84" i="38"/>
  <c r="G84" i="38"/>
  <c r="H84" i="38"/>
  <c r="I84" i="38"/>
  <c r="J84" i="38"/>
  <c r="K84" i="38"/>
  <c r="L84" i="38"/>
  <c r="M84" i="38"/>
  <c r="N84" i="38"/>
  <c r="O84" i="38"/>
  <c r="P84" i="38"/>
  <c r="Q84" i="38"/>
  <c r="R84" i="38"/>
  <c r="S84" i="38"/>
  <c r="T84" i="38"/>
  <c r="U84" i="38"/>
  <c r="V84" i="38"/>
  <c r="W84" i="38"/>
  <c r="C85" i="38"/>
  <c r="D85" i="38"/>
  <c r="E85" i="38"/>
  <c r="F85" i="38"/>
  <c r="G85" i="38"/>
  <c r="H85" i="38"/>
  <c r="I85" i="38"/>
  <c r="J85" i="38"/>
  <c r="K85" i="38"/>
  <c r="L85" i="38"/>
  <c r="M85" i="38"/>
  <c r="N85" i="38"/>
  <c r="O85" i="38"/>
  <c r="P85" i="38"/>
  <c r="Q85" i="38"/>
  <c r="R85" i="38"/>
  <c r="S85" i="38"/>
  <c r="T85" i="38"/>
  <c r="U85" i="38"/>
  <c r="V85" i="38"/>
  <c r="W85" i="38"/>
  <c r="D86" i="38"/>
  <c r="E86" i="38"/>
  <c r="F86" i="38"/>
  <c r="G86" i="38"/>
  <c r="H86" i="38"/>
  <c r="I86" i="38"/>
  <c r="J86" i="38"/>
  <c r="K86" i="38"/>
  <c r="L86" i="38"/>
  <c r="M86" i="38"/>
  <c r="N86" i="38"/>
  <c r="O86" i="38"/>
  <c r="P86" i="38"/>
  <c r="Q86" i="38"/>
  <c r="R86" i="38"/>
  <c r="S86" i="38"/>
  <c r="T86" i="38"/>
  <c r="U86" i="38"/>
  <c r="V86" i="38"/>
  <c r="W86" i="38"/>
  <c r="C87" i="38"/>
  <c r="D87" i="38"/>
  <c r="E87" i="38"/>
  <c r="F87" i="38"/>
  <c r="G87" i="38"/>
  <c r="H87" i="38"/>
  <c r="I87" i="38"/>
  <c r="J87" i="38"/>
  <c r="K87" i="38"/>
  <c r="L87" i="38"/>
  <c r="M87" i="38"/>
  <c r="N87" i="38"/>
  <c r="O87" i="38"/>
  <c r="P87" i="38"/>
  <c r="Q87" i="38"/>
  <c r="R87" i="38"/>
  <c r="S87" i="38"/>
  <c r="T87" i="38"/>
  <c r="U87" i="38"/>
  <c r="V87" i="38"/>
  <c r="W87" i="38"/>
  <c r="C88" i="38"/>
  <c r="D88" i="38"/>
  <c r="E88" i="38"/>
  <c r="F88" i="38"/>
  <c r="G88" i="38"/>
  <c r="H88" i="38"/>
  <c r="I88" i="38"/>
  <c r="J88" i="38"/>
  <c r="K88" i="38"/>
  <c r="L88" i="38"/>
  <c r="M88" i="38"/>
  <c r="N88" i="38"/>
  <c r="O88" i="38"/>
  <c r="P88" i="38"/>
  <c r="Q88" i="38"/>
  <c r="R88" i="38"/>
  <c r="S88" i="38"/>
  <c r="T88" i="38"/>
  <c r="U88" i="38"/>
  <c r="V88" i="38"/>
  <c r="W88" i="38"/>
  <c r="C89" i="38"/>
  <c r="D89" i="38"/>
  <c r="E89" i="38"/>
  <c r="F89" i="38"/>
  <c r="G89" i="38"/>
  <c r="H89" i="38"/>
  <c r="I89" i="38"/>
  <c r="J89" i="38"/>
  <c r="K89" i="38"/>
  <c r="L89" i="38"/>
  <c r="M89" i="38"/>
  <c r="N89" i="38"/>
  <c r="O89" i="38"/>
  <c r="P89" i="38"/>
  <c r="Q89" i="38"/>
  <c r="R89" i="38"/>
  <c r="S89" i="38"/>
  <c r="T89" i="38"/>
  <c r="U89" i="38"/>
  <c r="V89" i="38"/>
  <c r="W89" i="38"/>
  <c r="C90" i="38"/>
  <c r="D90" i="38"/>
  <c r="E90" i="38"/>
  <c r="F90" i="38"/>
  <c r="G90" i="38"/>
  <c r="H90" i="38"/>
  <c r="I90" i="38"/>
  <c r="J90" i="38"/>
  <c r="K90" i="38"/>
  <c r="L90" i="38"/>
  <c r="M90" i="38"/>
  <c r="N90" i="38"/>
  <c r="O90" i="38"/>
  <c r="P90" i="38"/>
  <c r="Q90" i="38"/>
  <c r="R90" i="38"/>
  <c r="S90" i="38"/>
  <c r="T90" i="38"/>
  <c r="U90" i="38"/>
  <c r="V90" i="38"/>
  <c r="W90" i="38"/>
  <c r="C91" i="38"/>
  <c r="D91" i="38"/>
  <c r="E91" i="38"/>
  <c r="F91" i="38"/>
  <c r="G91" i="38"/>
  <c r="H91" i="38"/>
  <c r="I91" i="38"/>
  <c r="J91" i="38"/>
  <c r="K91" i="38"/>
  <c r="L91" i="38"/>
  <c r="M91" i="38"/>
  <c r="N91" i="38"/>
  <c r="O91" i="38"/>
  <c r="P91" i="38"/>
  <c r="Q91" i="38"/>
  <c r="R91" i="38"/>
  <c r="S91" i="38"/>
  <c r="T91" i="38"/>
  <c r="U91" i="38"/>
  <c r="V91" i="38"/>
  <c r="W91" i="38"/>
  <c r="C92" i="38"/>
  <c r="D92" i="38"/>
  <c r="E92" i="38"/>
  <c r="F92" i="38"/>
  <c r="G92" i="38"/>
  <c r="H92" i="38"/>
  <c r="I92" i="38"/>
  <c r="J92" i="38"/>
  <c r="K92" i="38"/>
  <c r="L92" i="38"/>
  <c r="M92" i="38"/>
  <c r="N92" i="38"/>
  <c r="O92" i="38"/>
  <c r="P92" i="38"/>
  <c r="Q92" i="38"/>
  <c r="R92" i="38"/>
  <c r="S92" i="38"/>
  <c r="T92" i="38"/>
  <c r="U92" i="38"/>
  <c r="V92" i="38"/>
  <c r="W92" i="38"/>
  <c r="C93" i="38"/>
  <c r="D93" i="38"/>
  <c r="E93" i="38"/>
  <c r="F93" i="38"/>
  <c r="G93" i="38"/>
  <c r="H93" i="38"/>
  <c r="I93" i="38"/>
  <c r="J93" i="38"/>
  <c r="K93" i="38"/>
  <c r="L93" i="38"/>
  <c r="M93" i="38"/>
  <c r="N93" i="38"/>
  <c r="O93" i="38"/>
  <c r="P93" i="38"/>
  <c r="Q93" i="38"/>
  <c r="R93" i="38"/>
  <c r="S93" i="38"/>
  <c r="T93" i="38"/>
  <c r="U93" i="38"/>
  <c r="V93" i="38"/>
  <c r="W93" i="38"/>
  <c r="C94" i="38"/>
  <c r="D94" i="38"/>
  <c r="E94" i="38"/>
  <c r="F94" i="38"/>
  <c r="G94" i="38"/>
  <c r="H94" i="38"/>
  <c r="I94" i="38"/>
  <c r="J94" i="38"/>
  <c r="K94" i="38"/>
  <c r="L94" i="38"/>
  <c r="M94" i="38"/>
  <c r="N94" i="38"/>
  <c r="O94" i="38"/>
  <c r="P94" i="38"/>
  <c r="Q94" i="38"/>
  <c r="R94" i="38"/>
  <c r="S94" i="38"/>
  <c r="T94" i="38"/>
  <c r="U94" i="38"/>
  <c r="V94" i="38"/>
  <c r="W94" i="38"/>
  <c r="C95" i="38"/>
  <c r="D95" i="38"/>
  <c r="E95" i="38"/>
  <c r="F95" i="38"/>
  <c r="G95" i="38"/>
  <c r="H95" i="38"/>
  <c r="I95" i="38"/>
  <c r="J95" i="38"/>
  <c r="K95" i="38"/>
  <c r="L95" i="38"/>
  <c r="M95" i="38"/>
  <c r="N95" i="38"/>
  <c r="O95" i="38"/>
  <c r="P95" i="38"/>
  <c r="Q95" i="38"/>
  <c r="R95" i="38"/>
  <c r="S95" i="38"/>
  <c r="T95" i="38"/>
  <c r="U95" i="38"/>
  <c r="V95" i="38"/>
  <c r="W95" i="38"/>
  <c r="C96" i="38"/>
  <c r="D96" i="38"/>
  <c r="E96" i="38"/>
  <c r="F96" i="38"/>
  <c r="G96" i="38"/>
  <c r="H96" i="38"/>
  <c r="I96" i="38"/>
  <c r="J96" i="38"/>
  <c r="K96" i="38"/>
  <c r="L96" i="38"/>
  <c r="M96" i="38"/>
  <c r="N96" i="38"/>
  <c r="O96" i="38"/>
  <c r="P96" i="38"/>
  <c r="Q96" i="38"/>
  <c r="R96" i="38"/>
  <c r="S96" i="38"/>
  <c r="T96" i="38"/>
  <c r="U96" i="38"/>
  <c r="V96" i="38"/>
  <c r="W96" i="38"/>
  <c r="C97" i="38"/>
  <c r="D97" i="38"/>
  <c r="E97" i="38"/>
  <c r="F97" i="38"/>
  <c r="G97" i="38"/>
  <c r="H97" i="38"/>
  <c r="I97" i="38"/>
  <c r="J97" i="38"/>
  <c r="K97" i="38"/>
  <c r="L97" i="38"/>
  <c r="M97" i="38"/>
  <c r="N97" i="38"/>
  <c r="O97" i="38"/>
  <c r="P97" i="38"/>
  <c r="Q97" i="38"/>
  <c r="R97" i="38"/>
  <c r="S97" i="38"/>
  <c r="T97" i="38"/>
  <c r="U97" i="38"/>
  <c r="V97" i="38"/>
  <c r="W97" i="38"/>
  <c r="C98" i="38"/>
  <c r="D98" i="38"/>
  <c r="E98" i="38"/>
  <c r="F98" i="38"/>
  <c r="G98" i="38"/>
  <c r="H98" i="38"/>
  <c r="I98" i="38"/>
  <c r="J98" i="38"/>
  <c r="K98" i="38"/>
  <c r="L98" i="38"/>
  <c r="M98" i="38"/>
  <c r="N98" i="38"/>
  <c r="O98" i="38"/>
  <c r="P98" i="38"/>
  <c r="Q98" i="38"/>
  <c r="R98" i="38"/>
  <c r="S98" i="38"/>
  <c r="T98" i="38"/>
  <c r="U98" i="38"/>
  <c r="V98" i="38"/>
  <c r="W98" i="38"/>
  <c r="C99" i="38"/>
  <c r="D99" i="38"/>
  <c r="E99" i="38"/>
  <c r="F99" i="38"/>
  <c r="G99" i="38"/>
  <c r="H99" i="38"/>
  <c r="I99" i="38"/>
  <c r="J99" i="38"/>
  <c r="K99" i="38"/>
  <c r="L99" i="38"/>
  <c r="M99" i="38"/>
  <c r="N99" i="38"/>
  <c r="O99" i="38"/>
  <c r="P99" i="38"/>
  <c r="Q99" i="38"/>
  <c r="R99" i="38"/>
  <c r="S99" i="38"/>
  <c r="T99" i="38"/>
  <c r="U99" i="38"/>
  <c r="V99" i="38"/>
  <c r="W99" i="38"/>
  <c r="C100" i="38"/>
  <c r="D100" i="38"/>
  <c r="E100" i="38"/>
  <c r="F100" i="38"/>
  <c r="G100" i="38"/>
  <c r="H100" i="38"/>
  <c r="I100" i="38"/>
  <c r="J100" i="38"/>
  <c r="K100" i="38"/>
  <c r="L100" i="38"/>
  <c r="M100" i="38"/>
  <c r="N100" i="38"/>
  <c r="O100" i="38"/>
  <c r="P100" i="38"/>
  <c r="Q100" i="38"/>
  <c r="R100" i="38"/>
  <c r="S100" i="38"/>
  <c r="T100" i="38"/>
  <c r="U100" i="38"/>
  <c r="V100" i="38"/>
  <c r="W100" i="38"/>
  <c r="C101" i="38"/>
  <c r="D101" i="38"/>
  <c r="E101" i="38"/>
  <c r="F101" i="38"/>
  <c r="G101" i="38"/>
  <c r="H101" i="38"/>
  <c r="I101" i="38"/>
  <c r="J101" i="38"/>
  <c r="K101" i="38"/>
  <c r="L101" i="38"/>
  <c r="M101" i="38"/>
  <c r="N101" i="38"/>
  <c r="O101" i="38"/>
  <c r="P101" i="38"/>
  <c r="Q101" i="38"/>
  <c r="R101" i="38"/>
  <c r="S101" i="38"/>
  <c r="T101" i="38"/>
  <c r="U101" i="38"/>
  <c r="V101" i="38"/>
  <c r="W101" i="38"/>
  <c r="C102" i="38"/>
  <c r="D102" i="38"/>
  <c r="E102" i="38"/>
  <c r="F102" i="38"/>
  <c r="G102" i="38"/>
  <c r="H102" i="38"/>
  <c r="I102" i="38"/>
  <c r="J102" i="38"/>
  <c r="K102" i="38"/>
  <c r="L102" i="38"/>
  <c r="M102" i="38"/>
  <c r="N102" i="38"/>
  <c r="O102" i="38"/>
  <c r="P102" i="38"/>
  <c r="Q102" i="38"/>
  <c r="R102" i="38"/>
  <c r="S102" i="38"/>
  <c r="T102" i="38"/>
  <c r="U102" i="38"/>
  <c r="V102" i="38"/>
  <c r="W102" i="38"/>
  <c r="C103" i="38"/>
  <c r="D103" i="38"/>
  <c r="E103" i="38"/>
  <c r="F103" i="38"/>
  <c r="G103" i="38"/>
  <c r="H103" i="38"/>
  <c r="I103" i="38"/>
  <c r="J103" i="38"/>
  <c r="K103" i="38"/>
  <c r="L103" i="38"/>
  <c r="M103" i="38"/>
  <c r="N103" i="38"/>
  <c r="O103" i="38"/>
  <c r="P103" i="38"/>
  <c r="Q103" i="38"/>
  <c r="R103" i="38"/>
  <c r="S103" i="38"/>
  <c r="T103" i="38"/>
  <c r="U103" i="38"/>
  <c r="V103" i="38"/>
  <c r="W103" i="38"/>
  <c r="C104" i="38"/>
  <c r="D104" i="38"/>
  <c r="E104" i="38"/>
  <c r="F104" i="38"/>
  <c r="G104" i="38"/>
  <c r="H104" i="38"/>
  <c r="I104" i="38"/>
  <c r="J104" i="38"/>
  <c r="K104" i="38"/>
  <c r="L104" i="38"/>
  <c r="M104" i="38"/>
  <c r="N104" i="38"/>
  <c r="O104" i="38"/>
  <c r="P104" i="38"/>
  <c r="Q104" i="38"/>
  <c r="R104" i="38"/>
  <c r="S104" i="38"/>
  <c r="T104" i="38"/>
  <c r="U104" i="38"/>
  <c r="V104" i="38"/>
  <c r="W104" i="38"/>
  <c r="C105" i="38"/>
  <c r="D105" i="38"/>
  <c r="E105" i="38"/>
  <c r="F105" i="38"/>
  <c r="G105" i="38"/>
  <c r="H105" i="38"/>
  <c r="I105" i="38"/>
  <c r="J105" i="38"/>
  <c r="K105" i="38"/>
  <c r="L105" i="38"/>
  <c r="M105" i="38"/>
  <c r="N105" i="38"/>
  <c r="O105" i="38"/>
  <c r="P105" i="38"/>
  <c r="Q105" i="38"/>
  <c r="R105" i="38"/>
  <c r="S105" i="38"/>
  <c r="T105" i="38"/>
  <c r="U105" i="38"/>
  <c r="V105" i="38"/>
  <c r="W105" i="38"/>
  <c r="C106" i="38"/>
  <c r="D106" i="38"/>
  <c r="E106" i="38"/>
  <c r="F106" i="38"/>
  <c r="G106" i="38"/>
  <c r="H106" i="38"/>
  <c r="I106" i="38"/>
  <c r="J106" i="38"/>
  <c r="K106" i="38"/>
  <c r="L106" i="38"/>
  <c r="M106" i="38"/>
  <c r="N106" i="38"/>
  <c r="O106" i="38"/>
  <c r="P106" i="38"/>
  <c r="Q106" i="38"/>
  <c r="R106" i="38"/>
  <c r="S106" i="38"/>
  <c r="T106" i="38"/>
  <c r="U106" i="38"/>
  <c r="V106" i="38"/>
  <c r="W106" i="38"/>
  <c r="C107" i="38"/>
  <c r="D107" i="38"/>
  <c r="E107" i="38"/>
  <c r="F107" i="38"/>
  <c r="G107" i="38"/>
  <c r="H107" i="38"/>
  <c r="I107" i="38"/>
  <c r="J107" i="38"/>
  <c r="K107" i="38"/>
  <c r="L107" i="38"/>
  <c r="M107" i="38"/>
  <c r="N107" i="38"/>
  <c r="O107" i="38"/>
  <c r="P107" i="38"/>
  <c r="Q107" i="38"/>
  <c r="R107" i="38"/>
  <c r="S107" i="38"/>
  <c r="T107" i="38"/>
  <c r="U107" i="38"/>
  <c r="V107" i="38"/>
  <c r="W107" i="38"/>
  <c r="C108" i="38"/>
  <c r="D108" i="38"/>
  <c r="E108" i="38"/>
  <c r="F108" i="38"/>
  <c r="G108" i="38"/>
  <c r="H108" i="38"/>
  <c r="I108" i="38"/>
  <c r="J108" i="38"/>
  <c r="K108" i="38"/>
  <c r="L108" i="38"/>
  <c r="M108" i="38"/>
  <c r="N108" i="38"/>
  <c r="O108" i="38"/>
  <c r="P108" i="38"/>
  <c r="Q108" i="38"/>
  <c r="R108" i="38"/>
  <c r="S108" i="38"/>
  <c r="T108" i="38"/>
  <c r="U108" i="38"/>
  <c r="V108" i="38"/>
  <c r="W108" i="38"/>
  <c r="C109" i="38"/>
  <c r="D109" i="38"/>
  <c r="E109" i="38"/>
  <c r="F109" i="38"/>
  <c r="G109" i="38"/>
  <c r="H109" i="38"/>
  <c r="I109" i="38"/>
  <c r="J109" i="38"/>
  <c r="K109" i="38"/>
  <c r="L109" i="38"/>
  <c r="M109" i="38"/>
  <c r="N109" i="38"/>
  <c r="O109" i="38"/>
  <c r="P109" i="38"/>
  <c r="Q109" i="38"/>
  <c r="R109" i="38"/>
  <c r="S109" i="38"/>
  <c r="T109" i="38"/>
  <c r="U109" i="38"/>
  <c r="V109" i="38"/>
  <c r="W109" i="38"/>
  <c r="C110" i="38"/>
  <c r="D110" i="38"/>
  <c r="E110" i="38"/>
  <c r="F110" i="38"/>
  <c r="G110" i="38"/>
  <c r="H110" i="38"/>
  <c r="I110" i="38"/>
  <c r="J110" i="38"/>
  <c r="K110" i="38"/>
  <c r="L110" i="38"/>
  <c r="M110" i="38"/>
  <c r="N110" i="38"/>
  <c r="O110" i="38"/>
  <c r="P110" i="38"/>
  <c r="Q110" i="38"/>
  <c r="R110" i="38"/>
  <c r="S110" i="38"/>
  <c r="T110" i="38"/>
  <c r="U110" i="38"/>
  <c r="V110" i="38"/>
  <c r="W110" i="38"/>
  <c r="C111" i="38"/>
  <c r="D111" i="38"/>
  <c r="E111" i="38"/>
  <c r="F111" i="38"/>
  <c r="G111" i="38"/>
  <c r="H111" i="38"/>
  <c r="I111" i="38"/>
  <c r="J111" i="38"/>
  <c r="K111" i="38"/>
  <c r="L111" i="38"/>
  <c r="M111" i="38"/>
  <c r="N111" i="38"/>
  <c r="O111" i="38"/>
  <c r="P111" i="38"/>
  <c r="Q111" i="38"/>
  <c r="R111" i="38"/>
  <c r="S111" i="38"/>
  <c r="T111" i="38"/>
  <c r="U111" i="38"/>
  <c r="V111" i="38"/>
  <c r="W111" i="38"/>
  <c r="I77" i="38"/>
  <c r="P77" i="38"/>
  <c r="W77" i="38"/>
  <c r="D77" i="38"/>
  <c r="E77" i="38"/>
  <c r="F77" i="38"/>
  <c r="G77" i="38"/>
  <c r="H77" i="38"/>
  <c r="J77" i="38"/>
  <c r="K77" i="38"/>
  <c r="L77" i="38"/>
  <c r="M77" i="38"/>
  <c r="N77" i="38"/>
  <c r="O77" i="38"/>
  <c r="Q77" i="38"/>
  <c r="R77" i="38"/>
  <c r="S77" i="38"/>
  <c r="T77" i="38"/>
  <c r="U77" i="38"/>
  <c r="V77" i="38"/>
  <c r="C77" i="38"/>
  <c r="C78" i="39"/>
  <c r="D78" i="39"/>
  <c r="E78" i="39"/>
  <c r="F78" i="39"/>
  <c r="G78" i="39"/>
  <c r="H78" i="39"/>
  <c r="I78" i="39"/>
  <c r="J78" i="39"/>
  <c r="K78" i="39"/>
  <c r="L78" i="39"/>
  <c r="M78" i="39"/>
  <c r="N78" i="39"/>
  <c r="O78" i="39"/>
  <c r="P78" i="39"/>
  <c r="Q78" i="39"/>
  <c r="R78" i="39"/>
  <c r="S78" i="39"/>
  <c r="T78" i="39"/>
  <c r="U78" i="39"/>
  <c r="V78" i="39"/>
  <c r="W78" i="39"/>
  <c r="C79" i="39"/>
  <c r="D79" i="39"/>
  <c r="E79" i="39"/>
  <c r="F79" i="39"/>
  <c r="G79" i="39"/>
  <c r="H79" i="39"/>
  <c r="I79" i="39"/>
  <c r="J79" i="39"/>
  <c r="K79" i="39"/>
  <c r="L79" i="39"/>
  <c r="M79" i="39"/>
  <c r="N79" i="39"/>
  <c r="O79" i="39"/>
  <c r="P79" i="39"/>
  <c r="Q79" i="39"/>
  <c r="R79" i="39"/>
  <c r="S79" i="39"/>
  <c r="T79" i="39"/>
  <c r="U79" i="39"/>
  <c r="V79" i="39"/>
  <c r="W79" i="39"/>
  <c r="C80" i="39"/>
  <c r="D80" i="39"/>
  <c r="E80" i="39"/>
  <c r="F80" i="39"/>
  <c r="G80" i="39"/>
  <c r="H80" i="39"/>
  <c r="I80" i="39"/>
  <c r="J80" i="39"/>
  <c r="K80" i="39"/>
  <c r="L80" i="39"/>
  <c r="M80" i="39"/>
  <c r="N80" i="39"/>
  <c r="O80" i="39"/>
  <c r="P80" i="39"/>
  <c r="Q80" i="39"/>
  <c r="R80" i="39"/>
  <c r="S80" i="39"/>
  <c r="T80" i="39"/>
  <c r="U80" i="39"/>
  <c r="V80" i="39"/>
  <c r="W80" i="39"/>
  <c r="C81" i="39"/>
  <c r="D81" i="39"/>
  <c r="E81" i="39"/>
  <c r="F81" i="39"/>
  <c r="G81" i="39"/>
  <c r="H81" i="39"/>
  <c r="I81" i="39"/>
  <c r="J81" i="39"/>
  <c r="K81" i="39"/>
  <c r="L81" i="39"/>
  <c r="M81" i="39"/>
  <c r="N81" i="39"/>
  <c r="O81" i="39"/>
  <c r="P81" i="39"/>
  <c r="Q81" i="39"/>
  <c r="R81" i="39"/>
  <c r="S81" i="39"/>
  <c r="T81" i="39"/>
  <c r="U81" i="39"/>
  <c r="V81" i="39"/>
  <c r="W81" i="39"/>
  <c r="C82" i="39"/>
  <c r="D82" i="39"/>
  <c r="E82" i="39"/>
  <c r="F82" i="39"/>
  <c r="G82" i="39"/>
  <c r="H82" i="39"/>
  <c r="I82" i="39"/>
  <c r="J82" i="39"/>
  <c r="K82" i="39"/>
  <c r="L82" i="39"/>
  <c r="M82" i="39"/>
  <c r="N82" i="39"/>
  <c r="O82" i="39"/>
  <c r="P82" i="39"/>
  <c r="Q82" i="39"/>
  <c r="R82" i="39"/>
  <c r="S82" i="39"/>
  <c r="T82" i="39"/>
  <c r="U82" i="39"/>
  <c r="V82" i="39"/>
  <c r="W82" i="39"/>
  <c r="C83" i="39"/>
  <c r="D83" i="39"/>
  <c r="E83" i="39"/>
  <c r="F83" i="39"/>
  <c r="G83" i="39"/>
  <c r="H83" i="39"/>
  <c r="I83" i="39"/>
  <c r="J83" i="39"/>
  <c r="K83" i="39"/>
  <c r="L83" i="39"/>
  <c r="M83" i="39"/>
  <c r="N83" i="39"/>
  <c r="O83" i="39"/>
  <c r="P83" i="39"/>
  <c r="Q83" i="39"/>
  <c r="R83" i="39"/>
  <c r="S83" i="39"/>
  <c r="T83" i="39"/>
  <c r="U83" i="39"/>
  <c r="V83" i="39"/>
  <c r="W83" i="39"/>
  <c r="C84" i="39"/>
  <c r="D84" i="39"/>
  <c r="E84" i="39"/>
  <c r="F84" i="39"/>
  <c r="G84" i="39"/>
  <c r="H84" i="39"/>
  <c r="I84" i="39"/>
  <c r="J84" i="39"/>
  <c r="K84" i="39"/>
  <c r="L84" i="39"/>
  <c r="M84" i="39"/>
  <c r="N84" i="39"/>
  <c r="O84" i="39"/>
  <c r="P84" i="39"/>
  <c r="Q84" i="39"/>
  <c r="R84" i="39"/>
  <c r="S84" i="39"/>
  <c r="T84" i="39"/>
  <c r="U84" i="39"/>
  <c r="V84" i="39"/>
  <c r="W84" i="39"/>
  <c r="C85" i="39"/>
  <c r="D85" i="39"/>
  <c r="E85" i="39"/>
  <c r="F85" i="39"/>
  <c r="G85" i="39"/>
  <c r="H85" i="39"/>
  <c r="I85" i="39"/>
  <c r="J85" i="39"/>
  <c r="K85" i="39"/>
  <c r="L85" i="39"/>
  <c r="M85" i="39"/>
  <c r="N85" i="39"/>
  <c r="O85" i="39"/>
  <c r="P85" i="39"/>
  <c r="Q85" i="39"/>
  <c r="R85" i="39"/>
  <c r="S85" i="39"/>
  <c r="T85" i="39"/>
  <c r="U85" i="39"/>
  <c r="V85" i="39"/>
  <c r="W85" i="39"/>
  <c r="D86" i="39"/>
  <c r="E86" i="39"/>
  <c r="F86" i="39"/>
  <c r="G86" i="39"/>
  <c r="H86" i="39"/>
  <c r="I86" i="39"/>
  <c r="J86" i="39"/>
  <c r="K86" i="39"/>
  <c r="L86" i="39"/>
  <c r="M86" i="39"/>
  <c r="N86" i="39"/>
  <c r="O86" i="39"/>
  <c r="P86" i="39"/>
  <c r="Q86" i="39"/>
  <c r="R86" i="39"/>
  <c r="S86" i="39"/>
  <c r="T86" i="39"/>
  <c r="U86" i="39"/>
  <c r="V86" i="39"/>
  <c r="W86" i="39"/>
  <c r="C87" i="39"/>
  <c r="D87" i="39"/>
  <c r="E87" i="39"/>
  <c r="F87" i="39"/>
  <c r="G87" i="39"/>
  <c r="H87" i="39"/>
  <c r="I87" i="39"/>
  <c r="J87" i="39"/>
  <c r="K87" i="39"/>
  <c r="L87" i="39"/>
  <c r="M87" i="39"/>
  <c r="N87" i="39"/>
  <c r="O87" i="39"/>
  <c r="P87" i="39"/>
  <c r="Q87" i="39"/>
  <c r="R87" i="39"/>
  <c r="S87" i="39"/>
  <c r="T87" i="39"/>
  <c r="U87" i="39"/>
  <c r="V87" i="39"/>
  <c r="W87" i="39"/>
  <c r="C88" i="39"/>
  <c r="D88" i="39"/>
  <c r="E88" i="39"/>
  <c r="F88" i="39"/>
  <c r="G88" i="39"/>
  <c r="H88" i="39"/>
  <c r="I88" i="39"/>
  <c r="J88" i="39"/>
  <c r="K88" i="39"/>
  <c r="L88" i="39"/>
  <c r="M88" i="39"/>
  <c r="N88" i="39"/>
  <c r="O88" i="39"/>
  <c r="P88" i="39"/>
  <c r="Q88" i="39"/>
  <c r="R88" i="39"/>
  <c r="S88" i="39"/>
  <c r="T88" i="39"/>
  <c r="U88" i="39"/>
  <c r="V88" i="39"/>
  <c r="W88" i="39"/>
  <c r="C89" i="39"/>
  <c r="D89" i="39"/>
  <c r="E89" i="39"/>
  <c r="F89" i="39"/>
  <c r="G89" i="39"/>
  <c r="H89" i="39"/>
  <c r="I89" i="39"/>
  <c r="J89" i="39"/>
  <c r="K89" i="39"/>
  <c r="L89" i="39"/>
  <c r="M89" i="39"/>
  <c r="N89" i="39"/>
  <c r="O89" i="39"/>
  <c r="P89" i="39"/>
  <c r="Q89" i="39"/>
  <c r="R89" i="39"/>
  <c r="S89" i="39"/>
  <c r="T89" i="39"/>
  <c r="U89" i="39"/>
  <c r="V89" i="39"/>
  <c r="W89" i="39"/>
  <c r="C90" i="39"/>
  <c r="D90" i="39"/>
  <c r="E90" i="39"/>
  <c r="F90" i="39"/>
  <c r="G90" i="39"/>
  <c r="H90" i="39"/>
  <c r="I90" i="39"/>
  <c r="J90" i="39"/>
  <c r="K90" i="39"/>
  <c r="L90" i="39"/>
  <c r="M90" i="39"/>
  <c r="N90" i="39"/>
  <c r="O90" i="39"/>
  <c r="P90" i="39"/>
  <c r="Q90" i="39"/>
  <c r="R90" i="39"/>
  <c r="S90" i="39"/>
  <c r="T90" i="39"/>
  <c r="U90" i="39"/>
  <c r="V90" i="39"/>
  <c r="W90" i="39"/>
  <c r="C91" i="39"/>
  <c r="D91" i="39"/>
  <c r="E91" i="39"/>
  <c r="F91" i="39"/>
  <c r="G91" i="39"/>
  <c r="H91" i="39"/>
  <c r="I91" i="39"/>
  <c r="J91" i="39"/>
  <c r="K91" i="39"/>
  <c r="L91" i="39"/>
  <c r="M91" i="39"/>
  <c r="N91" i="39"/>
  <c r="O91" i="39"/>
  <c r="P91" i="39"/>
  <c r="Q91" i="39"/>
  <c r="R91" i="39"/>
  <c r="S91" i="39"/>
  <c r="T91" i="39"/>
  <c r="U91" i="39"/>
  <c r="V91" i="39"/>
  <c r="W91" i="39"/>
  <c r="C92" i="39"/>
  <c r="D92" i="39"/>
  <c r="E92" i="39"/>
  <c r="F92" i="39"/>
  <c r="G92" i="39"/>
  <c r="H92" i="39"/>
  <c r="I92" i="39"/>
  <c r="J92" i="39"/>
  <c r="K92" i="39"/>
  <c r="L92" i="39"/>
  <c r="M92" i="39"/>
  <c r="N92" i="39"/>
  <c r="O92" i="39"/>
  <c r="P92" i="39"/>
  <c r="Q92" i="39"/>
  <c r="R92" i="39"/>
  <c r="S92" i="39"/>
  <c r="T92" i="39"/>
  <c r="U92" i="39"/>
  <c r="V92" i="39"/>
  <c r="W92" i="39"/>
  <c r="C93" i="39"/>
  <c r="D93" i="39"/>
  <c r="E93" i="39"/>
  <c r="F93" i="39"/>
  <c r="G93" i="39"/>
  <c r="H93" i="39"/>
  <c r="I93" i="39"/>
  <c r="J93" i="39"/>
  <c r="K93" i="39"/>
  <c r="L93" i="39"/>
  <c r="M93" i="39"/>
  <c r="N93" i="39"/>
  <c r="O93" i="39"/>
  <c r="P93" i="39"/>
  <c r="Q93" i="39"/>
  <c r="R93" i="39"/>
  <c r="S93" i="39"/>
  <c r="T93" i="39"/>
  <c r="U93" i="39"/>
  <c r="V93" i="39"/>
  <c r="W93" i="39"/>
  <c r="C94" i="39"/>
  <c r="D94" i="39"/>
  <c r="E94" i="39"/>
  <c r="F94" i="39"/>
  <c r="G94" i="39"/>
  <c r="H94" i="39"/>
  <c r="I94" i="39"/>
  <c r="J94" i="39"/>
  <c r="K94" i="39"/>
  <c r="L94" i="39"/>
  <c r="M94" i="39"/>
  <c r="N94" i="39"/>
  <c r="O94" i="39"/>
  <c r="P94" i="39"/>
  <c r="Q94" i="39"/>
  <c r="R94" i="39"/>
  <c r="S94" i="39"/>
  <c r="T94" i="39"/>
  <c r="U94" i="39"/>
  <c r="V94" i="39"/>
  <c r="W94" i="39"/>
  <c r="C95" i="39"/>
  <c r="D95" i="39"/>
  <c r="E95" i="39"/>
  <c r="F95" i="39"/>
  <c r="G95" i="39"/>
  <c r="H95" i="39"/>
  <c r="I95" i="39"/>
  <c r="J95" i="39"/>
  <c r="K95" i="39"/>
  <c r="L95" i="39"/>
  <c r="M95" i="39"/>
  <c r="N95" i="39"/>
  <c r="O95" i="39"/>
  <c r="P95" i="39"/>
  <c r="Q95" i="39"/>
  <c r="R95" i="39"/>
  <c r="S95" i="39"/>
  <c r="T95" i="39"/>
  <c r="U95" i="39"/>
  <c r="V95" i="39"/>
  <c r="W95" i="39"/>
  <c r="C96" i="39"/>
  <c r="D96" i="39"/>
  <c r="E96" i="39"/>
  <c r="F96" i="39"/>
  <c r="G96" i="39"/>
  <c r="H96" i="39"/>
  <c r="I96" i="39"/>
  <c r="J96" i="39"/>
  <c r="K96" i="39"/>
  <c r="L96" i="39"/>
  <c r="M96" i="39"/>
  <c r="N96" i="39"/>
  <c r="O96" i="39"/>
  <c r="P96" i="39"/>
  <c r="Q96" i="39"/>
  <c r="R96" i="39"/>
  <c r="S96" i="39"/>
  <c r="T96" i="39"/>
  <c r="U96" i="39"/>
  <c r="V96" i="39"/>
  <c r="W96" i="39"/>
  <c r="C97" i="39"/>
  <c r="D97" i="39"/>
  <c r="E97" i="39"/>
  <c r="F97" i="39"/>
  <c r="G97" i="39"/>
  <c r="H97" i="39"/>
  <c r="I97" i="39"/>
  <c r="J97" i="39"/>
  <c r="K97" i="39"/>
  <c r="L97" i="39"/>
  <c r="M97" i="39"/>
  <c r="N97" i="39"/>
  <c r="O97" i="39"/>
  <c r="P97" i="39"/>
  <c r="Q97" i="39"/>
  <c r="R97" i="39"/>
  <c r="S97" i="39"/>
  <c r="T97" i="39"/>
  <c r="U97" i="39"/>
  <c r="V97" i="39"/>
  <c r="W97" i="39"/>
  <c r="C98" i="39"/>
  <c r="D98" i="39"/>
  <c r="E98" i="39"/>
  <c r="F98" i="39"/>
  <c r="G98" i="39"/>
  <c r="H98" i="39"/>
  <c r="I98" i="39"/>
  <c r="J98" i="39"/>
  <c r="K98" i="39"/>
  <c r="L98" i="39"/>
  <c r="M98" i="39"/>
  <c r="N98" i="39"/>
  <c r="O98" i="39"/>
  <c r="P98" i="39"/>
  <c r="Q98" i="39"/>
  <c r="R98" i="39"/>
  <c r="S98" i="39"/>
  <c r="T98" i="39"/>
  <c r="U98" i="39"/>
  <c r="V98" i="39"/>
  <c r="W98" i="39"/>
  <c r="C99" i="39"/>
  <c r="D99" i="39"/>
  <c r="E99" i="39"/>
  <c r="F99" i="39"/>
  <c r="G99" i="39"/>
  <c r="H99" i="39"/>
  <c r="I99" i="39"/>
  <c r="J99" i="39"/>
  <c r="K99" i="39"/>
  <c r="L99" i="39"/>
  <c r="M99" i="39"/>
  <c r="N99" i="39"/>
  <c r="O99" i="39"/>
  <c r="P99" i="39"/>
  <c r="Q99" i="39"/>
  <c r="R99" i="39"/>
  <c r="S99" i="39"/>
  <c r="T99" i="39"/>
  <c r="U99" i="39"/>
  <c r="V99" i="39"/>
  <c r="W99" i="39"/>
  <c r="C100" i="39"/>
  <c r="D100" i="39"/>
  <c r="E100" i="39"/>
  <c r="F100" i="39"/>
  <c r="G100" i="39"/>
  <c r="H100" i="39"/>
  <c r="I100" i="39"/>
  <c r="J100" i="39"/>
  <c r="K100" i="39"/>
  <c r="L100" i="39"/>
  <c r="M100" i="39"/>
  <c r="N100" i="39"/>
  <c r="O100" i="39"/>
  <c r="P100" i="39"/>
  <c r="Q100" i="39"/>
  <c r="R100" i="39"/>
  <c r="S100" i="39"/>
  <c r="T100" i="39"/>
  <c r="U100" i="39"/>
  <c r="V100" i="39"/>
  <c r="W100" i="39"/>
  <c r="C101" i="39"/>
  <c r="D101" i="39"/>
  <c r="E101" i="39"/>
  <c r="F101" i="39"/>
  <c r="G101" i="39"/>
  <c r="H101" i="39"/>
  <c r="I101" i="39"/>
  <c r="J101" i="39"/>
  <c r="K101" i="39"/>
  <c r="L101" i="39"/>
  <c r="M101" i="39"/>
  <c r="N101" i="39"/>
  <c r="O101" i="39"/>
  <c r="P101" i="39"/>
  <c r="Q101" i="39"/>
  <c r="R101" i="39"/>
  <c r="S101" i="39"/>
  <c r="T101" i="39"/>
  <c r="U101" i="39"/>
  <c r="V101" i="39"/>
  <c r="W101" i="39"/>
  <c r="C102" i="39"/>
  <c r="D102" i="39"/>
  <c r="E102" i="39"/>
  <c r="F102" i="39"/>
  <c r="G102" i="39"/>
  <c r="H102" i="39"/>
  <c r="I102" i="39"/>
  <c r="J102" i="39"/>
  <c r="K102" i="39"/>
  <c r="L102" i="39"/>
  <c r="M102" i="39"/>
  <c r="N102" i="39"/>
  <c r="O102" i="39"/>
  <c r="P102" i="39"/>
  <c r="Q102" i="39"/>
  <c r="R102" i="39"/>
  <c r="S102" i="39"/>
  <c r="T102" i="39"/>
  <c r="U102" i="39"/>
  <c r="V102" i="39"/>
  <c r="W102" i="39"/>
  <c r="C103" i="39"/>
  <c r="D103" i="39"/>
  <c r="E103" i="39"/>
  <c r="F103" i="39"/>
  <c r="G103" i="39"/>
  <c r="H103" i="39"/>
  <c r="I103" i="39"/>
  <c r="J103" i="39"/>
  <c r="K103" i="39"/>
  <c r="L103" i="39"/>
  <c r="M103" i="39"/>
  <c r="N103" i="39"/>
  <c r="O103" i="39"/>
  <c r="P103" i="39"/>
  <c r="Q103" i="39"/>
  <c r="R103" i="39"/>
  <c r="S103" i="39"/>
  <c r="T103" i="39"/>
  <c r="U103" i="39"/>
  <c r="V103" i="39"/>
  <c r="W103" i="39"/>
  <c r="C104" i="39"/>
  <c r="D104" i="39"/>
  <c r="E104" i="39"/>
  <c r="F104" i="39"/>
  <c r="G104" i="39"/>
  <c r="H104" i="39"/>
  <c r="I104" i="39"/>
  <c r="J104" i="39"/>
  <c r="K104" i="39"/>
  <c r="L104" i="39"/>
  <c r="M104" i="39"/>
  <c r="N104" i="39"/>
  <c r="O104" i="39"/>
  <c r="P104" i="39"/>
  <c r="Q104" i="39"/>
  <c r="R104" i="39"/>
  <c r="S104" i="39"/>
  <c r="T104" i="39"/>
  <c r="U104" i="39"/>
  <c r="V104" i="39"/>
  <c r="W104" i="39"/>
  <c r="C105" i="39"/>
  <c r="D105" i="39"/>
  <c r="E105" i="39"/>
  <c r="F105" i="39"/>
  <c r="G105" i="39"/>
  <c r="H105" i="39"/>
  <c r="I105" i="39"/>
  <c r="J105" i="39"/>
  <c r="K105" i="39"/>
  <c r="L105" i="39"/>
  <c r="M105" i="39"/>
  <c r="N105" i="39"/>
  <c r="O105" i="39"/>
  <c r="P105" i="39"/>
  <c r="Q105" i="39"/>
  <c r="R105" i="39"/>
  <c r="S105" i="39"/>
  <c r="T105" i="39"/>
  <c r="U105" i="39"/>
  <c r="V105" i="39"/>
  <c r="W105" i="39"/>
  <c r="C106" i="39"/>
  <c r="D106" i="39"/>
  <c r="E106" i="39"/>
  <c r="F106" i="39"/>
  <c r="G106" i="39"/>
  <c r="H106" i="39"/>
  <c r="I106" i="39"/>
  <c r="J106" i="39"/>
  <c r="K106" i="39"/>
  <c r="L106" i="39"/>
  <c r="M106" i="39"/>
  <c r="N106" i="39"/>
  <c r="O106" i="39"/>
  <c r="P106" i="39"/>
  <c r="Q106" i="39"/>
  <c r="R106" i="39"/>
  <c r="S106" i="39"/>
  <c r="T106" i="39"/>
  <c r="U106" i="39"/>
  <c r="V106" i="39"/>
  <c r="W106" i="39"/>
  <c r="C107" i="39"/>
  <c r="D107" i="39"/>
  <c r="E107" i="39"/>
  <c r="F107" i="39"/>
  <c r="G107" i="39"/>
  <c r="H107" i="39"/>
  <c r="I107" i="39"/>
  <c r="J107" i="39"/>
  <c r="K107" i="39"/>
  <c r="L107" i="39"/>
  <c r="M107" i="39"/>
  <c r="N107" i="39"/>
  <c r="O107" i="39"/>
  <c r="P107" i="39"/>
  <c r="Q107" i="39"/>
  <c r="R107" i="39"/>
  <c r="S107" i="39"/>
  <c r="T107" i="39"/>
  <c r="U107" i="39"/>
  <c r="V107" i="39"/>
  <c r="W107" i="39"/>
  <c r="C108" i="39"/>
  <c r="D108" i="39"/>
  <c r="E108" i="39"/>
  <c r="F108" i="39"/>
  <c r="G108" i="39"/>
  <c r="H108" i="39"/>
  <c r="I108" i="39"/>
  <c r="J108" i="39"/>
  <c r="K108" i="39"/>
  <c r="L108" i="39"/>
  <c r="M108" i="39"/>
  <c r="N108" i="39"/>
  <c r="O108" i="39"/>
  <c r="P108" i="39"/>
  <c r="Q108" i="39"/>
  <c r="R108" i="39"/>
  <c r="S108" i="39"/>
  <c r="T108" i="39"/>
  <c r="U108" i="39"/>
  <c r="V108" i="39"/>
  <c r="W108" i="39"/>
  <c r="C109" i="39"/>
  <c r="D109" i="39"/>
  <c r="E109" i="39"/>
  <c r="F109" i="39"/>
  <c r="G109" i="39"/>
  <c r="H109" i="39"/>
  <c r="I109" i="39"/>
  <c r="J109" i="39"/>
  <c r="K109" i="39"/>
  <c r="L109" i="39"/>
  <c r="M109" i="39"/>
  <c r="N109" i="39"/>
  <c r="O109" i="39"/>
  <c r="P109" i="39"/>
  <c r="Q109" i="39"/>
  <c r="R109" i="39"/>
  <c r="S109" i="39"/>
  <c r="T109" i="39"/>
  <c r="U109" i="39"/>
  <c r="V109" i="39"/>
  <c r="W109" i="39"/>
  <c r="C110" i="39"/>
  <c r="D110" i="39"/>
  <c r="E110" i="39"/>
  <c r="F110" i="39"/>
  <c r="G110" i="39"/>
  <c r="H110" i="39"/>
  <c r="I110" i="39"/>
  <c r="J110" i="39"/>
  <c r="K110" i="39"/>
  <c r="L110" i="39"/>
  <c r="M110" i="39"/>
  <c r="N110" i="39"/>
  <c r="O110" i="39"/>
  <c r="P110" i="39"/>
  <c r="Q110" i="39"/>
  <c r="R110" i="39"/>
  <c r="S110" i="39"/>
  <c r="T110" i="39"/>
  <c r="U110" i="39"/>
  <c r="V110" i="39"/>
  <c r="W110" i="39"/>
  <c r="C111" i="39"/>
  <c r="D111" i="39"/>
  <c r="E111" i="39"/>
  <c r="F111" i="39"/>
  <c r="G111" i="39"/>
  <c r="H111" i="39"/>
  <c r="I111" i="39"/>
  <c r="J111" i="39"/>
  <c r="K111" i="39"/>
  <c r="L111" i="39"/>
  <c r="M111" i="39"/>
  <c r="N111" i="39"/>
  <c r="O111" i="39"/>
  <c r="P111" i="39"/>
  <c r="Q111" i="39"/>
  <c r="R111" i="39"/>
  <c r="S111" i="39"/>
  <c r="T111" i="39"/>
  <c r="U111" i="39"/>
  <c r="V111" i="39"/>
  <c r="W111" i="39"/>
  <c r="P77" i="39"/>
  <c r="I77" i="39"/>
  <c r="W77" i="39"/>
  <c r="D77" i="39"/>
  <c r="E77" i="39"/>
  <c r="F77" i="39"/>
  <c r="G77" i="39"/>
  <c r="H77" i="39"/>
  <c r="J77" i="39"/>
  <c r="K77" i="39"/>
  <c r="L77" i="39"/>
  <c r="M77" i="39"/>
  <c r="N77" i="39"/>
  <c r="O77" i="39"/>
  <c r="Q77" i="39"/>
  <c r="R77" i="39"/>
  <c r="S77" i="39"/>
  <c r="T77" i="39"/>
  <c r="U77" i="39"/>
  <c r="V77" i="39"/>
  <c r="C77" i="39"/>
  <c r="C78" i="40"/>
  <c r="D78" i="40"/>
  <c r="E78" i="40"/>
  <c r="F78" i="40"/>
  <c r="G78" i="40"/>
  <c r="H78" i="40"/>
  <c r="I78" i="40"/>
  <c r="J78" i="40"/>
  <c r="K78" i="40"/>
  <c r="L78" i="40"/>
  <c r="M78" i="40"/>
  <c r="N78" i="40"/>
  <c r="O78" i="40"/>
  <c r="P78" i="40"/>
  <c r="Q78" i="40"/>
  <c r="R78" i="40"/>
  <c r="S78" i="40"/>
  <c r="T78" i="40"/>
  <c r="U78" i="40"/>
  <c r="V78" i="40"/>
  <c r="W78" i="40"/>
  <c r="C79" i="40"/>
  <c r="D79" i="40"/>
  <c r="E79" i="40"/>
  <c r="F79" i="40"/>
  <c r="G79" i="40"/>
  <c r="H79" i="40"/>
  <c r="I79" i="40"/>
  <c r="J79" i="40"/>
  <c r="K79" i="40"/>
  <c r="L79" i="40"/>
  <c r="M79" i="40"/>
  <c r="N79" i="40"/>
  <c r="O79" i="40"/>
  <c r="P79" i="40"/>
  <c r="Q79" i="40"/>
  <c r="R79" i="40"/>
  <c r="S79" i="40"/>
  <c r="T79" i="40"/>
  <c r="U79" i="40"/>
  <c r="V79" i="40"/>
  <c r="W79" i="40"/>
  <c r="C80" i="40"/>
  <c r="D80" i="40"/>
  <c r="E80" i="40"/>
  <c r="F80" i="40"/>
  <c r="G80" i="40"/>
  <c r="H80" i="40"/>
  <c r="I80" i="40"/>
  <c r="J80" i="40"/>
  <c r="K80" i="40"/>
  <c r="L80" i="40"/>
  <c r="M80" i="40"/>
  <c r="N80" i="40"/>
  <c r="O80" i="40"/>
  <c r="P80" i="40"/>
  <c r="Q80" i="40"/>
  <c r="R80" i="40"/>
  <c r="S80" i="40"/>
  <c r="T80" i="40"/>
  <c r="U80" i="40"/>
  <c r="V80" i="40"/>
  <c r="W80" i="40"/>
  <c r="C81" i="40"/>
  <c r="D81" i="40"/>
  <c r="E81" i="40"/>
  <c r="F81" i="40"/>
  <c r="G81" i="40"/>
  <c r="H81" i="40"/>
  <c r="I81" i="40"/>
  <c r="J81" i="40"/>
  <c r="K81" i="40"/>
  <c r="L81" i="40"/>
  <c r="M81" i="40"/>
  <c r="N81" i="40"/>
  <c r="O81" i="40"/>
  <c r="P81" i="40"/>
  <c r="Q81" i="40"/>
  <c r="R81" i="40"/>
  <c r="S81" i="40"/>
  <c r="T81" i="40"/>
  <c r="U81" i="40"/>
  <c r="V81" i="40"/>
  <c r="W81" i="40"/>
  <c r="C82" i="40"/>
  <c r="D82" i="40"/>
  <c r="E82" i="40"/>
  <c r="F82" i="40"/>
  <c r="G82" i="40"/>
  <c r="H82" i="40"/>
  <c r="I82" i="40"/>
  <c r="J82" i="40"/>
  <c r="K82" i="40"/>
  <c r="L82" i="40"/>
  <c r="M82" i="40"/>
  <c r="N82" i="40"/>
  <c r="O82" i="40"/>
  <c r="P82" i="40"/>
  <c r="Q82" i="40"/>
  <c r="R82" i="40"/>
  <c r="S82" i="40"/>
  <c r="T82" i="40"/>
  <c r="U82" i="40"/>
  <c r="V82" i="40"/>
  <c r="W82" i="40"/>
  <c r="C83" i="40"/>
  <c r="D83" i="40"/>
  <c r="E83" i="40"/>
  <c r="F83" i="40"/>
  <c r="G83" i="40"/>
  <c r="H83" i="40"/>
  <c r="I83" i="40"/>
  <c r="J83" i="40"/>
  <c r="K83" i="40"/>
  <c r="L83" i="40"/>
  <c r="M83" i="40"/>
  <c r="N83" i="40"/>
  <c r="O83" i="40"/>
  <c r="P83" i="40"/>
  <c r="Q83" i="40"/>
  <c r="R83" i="40"/>
  <c r="S83" i="40"/>
  <c r="T83" i="40"/>
  <c r="U83" i="40"/>
  <c r="V83" i="40"/>
  <c r="W83" i="40"/>
  <c r="C84" i="40"/>
  <c r="D84" i="40"/>
  <c r="E84" i="40"/>
  <c r="F84" i="40"/>
  <c r="G84" i="40"/>
  <c r="H84" i="40"/>
  <c r="I84" i="40"/>
  <c r="J84" i="40"/>
  <c r="K84" i="40"/>
  <c r="L84" i="40"/>
  <c r="M84" i="40"/>
  <c r="N84" i="40"/>
  <c r="O84" i="40"/>
  <c r="P84" i="40"/>
  <c r="Q84" i="40"/>
  <c r="R84" i="40"/>
  <c r="S84" i="40"/>
  <c r="T84" i="40"/>
  <c r="U84" i="40"/>
  <c r="V84" i="40"/>
  <c r="W84" i="40"/>
  <c r="C85" i="40"/>
  <c r="D85" i="40"/>
  <c r="E85" i="40"/>
  <c r="F85" i="40"/>
  <c r="G85" i="40"/>
  <c r="H85" i="40"/>
  <c r="I85" i="40"/>
  <c r="J85" i="40"/>
  <c r="K85" i="40"/>
  <c r="L85" i="40"/>
  <c r="M85" i="40"/>
  <c r="N85" i="40"/>
  <c r="O85" i="40"/>
  <c r="P85" i="40"/>
  <c r="Q85" i="40"/>
  <c r="R85" i="40"/>
  <c r="S85" i="40"/>
  <c r="T85" i="40"/>
  <c r="U85" i="40"/>
  <c r="V85" i="40"/>
  <c r="W85" i="40"/>
  <c r="D86" i="40"/>
  <c r="E86" i="40"/>
  <c r="F86" i="40"/>
  <c r="G86" i="40"/>
  <c r="H86" i="40"/>
  <c r="I86" i="40"/>
  <c r="J86" i="40"/>
  <c r="K86" i="40"/>
  <c r="L86" i="40"/>
  <c r="M86" i="40"/>
  <c r="N86" i="40"/>
  <c r="O86" i="40"/>
  <c r="P86" i="40"/>
  <c r="Q86" i="40"/>
  <c r="R86" i="40"/>
  <c r="S86" i="40"/>
  <c r="T86" i="40"/>
  <c r="U86" i="40"/>
  <c r="V86" i="40"/>
  <c r="W86" i="40"/>
  <c r="C87" i="40"/>
  <c r="D87" i="40"/>
  <c r="E87" i="40"/>
  <c r="F87" i="40"/>
  <c r="G87" i="40"/>
  <c r="H87" i="40"/>
  <c r="I87" i="40"/>
  <c r="J87" i="40"/>
  <c r="K87" i="40"/>
  <c r="L87" i="40"/>
  <c r="M87" i="40"/>
  <c r="N87" i="40"/>
  <c r="O87" i="40"/>
  <c r="P87" i="40"/>
  <c r="Q87" i="40"/>
  <c r="R87" i="40"/>
  <c r="S87" i="40"/>
  <c r="T87" i="40"/>
  <c r="U87" i="40"/>
  <c r="V87" i="40"/>
  <c r="W87" i="40"/>
  <c r="C88" i="40"/>
  <c r="D88" i="40"/>
  <c r="E88" i="40"/>
  <c r="F88" i="40"/>
  <c r="G88" i="40"/>
  <c r="H88" i="40"/>
  <c r="I88" i="40"/>
  <c r="J88" i="40"/>
  <c r="K88" i="40"/>
  <c r="L88" i="40"/>
  <c r="M88" i="40"/>
  <c r="N88" i="40"/>
  <c r="O88" i="40"/>
  <c r="P88" i="40"/>
  <c r="Q88" i="40"/>
  <c r="R88" i="40"/>
  <c r="S88" i="40"/>
  <c r="T88" i="40"/>
  <c r="U88" i="40"/>
  <c r="V88" i="40"/>
  <c r="W88" i="40"/>
  <c r="C89" i="40"/>
  <c r="D89" i="40"/>
  <c r="E89" i="40"/>
  <c r="F89" i="40"/>
  <c r="G89" i="40"/>
  <c r="H89" i="40"/>
  <c r="I89" i="40"/>
  <c r="J89" i="40"/>
  <c r="K89" i="40"/>
  <c r="L89" i="40"/>
  <c r="M89" i="40"/>
  <c r="N89" i="40"/>
  <c r="O89" i="40"/>
  <c r="P89" i="40"/>
  <c r="Q89" i="40"/>
  <c r="R89" i="40"/>
  <c r="S89" i="40"/>
  <c r="T89" i="40"/>
  <c r="U89" i="40"/>
  <c r="V89" i="40"/>
  <c r="W89" i="40"/>
  <c r="C90" i="40"/>
  <c r="D90" i="40"/>
  <c r="E90" i="40"/>
  <c r="F90" i="40"/>
  <c r="G90" i="40"/>
  <c r="H90" i="40"/>
  <c r="I90" i="40"/>
  <c r="J90" i="40"/>
  <c r="K90" i="40"/>
  <c r="L90" i="40"/>
  <c r="M90" i="40"/>
  <c r="N90" i="40"/>
  <c r="O90" i="40"/>
  <c r="P90" i="40"/>
  <c r="Q90" i="40"/>
  <c r="R90" i="40"/>
  <c r="S90" i="40"/>
  <c r="T90" i="40"/>
  <c r="U90" i="40"/>
  <c r="V90" i="40"/>
  <c r="W90" i="40"/>
  <c r="C91" i="40"/>
  <c r="D91" i="40"/>
  <c r="E91" i="40"/>
  <c r="F91" i="40"/>
  <c r="G91" i="40"/>
  <c r="H91" i="40"/>
  <c r="I91" i="40"/>
  <c r="J91" i="40"/>
  <c r="K91" i="40"/>
  <c r="L91" i="40"/>
  <c r="M91" i="40"/>
  <c r="N91" i="40"/>
  <c r="O91" i="40"/>
  <c r="P91" i="40"/>
  <c r="Q91" i="40"/>
  <c r="R91" i="40"/>
  <c r="S91" i="40"/>
  <c r="T91" i="40"/>
  <c r="U91" i="40"/>
  <c r="V91" i="40"/>
  <c r="W91" i="40"/>
  <c r="C92" i="40"/>
  <c r="D92" i="40"/>
  <c r="E92" i="40"/>
  <c r="F92" i="40"/>
  <c r="G92" i="40"/>
  <c r="H92" i="40"/>
  <c r="I92" i="40"/>
  <c r="J92" i="40"/>
  <c r="K92" i="40"/>
  <c r="L92" i="40"/>
  <c r="M92" i="40"/>
  <c r="N92" i="40"/>
  <c r="O92" i="40"/>
  <c r="P92" i="40"/>
  <c r="Q92" i="40"/>
  <c r="R92" i="40"/>
  <c r="S92" i="40"/>
  <c r="T92" i="40"/>
  <c r="U92" i="40"/>
  <c r="V92" i="40"/>
  <c r="W92" i="40"/>
  <c r="C93" i="40"/>
  <c r="D93" i="40"/>
  <c r="E93" i="40"/>
  <c r="F93" i="40"/>
  <c r="G93" i="40"/>
  <c r="H93" i="40"/>
  <c r="I93" i="40"/>
  <c r="J93" i="40"/>
  <c r="K93" i="40"/>
  <c r="L93" i="40"/>
  <c r="M93" i="40"/>
  <c r="N93" i="40"/>
  <c r="O93" i="40"/>
  <c r="P93" i="40"/>
  <c r="Q93" i="40"/>
  <c r="R93" i="40"/>
  <c r="S93" i="40"/>
  <c r="T93" i="40"/>
  <c r="U93" i="40"/>
  <c r="V93" i="40"/>
  <c r="W93" i="40"/>
  <c r="C94" i="40"/>
  <c r="D94" i="40"/>
  <c r="E94" i="40"/>
  <c r="F94" i="40"/>
  <c r="G94" i="40"/>
  <c r="H94" i="40"/>
  <c r="I94" i="40"/>
  <c r="J94" i="40"/>
  <c r="K94" i="40"/>
  <c r="L94" i="40"/>
  <c r="M94" i="40"/>
  <c r="N94" i="40"/>
  <c r="O94" i="40"/>
  <c r="P94" i="40"/>
  <c r="Q94" i="40"/>
  <c r="R94" i="40"/>
  <c r="S94" i="40"/>
  <c r="T94" i="40"/>
  <c r="U94" i="40"/>
  <c r="V94" i="40"/>
  <c r="W94" i="40"/>
  <c r="C95" i="40"/>
  <c r="D95" i="40"/>
  <c r="E95" i="40"/>
  <c r="F95" i="40"/>
  <c r="G95" i="40"/>
  <c r="H95" i="40"/>
  <c r="I95" i="40"/>
  <c r="J95" i="40"/>
  <c r="K95" i="40"/>
  <c r="L95" i="40"/>
  <c r="M95" i="40"/>
  <c r="N95" i="40"/>
  <c r="O95" i="40"/>
  <c r="P95" i="40"/>
  <c r="Q95" i="40"/>
  <c r="R95" i="40"/>
  <c r="S95" i="40"/>
  <c r="T95" i="40"/>
  <c r="U95" i="40"/>
  <c r="V95" i="40"/>
  <c r="W95" i="40"/>
  <c r="C96" i="40"/>
  <c r="D96" i="40"/>
  <c r="E96" i="40"/>
  <c r="F96" i="40"/>
  <c r="G96" i="40"/>
  <c r="H96" i="40"/>
  <c r="I96" i="40"/>
  <c r="J96" i="40"/>
  <c r="K96" i="40"/>
  <c r="L96" i="40"/>
  <c r="M96" i="40"/>
  <c r="N96" i="40"/>
  <c r="O96" i="40"/>
  <c r="P96" i="40"/>
  <c r="Q96" i="40"/>
  <c r="R96" i="40"/>
  <c r="S96" i="40"/>
  <c r="T96" i="40"/>
  <c r="U96" i="40"/>
  <c r="V96" i="40"/>
  <c r="W96" i="40"/>
  <c r="C97" i="40"/>
  <c r="D97" i="40"/>
  <c r="E97" i="40"/>
  <c r="F97" i="40"/>
  <c r="G97" i="40"/>
  <c r="H97" i="40"/>
  <c r="I97" i="40"/>
  <c r="J97" i="40"/>
  <c r="K97" i="40"/>
  <c r="L97" i="40"/>
  <c r="M97" i="40"/>
  <c r="N97" i="40"/>
  <c r="O97" i="40"/>
  <c r="P97" i="40"/>
  <c r="Q97" i="40"/>
  <c r="R97" i="40"/>
  <c r="S97" i="40"/>
  <c r="T97" i="40"/>
  <c r="U97" i="40"/>
  <c r="V97" i="40"/>
  <c r="W97" i="40"/>
  <c r="C98" i="40"/>
  <c r="D98" i="40"/>
  <c r="E98" i="40"/>
  <c r="F98" i="40"/>
  <c r="G98" i="40"/>
  <c r="H98" i="40"/>
  <c r="I98" i="40"/>
  <c r="J98" i="40"/>
  <c r="K98" i="40"/>
  <c r="L98" i="40"/>
  <c r="M98" i="40"/>
  <c r="N98" i="40"/>
  <c r="O98" i="40"/>
  <c r="P98" i="40"/>
  <c r="Q98" i="40"/>
  <c r="R98" i="40"/>
  <c r="S98" i="40"/>
  <c r="T98" i="40"/>
  <c r="U98" i="40"/>
  <c r="V98" i="40"/>
  <c r="W98" i="40"/>
  <c r="C99" i="40"/>
  <c r="D99" i="40"/>
  <c r="E99" i="40"/>
  <c r="F99" i="40"/>
  <c r="G99" i="40"/>
  <c r="H99" i="40"/>
  <c r="I99" i="40"/>
  <c r="J99" i="40"/>
  <c r="K99" i="40"/>
  <c r="L99" i="40"/>
  <c r="M99" i="40"/>
  <c r="N99" i="40"/>
  <c r="O99" i="40"/>
  <c r="P99" i="40"/>
  <c r="Q99" i="40"/>
  <c r="R99" i="40"/>
  <c r="S99" i="40"/>
  <c r="T99" i="40"/>
  <c r="U99" i="40"/>
  <c r="V99" i="40"/>
  <c r="W99" i="40"/>
  <c r="C100" i="40"/>
  <c r="D100" i="40"/>
  <c r="E100" i="40"/>
  <c r="F100" i="40"/>
  <c r="G100" i="40"/>
  <c r="H100" i="40"/>
  <c r="I100" i="40"/>
  <c r="J100" i="40"/>
  <c r="K100" i="40"/>
  <c r="L100" i="40"/>
  <c r="M100" i="40"/>
  <c r="N100" i="40"/>
  <c r="O100" i="40"/>
  <c r="P100" i="40"/>
  <c r="Q100" i="40"/>
  <c r="R100" i="40"/>
  <c r="S100" i="40"/>
  <c r="T100" i="40"/>
  <c r="U100" i="40"/>
  <c r="V100" i="40"/>
  <c r="W100" i="40"/>
  <c r="C101" i="40"/>
  <c r="D101" i="40"/>
  <c r="E101" i="40"/>
  <c r="F101" i="40"/>
  <c r="G101" i="40"/>
  <c r="H101" i="40"/>
  <c r="I101" i="40"/>
  <c r="J101" i="40"/>
  <c r="K101" i="40"/>
  <c r="L101" i="40"/>
  <c r="M101" i="40"/>
  <c r="N101" i="40"/>
  <c r="O101" i="40"/>
  <c r="P101" i="40"/>
  <c r="Q101" i="40"/>
  <c r="R101" i="40"/>
  <c r="S101" i="40"/>
  <c r="T101" i="40"/>
  <c r="U101" i="40"/>
  <c r="V101" i="40"/>
  <c r="W101" i="40"/>
  <c r="C102" i="40"/>
  <c r="D102" i="40"/>
  <c r="E102" i="40"/>
  <c r="F102" i="40"/>
  <c r="G102" i="40"/>
  <c r="H102" i="40"/>
  <c r="I102" i="40"/>
  <c r="J102" i="40"/>
  <c r="K102" i="40"/>
  <c r="L102" i="40"/>
  <c r="M102" i="40"/>
  <c r="N102" i="40"/>
  <c r="O102" i="40"/>
  <c r="P102" i="40"/>
  <c r="Q102" i="40"/>
  <c r="R102" i="40"/>
  <c r="S102" i="40"/>
  <c r="T102" i="40"/>
  <c r="U102" i="40"/>
  <c r="V102" i="40"/>
  <c r="W102" i="40"/>
  <c r="C103" i="40"/>
  <c r="D103" i="40"/>
  <c r="E103" i="40"/>
  <c r="F103" i="40"/>
  <c r="G103" i="40"/>
  <c r="H103" i="40"/>
  <c r="I103" i="40"/>
  <c r="J103" i="40"/>
  <c r="K103" i="40"/>
  <c r="L103" i="40"/>
  <c r="M103" i="40"/>
  <c r="N103" i="40"/>
  <c r="O103" i="40"/>
  <c r="P103" i="40"/>
  <c r="Q103" i="40"/>
  <c r="R103" i="40"/>
  <c r="S103" i="40"/>
  <c r="T103" i="40"/>
  <c r="U103" i="40"/>
  <c r="V103" i="40"/>
  <c r="W103" i="40"/>
  <c r="C104" i="40"/>
  <c r="D104" i="40"/>
  <c r="E104" i="40"/>
  <c r="F104" i="40"/>
  <c r="G104" i="40"/>
  <c r="H104" i="40"/>
  <c r="I104" i="40"/>
  <c r="J104" i="40"/>
  <c r="K104" i="40"/>
  <c r="L104" i="40"/>
  <c r="M104" i="40"/>
  <c r="N104" i="40"/>
  <c r="O104" i="40"/>
  <c r="P104" i="40"/>
  <c r="Q104" i="40"/>
  <c r="R104" i="40"/>
  <c r="S104" i="40"/>
  <c r="T104" i="40"/>
  <c r="U104" i="40"/>
  <c r="V104" i="40"/>
  <c r="W104" i="40"/>
  <c r="C105" i="40"/>
  <c r="D105" i="40"/>
  <c r="E105" i="40"/>
  <c r="F105" i="40"/>
  <c r="G105" i="40"/>
  <c r="H105" i="40"/>
  <c r="I105" i="40"/>
  <c r="J105" i="40"/>
  <c r="K105" i="40"/>
  <c r="L105" i="40"/>
  <c r="M105" i="40"/>
  <c r="N105" i="40"/>
  <c r="O105" i="40"/>
  <c r="P105" i="40"/>
  <c r="Q105" i="40"/>
  <c r="R105" i="40"/>
  <c r="S105" i="40"/>
  <c r="T105" i="40"/>
  <c r="U105" i="40"/>
  <c r="V105" i="40"/>
  <c r="W105" i="40"/>
  <c r="C106" i="40"/>
  <c r="D106" i="40"/>
  <c r="E106" i="40"/>
  <c r="F106" i="40"/>
  <c r="G106" i="40"/>
  <c r="H106" i="40"/>
  <c r="I106" i="40"/>
  <c r="J106" i="40"/>
  <c r="K106" i="40"/>
  <c r="L106" i="40"/>
  <c r="M106" i="40"/>
  <c r="N106" i="40"/>
  <c r="O106" i="40"/>
  <c r="P106" i="40"/>
  <c r="Q106" i="40"/>
  <c r="R106" i="40"/>
  <c r="S106" i="40"/>
  <c r="T106" i="40"/>
  <c r="U106" i="40"/>
  <c r="V106" i="40"/>
  <c r="W106" i="40"/>
  <c r="C107" i="40"/>
  <c r="D107" i="40"/>
  <c r="E107" i="40"/>
  <c r="F107" i="40"/>
  <c r="G107" i="40"/>
  <c r="H107" i="40"/>
  <c r="I107" i="40"/>
  <c r="J107" i="40"/>
  <c r="K107" i="40"/>
  <c r="L107" i="40"/>
  <c r="M107" i="40"/>
  <c r="N107" i="40"/>
  <c r="O107" i="40"/>
  <c r="P107" i="40"/>
  <c r="Q107" i="40"/>
  <c r="R107" i="40"/>
  <c r="S107" i="40"/>
  <c r="T107" i="40"/>
  <c r="U107" i="40"/>
  <c r="V107" i="40"/>
  <c r="W107" i="40"/>
  <c r="C108" i="40"/>
  <c r="D108" i="40"/>
  <c r="E108" i="40"/>
  <c r="F108" i="40"/>
  <c r="G108" i="40"/>
  <c r="H108" i="40"/>
  <c r="I108" i="40"/>
  <c r="J108" i="40"/>
  <c r="K108" i="40"/>
  <c r="L108" i="40"/>
  <c r="M108" i="40"/>
  <c r="N108" i="40"/>
  <c r="O108" i="40"/>
  <c r="P108" i="40"/>
  <c r="Q108" i="40"/>
  <c r="R108" i="40"/>
  <c r="S108" i="40"/>
  <c r="T108" i="40"/>
  <c r="U108" i="40"/>
  <c r="V108" i="40"/>
  <c r="W108" i="40"/>
  <c r="C109" i="40"/>
  <c r="D109" i="40"/>
  <c r="E109" i="40"/>
  <c r="F109" i="40"/>
  <c r="G109" i="40"/>
  <c r="H109" i="40"/>
  <c r="I109" i="40"/>
  <c r="J109" i="40"/>
  <c r="K109" i="40"/>
  <c r="L109" i="40"/>
  <c r="M109" i="40"/>
  <c r="N109" i="40"/>
  <c r="O109" i="40"/>
  <c r="P109" i="40"/>
  <c r="Q109" i="40"/>
  <c r="R109" i="40"/>
  <c r="S109" i="40"/>
  <c r="T109" i="40"/>
  <c r="U109" i="40"/>
  <c r="V109" i="40"/>
  <c r="W109" i="40"/>
  <c r="C110" i="40"/>
  <c r="D110" i="40"/>
  <c r="E110" i="40"/>
  <c r="F110" i="40"/>
  <c r="G110" i="40"/>
  <c r="H110" i="40"/>
  <c r="I110" i="40"/>
  <c r="J110" i="40"/>
  <c r="K110" i="40"/>
  <c r="L110" i="40"/>
  <c r="M110" i="40"/>
  <c r="N110" i="40"/>
  <c r="O110" i="40"/>
  <c r="P110" i="40"/>
  <c r="Q110" i="40"/>
  <c r="R110" i="40"/>
  <c r="S110" i="40"/>
  <c r="T110" i="40"/>
  <c r="U110" i="40"/>
  <c r="V110" i="40"/>
  <c r="W110" i="40"/>
  <c r="C111" i="40"/>
  <c r="D111" i="40"/>
  <c r="E111" i="40"/>
  <c r="F111" i="40"/>
  <c r="G111" i="40"/>
  <c r="H111" i="40"/>
  <c r="I111" i="40"/>
  <c r="J111" i="40"/>
  <c r="K111" i="40"/>
  <c r="L111" i="40"/>
  <c r="M111" i="40"/>
  <c r="N111" i="40"/>
  <c r="O111" i="40"/>
  <c r="P111" i="40"/>
  <c r="Q111" i="40"/>
  <c r="R111" i="40"/>
  <c r="S111" i="40"/>
  <c r="T111" i="40"/>
  <c r="U111" i="40"/>
  <c r="V111" i="40"/>
  <c r="W111" i="40"/>
  <c r="P77" i="40"/>
  <c r="I77" i="40"/>
  <c r="W77" i="40"/>
  <c r="D77" i="40"/>
  <c r="E77" i="40"/>
  <c r="F77" i="40"/>
  <c r="G77" i="40"/>
  <c r="H77" i="40"/>
  <c r="J77" i="40"/>
  <c r="K77" i="40"/>
  <c r="L77" i="40"/>
  <c r="M77" i="40"/>
  <c r="N77" i="40"/>
  <c r="O77" i="40"/>
  <c r="Q77" i="40"/>
  <c r="R77" i="40"/>
  <c r="S77" i="40"/>
  <c r="T77" i="40"/>
  <c r="U77" i="40"/>
  <c r="V77" i="40"/>
  <c r="C77" i="40"/>
  <c r="C78" i="41"/>
  <c r="D78" i="41"/>
  <c r="E78" i="41"/>
  <c r="F78" i="41"/>
  <c r="G78" i="41"/>
  <c r="H78" i="41"/>
  <c r="I78" i="41"/>
  <c r="J78" i="41"/>
  <c r="K78" i="41"/>
  <c r="L78" i="41"/>
  <c r="M78" i="41"/>
  <c r="N78" i="41"/>
  <c r="O78" i="41"/>
  <c r="P78" i="41"/>
  <c r="Q78" i="41"/>
  <c r="R78" i="41"/>
  <c r="S78" i="41"/>
  <c r="T78" i="41"/>
  <c r="U78" i="41"/>
  <c r="V78" i="41"/>
  <c r="W78" i="41"/>
  <c r="C79" i="41"/>
  <c r="D79" i="41"/>
  <c r="E79" i="41"/>
  <c r="F79" i="41"/>
  <c r="G79" i="41"/>
  <c r="H79" i="41"/>
  <c r="I79" i="41"/>
  <c r="J79" i="41"/>
  <c r="K79" i="41"/>
  <c r="L79" i="41"/>
  <c r="M79" i="41"/>
  <c r="N79" i="41"/>
  <c r="O79" i="41"/>
  <c r="P79" i="41"/>
  <c r="Q79" i="41"/>
  <c r="R79" i="41"/>
  <c r="S79" i="41"/>
  <c r="T79" i="41"/>
  <c r="U79" i="41"/>
  <c r="V79" i="41"/>
  <c r="W79" i="41"/>
  <c r="C80" i="41"/>
  <c r="D80" i="41"/>
  <c r="E80" i="41"/>
  <c r="F80" i="41"/>
  <c r="G80" i="41"/>
  <c r="H80" i="41"/>
  <c r="I80" i="41"/>
  <c r="J80" i="41"/>
  <c r="K80" i="41"/>
  <c r="L80" i="41"/>
  <c r="M80" i="41"/>
  <c r="N80" i="41"/>
  <c r="O80" i="41"/>
  <c r="P80" i="41"/>
  <c r="Q80" i="41"/>
  <c r="R80" i="41"/>
  <c r="S80" i="41"/>
  <c r="T80" i="41"/>
  <c r="U80" i="41"/>
  <c r="V80" i="41"/>
  <c r="W80" i="41"/>
  <c r="C81" i="41"/>
  <c r="D81" i="41"/>
  <c r="E81" i="41"/>
  <c r="F81" i="41"/>
  <c r="G81" i="41"/>
  <c r="H81" i="41"/>
  <c r="I81" i="41"/>
  <c r="J81" i="41"/>
  <c r="K81" i="41"/>
  <c r="L81" i="41"/>
  <c r="M81" i="41"/>
  <c r="N81" i="41"/>
  <c r="O81" i="41"/>
  <c r="P81" i="41"/>
  <c r="Q81" i="41"/>
  <c r="R81" i="41"/>
  <c r="S81" i="41"/>
  <c r="T81" i="41"/>
  <c r="U81" i="41"/>
  <c r="V81" i="41"/>
  <c r="W81" i="41"/>
  <c r="C82" i="41"/>
  <c r="D82" i="41"/>
  <c r="E82" i="41"/>
  <c r="F82" i="41"/>
  <c r="G82" i="41"/>
  <c r="H82" i="41"/>
  <c r="I82" i="41"/>
  <c r="J82" i="41"/>
  <c r="K82" i="41"/>
  <c r="L82" i="41"/>
  <c r="M82" i="41"/>
  <c r="N82" i="41"/>
  <c r="O82" i="41"/>
  <c r="P82" i="41"/>
  <c r="Q82" i="41"/>
  <c r="R82" i="41"/>
  <c r="S82" i="41"/>
  <c r="T82" i="41"/>
  <c r="U82" i="41"/>
  <c r="V82" i="41"/>
  <c r="W82" i="41"/>
  <c r="C83" i="41"/>
  <c r="D83" i="41"/>
  <c r="E83" i="41"/>
  <c r="F83" i="41"/>
  <c r="G83" i="41"/>
  <c r="H83" i="41"/>
  <c r="I83" i="41"/>
  <c r="J83" i="41"/>
  <c r="K83" i="41"/>
  <c r="L83" i="41"/>
  <c r="M83" i="41"/>
  <c r="N83" i="41"/>
  <c r="O83" i="41"/>
  <c r="P83" i="41"/>
  <c r="Q83" i="41"/>
  <c r="R83" i="41"/>
  <c r="S83" i="41"/>
  <c r="T83" i="41"/>
  <c r="U83" i="41"/>
  <c r="V83" i="41"/>
  <c r="W83" i="41"/>
  <c r="C84" i="41"/>
  <c r="D84" i="41"/>
  <c r="E84" i="41"/>
  <c r="F84" i="41"/>
  <c r="G84" i="41"/>
  <c r="H84" i="41"/>
  <c r="I84" i="41"/>
  <c r="J84" i="41"/>
  <c r="K84" i="41"/>
  <c r="L84" i="41"/>
  <c r="M84" i="41"/>
  <c r="N84" i="41"/>
  <c r="O84" i="41"/>
  <c r="P84" i="41"/>
  <c r="Q84" i="41"/>
  <c r="R84" i="41"/>
  <c r="S84" i="41"/>
  <c r="T84" i="41"/>
  <c r="U84" i="41"/>
  <c r="V84" i="41"/>
  <c r="W84" i="41"/>
  <c r="C85" i="41"/>
  <c r="D85" i="41"/>
  <c r="E85" i="41"/>
  <c r="F85" i="41"/>
  <c r="G85" i="41"/>
  <c r="H85" i="41"/>
  <c r="I85" i="41"/>
  <c r="J85" i="41"/>
  <c r="K85" i="41"/>
  <c r="L85" i="41"/>
  <c r="M85" i="41"/>
  <c r="N85" i="41"/>
  <c r="O85" i="41"/>
  <c r="P85" i="41"/>
  <c r="Q85" i="41"/>
  <c r="R85" i="41"/>
  <c r="S85" i="41"/>
  <c r="T85" i="41"/>
  <c r="U85" i="41"/>
  <c r="V85" i="41"/>
  <c r="W85" i="41"/>
  <c r="C86" i="41"/>
  <c r="D86" i="41"/>
  <c r="E86" i="41"/>
  <c r="F86" i="41"/>
  <c r="G86" i="41"/>
  <c r="H86" i="41"/>
  <c r="I86" i="41"/>
  <c r="J86" i="41"/>
  <c r="K86" i="41"/>
  <c r="L86" i="41"/>
  <c r="M86" i="41"/>
  <c r="N86" i="41"/>
  <c r="O86" i="41"/>
  <c r="P86" i="41"/>
  <c r="Q86" i="41"/>
  <c r="R86" i="41"/>
  <c r="S86" i="41"/>
  <c r="T86" i="41"/>
  <c r="U86" i="41"/>
  <c r="V86" i="41"/>
  <c r="W86" i="41"/>
  <c r="C87" i="41"/>
  <c r="D87" i="41"/>
  <c r="E87" i="41"/>
  <c r="F87" i="41"/>
  <c r="G87" i="41"/>
  <c r="H87" i="41"/>
  <c r="I87" i="41"/>
  <c r="J87" i="41"/>
  <c r="K87" i="41"/>
  <c r="L87" i="41"/>
  <c r="M87" i="41"/>
  <c r="N87" i="41"/>
  <c r="O87" i="41"/>
  <c r="P87" i="41"/>
  <c r="Q87" i="41"/>
  <c r="R87" i="41"/>
  <c r="S87" i="41"/>
  <c r="T87" i="41"/>
  <c r="U87" i="41"/>
  <c r="V87" i="41"/>
  <c r="W87" i="41"/>
  <c r="C88" i="41"/>
  <c r="D88" i="41"/>
  <c r="E88" i="41"/>
  <c r="F88" i="41"/>
  <c r="G88" i="41"/>
  <c r="H88" i="41"/>
  <c r="I88" i="41"/>
  <c r="J88" i="41"/>
  <c r="K88" i="41"/>
  <c r="L88" i="41"/>
  <c r="M88" i="41"/>
  <c r="N88" i="41"/>
  <c r="O88" i="41"/>
  <c r="P88" i="41"/>
  <c r="Q88" i="41"/>
  <c r="R88" i="41"/>
  <c r="S88" i="41"/>
  <c r="T88" i="41"/>
  <c r="U88" i="41"/>
  <c r="V88" i="41"/>
  <c r="W88" i="41"/>
  <c r="C89" i="41"/>
  <c r="D89" i="41"/>
  <c r="E89" i="41"/>
  <c r="F89" i="41"/>
  <c r="G89" i="41"/>
  <c r="H89" i="41"/>
  <c r="I89" i="41"/>
  <c r="J89" i="41"/>
  <c r="K89" i="41"/>
  <c r="L89" i="41"/>
  <c r="M89" i="41"/>
  <c r="N89" i="41"/>
  <c r="O89" i="41"/>
  <c r="P89" i="41"/>
  <c r="Q89" i="41"/>
  <c r="R89" i="41"/>
  <c r="S89" i="41"/>
  <c r="T89" i="41"/>
  <c r="U89" i="41"/>
  <c r="V89" i="41"/>
  <c r="W89" i="41"/>
  <c r="C90" i="41"/>
  <c r="D90" i="41"/>
  <c r="E90" i="41"/>
  <c r="F90" i="41"/>
  <c r="G90" i="41"/>
  <c r="H90" i="41"/>
  <c r="I90" i="41"/>
  <c r="J90" i="41"/>
  <c r="K90" i="41"/>
  <c r="L90" i="41"/>
  <c r="M90" i="41"/>
  <c r="N90" i="41"/>
  <c r="O90" i="41"/>
  <c r="P90" i="41"/>
  <c r="Q90" i="41"/>
  <c r="R90" i="41"/>
  <c r="S90" i="41"/>
  <c r="T90" i="41"/>
  <c r="U90" i="41"/>
  <c r="V90" i="41"/>
  <c r="W90" i="41"/>
  <c r="C91" i="41"/>
  <c r="D91" i="41"/>
  <c r="E91" i="41"/>
  <c r="F91" i="41"/>
  <c r="G91" i="41"/>
  <c r="H91" i="41"/>
  <c r="I91" i="41"/>
  <c r="J91" i="41"/>
  <c r="K91" i="41"/>
  <c r="L91" i="41"/>
  <c r="M91" i="41"/>
  <c r="N91" i="41"/>
  <c r="O91" i="41"/>
  <c r="P91" i="41"/>
  <c r="Q91" i="41"/>
  <c r="R91" i="41"/>
  <c r="S91" i="41"/>
  <c r="T91" i="41"/>
  <c r="U91" i="41"/>
  <c r="V91" i="41"/>
  <c r="W91" i="41"/>
  <c r="C92" i="41"/>
  <c r="D92" i="41"/>
  <c r="E92" i="41"/>
  <c r="F92" i="41"/>
  <c r="G92" i="41"/>
  <c r="H92" i="41"/>
  <c r="I92" i="41"/>
  <c r="J92" i="41"/>
  <c r="K92" i="41"/>
  <c r="L92" i="41"/>
  <c r="M92" i="41"/>
  <c r="N92" i="41"/>
  <c r="O92" i="41"/>
  <c r="P92" i="41"/>
  <c r="Q92" i="41"/>
  <c r="R92" i="41"/>
  <c r="S92" i="41"/>
  <c r="T92" i="41"/>
  <c r="U92" i="41"/>
  <c r="V92" i="41"/>
  <c r="W92" i="41"/>
  <c r="C93" i="41"/>
  <c r="D93" i="41"/>
  <c r="E93" i="41"/>
  <c r="F93" i="41"/>
  <c r="G93" i="41"/>
  <c r="H93" i="41"/>
  <c r="I93" i="41"/>
  <c r="J93" i="41"/>
  <c r="K93" i="41"/>
  <c r="L93" i="41"/>
  <c r="M93" i="41"/>
  <c r="N93" i="41"/>
  <c r="O93" i="41"/>
  <c r="P93" i="41"/>
  <c r="Q93" i="41"/>
  <c r="R93" i="41"/>
  <c r="S93" i="41"/>
  <c r="T93" i="41"/>
  <c r="U93" i="41"/>
  <c r="V93" i="41"/>
  <c r="W93" i="41"/>
  <c r="C94" i="41"/>
  <c r="D94" i="41"/>
  <c r="E94" i="41"/>
  <c r="F94" i="41"/>
  <c r="G94" i="41"/>
  <c r="H94" i="41"/>
  <c r="I94" i="41"/>
  <c r="J94" i="41"/>
  <c r="K94" i="41"/>
  <c r="L94" i="41"/>
  <c r="M94" i="41"/>
  <c r="N94" i="41"/>
  <c r="O94" i="41"/>
  <c r="P94" i="41"/>
  <c r="Q94" i="41"/>
  <c r="R94" i="41"/>
  <c r="S94" i="41"/>
  <c r="T94" i="41"/>
  <c r="U94" i="41"/>
  <c r="V94" i="41"/>
  <c r="W94" i="41"/>
  <c r="C95" i="41"/>
  <c r="D95" i="41"/>
  <c r="E95" i="41"/>
  <c r="F95" i="41"/>
  <c r="G95" i="41"/>
  <c r="H95" i="41"/>
  <c r="I95" i="41"/>
  <c r="J95" i="41"/>
  <c r="K95" i="41"/>
  <c r="L95" i="41"/>
  <c r="M95" i="41"/>
  <c r="N95" i="41"/>
  <c r="O95" i="41"/>
  <c r="P95" i="41"/>
  <c r="Q95" i="41"/>
  <c r="R95" i="41"/>
  <c r="S95" i="41"/>
  <c r="T95" i="41"/>
  <c r="U95" i="41"/>
  <c r="V95" i="41"/>
  <c r="W95" i="41"/>
  <c r="C96" i="41"/>
  <c r="D96" i="41"/>
  <c r="E96" i="41"/>
  <c r="F96" i="41"/>
  <c r="G96" i="41"/>
  <c r="H96" i="41"/>
  <c r="I96" i="41"/>
  <c r="J96" i="41"/>
  <c r="K96" i="41"/>
  <c r="L96" i="41"/>
  <c r="M96" i="41"/>
  <c r="N96" i="41"/>
  <c r="O96" i="41"/>
  <c r="P96" i="41"/>
  <c r="Q96" i="41"/>
  <c r="R96" i="41"/>
  <c r="S96" i="41"/>
  <c r="T96" i="41"/>
  <c r="U96" i="41"/>
  <c r="V96" i="41"/>
  <c r="W96" i="41"/>
  <c r="C97" i="41"/>
  <c r="D97" i="41"/>
  <c r="E97" i="41"/>
  <c r="F97" i="41"/>
  <c r="G97" i="41"/>
  <c r="H97" i="41"/>
  <c r="I97" i="41"/>
  <c r="J97" i="41"/>
  <c r="K97" i="41"/>
  <c r="L97" i="41"/>
  <c r="M97" i="41"/>
  <c r="N97" i="41"/>
  <c r="O97" i="41"/>
  <c r="P97" i="41"/>
  <c r="Q97" i="41"/>
  <c r="R97" i="41"/>
  <c r="S97" i="41"/>
  <c r="T97" i="41"/>
  <c r="U97" i="41"/>
  <c r="V97" i="41"/>
  <c r="W97" i="41"/>
  <c r="C98" i="41"/>
  <c r="D98" i="41"/>
  <c r="E98" i="41"/>
  <c r="F98" i="41"/>
  <c r="G98" i="41"/>
  <c r="H98" i="41"/>
  <c r="I98" i="41"/>
  <c r="J98" i="41"/>
  <c r="K98" i="41"/>
  <c r="L98" i="41"/>
  <c r="M98" i="41"/>
  <c r="N98" i="41"/>
  <c r="O98" i="41"/>
  <c r="P98" i="41"/>
  <c r="Q98" i="41"/>
  <c r="R98" i="41"/>
  <c r="S98" i="41"/>
  <c r="T98" i="41"/>
  <c r="U98" i="41"/>
  <c r="V98" i="41"/>
  <c r="W98" i="41"/>
  <c r="C99" i="41"/>
  <c r="D99" i="41"/>
  <c r="E99" i="41"/>
  <c r="F99" i="41"/>
  <c r="G99" i="41"/>
  <c r="H99" i="41"/>
  <c r="I99" i="41"/>
  <c r="J99" i="41"/>
  <c r="K99" i="41"/>
  <c r="L99" i="41"/>
  <c r="M99" i="41"/>
  <c r="N99" i="41"/>
  <c r="O99" i="41"/>
  <c r="P99" i="41"/>
  <c r="Q99" i="41"/>
  <c r="R99" i="41"/>
  <c r="S99" i="41"/>
  <c r="T99" i="41"/>
  <c r="U99" i="41"/>
  <c r="V99" i="41"/>
  <c r="W99" i="41"/>
  <c r="C100" i="41"/>
  <c r="D100" i="41"/>
  <c r="E100" i="41"/>
  <c r="F100" i="41"/>
  <c r="G100" i="41"/>
  <c r="H100" i="41"/>
  <c r="I100" i="41"/>
  <c r="J100" i="41"/>
  <c r="K100" i="41"/>
  <c r="L100" i="41"/>
  <c r="M100" i="41"/>
  <c r="N100" i="41"/>
  <c r="O100" i="41"/>
  <c r="P100" i="41"/>
  <c r="Q100" i="41"/>
  <c r="R100" i="41"/>
  <c r="S100" i="41"/>
  <c r="T100" i="41"/>
  <c r="U100" i="41"/>
  <c r="V100" i="41"/>
  <c r="W100" i="41"/>
  <c r="C101" i="41"/>
  <c r="D101" i="41"/>
  <c r="E101" i="41"/>
  <c r="F101" i="41"/>
  <c r="G101" i="41"/>
  <c r="H101" i="41"/>
  <c r="I101" i="41"/>
  <c r="J101" i="41"/>
  <c r="K101" i="41"/>
  <c r="L101" i="41"/>
  <c r="M101" i="41"/>
  <c r="N101" i="41"/>
  <c r="O101" i="41"/>
  <c r="P101" i="41"/>
  <c r="Q101" i="41"/>
  <c r="R101" i="41"/>
  <c r="S101" i="41"/>
  <c r="T101" i="41"/>
  <c r="U101" i="41"/>
  <c r="V101" i="41"/>
  <c r="W101" i="41"/>
  <c r="C102" i="41"/>
  <c r="D102" i="41"/>
  <c r="E102" i="41"/>
  <c r="F102" i="41"/>
  <c r="G102" i="41"/>
  <c r="H102" i="41"/>
  <c r="I102" i="41"/>
  <c r="J102" i="41"/>
  <c r="K102" i="41"/>
  <c r="L102" i="41"/>
  <c r="M102" i="41"/>
  <c r="N102" i="41"/>
  <c r="O102" i="41"/>
  <c r="P102" i="41"/>
  <c r="Q102" i="41"/>
  <c r="R102" i="41"/>
  <c r="S102" i="41"/>
  <c r="T102" i="41"/>
  <c r="U102" i="41"/>
  <c r="V102" i="41"/>
  <c r="W102" i="41"/>
  <c r="C103" i="41"/>
  <c r="D103" i="41"/>
  <c r="E103" i="41"/>
  <c r="F103" i="41"/>
  <c r="G103" i="41"/>
  <c r="H103" i="41"/>
  <c r="I103" i="41"/>
  <c r="J103" i="41"/>
  <c r="K103" i="41"/>
  <c r="L103" i="41"/>
  <c r="M103" i="41"/>
  <c r="N103" i="41"/>
  <c r="O103" i="41"/>
  <c r="P103" i="41"/>
  <c r="Q103" i="41"/>
  <c r="R103" i="41"/>
  <c r="S103" i="41"/>
  <c r="T103" i="41"/>
  <c r="U103" i="41"/>
  <c r="V103" i="41"/>
  <c r="W103" i="41"/>
  <c r="C104" i="41"/>
  <c r="D104" i="41"/>
  <c r="E104" i="41"/>
  <c r="F104" i="41"/>
  <c r="G104" i="41"/>
  <c r="H104" i="41"/>
  <c r="I104" i="41"/>
  <c r="J104" i="41"/>
  <c r="K104" i="41"/>
  <c r="L104" i="41"/>
  <c r="M104" i="41"/>
  <c r="N104" i="41"/>
  <c r="O104" i="41"/>
  <c r="P104" i="41"/>
  <c r="Q104" i="41"/>
  <c r="R104" i="41"/>
  <c r="S104" i="41"/>
  <c r="T104" i="41"/>
  <c r="U104" i="41"/>
  <c r="V104" i="41"/>
  <c r="W104" i="41"/>
  <c r="C105" i="41"/>
  <c r="D105" i="41"/>
  <c r="E105" i="41"/>
  <c r="F105" i="41"/>
  <c r="G105" i="41"/>
  <c r="H105" i="41"/>
  <c r="I105" i="41"/>
  <c r="J105" i="41"/>
  <c r="K105" i="41"/>
  <c r="L105" i="41"/>
  <c r="M105" i="41"/>
  <c r="N105" i="41"/>
  <c r="O105" i="41"/>
  <c r="P105" i="41"/>
  <c r="Q105" i="41"/>
  <c r="R105" i="41"/>
  <c r="S105" i="41"/>
  <c r="T105" i="41"/>
  <c r="U105" i="41"/>
  <c r="V105" i="41"/>
  <c r="W105" i="41"/>
  <c r="C106" i="41"/>
  <c r="D106" i="41"/>
  <c r="E106" i="41"/>
  <c r="F106" i="41"/>
  <c r="G106" i="41"/>
  <c r="H106" i="41"/>
  <c r="I106" i="41"/>
  <c r="J106" i="41"/>
  <c r="K106" i="41"/>
  <c r="L106" i="41"/>
  <c r="M106" i="41"/>
  <c r="N106" i="41"/>
  <c r="O106" i="41"/>
  <c r="P106" i="41"/>
  <c r="Q106" i="41"/>
  <c r="R106" i="41"/>
  <c r="S106" i="41"/>
  <c r="T106" i="41"/>
  <c r="U106" i="41"/>
  <c r="V106" i="41"/>
  <c r="W106" i="41"/>
  <c r="C107" i="41"/>
  <c r="D107" i="41"/>
  <c r="E107" i="41"/>
  <c r="F107" i="41"/>
  <c r="G107" i="41"/>
  <c r="H107" i="41"/>
  <c r="I107" i="41"/>
  <c r="J107" i="41"/>
  <c r="K107" i="41"/>
  <c r="L107" i="41"/>
  <c r="M107" i="41"/>
  <c r="N107" i="41"/>
  <c r="O107" i="41"/>
  <c r="P107" i="41"/>
  <c r="Q107" i="41"/>
  <c r="R107" i="41"/>
  <c r="S107" i="41"/>
  <c r="T107" i="41"/>
  <c r="U107" i="41"/>
  <c r="V107" i="41"/>
  <c r="W107" i="41"/>
  <c r="C108" i="41"/>
  <c r="D108" i="41"/>
  <c r="E108" i="41"/>
  <c r="F108" i="41"/>
  <c r="G108" i="41"/>
  <c r="H108" i="41"/>
  <c r="I108" i="41"/>
  <c r="J108" i="41"/>
  <c r="K108" i="41"/>
  <c r="L108" i="41"/>
  <c r="M108" i="41"/>
  <c r="N108" i="41"/>
  <c r="O108" i="41"/>
  <c r="P108" i="41"/>
  <c r="Q108" i="41"/>
  <c r="R108" i="41"/>
  <c r="S108" i="41"/>
  <c r="T108" i="41"/>
  <c r="U108" i="41"/>
  <c r="V108" i="41"/>
  <c r="W108" i="41"/>
  <c r="C109" i="41"/>
  <c r="D109" i="41"/>
  <c r="E109" i="41"/>
  <c r="F109" i="41"/>
  <c r="G109" i="41"/>
  <c r="H109" i="41"/>
  <c r="I109" i="41"/>
  <c r="J109" i="41"/>
  <c r="K109" i="41"/>
  <c r="L109" i="41"/>
  <c r="M109" i="41"/>
  <c r="N109" i="41"/>
  <c r="O109" i="41"/>
  <c r="P109" i="41"/>
  <c r="Q109" i="41"/>
  <c r="R109" i="41"/>
  <c r="S109" i="41"/>
  <c r="T109" i="41"/>
  <c r="U109" i="41"/>
  <c r="V109" i="41"/>
  <c r="W109" i="41"/>
  <c r="C110" i="41"/>
  <c r="D110" i="41"/>
  <c r="E110" i="41"/>
  <c r="F110" i="41"/>
  <c r="G110" i="41"/>
  <c r="H110" i="41"/>
  <c r="I110" i="41"/>
  <c r="J110" i="41"/>
  <c r="K110" i="41"/>
  <c r="L110" i="41"/>
  <c r="M110" i="41"/>
  <c r="N110" i="41"/>
  <c r="O110" i="41"/>
  <c r="P110" i="41"/>
  <c r="Q110" i="41"/>
  <c r="R110" i="41"/>
  <c r="S110" i="41"/>
  <c r="T110" i="41"/>
  <c r="U110" i="41"/>
  <c r="V110" i="41"/>
  <c r="W110" i="41"/>
  <c r="C111" i="41"/>
  <c r="D111" i="41"/>
  <c r="E111" i="41"/>
  <c r="F111" i="41"/>
  <c r="G111" i="41"/>
  <c r="H111" i="41"/>
  <c r="I111" i="41"/>
  <c r="J111" i="41"/>
  <c r="K111" i="41"/>
  <c r="L111" i="41"/>
  <c r="M111" i="41"/>
  <c r="N111" i="41"/>
  <c r="O111" i="41"/>
  <c r="P111" i="41"/>
  <c r="Q111" i="41"/>
  <c r="R111" i="41"/>
  <c r="S111" i="41"/>
  <c r="T111" i="41"/>
  <c r="U111" i="41"/>
  <c r="V111" i="41"/>
  <c r="W111" i="41"/>
  <c r="W77" i="41"/>
  <c r="P77" i="41"/>
  <c r="I77" i="41"/>
  <c r="D77" i="41"/>
  <c r="E77" i="41"/>
  <c r="F77" i="41"/>
  <c r="G77" i="41"/>
  <c r="H77" i="41"/>
  <c r="J77" i="41"/>
  <c r="K77" i="41"/>
  <c r="L77" i="41"/>
  <c r="M77" i="41"/>
  <c r="N77" i="41"/>
  <c r="O77" i="41"/>
  <c r="Q77" i="41"/>
  <c r="R77" i="41"/>
  <c r="S77" i="41"/>
  <c r="T77" i="41"/>
  <c r="U77" i="41"/>
  <c r="V77" i="41"/>
  <c r="C77" i="41"/>
  <c r="W79" i="42"/>
  <c r="W80" i="42"/>
  <c r="W81" i="42"/>
  <c r="W82" i="42"/>
  <c r="W83" i="42"/>
  <c r="W84" i="42"/>
  <c r="W85" i="42"/>
  <c r="W86" i="42"/>
  <c r="W87" i="42"/>
  <c r="W88" i="42"/>
  <c r="W89" i="42"/>
  <c r="W90" i="42"/>
  <c r="W91" i="42"/>
  <c r="W92" i="42"/>
  <c r="W93" i="42"/>
  <c r="W94" i="42"/>
  <c r="W95" i="42"/>
  <c r="W96" i="42"/>
  <c r="W97" i="42"/>
  <c r="W98" i="42"/>
  <c r="W99" i="42"/>
  <c r="W100" i="42"/>
  <c r="W101" i="42"/>
  <c r="W102" i="42"/>
  <c r="W103" i="42"/>
  <c r="W104" i="42"/>
  <c r="W105" i="42"/>
  <c r="W106" i="42"/>
  <c r="W107" i="42"/>
  <c r="W108" i="42"/>
  <c r="W109" i="42"/>
  <c r="W110" i="42"/>
  <c r="W111" i="42"/>
  <c r="W112" i="42"/>
  <c r="P79" i="42"/>
  <c r="P80" i="42"/>
  <c r="P81" i="42"/>
  <c r="P82" i="42"/>
  <c r="P83" i="42"/>
  <c r="P84" i="42"/>
  <c r="P85" i="42"/>
  <c r="P86" i="42"/>
  <c r="P87" i="42"/>
  <c r="P88" i="42"/>
  <c r="P89" i="42"/>
  <c r="P90" i="42"/>
  <c r="P91" i="42"/>
  <c r="P92" i="42"/>
  <c r="P93" i="42"/>
  <c r="P94" i="42"/>
  <c r="P95" i="42"/>
  <c r="P96" i="42"/>
  <c r="P97" i="42"/>
  <c r="P98" i="42"/>
  <c r="P99" i="42"/>
  <c r="P100" i="42"/>
  <c r="P101" i="42"/>
  <c r="P102" i="42"/>
  <c r="P103" i="42"/>
  <c r="P104" i="42"/>
  <c r="P105" i="42"/>
  <c r="P106" i="42"/>
  <c r="P107" i="42"/>
  <c r="P108" i="42"/>
  <c r="P109" i="42"/>
  <c r="P110" i="42"/>
  <c r="P111" i="42"/>
  <c r="P112" i="42"/>
  <c r="I79" i="42"/>
  <c r="I80" i="42"/>
  <c r="I81" i="42"/>
  <c r="I82" i="42"/>
  <c r="I83" i="42"/>
  <c r="I84" i="42"/>
  <c r="I85" i="42"/>
  <c r="I86" i="42"/>
  <c r="I87" i="42"/>
  <c r="I88" i="42"/>
  <c r="I89" i="42"/>
  <c r="I90" i="42"/>
  <c r="I91" i="42"/>
  <c r="I92" i="42"/>
  <c r="I93" i="42"/>
  <c r="I94" i="42"/>
  <c r="I95" i="42"/>
  <c r="I96" i="42"/>
  <c r="I97" i="42"/>
  <c r="I98" i="42"/>
  <c r="I99" i="42"/>
  <c r="I100" i="42"/>
  <c r="I101" i="42"/>
  <c r="I102" i="42"/>
  <c r="I103" i="42"/>
  <c r="I104" i="42"/>
  <c r="I105" i="42"/>
  <c r="I106" i="42"/>
  <c r="I107" i="42"/>
  <c r="I108" i="42"/>
  <c r="I109" i="42"/>
  <c r="I110" i="42"/>
  <c r="I111" i="42"/>
  <c r="I112" i="42"/>
  <c r="I78" i="42"/>
  <c r="C79" i="42"/>
  <c r="C80" i="42"/>
  <c r="C81" i="42"/>
  <c r="C82" i="42"/>
  <c r="C83" i="42"/>
  <c r="C84" i="42"/>
  <c r="C85" i="42"/>
  <c r="C86" i="42"/>
  <c r="C88" i="42"/>
  <c r="C89" i="42"/>
  <c r="C90" i="42"/>
  <c r="C91" i="42"/>
  <c r="C92" i="42"/>
  <c r="C93" i="42"/>
  <c r="C94" i="42"/>
  <c r="C95" i="42"/>
  <c r="C96" i="42"/>
  <c r="C97" i="42"/>
  <c r="C98" i="42"/>
  <c r="C99" i="42"/>
  <c r="C100" i="42"/>
  <c r="C101" i="42"/>
  <c r="C102" i="42"/>
  <c r="C103" i="42"/>
  <c r="C104" i="42"/>
  <c r="C105" i="42"/>
  <c r="C106" i="42"/>
  <c r="C107" i="42"/>
  <c r="C108" i="42"/>
  <c r="C109" i="42"/>
  <c r="C110" i="42"/>
  <c r="C111" i="42"/>
  <c r="C112" i="42"/>
  <c r="C78" i="42"/>
  <c r="D79" i="42"/>
  <c r="E79" i="42"/>
  <c r="F79" i="42"/>
  <c r="G79" i="42"/>
  <c r="H79" i="42"/>
  <c r="J79" i="42"/>
  <c r="K79" i="42"/>
  <c r="L79" i="42"/>
  <c r="M79" i="42"/>
  <c r="N79" i="42"/>
  <c r="O79" i="42"/>
  <c r="Q79" i="42"/>
  <c r="R79" i="42"/>
  <c r="S79" i="42"/>
  <c r="T79" i="42"/>
  <c r="U79" i="42"/>
  <c r="V79" i="42"/>
  <c r="D80" i="42"/>
  <c r="E80" i="42"/>
  <c r="F80" i="42"/>
  <c r="G80" i="42"/>
  <c r="H80" i="42"/>
  <c r="J80" i="42"/>
  <c r="K80" i="42"/>
  <c r="L80" i="42"/>
  <c r="M80" i="42"/>
  <c r="N80" i="42"/>
  <c r="O80" i="42"/>
  <c r="Q80" i="42"/>
  <c r="R80" i="42"/>
  <c r="S80" i="42"/>
  <c r="T80" i="42"/>
  <c r="U80" i="42"/>
  <c r="V80" i="42"/>
  <c r="D81" i="42"/>
  <c r="E81" i="42"/>
  <c r="F81" i="42"/>
  <c r="G81" i="42"/>
  <c r="H81" i="42"/>
  <c r="J81" i="42"/>
  <c r="K81" i="42"/>
  <c r="L81" i="42"/>
  <c r="M81" i="42"/>
  <c r="N81" i="42"/>
  <c r="O81" i="42"/>
  <c r="Q81" i="42"/>
  <c r="R81" i="42"/>
  <c r="S81" i="42"/>
  <c r="T81" i="42"/>
  <c r="U81" i="42"/>
  <c r="V81" i="42"/>
  <c r="D82" i="42"/>
  <c r="E82" i="42"/>
  <c r="F82" i="42"/>
  <c r="G82" i="42"/>
  <c r="H82" i="42"/>
  <c r="J82" i="42"/>
  <c r="K82" i="42"/>
  <c r="L82" i="42"/>
  <c r="M82" i="42"/>
  <c r="N82" i="42"/>
  <c r="O82" i="42"/>
  <c r="Q82" i="42"/>
  <c r="R82" i="42"/>
  <c r="S82" i="42"/>
  <c r="T82" i="42"/>
  <c r="U82" i="42"/>
  <c r="V82" i="42"/>
  <c r="D83" i="42"/>
  <c r="E83" i="42"/>
  <c r="F83" i="42"/>
  <c r="G83" i="42"/>
  <c r="H83" i="42"/>
  <c r="J83" i="42"/>
  <c r="K83" i="42"/>
  <c r="L83" i="42"/>
  <c r="M83" i="42"/>
  <c r="N83" i="42"/>
  <c r="O83" i="42"/>
  <c r="Q83" i="42"/>
  <c r="R83" i="42"/>
  <c r="S83" i="42"/>
  <c r="T83" i="42"/>
  <c r="U83" i="42"/>
  <c r="V83" i="42"/>
  <c r="D84" i="42"/>
  <c r="E84" i="42"/>
  <c r="F84" i="42"/>
  <c r="G84" i="42"/>
  <c r="H84" i="42"/>
  <c r="J84" i="42"/>
  <c r="K84" i="42"/>
  <c r="L84" i="42"/>
  <c r="M84" i="42"/>
  <c r="N84" i="42"/>
  <c r="O84" i="42"/>
  <c r="Q84" i="42"/>
  <c r="R84" i="42"/>
  <c r="S84" i="42"/>
  <c r="T84" i="42"/>
  <c r="U84" i="42"/>
  <c r="V84" i="42"/>
  <c r="D85" i="42"/>
  <c r="E85" i="42"/>
  <c r="F85" i="42"/>
  <c r="G85" i="42"/>
  <c r="H85" i="42"/>
  <c r="J85" i="42"/>
  <c r="K85" i="42"/>
  <c r="L85" i="42"/>
  <c r="M85" i="42"/>
  <c r="N85" i="42"/>
  <c r="O85" i="42"/>
  <c r="Q85" i="42"/>
  <c r="R85" i="42"/>
  <c r="S85" i="42"/>
  <c r="T85" i="42"/>
  <c r="U85" i="42"/>
  <c r="V85" i="42"/>
  <c r="D86" i="42"/>
  <c r="E86" i="42"/>
  <c r="F86" i="42"/>
  <c r="G86" i="42"/>
  <c r="H86" i="42"/>
  <c r="J86" i="42"/>
  <c r="K86" i="42"/>
  <c r="L86" i="42"/>
  <c r="M86" i="42"/>
  <c r="N86" i="42"/>
  <c r="O86" i="42"/>
  <c r="Q86" i="42"/>
  <c r="R86" i="42"/>
  <c r="S86" i="42"/>
  <c r="T86" i="42"/>
  <c r="U86" i="42"/>
  <c r="V86" i="42"/>
  <c r="D87" i="42"/>
  <c r="E87" i="42"/>
  <c r="F87" i="42"/>
  <c r="G87" i="42"/>
  <c r="H87" i="42"/>
  <c r="J87" i="42"/>
  <c r="K87" i="42"/>
  <c r="L87" i="42"/>
  <c r="M87" i="42"/>
  <c r="N87" i="42"/>
  <c r="O87" i="42"/>
  <c r="Q87" i="42"/>
  <c r="R87" i="42"/>
  <c r="S87" i="42"/>
  <c r="T87" i="42"/>
  <c r="U87" i="42"/>
  <c r="V87" i="42"/>
  <c r="D88" i="42"/>
  <c r="E88" i="42"/>
  <c r="F88" i="42"/>
  <c r="G88" i="42"/>
  <c r="H88" i="42"/>
  <c r="J88" i="42"/>
  <c r="K88" i="42"/>
  <c r="L88" i="42"/>
  <c r="M88" i="42"/>
  <c r="N88" i="42"/>
  <c r="O88" i="42"/>
  <c r="Q88" i="42"/>
  <c r="R88" i="42"/>
  <c r="S88" i="42"/>
  <c r="T88" i="42"/>
  <c r="U88" i="42"/>
  <c r="V88" i="42"/>
  <c r="D89" i="42"/>
  <c r="E89" i="42"/>
  <c r="F89" i="42"/>
  <c r="G89" i="42"/>
  <c r="H89" i="42"/>
  <c r="J89" i="42"/>
  <c r="K89" i="42"/>
  <c r="L89" i="42"/>
  <c r="M89" i="42"/>
  <c r="N89" i="42"/>
  <c r="O89" i="42"/>
  <c r="Q89" i="42"/>
  <c r="R89" i="42"/>
  <c r="S89" i="42"/>
  <c r="T89" i="42"/>
  <c r="U89" i="42"/>
  <c r="V89" i="42"/>
  <c r="D90" i="42"/>
  <c r="E90" i="42"/>
  <c r="F90" i="42"/>
  <c r="G90" i="42"/>
  <c r="H90" i="42"/>
  <c r="J90" i="42"/>
  <c r="K90" i="42"/>
  <c r="L90" i="42"/>
  <c r="M90" i="42"/>
  <c r="N90" i="42"/>
  <c r="O90" i="42"/>
  <c r="Q90" i="42"/>
  <c r="R90" i="42"/>
  <c r="S90" i="42"/>
  <c r="T90" i="42"/>
  <c r="U90" i="42"/>
  <c r="V90" i="42"/>
  <c r="D91" i="42"/>
  <c r="E91" i="42"/>
  <c r="F91" i="42"/>
  <c r="G91" i="42"/>
  <c r="H91" i="42"/>
  <c r="J91" i="42"/>
  <c r="K91" i="42"/>
  <c r="L91" i="42"/>
  <c r="M91" i="42"/>
  <c r="N91" i="42"/>
  <c r="O91" i="42"/>
  <c r="Q91" i="42"/>
  <c r="R91" i="42"/>
  <c r="S91" i="42"/>
  <c r="T91" i="42"/>
  <c r="U91" i="42"/>
  <c r="V91" i="42"/>
  <c r="D92" i="42"/>
  <c r="E92" i="42"/>
  <c r="F92" i="42"/>
  <c r="G92" i="42"/>
  <c r="H92" i="42"/>
  <c r="J92" i="42"/>
  <c r="K92" i="42"/>
  <c r="L92" i="42"/>
  <c r="M92" i="42"/>
  <c r="N92" i="42"/>
  <c r="O92" i="42"/>
  <c r="Q92" i="42"/>
  <c r="R92" i="42"/>
  <c r="S92" i="42"/>
  <c r="T92" i="42"/>
  <c r="U92" i="42"/>
  <c r="V92" i="42"/>
  <c r="D93" i="42"/>
  <c r="E93" i="42"/>
  <c r="F93" i="42"/>
  <c r="G93" i="42"/>
  <c r="H93" i="42"/>
  <c r="J93" i="42"/>
  <c r="K93" i="42"/>
  <c r="L93" i="42"/>
  <c r="M93" i="42"/>
  <c r="N93" i="42"/>
  <c r="O93" i="42"/>
  <c r="Q93" i="42"/>
  <c r="R93" i="42"/>
  <c r="S93" i="42"/>
  <c r="T93" i="42"/>
  <c r="U93" i="42"/>
  <c r="V93" i="42"/>
  <c r="D94" i="42"/>
  <c r="E94" i="42"/>
  <c r="F94" i="42"/>
  <c r="G94" i="42"/>
  <c r="H94" i="42"/>
  <c r="J94" i="42"/>
  <c r="K94" i="42"/>
  <c r="L94" i="42"/>
  <c r="M94" i="42"/>
  <c r="N94" i="42"/>
  <c r="O94" i="42"/>
  <c r="Q94" i="42"/>
  <c r="R94" i="42"/>
  <c r="S94" i="42"/>
  <c r="T94" i="42"/>
  <c r="U94" i="42"/>
  <c r="V94" i="42"/>
  <c r="D95" i="42"/>
  <c r="E95" i="42"/>
  <c r="F95" i="42"/>
  <c r="G95" i="42"/>
  <c r="H95" i="42"/>
  <c r="J95" i="42"/>
  <c r="K95" i="42"/>
  <c r="L95" i="42"/>
  <c r="M95" i="42"/>
  <c r="N95" i="42"/>
  <c r="O95" i="42"/>
  <c r="Q95" i="42"/>
  <c r="R95" i="42"/>
  <c r="S95" i="42"/>
  <c r="T95" i="42"/>
  <c r="U95" i="42"/>
  <c r="V95" i="42"/>
  <c r="D96" i="42"/>
  <c r="E96" i="42"/>
  <c r="F96" i="42"/>
  <c r="G96" i="42"/>
  <c r="H96" i="42"/>
  <c r="J96" i="42"/>
  <c r="K96" i="42"/>
  <c r="L96" i="42"/>
  <c r="M96" i="42"/>
  <c r="N96" i="42"/>
  <c r="O96" i="42"/>
  <c r="Q96" i="42"/>
  <c r="R96" i="42"/>
  <c r="S96" i="42"/>
  <c r="T96" i="42"/>
  <c r="U96" i="42"/>
  <c r="V96" i="42"/>
  <c r="D97" i="42"/>
  <c r="E97" i="42"/>
  <c r="F97" i="42"/>
  <c r="G97" i="42"/>
  <c r="H97" i="42"/>
  <c r="J97" i="42"/>
  <c r="K97" i="42"/>
  <c r="L97" i="42"/>
  <c r="M97" i="42"/>
  <c r="N97" i="42"/>
  <c r="O97" i="42"/>
  <c r="Q97" i="42"/>
  <c r="R97" i="42"/>
  <c r="S97" i="42"/>
  <c r="T97" i="42"/>
  <c r="U97" i="42"/>
  <c r="V97" i="42"/>
  <c r="D98" i="42"/>
  <c r="E98" i="42"/>
  <c r="F98" i="42"/>
  <c r="G98" i="42"/>
  <c r="H98" i="42"/>
  <c r="J98" i="42"/>
  <c r="K98" i="42"/>
  <c r="L98" i="42"/>
  <c r="M98" i="42"/>
  <c r="N98" i="42"/>
  <c r="O98" i="42"/>
  <c r="Q98" i="42"/>
  <c r="R98" i="42"/>
  <c r="S98" i="42"/>
  <c r="T98" i="42"/>
  <c r="U98" i="42"/>
  <c r="V98" i="42"/>
  <c r="D99" i="42"/>
  <c r="E99" i="42"/>
  <c r="F99" i="42"/>
  <c r="G99" i="42"/>
  <c r="H99" i="42"/>
  <c r="J99" i="42"/>
  <c r="K99" i="42"/>
  <c r="L99" i="42"/>
  <c r="M99" i="42"/>
  <c r="N99" i="42"/>
  <c r="O99" i="42"/>
  <c r="Q99" i="42"/>
  <c r="R99" i="42"/>
  <c r="S99" i="42"/>
  <c r="T99" i="42"/>
  <c r="U99" i="42"/>
  <c r="V99" i="42"/>
  <c r="D100" i="42"/>
  <c r="E100" i="42"/>
  <c r="F100" i="42"/>
  <c r="G100" i="42"/>
  <c r="H100" i="42"/>
  <c r="J100" i="42"/>
  <c r="K100" i="42"/>
  <c r="L100" i="42"/>
  <c r="M100" i="42"/>
  <c r="N100" i="42"/>
  <c r="O100" i="42"/>
  <c r="Q100" i="42"/>
  <c r="R100" i="42"/>
  <c r="S100" i="42"/>
  <c r="T100" i="42"/>
  <c r="U100" i="42"/>
  <c r="V100" i="42"/>
  <c r="D101" i="42"/>
  <c r="E101" i="42"/>
  <c r="F101" i="42"/>
  <c r="G101" i="42"/>
  <c r="H101" i="42"/>
  <c r="J101" i="42"/>
  <c r="K101" i="42"/>
  <c r="L101" i="42"/>
  <c r="M101" i="42"/>
  <c r="N101" i="42"/>
  <c r="O101" i="42"/>
  <c r="Q101" i="42"/>
  <c r="R101" i="42"/>
  <c r="S101" i="42"/>
  <c r="T101" i="42"/>
  <c r="U101" i="42"/>
  <c r="V101" i="42"/>
  <c r="D102" i="42"/>
  <c r="E102" i="42"/>
  <c r="F102" i="42"/>
  <c r="G102" i="42"/>
  <c r="H102" i="42"/>
  <c r="J102" i="42"/>
  <c r="K102" i="42"/>
  <c r="L102" i="42"/>
  <c r="M102" i="42"/>
  <c r="N102" i="42"/>
  <c r="O102" i="42"/>
  <c r="Q102" i="42"/>
  <c r="R102" i="42"/>
  <c r="S102" i="42"/>
  <c r="T102" i="42"/>
  <c r="U102" i="42"/>
  <c r="V102" i="42"/>
  <c r="D103" i="42"/>
  <c r="E103" i="42"/>
  <c r="F103" i="42"/>
  <c r="G103" i="42"/>
  <c r="H103" i="42"/>
  <c r="J103" i="42"/>
  <c r="K103" i="42"/>
  <c r="L103" i="42"/>
  <c r="M103" i="42"/>
  <c r="N103" i="42"/>
  <c r="O103" i="42"/>
  <c r="Q103" i="42"/>
  <c r="R103" i="42"/>
  <c r="S103" i="42"/>
  <c r="T103" i="42"/>
  <c r="U103" i="42"/>
  <c r="V103" i="42"/>
  <c r="D104" i="42"/>
  <c r="E104" i="42"/>
  <c r="F104" i="42"/>
  <c r="G104" i="42"/>
  <c r="H104" i="42"/>
  <c r="J104" i="42"/>
  <c r="K104" i="42"/>
  <c r="L104" i="42"/>
  <c r="M104" i="42"/>
  <c r="N104" i="42"/>
  <c r="O104" i="42"/>
  <c r="Q104" i="42"/>
  <c r="R104" i="42"/>
  <c r="S104" i="42"/>
  <c r="T104" i="42"/>
  <c r="U104" i="42"/>
  <c r="V104" i="42"/>
  <c r="D105" i="42"/>
  <c r="E105" i="42"/>
  <c r="F105" i="42"/>
  <c r="G105" i="42"/>
  <c r="H105" i="42"/>
  <c r="J105" i="42"/>
  <c r="K105" i="42"/>
  <c r="L105" i="42"/>
  <c r="M105" i="42"/>
  <c r="N105" i="42"/>
  <c r="O105" i="42"/>
  <c r="Q105" i="42"/>
  <c r="R105" i="42"/>
  <c r="S105" i="42"/>
  <c r="T105" i="42"/>
  <c r="U105" i="42"/>
  <c r="V105" i="42"/>
  <c r="D106" i="42"/>
  <c r="E106" i="42"/>
  <c r="F106" i="42"/>
  <c r="G106" i="42"/>
  <c r="H106" i="42"/>
  <c r="J106" i="42"/>
  <c r="K106" i="42"/>
  <c r="L106" i="42"/>
  <c r="M106" i="42"/>
  <c r="N106" i="42"/>
  <c r="O106" i="42"/>
  <c r="Q106" i="42"/>
  <c r="R106" i="42"/>
  <c r="S106" i="42"/>
  <c r="T106" i="42"/>
  <c r="U106" i="42"/>
  <c r="V106" i="42"/>
  <c r="D107" i="42"/>
  <c r="E107" i="42"/>
  <c r="F107" i="42"/>
  <c r="G107" i="42"/>
  <c r="H107" i="42"/>
  <c r="J107" i="42"/>
  <c r="K107" i="42"/>
  <c r="L107" i="42"/>
  <c r="M107" i="42"/>
  <c r="N107" i="42"/>
  <c r="O107" i="42"/>
  <c r="Q107" i="42"/>
  <c r="R107" i="42"/>
  <c r="S107" i="42"/>
  <c r="T107" i="42"/>
  <c r="U107" i="42"/>
  <c r="V107" i="42"/>
  <c r="D108" i="42"/>
  <c r="E108" i="42"/>
  <c r="F108" i="42"/>
  <c r="G108" i="42"/>
  <c r="H108" i="42"/>
  <c r="J108" i="42"/>
  <c r="K108" i="42"/>
  <c r="L108" i="42"/>
  <c r="M108" i="42"/>
  <c r="N108" i="42"/>
  <c r="O108" i="42"/>
  <c r="Q108" i="42"/>
  <c r="R108" i="42"/>
  <c r="S108" i="42"/>
  <c r="T108" i="42"/>
  <c r="U108" i="42"/>
  <c r="V108" i="42"/>
  <c r="D109" i="42"/>
  <c r="E109" i="42"/>
  <c r="F109" i="42"/>
  <c r="G109" i="42"/>
  <c r="H109" i="42"/>
  <c r="J109" i="42"/>
  <c r="K109" i="42"/>
  <c r="L109" i="42"/>
  <c r="M109" i="42"/>
  <c r="N109" i="42"/>
  <c r="O109" i="42"/>
  <c r="Q109" i="42"/>
  <c r="R109" i="42"/>
  <c r="S109" i="42"/>
  <c r="T109" i="42"/>
  <c r="U109" i="42"/>
  <c r="V109" i="42"/>
  <c r="D110" i="42"/>
  <c r="E110" i="42"/>
  <c r="F110" i="42"/>
  <c r="G110" i="42"/>
  <c r="H110" i="42"/>
  <c r="J110" i="42"/>
  <c r="K110" i="42"/>
  <c r="L110" i="42"/>
  <c r="M110" i="42"/>
  <c r="N110" i="42"/>
  <c r="O110" i="42"/>
  <c r="Q110" i="42"/>
  <c r="R110" i="42"/>
  <c r="S110" i="42"/>
  <c r="T110" i="42"/>
  <c r="U110" i="42"/>
  <c r="V110" i="42"/>
  <c r="D111" i="42"/>
  <c r="E111" i="42"/>
  <c r="F111" i="42"/>
  <c r="G111" i="42"/>
  <c r="H111" i="42"/>
  <c r="J111" i="42"/>
  <c r="K111" i="42"/>
  <c r="L111" i="42"/>
  <c r="M111" i="42"/>
  <c r="N111" i="42"/>
  <c r="O111" i="42"/>
  <c r="Q111" i="42"/>
  <c r="R111" i="42"/>
  <c r="S111" i="42"/>
  <c r="T111" i="42"/>
  <c r="U111" i="42"/>
  <c r="V111" i="42"/>
  <c r="D112" i="42"/>
  <c r="E112" i="42"/>
  <c r="F112" i="42"/>
  <c r="G112" i="42"/>
  <c r="H112" i="42"/>
  <c r="J112" i="42"/>
  <c r="K112" i="42"/>
  <c r="L112" i="42"/>
  <c r="M112" i="42"/>
  <c r="N112" i="42"/>
  <c r="O112" i="42"/>
  <c r="Q112" i="42"/>
  <c r="R112" i="42"/>
  <c r="S112" i="42"/>
  <c r="T112" i="42"/>
  <c r="U112" i="42"/>
  <c r="V112" i="42"/>
  <c r="W78" i="42"/>
  <c r="P78" i="42"/>
  <c r="D78" i="42"/>
  <c r="E78" i="42"/>
  <c r="F78" i="42"/>
  <c r="G78" i="42"/>
  <c r="H78" i="42"/>
  <c r="J78" i="42"/>
  <c r="K78" i="42"/>
  <c r="L78" i="42"/>
  <c r="M78" i="42"/>
  <c r="N78" i="42"/>
  <c r="O78" i="42"/>
  <c r="Q78" i="42"/>
  <c r="R78" i="42"/>
  <c r="S78" i="42"/>
  <c r="T78" i="42"/>
  <c r="U78" i="42"/>
  <c r="V78" i="42"/>
  <c r="W78" i="14" l="1"/>
  <c r="W79" i="14"/>
  <c r="W80" i="14"/>
  <c r="W81" i="14"/>
  <c r="W82" i="14"/>
  <c r="W83" i="14"/>
  <c r="W84" i="14"/>
  <c r="W85" i="14"/>
  <c r="W86" i="14"/>
  <c r="W87" i="14"/>
  <c r="W88" i="14"/>
  <c r="W89" i="14"/>
  <c r="W90" i="14"/>
  <c r="W91" i="14"/>
  <c r="W92" i="14"/>
  <c r="W93" i="14"/>
  <c r="W94" i="14"/>
  <c r="W95" i="14"/>
  <c r="W96" i="14"/>
  <c r="W97" i="14"/>
  <c r="W98" i="14"/>
  <c r="W99" i="14"/>
  <c r="W100" i="14"/>
  <c r="W101" i="14"/>
  <c r="W102" i="14"/>
  <c r="W103" i="14"/>
  <c r="W104" i="14"/>
  <c r="W105" i="14"/>
  <c r="W106" i="14"/>
  <c r="W107" i="14"/>
  <c r="W108" i="14"/>
  <c r="W109" i="14"/>
  <c r="W110" i="14"/>
  <c r="W111" i="14"/>
  <c r="W77" i="14"/>
  <c r="P78" i="14"/>
  <c r="P79" i="14"/>
  <c r="P80" i="14"/>
  <c r="P81" i="14"/>
  <c r="P82" i="14"/>
  <c r="P83" i="14"/>
  <c r="P84" i="14"/>
  <c r="P85" i="14"/>
  <c r="P86" i="14"/>
  <c r="P87" i="14"/>
  <c r="P88" i="14"/>
  <c r="P89" i="14"/>
  <c r="P90" i="14"/>
  <c r="P91" i="14"/>
  <c r="P92" i="14"/>
  <c r="P93" i="14"/>
  <c r="P94" i="14"/>
  <c r="P95" i="14"/>
  <c r="P96" i="14"/>
  <c r="P97" i="14"/>
  <c r="P98" i="14"/>
  <c r="P99" i="14"/>
  <c r="P100" i="14"/>
  <c r="P101" i="14"/>
  <c r="P102" i="14"/>
  <c r="P103" i="14"/>
  <c r="P104" i="14"/>
  <c r="P105" i="14"/>
  <c r="P106" i="14"/>
  <c r="P107" i="14"/>
  <c r="P108" i="14"/>
  <c r="P109" i="14"/>
  <c r="P110" i="14"/>
  <c r="P111" i="14"/>
  <c r="P77" i="14"/>
  <c r="I78" i="14"/>
  <c r="I79" i="14"/>
  <c r="I80" i="14"/>
  <c r="I81" i="14"/>
  <c r="I82" i="14"/>
  <c r="I83" i="14"/>
  <c r="I84" i="14"/>
  <c r="I85" i="14"/>
  <c r="I86" i="14"/>
  <c r="I87" i="14"/>
  <c r="I88" i="14"/>
  <c r="I89" i="14"/>
  <c r="I90" i="14"/>
  <c r="I91" i="14"/>
  <c r="I92" i="14"/>
  <c r="I93" i="14"/>
  <c r="I94" i="14"/>
  <c r="I95" i="14"/>
  <c r="I96" i="14"/>
  <c r="I97" i="14"/>
  <c r="I98" i="14"/>
  <c r="I99" i="14"/>
  <c r="I100" i="14"/>
  <c r="I101" i="14"/>
  <c r="I102" i="14"/>
  <c r="I103" i="14"/>
  <c r="I104" i="14"/>
  <c r="I105" i="14"/>
  <c r="I106" i="14"/>
  <c r="I107" i="14"/>
  <c r="I108" i="14"/>
  <c r="I109" i="14"/>
  <c r="I110" i="14"/>
  <c r="I111" i="14"/>
  <c r="I77" i="14"/>
  <c r="C78" i="14"/>
  <c r="D78" i="14"/>
  <c r="E78" i="14"/>
  <c r="F78" i="14"/>
  <c r="G78" i="14"/>
  <c r="H78" i="14"/>
  <c r="J78" i="14"/>
  <c r="K78" i="14"/>
  <c r="L78" i="14"/>
  <c r="M78" i="14"/>
  <c r="N78" i="14"/>
  <c r="O78" i="14"/>
  <c r="Q78" i="14"/>
  <c r="R78" i="14"/>
  <c r="S78" i="14"/>
  <c r="T78" i="14"/>
  <c r="U78" i="14"/>
  <c r="V78" i="14"/>
  <c r="C79" i="14"/>
  <c r="D79" i="14"/>
  <c r="E79" i="14"/>
  <c r="F79" i="14"/>
  <c r="G79" i="14"/>
  <c r="H79" i="14"/>
  <c r="J79" i="14"/>
  <c r="K79" i="14"/>
  <c r="L79" i="14"/>
  <c r="M79" i="14"/>
  <c r="N79" i="14"/>
  <c r="O79" i="14"/>
  <c r="Q79" i="14"/>
  <c r="R79" i="14"/>
  <c r="S79" i="14"/>
  <c r="T79" i="14"/>
  <c r="U79" i="14"/>
  <c r="V79" i="14"/>
  <c r="C80" i="14"/>
  <c r="D80" i="14"/>
  <c r="E80" i="14"/>
  <c r="F80" i="14"/>
  <c r="G80" i="14"/>
  <c r="H80" i="14"/>
  <c r="J80" i="14"/>
  <c r="K80" i="14"/>
  <c r="L80" i="14"/>
  <c r="M80" i="14"/>
  <c r="N80" i="14"/>
  <c r="O80" i="14"/>
  <c r="Q80" i="14"/>
  <c r="R80" i="14"/>
  <c r="S80" i="14"/>
  <c r="T80" i="14"/>
  <c r="U80" i="14"/>
  <c r="V80" i="14"/>
  <c r="C81" i="14"/>
  <c r="D81" i="14"/>
  <c r="E81" i="14"/>
  <c r="F81" i="14"/>
  <c r="G81" i="14"/>
  <c r="H81" i="14"/>
  <c r="J81" i="14"/>
  <c r="K81" i="14"/>
  <c r="L81" i="14"/>
  <c r="M81" i="14"/>
  <c r="N81" i="14"/>
  <c r="O81" i="14"/>
  <c r="Q81" i="14"/>
  <c r="R81" i="14"/>
  <c r="S81" i="14"/>
  <c r="T81" i="14"/>
  <c r="U81" i="14"/>
  <c r="V81" i="14"/>
  <c r="C82" i="14"/>
  <c r="D82" i="14"/>
  <c r="E82" i="14"/>
  <c r="F82" i="14"/>
  <c r="G82" i="14"/>
  <c r="H82" i="14"/>
  <c r="J82" i="14"/>
  <c r="K82" i="14"/>
  <c r="L82" i="14"/>
  <c r="M82" i="14"/>
  <c r="N82" i="14"/>
  <c r="O82" i="14"/>
  <c r="Q82" i="14"/>
  <c r="R82" i="14"/>
  <c r="S82" i="14"/>
  <c r="T82" i="14"/>
  <c r="U82" i="14"/>
  <c r="V82" i="14"/>
  <c r="C83" i="14"/>
  <c r="D83" i="14"/>
  <c r="E83" i="14"/>
  <c r="F83" i="14"/>
  <c r="G83" i="14"/>
  <c r="H83" i="14"/>
  <c r="J83" i="14"/>
  <c r="K83" i="14"/>
  <c r="L83" i="14"/>
  <c r="M83" i="14"/>
  <c r="N83" i="14"/>
  <c r="O83" i="14"/>
  <c r="Q83" i="14"/>
  <c r="R83" i="14"/>
  <c r="S83" i="14"/>
  <c r="T83" i="14"/>
  <c r="U83" i="14"/>
  <c r="V83" i="14"/>
  <c r="C84" i="14"/>
  <c r="D84" i="14"/>
  <c r="E84" i="14"/>
  <c r="F84" i="14"/>
  <c r="G84" i="14"/>
  <c r="H84" i="14"/>
  <c r="J84" i="14"/>
  <c r="K84" i="14"/>
  <c r="L84" i="14"/>
  <c r="M84" i="14"/>
  <c r="N84" i="14"/>
  <c r="O84" i="14"/>
  <c r="Q84" i="14"/>
  <c r="R84" i="14"/>
  <c r="S84" i="14"/>
  <c r="T84" i="14"/>
  <c r="U84" i="14"/>
  <c r="V84" i="14"/>
  <c r="C85" i="14"/>
  <c r="D85" i="14"/>
  <c r="E85" i="14"/>
  <c r="F85" i="14"/>
  <c r="G85" i="14"/>
  <c r="H85" i="14"/>
  <c r="J85" i="14"/>
  <c r="K85" i="14"/>
  <c r="L85" i="14"/>
  <c r="M85" i="14"/>
  <c r="N85" i="14"/>
  <c r="O85" i="14"/>
  <c r="Q85" i="14"/>
  <c r="R85" i="14"/>
  <c r="S85" i="14"/>
  <c r="T85" i="14"/>
  <c r="U85" i="14"/>
  <c r="V85" i="14"/>
  <c r="C86" i="14"/>
  <c r="D86" i="14"/>
  <c r="E86" i="14"/>
  <c r="F86" i="14"/>
  <c r="G86" i="14"/>
  <c r="H86" i="14"/>
  <c r="J86" i="14"/>
  <c r="K86" i="14"/>
  <c r="L86" i="14"/>
  <c r="M86" i="14"/>
  <c r="N86" i="14"/>
  <c r="O86" i="14"/>
  <c r="Q86" i="14"/>
  <c r="R86" i="14"/>
  <c r="S86" i="14"/>
  <c r="T86" i="14"/>
  <c r="U86" i="14"/>
  <c r="V86" i="14"/>
  <c r="C87" i="14"/>
  <c r="D87" i="14"/>
  <c r="E87" i="14"/>
  <c r="F87" i="14"/>
  <c r="G87" i="14"/>
  <c r="H87" i="14"/>
  <c r="J87" i="14"/>
  <c r="K87" i="14"/>
  <c r="L87" i="14"/>
  <c r="M87" i="14"/>
  <c r="N87" i="14"/>
  <c r="O87" i="14"/>
  <c r="Q87" i="14"/>
  <c r="R87" i="14"/>
  <c r="S87" i="14"/>
  <c r="T87" i="14"/>
  <c r="U87" i="14"/>
  <c r="V87" i="14"/>
  <c r="C88" i="14"/>
  <c r="D88" i="14"/>
  <c r="E88" i="14"/>
  <c r="F88" i="14"/>
  <c r="G88" i="14"/>
  <c r="H88" i="14"/>
  <c r="J88" i="14"/>
  <c r="K88" i="14"/>
  <c r="L88" i="14"/>
  <c r="M88" i="14"/>
  <c r="N88" i="14"/>
  <c r="O88" i="14"/>
  <c r="Q88" i="14"/>
  <c r="R88" i="14"/>
  <c r="S88" i="14"/>
  <c r="T88" i="14"/>
  <c r="U88" i="14"/>
  <c r="V88" i="14"/>
  <c r="C89" i="14"/>
  <c r="D89" i="14"/>
  <c r="E89" i="14"/>
  <c r="F89" i="14"/>
  <c r="G89" i="14"/>
  <c r="H89" i="14"/>
  <c r="J89" i="14"/>
  <c r="K89" i="14"/>
  <c r="L89" i="14"/>
  <c r="M89" i="14"/>
  <c r="N89" i="14"/>
  <c r="O89" i="14"/>
  <c r="Q89" i="14"/>
  <c r="R89" i="14"/>
  <c r="S89" i="14"/>
  <c r="T89" i="14"/>
  <c r="U89" i="14"/>
  <c r="V89" i="14"/>
  <c r="C90" i="14"/>
  <c r="D90" i="14"/>
  <c r="E90" i="14"/>
  <c r="F90" i="14"/>
  <c r="G90" i="14"/>
  <c r="H90" i="14"/>
  <c r="J90" i="14"/>
  <c r="K90" i="14"/>
  <c r="L90" i="14"/>
  <c r="M90" i="14"/>
  <c r="N90" i="14"/>
  <c r="O90" i="14"/>
  <c r="Q90" i="14"/>
  <c r="R90" i="14"/>
  <c r="S90" i="14"/>
  <c r="T90" i="14"/>
  <c r="U90" i="14"/>
  <c r="V90" i="14"/>
  <c r="C91" i="14"/>
  <c r="D91" i="14"/>
  <c r="E91" i="14"/>
  <c r="F91" i="14"/>
  <c r="G91" i="14"/>
  <c r="H91" i="14"/>
  <c r="J91" i="14"/>
  <c r="K91" i="14"/>
  <c r="L91" i="14"/>
  <c r="M91" i="14"/>
  <c r="N91" i="14"/>
  <c r="O91" i="14"/>
  <c r="Q91" i="14"/>
  <c r="R91" i="14"/>
  <c r="S91" i="14"/>
  <c r="T91" i="14"/>
  <c r="U91" i="14"/>
  <c r="V91" i="14"/>
  <c r="C92" i="14"/>
  <c r="D92" i="14"/>
  <c r="E92" i="14"/>
  <c r="F92" i="14"/>
  <c r="G92" i="14"/>
  <c r="H92" i="14"/>
  <c r="J92" i="14"/>
  <c r="K92" i="14"/>
  <c r="L92" i="14"/>
  <c r="M92" i="14"/>
  <c r="N92" i="14"/>
  <c r="O92" i="14"/>
  <c r="Q92" i="14"/>
  <c r="R92" i="14"/>
  <c r="S92" i="14"/>
  <c r="T92" i="14"/>
  <c r="U92" i="14"/>
  <c r="V92" i="14"/>
  <c r="C93" i="14"/>
  <c r="D93" i="14"/>
  <c r="E93" i="14"/>
  <c r="F93" i="14"/>
  <c r="G93" i="14"/>
  <c r="H93" i="14"/>
  <c r="J93" i="14"/>
  <c r="K93" i="14"/>
  <c r="L93" i="14"/>
  <c r="M93" i="14"/>
  <c r="N93" i="14"/>
  <c r="O93" i="14"/>
  <c r="Q93" i="14"/>
  <c r="R93" i="14"/>
  <c r="S93" i="14"/>
  <c r="T93" i="14"/>
  <c r="U93" i="14"/>
  <c r="V93" i="14"/>
  <c r="C94" i="14"/>
  <c r="D94" i="14"/>
  <c r="E94" i="14"/>
  <c r="F94" i="14"/>
  <c r="G94" i="14"/>
  <c r="H94" i="14"/>
  <c r="J94" i="14"/>
  <c r="K94" i="14"/>
  <c r="L94" i="14"/>
  <c r="M94" i="14"/>
  <c r="N94" i="14"/>
  <c r="O94" i="14"/>
  <c r="Q94" i="14"/>
  <c r="R94" i="14"/>
  <c r="S94" i="14"/>
  <c r="T94" i="14"/>
  <c r="U94" i="14"/>
  <c r="V94" i="14"/>
  <c r="C95" i="14"/>
  <c r="D95" i="14"/>
  <c r="E95" i="14"/>
  <c r="F95" i="14"/>
  <c r="G95" i="14"/>
  <c r="H95" i="14"/>
  <c r="J95" i="14"/>
  <c r="K95" i="14"/>
  <c r="L95" i="14"/>
  <c r="M95" i="14"/>
  <c r="N95" i="14"/>
  <c r="O95" i="14"/>
  <c r="Q95" i="14"/>
  <c r="R95" i="14"/>
  <c r="S95" i="14"/>
  <c r="T95" i="14"/>
  <c r="U95" i="14"/>
  <c r="V95" i="14"/>
  <c r="C96" i="14"/>
  <c r="D96" i="14"/>
  <c r="E96" i="14"/>
  <c r="F96" i="14"/>
  <c r="G96" i="14"/>
  <c r="H96" i="14"/>
  <c r="J96" i="14"/>
  <c r="K96" i="14"/>
  <c r="L96" i="14"/>
  <c r="M96" i="14"/>
  <c r="N96" i="14"/>
  <c r="O96" i="14"/>
  <c r="Q96" i="14"/>
  <c r="R96" i="14"/>
  <c r="S96" i="14"/>
  <c r="T96" i="14"/>
  <c r="U96" i="14"/>
  <c r="V96" i="14"/>
  <c r="C97" i="14"/>
  <c r="D97" i="14"/>
  <c r="E97" i="14"/>
  <c r="F97" i="14"/>
  <c r="G97" i="14"/>
  <c r="H97" i="14"/>
  <c r="J97" i="14"/>
  <c r="K97" i="14"/>
  <c r="L97" i="14"/>
  <c r="M97" i="14"/>
  <c r="N97" i="14"/>
  <c r="O97" i="14"/>
  <c r="Q97" i="14"/>
  <c r="R97" i="14"/>
  <c r="S97" i="14"/>
  <c r="T97" i="14"/>
  <c r="U97" i="14"/>
  <c r="V97" i="14"/>
  <c r="C98" i="14"/>
  <c r="D98" i="14"/>
  <c r="E98" i="14"/>
  <c r="F98" i="14"/>
  <c r="G98" i="14"/>
  <c r="H98" i="14"/>
  <c r="J98" i="14"/>
  <c r="K98" i="14"/>
  <c r="L98" i="14"/>
  <c r="M98" i="14"/>
  <c r="N98" i="14"/>
  <c r="O98" i="14"/>
  <c r="Q98" i="14"/>
  <c r="R98" i="14"/>
  <c r="S98" i="14"/>
  <c r="T98" i="14"/>
  <c r="U98" i="14"/>
  <c r="V98" i="14"/>
  <c r="C99" i="14"/>
  <c r="D99" i="14"/>
  <c r="E99" i="14"/>
  <c r="F99" i="14"/>
  <c r="G99" i="14"/>
  <c r="H99" i="14"/>
  <c r="J99" i="14"/>
  <c r="K99" i="14"/>
  <c r="L99" i="14"/>
  <c r="M99" i="14"/>
  <c r="N99" i="14"/>
  <c r="O99" i="14"/>
  <c r="Q99" i="14"/>
  <c r="R99" i="14"/>
  <c r="S99" i="14"/>
  <c r="T99" i="14"/>
  <c r="U99" i="14"/>
  <c r="V99" i="14"/>
  <c r="C100" i="14"/>
  <c r="D100" i="14"/>
  <c r="E100" i="14"/>
  <c r="F100" i="14"/>
  <c r="G100" i="14"/>
  <c r="H100" i="14"/>
  <c r="J100" i="14"/>
  <c r="K100" i="14"/>
  <c r="L100" i="14"/>
  <c r="M100" i="14"/>
  <c r="N100" i="14"/>
  <c r="O100" i="14"/>
  <c r="Q100" i="14"/>
  <c r="R100" i="14"/>
  <c r="S100" i="14"/>
  <c r="T100" i="14"/>
  <c r="U100" i="14"/>
  <c r="V100" i="14"/>
  <c r="C101" i="14"/>
  <c r="D101" i="14"/>
  <c r="E101" i="14"/>
  <c r="F101" i="14"/>
  <c r="G101" i="14"/>
  <c r="H101" i="14"/>
  <c r="J101" i="14"/>
  <c r="K101" i="14"/>
  <c r="L101" i="14"/>
  <c r="M101" i="14"/>
  <c r="N101" i="14"/>
  <c r="O101" i="14"/>
  <c r="Q101" i="14"/>
  <c r="R101" i="14"/>
  <c r="S101" i="14"/>
  <c r="T101" i="14"/>
  <c r="U101" i="14"/>
  <c r="V101" i="14"/>
  <c r="C102" i="14"/>
  <c r="D102" i="14"/>
  <c r="E102" i="14"/>
  <c r="F102" i="14"/>
  <c r="G102" i="14"/>
  <c r="H102" i="14"/>
  <c r="J102" i="14"/>
  <c r="K102" i="14"/>
  <c r="L102" i="14"/>
  <c r="M102" i="14"/>
  <c r="N102" i="14"/>
  <c r="O102" i="14"/>
  <c r="Q102" i="14"/>
  <c r="R102" i="14"/>
  <c r="S102" i="14"/>
  <c r="T102" i="14"/>
  <c r="U102" i="14"/>
  <c r="V102" i="14"/>
  <c r="C103" i="14"/>
  <c r="D103" i="14"/>
  <c r="E103" i="14"/>
  <c r="F103" i="14"/>
  <c r="G103" i="14"/>
  <c r="H103" i="14"/>
  <c r="J103" i="14"/>
  <c r="K103" i="14"/>
  <c r="L103" i="14"/>
  <c r="M103" i="14"/>
  <c r="N103" i="14"/>
  <c r="O103" i="14"/>
  <c r="Q103" i="14"/>
  <c r="R103" i="14"/>
  <c r="S103" i="14"/>
  <c r="T103" i="14"/>
  <c r="U103" i="14"/>
  <c r="V103" i="14"/>
  <c r="C104" i="14"/>
  <c r="D104" i="14"/>
  <c r="E104" i="14"/>
  <c r="F104" i="14"/>
  <c r="G104" i="14"/>
  <c r="H104" i="14"/>
  <c r="J104" i="14"/>
  <c r="K104" i="14"/>
  <c r="L104" i="14"/>
  <c r="M104" i="14"/>
  <c r="N104" i="14"/>
  <c r="O104" i="14"/>
  <c r="Q104" i="14"/>
  <c r="R104" i="14"/>
  <c r="S104" i="14"/>
  <c r="T104" i="14"/>
  <c r="U104" i="14"/>
  <c r="V104" i="14"/>
  <c r="C105" i="14"/>
  <c r="D105" i="14"/>
  <c r="E105" i="14"/>
  <c r="F105" i="14"/>
  <c r="G105" i="14"/>
  <c r="H105" i="14"/>
  <c r="J105" i="14"/>
  <c r="K105" i="14"/>
  <c r="L105" i="14"/>
  <c r="M105" i="14"/>
  <c r="N105" i="14"/>
  <c r="O105" i="14"/>
  <c r="Q105" i="14"/>
  <c r="R105" i="14"/>
  <c r="S105" i="14"/>
  <c r="T105" i="14"/>
  <c r="U105" i="14"/>
  <c r="V105" i="14"/>
  <c r="C106" i="14"/>
  <c r="D106" i="14"/>
  <c r="E106" i="14"/>
  <c r="F106" i="14"/>
  <c r="G106" i="14"/>
  <c r="H106" i="14"/>
  <c r="J106" i="14"/>
  <c r="K106" i="14"/>
  <c r="L106" i="14"/>
  <c r="M106" i="14"/>
  <c r="N106" i="14"/>
  <c r="O106" i="14"/>
  <c r="Q106" i="14"/>
  <c r="R106" i="14"/>
  <c r="S106" i="14"/>
  <c r="T106" i="14"/>
  <c r="U106" i="14"/>
  <c r="V106" i="14"/>
  <c r="C107" i="14"/>
  <c r="D107" i="14"/>
  <c r="E107" i="14"/>
  <c r="F107" i="14"/>
  <c r="G107" i="14"/>
  <c r="H107" i="14"/>
  <c r="J107" i="14"/>
  <c r="K107" i="14"/>
  <c r="L107" i="14"/>
  <c r="M107" i="14"/>
  <c r="N107" i="14"/>
  <c r="O107" i="14"/>
  <c r="Q107" i="14"/>
  <c r="R107" i="14"/>
  <c r="S107" i="14"/>
  <c r="T107" i="14"/>
  <c r="U107" i="14"/>
  <c r="V107" i="14"/>
  <c r="C108" i="14"/>
  <c r="D108" i="14"/>
  <c r="E108" i="14"/>
  <c r="F108" i="14"/>
  <c r="G108" i="14"/>
  <c r="H108" i="14"/>
  <c r="J108" i="14"/>
  <c r="K108" i="14"/>
  <c r="L108" i="14"/>
  <c r="M108" i="14"/>
  <c r="N108" i="14"/>
  <c r="O108" i="14"/>
  <c r="Q108" i="14"/>
  <c r="R108" i="14"/>
  <c r="S108" i="14"/>
  <c r="T108" i="14"/>
  <c r="U108" i="14"/>
  <c r="V108" i="14"/>
  <c r="C109" i="14"/>
  <c r="D109" i="14"/>
  <c r="E109" i="14"/>
  <c r="F109" i="14"/>
  <c r="G109" i="14"/>
  <c r="H109" i="14"/>
  <c r="J109" i="14"/>
  <c r="K109" i="14"/>
  <c r="L109" i="14"/>
  <c r="M109" i="14"/>
  <c r="N109" i="14"/>
  <c r="O109" i="14"/>
  <c r="Q109" i="14"/>
  <c r="R109" i="14"/>
  <c r="S109" i="14"/>
  <c r="T109" i="14"/>
  <c r="U109" i="14"/>
  <c r="V109" i="14"/>
  <c r="C110" i="14"/>
  <c r="D110" i="14"/>
  <c r="E110" i="14"/>
  <c r="F110" i="14"/>
  <c r="G110" i="14"/>
  <c r="H110" i="14"/>
  <c r="J110" i="14"/>
  <c r="K110" i="14"/>
  <c r="L110" i="14"/>
  <c r="M110" i="14"/>
  <c r="N110" i="14"/>
  <c r="O110" i="14"/>
  <c r="Q110" i="14"/>
  <c r="R110" i="14"/>
  <c r="S110" i="14"/>
  <c r="T110" i="14"/>
  <c r="U110" i="14"/>
  <c r="V110" i="14"/>
  <c r="C111" i="14"/>
  <c r="D111" i="14"/>
  <c r="E111" i="14"/>
  <c r="F111" i="14"/>
  <c r="G111" i="14"/>
  <c r="H111" i="14"/>
  <c r="J111" i="14"/>
  <c r="K111" i="14"/>
  <c r="L111" i="14"/>
  <c r="M111" i="14"/>
  <c r="N111" i="14"/>
  <c r="O111" i="14"/>
  <c r="Q111" i="14"/>
  <c r="R111" i="14"/>
  <c r="S111" i="14"/>
  <c r="T111" i="14"/>
  <c r="U111" i="14"/>
  <c r="V111" i="14"/>
  <c r="D77" i="14"/>
  <c r="E77" i="14"/>
  <c r="F77" i="14"/>
  <c r="G77" i="14"/>
  <c r="H77" i="14"/>
  <c r="J77" i="14"/>
  <c r="K77" i="14"/>
  <c r="L77" i="14"/>
  <c r="M77" i="14"/>
  <c r="N77" i="14"/>
  <c r="O77" i="14"/>
  <c r="Q77" i="14"/>
  <c r="R77" i="14"/>
  <c r="S77" i="14"/>
  <c r="T77" i="14"/>
  <c r="U77" i="14"/>
  <c r="V77" i="14"/>
  <c r="C77" i="14"/>
  <c r="D83" i="19"/>
  <c r="E83" i="19"/>
  <c r="F83" i="19"/>
  <c r="G83" i="19"/>
  <c r="H83" i="19"/>
  <c r="I83" i="19"/>
  <c r="J83" i="19"/>
  <c r="K83" i="19"/>
  <c r="L83" i="19"/>
  <c r="M83" i="19"/>
  <c r="N83" i="19"/>
  <c r="O83" i="19"/>
  <c r="P83" i="19"/>
  <c r="Q83" i="19"/>
  <c r="R83" i="19"/>
  <c r="S83" i="19"/>
  <c r="T83" i="19"/>
  <c r="U83" i="19"/>
  <c r="V83" i="19"/>
  <c r="W83" i="19"/>
  <c r="X83" i="19"/>
  <c r="D84" i="19"/>
  <c r="E84" i="19"/>
  <c r="F84" i="19"/>
  <c r="G84" i="19"/>
  <c r="H84" i="19"/>
  <c r="I84" i="19"/>
  <c r="J84" i="19"/>
  <c r="K84" i="19"/>
  <c r="L84" i="19"/>
  <c r="M84" i="19"/>
  <c r="N84" i="19"/>
  <c r="O84" i="19"/>
  <c r="P84" i="19"/>
  <c r="Q84" i="19"/>
  <c r="R84" i="19"/>
  <c r="S84" i="19"/>
  <c r="T84" i="19"/>
  <c r="U84" i="19"/>
  <c r="V84" i="19"/>
  <c r="W84" i="19"/>
  <c r="X84" i="19"/>
  <c r="D85" i="19"/>
  <c r="E85" i="19"/>
  <c r="F85" i="19"/>
  <c r="G85" i="19"/>
  <c r="H85" i="19"/>
  <c r="I85" i="19"/>
  <c r="J85" i="19"/>
  <c r="K85" i="19"/>
  <c r="L85" i="19"/>
  <c r="M85" i="19"/>
  <c r="N85" i="19"/>
  <c r="O85" i="19"/>
  <c r="P85" i="19"/>
  <c r="Q85" i="19"/>
  <c r="R85" i="19"/>
  <c r="S85" i="19"/>
  <c r="T85" i="19"/>
  <c r="U85" i="19"/>
  <c r="V85" i="19"/>
  <c r="W85" i="19"/>
  <c r="X85" i="19"/>
  <c r="D86" i="19"/>
  <c r="E86" i="19"/>
  <c r="F86" i="19"/>
  <c r="G86" i="19"/>
  <c r="H86" i="19"/>
  <c r="I86" i="19"/>
  <c r="J86" i="19"/>
  <c r="K86" i="19"/>
  <c r="L86" i="19"/>
  <c r="M86" i="19"/>
  <c r="N86" i="19"/>
  <c r="O86" i="19"/>
  <c r="P86" i="19"/>
  <c r="Q86" i="19"/>
  <c r="R86" i="19"/>
  <c r="S86" i="19"/>
  <c r="T86" i="19"/>
  <c r="U86" i="19"/>
  <c r="V86" i="19"/>
  <c r="W86" i="19"/>
  <c r="X86" i="19"/>
  <c r="D87" i="19"/>
  <c r="E87" i="19"/>
  <c r="F87" i="19"/>
  <c r="G87" i="19"/>
  <c r="H87" i="19"/>
  <c r="I87" i="19"/>
  <c r="J87" i="19"/>
  <c r="K87" i="19"/>
  <c r="L87" i="19"/>
  <c r="M87" i="19"/>
  <c r="N87" i="19"/>
  <c r="O87" i="19"/>
  <c r="P87" i="19"/>
  <c r="Q87" i="19"/>
  <c r="R87" i="19"/>
  <c r="S87" i="19"/>
  <c r="T87" i="19"/>
  <c r="U87" i="19"/>
  <c r="V87" i="19"/>
  <c r="W87" i="19"/>
  <c r="X87" i="19"/>
  <c r="D88" i="19"/>
  <c r="E88" i="19"/>
  <c r="F88" i="19"/>
  <c r="G88" i="19"/>
  <c r="H88" i="19"/>
  <c r="I88" i="19"/>
  <c r="J88" i="19"/>
  <c r="K88" i="19"/>
  <c r="L88" i="19"/>
  <c r="M88" i="19"/>
  <c r="N88" i="19"/>
  <c r="O88" i="19"/>
  <c r="P88" i="19"/>
  <c r="Q88" i="19"/>
  <c r="R88" i="19"/>
  <c r="S88" i="19"/>
  <c r="T88" i="19"/>
  <c r="U88" i="19"/>
  <c r="V88" i="19"/>
  <c r="W88" i="19"/>
  <c r="X88" i="19"/>
  <c r="D89" i="19"/>
  <c r="E89" i="19"/>
  <c r="F89" i="19"/>
  <c r="G89" i="19"/>
  <c r="H89" i="19"/>
  <c r="I89" i="19"/>
  <c r="J89" i="19"/>
  <c r="K89" i="19"/>
  <c r="L89" i="19"/>
  <c r="M89" i="19"/>
  <c r="N89" i="19"/>
  <c r="O89" i="19"/>
  <c r="P89" i="19"/>
  <c r="Q89" i="19"/>
  <c r="R89" i="19"/>
  <c r="S89" i="19"/>
  <c r="T89" i="19"/>
  <c r="U89" i="19"/>
  <c r="V89" i="19"/>
  <c r="W89" i="19"/>
  <c r="X89" i="19"/>
  <c r="D90" i="19"/>
  <c r="E90" i="19"/>
  <c r="F90" i="19"/>
  <c r="G90" i="19"/>
  <c r="H90" i="19"/>
  <c r="I90" i="19"/>
  <c r="J90" i="19"/>
  <c r="K90" i="19"/>
  <c r="L90" i="19"/>
  <c r="M90" i="19"/>
  <c r="N90" i="19"/>
  <c r="O90" i="19"/>
  <c r="P90" i="19"/>
  <c r="Q90" i="19"/>
  <c r="R90" i="19"/>
  <c r="S90" i="19"/>
  <c r="T90" i="19"/>
  <c r="U90" i="19"/>
  <c r="V90" i="19"/>
  <c r="W90" i="19"/>
  <c r="X90" i="19"/>
  <c r="D91" i="19"/>
  <c r="E91" i="19"/>
  <c r="F91" i="19"/>
  <c r="G91" i="19"/>
  <c r="H91" i="19"/>
  <c r="I91" i="19"/>
  <c r="J91" i="19"/>
  <c r="K91" i="19"/>
  <c r="L91" i="19"/>
  <c r="M91" i="19"/>
  <c r="N91" i="19"/>
  <c r="O91" i="19"/>
  <c r="P91" i="19"/>
  <c r="Q91" i="19"/>
  <c r="R91" i="19"/>
  <c r="S91" i="19"/>
  <c r="T91" i="19"/>
  <c r="U91" i="19"/>
  <c r="V91" i="19"/>
  <c r="W91" i="19"/>
  <c r="X91" i="19"/>
  <c r="D92" i="19"/>
  <c r="E92" i="19"/>
  <c r="F92" i="19"/>
  <c r="G92" i="19"/>
  <c r="H92" i="19"/>
  <c r="I92" i="19"/>
  <c r="J92" i="19"/>
  <c r="K92" i="19"/>
  <c r="L92" i="19"/>
  <c r="M92" i="19"/>
  <c r="N92" i="19"/>
  <c r="O92" i="19"/>
  <c r="P92" i="19"/>
  <c r="Q92" i="19"/>
  <c r="R92" i="19"/>
  <c r="S92" i="19"/>
  <c r="T92" i="19"/>
  <c r="U92" i="19"/>
  <c r="V92" i="19"/>
  <c r="W92" i="19"/>
  <c r="X92" i="19"/>
  <c r="D93" i="19"/>
  <c r="E93" i="19"/>
  <c r="F93" i="19"/>
  <c r="G93" i="19"/>
  <c r="H93" i="19"/>
  <c r="I93" i="19"/>
  <c r="J93" i="19"/>
  <c r="K93" i="19"/>
  <c r="L93" i="19"/>
  <c r="M93" i="19"/>
  <c r="N93" i="19"/>
  <c r="O93" i="19"/>
  <c r="P93" i="19"/>
  <c r="Q93" i="19"/>
  <c r="R93" i="19"/>
  <c r="S93" i="19"/>
  <c r="T93" i="19"/>
  <c r="U93" i="19"/>
  <c r="V93" i="19"/>
  <c r="W93" i="19"/>
  <c r="X93" i="19"/>
  <c r="D94" i="19"/>
  <c r="E94" i="19"/>
  <c r="F94" i="19"/>
  <c r="G94" i="19"/>
  <c r="H94" i="19"/>
  <c r="I94" i="19"/>
  <c r="J94" i="19"/>
  <c r="K94" i="19"/>
  <c r="L94" i="19"/>
  <c r="M94" i="19"/>
  <c r="N94" i="19"/>
  <c r="O94" i="19"/>
  <c r="P94" i="19"/>
  <c r="Q94" i="19"/>
  <c r="R94" i="19"/>
  <c r="S94" i="19"/>
  <c r="T94" i="19"/>
  <c r="U94" i="19"/>
  <c r="V94" i="19"/>
  <c r="W94" i="19"/>
  <c r="X94" i="19"/>
  <c r="D95" i="19"/>
  <c r="E95" i="19"/>
  <c r="F95" i="19"/>
  <c r="G95" i="19"/>
  <c r="H95" i="19"/>
  <c r="I95" i="19"/>
  <c r="J95" i="19"/>
  <c r="K95" i="19"/>
  <c r="L95" i="19"/>
  <c r="M95" i="19"/>
  <c r="N95" i="19"/>
  <c r="O95" i="19"/>
  <c r="P95" i="19"/>
  <c r="Q95" i="19"/>
  <c r="R95" i="19"/>
  <c r="S95" i="19"/>
  <c r="T95" i="19"/>
  <c r="U95" i="19"/>
  <c r="V95" i="19"/>
  <c r="W95" i="19"/>
  <c r="X95" i="19"/>
  <c r="D96" i="19"/>
  <c r="E96" i="19"/>
  <c r="F96" i="19"/>
  <c r="G96" i="19"/>
  <c r="H96" i="19"/>
  <c r="I96" i="19"/>
  <c r="J96" i="19"/>
  <c r="K96" i="19"/>
  <c r="L96" i="19"/>
  <c r="M96" i="19"/>
  <c r="N96" i="19"/>
  <c r="O96" i="19"/>
  <c r="P96" i="19"/>
  <c r="Q96" i="19"/>
  <c r="R96" i="19"/>
  <c r="S96" i="19"/>
  <c r="T96" i="19"/>
  <c r="U96" i="19"/>
  <c r="V96" i="19"/>
  <c r="W96" i="19"/>
  <c r="X96" i="19"/>
  <c r="D97" i="19"/>
  <c r="E97" i="19"/>
  <c r="F97" i="19"/>
  <c r="G97" i="19"/>
  <c r="H97" i="19"/>
  <c r="I97" i="19"/>
  <c r="J97" i="19"/>
  <c r="K97" i="19"/>
  <c r="L97" i="19"/>
  <c r="M97" i="19"/>
  <c r="N97" i="19"/>
  <c r="O97" i="19"/>
  <c r="P97" i="19"/>
  <c r="Q97" i="19"/>
  <c r="R97" i="19"/>
  <c r="S97" i="19"/>
  <c r="T97" i="19"/>
  <c r="U97" i="19"/>
  <c r="V97" i="19"/>
  <c r="W97" i="19"/>
  <c r="X97" i="19"/>
  <c r="D98" i="19"/>
  <c r="E98" i="19"/>
  <c r="F98" i="19"/>
  <c r="G98" i="19"/>
  <c r="H98" i="19"/>
  <c r="I98" i="19"/>
  <c r="J98" i="19"/>
  <c r="K98" i="19"/>
  <c r="L98" i="19"/>
  <c r="M98" i="19"/>
  <c r="N98" i="19"/>
  <c r="O98" i="19"/>
  <c r="P98" i="19"/>
  <c r="Q98" i="19"/>
  <c r="R98" i="19"/>
  <c r="S98" i="19"/>
  <c r="T98" i="19"/>
  <c r="U98" i="19"/>
  <c r="V98" i="19"/>
  <c r="W98" i="19"/>
  <c r="X98" i="19"/>
  <c r="D99" i="19"/>
  <c r="E99" i="19"/>
  <c r="F99" i="19"/>
  <c r="G99" i="19"/>
  <c r="H99" i="19"/>
  <c r="I99" i="19"/>
  <c r="J99" i="19"/>
  <c r="K99" i="19"/>
  <c r="L99" i="19"/>
  <c r="M99" i="19"/>
  <c r="N99" i="19"/>
  <c r="O99" i="19"/>
  <c r="P99" i="19"/>
  <c r="Q99" i="19"/>
  <c r="R99" i="19"/>
  <c r="S99" i="19"/>
  <c r="T99" i="19"/>
  <c r="U99" i="19"/>
  <c r="V99" i="19"/>
  <c r="W99" i="19"/>
  <c r="X99" i="19"/>
  <c r="D100" i="19"/>
  <c r="E100" i="19"/>
  <c r="F100" i="19"/>
  <c r="G100" i="19"/>
  <c r="H100" i="19"/>
  <c r="I100" i="19"/>
  <c r="J100" i="19"/>
  <c r="K100" i="19"/>
  <c r="L100" i="19"/>
  <c r="M100" i="19"/>
  <c r="N100" i="19"/>
  <c r="O100" i="19"/>
  <c r="P100" i="19"/>
  <c r="Q100" i="19"/>
  <c r="R100" i="19"/>
  <c r="S100" i="19"/>
  <c r="T100" i="19"/>
  <c r="U100" i="19"/>
  <c r="V100" i="19"/>
  <c r="W100" i="19"/>
  <c r="X100" i="19"/>
  <c r="D101" i="19"/>
  <c r="E101" i="19"/>
  <c r="F101" i="19"/>
  <c r="G101" i="19"/>
  <c r="H101" i="19"/>
  <c r="I101" i="19"/>
  <c r="J101" i="19"/>
  <c r="K101" i="19"/>
  <c r="L101" i="19"/>
  <c r="M101" i="19"/>
  <c r="N101" i="19"/>
  <c r="O101" i="19"/>
  <c r="P101" i="19"/>
  <c r="Q101" i="19"/>
  <c r="R101" i="19"/>
  <c r="S101" i="19"/>
  <c r="T101" i="19"/>
  <c r="U101" i="19"/>
  <c r="V101" i="19"/>
  <c r="W101" i="19"/>
  <c r="X101" i="19"/>
  <c r="D102" i="19"/>
  <c r="E102" i="19"/>
  <c r="F102" i="19"/>
  <c r="G102" i="19"/>
  <c r="H102" i="19"/>
  <c r="I102" i="19"/>
  <c r="J102" i="19"/>
  <c r="K102" i="19"/>
  <c r="L102" i="19"/>
  <c r="M102" i="19"/>
  <c r="N102" i="19"/>
  <c r="O102" i="19"/>
  <c r="P102" i="19"/>
  <c r="Q102" i="19"/>
  <c r="R102" i="19"/>
  <c r="S102" i="19"/>
  <c r="T102" i="19"/>
  <c r="U102" i="19"/>
  <c r="V102" i="19"/>
  <c r="W102" i="19"/>
  <c r="X102" i="19"/>
  <c r="D103" i="19"/>
  <c r="E103" i="19"/>
  <c r="F103" i="19"/>
  <c r="G103" i="19"/>
  <c r="H103" i="19"/>
  <c r="I103" i="19"/>
  <c r="J103" i="19"/>
  <c r="K103" i="19"/>
  <c r="L103" i="19"/>
  <c r="M103" i="19"/>
  <c r="N103" i="19"/>
  <c r="O103" i="19"/>
  <c r="P103" i="19"/>
  <c r="Q103" i="19"/>
  <c r="R103" i="19"/>
  <c r="S103" i="19"/>
  <c r="T103" i="19"/>
  <c r="U103" i="19"/>
  <c r="V103" i="19"/>
  <c r="W103" i="19"/>
  <c r="X103" i="19"/>
  <c r="D104" i="19"/>
  <c r="E104" i="19"/>
  <c r="F104" i="19"/>
  <c r="G104" i="19"/>
  <c r="H104" i="19"/>
  <c r="I104" i="19"/>
  <c r="J104" i="19"/>
  <c r="K104" i="19"/>
  <c r="L104" i="19"/>
  <c r="M104" i="19"/>
  <c r="N104" i="19"/>
  <c r="O104" i="19"/>
  <c r="P104" i="19"/>
  <c r="Q104" i="19"/>
  <c r="R104" i="19"/>
  <c r="S104" i="19"/>
  <c r="T104" i="19"/>
  <c r="U104" i="19"/>
  <c r="V104" i="19"/>
  <c r="W104" i="19"/>
  <c r="X104" i="19"/>
  <c r="D105" i="19"/>
  <c r="E105" i="19"/>
  <c r="F105" i="19"/>
  <c r="G105" i="19"/>
  <c r="H105" i="19"/>
  <c r="I105" i="19"/>
  <c r="J105" i="19"/>
  <c r="K105" i="19"/>
  <c r="L105" i="19"/>
  <c r="M105" i="19"/>
  <c r="N105" i="19"/>
  <c r="O105" i="19"/>
  <c r="P105" i="19"/>
  <c r="Q105" i="19"/>
  <c r="R105" i="19"/>
  <c r="S105" i="19"/>
  <c r="T105" i="19"/>
  <c r="U105" i="19"/>
  <c r="V105" i="19"/>
  <c r="W105" i="19"/>
  <c r="X105" i="19"/>
  <c r="D106" i="19"/>
  <c r="E106" i="19"/>
  <c r="F106" i="19"/>
  <c r="G106" i="19"/>
  <c r="H106" i="19"/>
  <c r="I106" i="19"/>
  <c r="J106" i="19"/>
  <c r="K106" i="19"/>
  <c r="L106" i="19"/>
  <c r="M106" i="19"/>
  <c r="N106" i="19"/>
  <c r="O106" i="19"/>
  <c r="P106" i="19"/>
  <c r="Q106" i="19"/>
  <c r="R106" i="19"/>
  <c r="S106" i="19"/>
  <c r="T106" i="19"/>
  <c r="U106" i="19"/>
  <c r="V106" i="19"/>
  <c r="W106" i="19"/>
  <c r="X106" i="19"/>
  <c r="D107" i="19"/>
  <c r="E107" i="19"/>
  <c r="F107" i="19"/>
  <c r="G107" i="19"/>
  <c r="H107" i="19"/>
  <c r="I107" i="19"/>
  <c r="J107" i="19"/>
  <c r="K107" i="19"/>
  <c r="L107" i="19"/>
  <c r="M107" i="19"/>
  <c r="N107" i="19"/>
  <c r="O107" i="19"/>
  <c r="P107" i="19"/>
  <c r="Q107" i="19"/>
  <c r="R107" i="19"/>
  <c r="S107" i="19"/>
  <c r="T107" i="19"/>
  <c r="U107" i="19"/>
  <c r="V107" i="19"/>
  <c r="W107" i="19"/>
  <c r="X107" i="19"/>
  <c r="D108" i="19"/>
  <c r="E108" i="19"/>
  <c r="F108" i="19"/>
  <c r="G108" i="19"/>
  <c r="H108" i="19"/>
  <c r="I108" i="19"/>
  <c r="J108" i="19"/>
  <c r="K108" i="19"/>
  <c r="L108" i="19"/>
  <c r="M108" i="19"/>
  <c r="N108" i="19"/>
  <c r="O108" i="19"/>
  <c r="P108" i="19"/>
  <c r="Q108" i="19"/>
  <c r="R108" i="19"/>
  <c r="S108" i="19"/>
  <c r="T108" i="19"/>
  <c r="U108" i="19"/>
  <c r="V108" i="19"/>
  <c r="W108" i="19"/>
  <c r="X108" i="19"/>
  <c r="D109" i="19"/>
  <c r="E109" i="19"/>
  <c r="F109" i="19"/>
  <c r="G109" i="19"/>
  <c r="H109" i="19"/>
  <c r="I109" i="19"/>
  <c r="J109" i="19"/>
  <c r="K109" i="19"/>
  <c r="L109" i="19"/>
  <c r="M109" i="19"/>
  <c r="N109" i="19"/>
  <c r="O109" i="19"/>
  <c r="P109" i="19"/>
  <c r="Q109" i="19"/>
  <c r="R109" i="19"/>
  <c r="S109" i="19"/>
  <c r="T109" i="19"/>
  <c r="U109" i="19"/>
  <c r="V109" i="19"/>
  <c r="W109" i="19"/>
  <c r="X109" i="19"/>
  <c r="D110" i="19"/>
  <c r="E110" i="19"/>
  <c r="F110" i="19"/>
  <c r="G110" i="19"/>
  <c r="H110" i="19"/>
  <c r="I110" i="19"/>
  <c r="J110" i="19"/>
  <c r="K110" i="19"/>
  <c r="L110" i="19"/>
  <c r="M110" i="19"/>
  <c r="N110" i="19"/>
  <c r="O110" i="19"/>
  <c r="P110" i="19"/>
  <c r="Q110" i="19"/>
  <c r="R110" i="19"/>
  <c r="S110" i="19"/>
  <c r="T110" i="19"/>
  <c r="U110" i="19"/>
  <c r="V110" i="19"/>
  <c r="W110" i="19"/>
  <c r="X110" i="19"/>
  <c r="D111" i="19"/>
  <c r="E111" i="19"/>
  <c r="F111" i="19"/>
  <c r="G111" i="19"/>
  <c r="H111" i="19"/>
  <c r="I111" i="19"/>
  <c r="J111" i="19"/>
  <c r="K111" i="19"/>
  <c r="L111" i="19"/>
  <c r="M111" i="19"/>
  <c r="N111" i="19"/>
  <c r="O111" i="19"/>
  <c r="P111" i="19"/>
  <c r="Q111" i="19"/>
  <c r="R111" i="19"/>
  <c r="S111" i="19"/>
  <c r="T111" i="19"/>
  <c r="U111" i="19"/>
  <c r="V111" i="19"/>
  <c r="W111" i="19"/>
  <c r="X111" i="19"/>
  <c r="D112" i="19"/>
  <c r="E112" i="19"/>
  <c r="F112" i="19"/>
  <c r="G112" i="19"/>
  <c r="H112" i="19"/>
  <c r="I112" i="19"/>
  <c r="J112" i="19"/>
  <c r="K112" i="19"/>
  <c r="L112" i="19"/>
  <c r="M112" i="19"/>
  <c r="N112" i="19"/>
  <c r="O112" i="19"/>
  <c r="P112" i="19"/>
  <c r="Q112" i="19"/>
  <c r="R112" i="19"/>
  <c r="S112" i="19"/>
  <c r="T112" i="19"/>
  <c r="U112" i="19"/>
  <c r="V112" i="19"/>
  <c r="W112" i="19"/>
  <c r="X112" i="19"/>
  <c r="D113" i="19"/>
  <c r="E113" i="19"/>
  <c r="F113" i="19"/>
  <c r="G113" i="19"/>
  <c r="H113" i="19"/>
  <c r="I113" i="19"/>
  <c r="J113" i="19"/>
  <c r="K113" i="19"/>
  <c r="L113" i="19"/>
  <c r="M113" i="19"/>
  <c r="N113" i="19"/>
  <c r="O113" i="19"/>
  <c r="P113" i="19"/>
  <c r="Q113" i="19"/>
  <c r="R113" i="19"/>
  <c r="S113" i="19"/>
  <c r="T113" i="19"/>
  <c r="U113" i="19"/>
  <c r="V113" i="19"/>
  <c r="W113" i="19"/>
  <c r="X113" i="19"/>
  <c r="D114" i="19"/>
  <c r="E114" i="19"/>
  <c r="F114" i="19"/>
  <c r="G114" i="19"/>
  <c r="H114" i="19"/>
  <c r="I114" i="19"/>
  <c r="J114" i="19"/>
  <c r="K114" i="19"/>
  <c r="L114" i="19"/>
  <c r="M114" i="19"/>
  <c r="N114" i="19"/>
  <c r="O114" i="19"/>
  <c r="P114" i="19"/>
  <c r="Q114" i="19"/>
  <c r="R114" i="19"/>
  <c r="S114" i="19"/>
  <c r="T114" i="19"/>
  <c r="U114" i="19"/>
  <c r="V114" i="19"/>
  <c r="W114" i="19"/>
  <c r="X114" i="19"/>
  <c r="D115" i="19"/>
  <c r="E115" i="19"/>
  <c r="F115" i="19"/>
  <c r="G115" i="19"/>
  <c r="H115" i="19"/>
  <c r="I115" i="19"/>
  <c r="J115" i="19"/>
  <c r="K115" i="19"/>
  <c r="L115" i="19"/>
  <c r="M115" i="19"/>
  <c r="N115" i="19"/>
  <c r="O115" i="19"/>
  <c r="P115" i="19"/>
  <c r="Q115" i="19"/>
  <c r="R115" i="19"/>
  <c r="S115" i="19"/>
  <c r="T115" i="19"/>
  <c r="U115" i="19"/>
  <c r="V115" i="19"/>
  <c r="W115" i="19"/>
  <c r="X115" i="19"/>
  <c r="D116" i="19"/>
  <c r="E116" i="19"/>
  <c r="F116" i="19"/>
  <c r="G116" i="19"/>
  <c r="H116" i="19"/>
  <c r="I116" i="19"/>
  <c r="J116" i="19"/>
  <c r="K116" i="19"/>
  <c r="L116" i="19"/>
  <c r="M116" i="19"/>
  <c r="N116" i="19"/>
  <c r="O116" i="19"/>
  <c r="P116" i="19"/>
  <c r="Q116" i="19"/>
  <c r="R116" i="19"/>
  <c r="S116" i="19"/>
  <c r="T116" i="19"/>
  <c r="U116" i="19"/>
  <c r="V116" i="19"/>
  <c r="W116" i="19"/>
  <c r="X116" i="19"/>
  <c r="J82" i="19"/>
  <c r="Q82" i="19"/>
  <c r="X82" i="19"/>
  <c r="E82" i="19"/>
  <c r="F82" i="19"/>
  <c r="G82" i="19"/>
  <c r="H82" i="19"/>
  <c r="I82" i="19"/>
  <c r="K82" i="19"/>
  <c r="L82" i="19"/>
  <c r="M82" i="19"/>
  <c r="N82" i="19"/>
  <c r="O82" i="19"/>
  <c r="P82" i="19"/>
  <c r="R82" i="19"/>
  <c r="S82" i="19"/>
  <c r="T82" i="19"/>
  <c r="U82" i="19"/>
  <c r="V82" i="19"/>
  <c r="W82" i="19"/>
  <c r="D82" i="19"/>
  <c r="X83" i="20"/>
  <c r="X84" i="20"/>
  <c r="X85" i="20"/>
  <c r="X86" i="20"/>
  <c r="X87" i="20"/>
  <c r="X88" i="20"/>
  <c r="X89" i="20"/>
  <c r="X90" i="20"/>
  <c r="X91" i="20"/>
  <c r="X92" i="20"/>
  <c r="X93" i="20"/>
  <c r="X94" i="20"/>
  <c r="X95" i="20"/>
  <c r="X96" i="20"/>
  <c r="X97" i="20"/>
  <c r="X98" i="20"/>
  <c r="X99" i="20"/>
  <c r="X100" i="20"/>
  <c r="X101" i="20"/>
  <c r="X102" i="20"/>
  <c r="X103" i="20"/>
  <c r="X104" i="20"/>
  <c r="X105" i="20"/>
  <c r="X106" i="20"/>
  <c r="X107" i="20"/>
  <c r="X108" i="20"/>
  <c r="X109" i="20"/>
  <c r="X110" i="20"/>
  <c r="X111" i="20"/>
  <c r="X112" i="20"/>
  <c r="X113" i="20"/>
  <c r="X114" i="20"/>
  <c r="X115" i="20"/>
  <c r="X116" i="20"/>
  <c r="X82" i="20"/>
  <c r="Q83" i="20"/>
  <c r="Q84" i="20"/>
  <c r="Q85" i="20"/>
  <c r="Q86" i="20"/>
  <c r="Q87" i="20"/>
  <c r="Q88" i="20"/>
  <c r="Q89" i="20"/>
  <c r="Q90" i="20"/>
  <c r="Q91" i="20"/>
  <c r="Q92" i="20"/>
  <c r="Q93" i="20"/>
  <c r="Q94" i="20"/>
  <c r="Q95" i="20"/>
  <c r="Q96" i="20"/>
  <c r="Q97" i="20"/>
  <c r="Q98" i="20"/>
  <c r="Q99" i="20"/>
  <c r="Q100" i="20"/>
  <c r="Q101" i="20"/>
  <c r="Q102" i="20"/>
  <c r="Q103" i="20"/>
  <c r="Q104" i="20"/>
  <c r="Q105" i="20"/>
  <c r="Q106" i="20"/>
  <c r="Q107" i="20"/>
  <c r="Q108" i="20"/>
  <c r="Q109" i="20"/>
  <c r="Q110" i="20"/>
  <c r="Q111" i="20"/>
  <c r="Q112" i="20"/>
  <c r="Q113" i="20"/>
  <c r="Q114" i="20"/>
  <c r="Q115" i="20"/>
  <c r="Q116" i="20"/>
  <c r="Q82" i="20"/>
  <c r="J83" i="20"/>
  <c r="J84" i="20"/>
  <c r="J85" i="20"/>
  <c r="J86" i="20"/>
  <c r="J87" i="20"/>
  <c r="J88" i="20"/>
  <c r="J89" i="20"/>
  <c r="J90" i="20"/>
  <c r="J91" i="20"/>
  <c r="J92" i="20"/>
  <c r="J93" i="20"/>
  <c r="J94" i="20"/>
  <c r="J95" i="20"/>
  <c r="J96" i="20"/>
  <c r="J97" i="20"/>
  <c r="J98" i="20"/>
  <c r="J99" i="20"/>
  <c r="J100" i="20"/>
  <c r="J101" i="20"/>
  <c r="J102" i="20"/>
  <c r="J103" i="20"/>
  <c r="J104" i="20"/>
  <c r="J105" i="20"/>
  <c r="J106" i="20"/>
  <c r="J107" i="20"/>
  <c r="J108" i="20"/>
  <c r="J109" i="20"/>
  <c r="J110" i="20"/>
  <c r="J111" i="20"/>
  <c r="J112" i="20"/>
  <c r="J113" i="20"/>
  <c r="J114" i="20"/>
  <c r="J115" i="20"/>
  <c r="J116" i="20"/>
  <c r="J82" i="20"/>
  <c r="D83" i="20"/>
  <c r="E83" i="20"/>
  <c r="F83" i="20"/>
  <c r="G83" i="20"/>
  <c r="H83" i="20"/>
  <c r="I83" i="20"/>
  <c r="K83" i="20"/>
  <c r="L83" i="20"/>
  <c r="M83" i="20"/>
  <c r="N83" i="20"/>
  <c r="O83" i="20"/>
  <c r="P83" i="20"/>
  <c r="R83" i="20"/>
  <c r="S83" i="20"/>
  <c r="T83" i="20"/>
  <c r="U83" i="20"/>
  <c r="V83" i="20"/>
  <c r="W83" i="20"/>
  <c r="D84" i="20"/>
  <c r="E84" i="20"/>
  <c r="F84" i="20"/>
  <c r="G84" i="20"/>
  <c r="H84" i="20"/>
  <c r="I84" i="20"/>
  <c r="K84" i="20"/>
  <c r="L84" i="20"/>
  <c r="M84" i="20"/>
  <c r="N84" i="20"/>
  <c r="O84" i="20"/>
  <c r="P84" i="20"/>
  <c r="R84" i="20"/>
  <c r="S84" i="20"/>
  <c r="T84" i="20"/>
  <c r="U84" i="20"/>
  <c r="V84" i="20"/>
  <c r="W84" i="20"/>
  <c r="D85" i="20"/>
  <c r="E85" i="20"/>
  <c r="F85" i="20"/>
  <c r="G85" i="20"/>
  <c r="H85" i="20"/>
  <c r="I85" i="20"/>
  <c r="K85" i="20"/>
  <c r="L85" i="20"/>
  <c r="M85" i="20"/>
  <c r="N85" i="20"/>
  <c r="O85" i="20"/>
  <c r="P85" i="20"/>
  <c r="R85" i="20"/>
  <c r="S85" i="20"/>
  <c r="T85" i="20"/>
  <c r="U85" i="20"/>
  <c r="V85" i="20"/>
  <c r="W85" i="20"/>
  <c r="D86" i="20"/>
  <c r="E86" i="20"/>
  <c r="F86" i="20"/>
  <c r="G86" i="20"/>
  <c r="H86" i="20"/>
  <c r="I86" i="20"/>
  <c r="K86" i="20"/>
  <c r="L86" i="20"/>
  <c r="M86" i="20"/>
  <c r="N86" i="20"/>
  <c r="O86" i="20"/>
  <c r="P86" i="20"/>
  <c r="R86" i="20"/>
  <c r="S86" i="20"/>
  <c r="T86" i="20"/>
  <c r="U86" i="20"/>
  <c r="V86" i="20"/>
  <c r="W86" i="20"/>
  <c r="D87" i="20"/>
  <c r="E87" i="20"/>
  <c r="F87" i="20"/>
  <c r="G87" i="20"/>
  <c r="H87" i="20"/>
  <c r="I87" i="20"/>
  <c r="K87" i="20"/>
  <c r="L87" i="20"/>
  <c r="M87" i="20"/>
  <c r="N87" i="20"/>
  <c r="O87" i="20"/>
  <c r="P87" i="20"/>
  <c r="R87" i="20"/>
  <c r="S87" i="20"/>
  <c r="T87" i="20"/>
  <c r="U87" i="20"/>
  <c r="V87" i="20"/>
  <c r="W87" i="20"/>
  <c r="D88" i="20"/>
  <c r="E88" i="20"/>
  <c r="F88" i="20"/>
  <c r="G88" i="20"/>
  <c r="H88" i="20"/>
  <c r="I88" i="20"/>
  <c r="K88" i="20"/>
  <c r="L88" i="20"/>
  <c r="M88" i="20"/>
  <c r="N88" i="20"/>
  <c r="O88" i="20"/>
  <c r="P88" i="20"/>
  <c r="R88" i="20"/>
  <c r="S88" i="20"/>
  <c r="T88" i="20"/>
  <c r="U88" i="20"/>
  <c r="V88" i="20"/>
  <c r="W88" i="20"/>
  <c r="D89" i="20"/>
  <c r="E89" i="20"/>
  <c r="F89" i="20"/>
  <c r="G89" i="20"/>
  <c r="H89" i="20"/>
  <c r="I89" i="20"/>
  <c r="K89" i="20"/>
  <c r="L89" i="20"/>
  <c r="M89" i="20"/>
  <c r="N89" i="20"/>
  <c r="O89" i="20"/>
  <c r="P89" i="20"/>
  <c r="R89" i="20"/>
  <c r="S89" i="20"/>
  <c r="T89" i="20"/>
  <c r="U89" i="20"/>
  <c r="V89" i="20"/>
  <c r="W89" i="20"/>
  <c r="D90" i="20"/>
  <c r="E90" i="20"/>
  <c r="F90" i="20"/>
  <c r="G90" i="20"/>
  <c r="H90" i="20"/>
  <c r="I90" i="20"/>
  <c r="K90" i="20"/>
  <c r="L90" i="20"/>
  <c r="M90" i="20"/>
  <c r="N90" i="20"/>
  <c r="O90" i="20"/>
  <c r="P90" i="20"/>
  <c r="R90" i="20"/>
  <c r="S90" i="20"/>
  <c r="T90" i="20"/>
  <c r="U90" i="20"/>
  <c r="V90" i="20"/>
  <c r="W90" i="20"/>
  <c r="D91" i="20"/>
  <c r="E91" i="20"/>
  <c r="F91" i="20"/>
  <c r="G91" i="20"/>
  <c r="H91" i="20"/>
  <c r="I91" i="20"/>
  <c r="K91" i="20"/>
  <c r="L91" i="20"/>
  <c r="M91" i="20"/>
  <c r="N91" i="20"/>
  <c r="O91" i="20"/>
  <c r="P91" i="20"/>
  <c r="R91" i="20"/>
  <c r="S91" i="20"/>
  <c r="T91" i="20"/>
  <c r="U91" i="20"/>
  <c r="V91" i="20"/>
  <c r="W91" i="20"/>
  <c r="D92" i="20"/>
  <c r="E92" i="20"/>
  <c r="F92" i="20"/>
  <c r="G92" i="20"/>
  <c r="H92" i="20"/>
  <c r="I92" i="20"/>
  <c r="K92" i="20"/>
  <c r="L92" i="20"/>
  <c r="M92" i="20"/>
  <c r="N92" i="20"/>
  <c r="O92" i="20"/>
  <c r="P92" i="20"/>
  <c r="R92" i="20"/>
  <c r="S92" i="20"/>
  <c r="T92" i="20"/>
  <c r="U92" i="20"/>
  <c r="V92" i="20"/>
  <c r="W92" i="20"/>
  <c r="D93" i="20"/>
  <c r="E93" i="20"/>
  <c r="F93" i="20"/>
  <c r="G93" i="20"/>
  <c r="H93" i="20"/>
  <c r="I93" i="20"/>
  <c r="K93" i="20"/>
  <c r="L93" i="20"/>
  <c r="M93" i="20"/>
  <c r="N93" i="20"/>
  <c r="O93" i="20"/>
  <c r="P93" i="20"/>
  <c r="R93" i="20"/>
  <c r="S93" i="20"/>
  <c r="T93" i="20"/>
  <c r="U93" i="20"/>
  <c r="V93" i="20"/>
  <c r="W93" i="20"/>
  <c r="D94" i="20"/>
  <c r="E94" i="20"/>
  <c r="F94" i="20"/>
  <c r="G94" i="20"/>
  <c r="H94" i="20"/>
  <c r="I94" i="20"/>
  <c r="K94" i="20"/>
  <c r="L94" i="20"/>
  <c r="M94" i="20"/>
  <c r="N94" i="20"/>
  <c r="O94" i="20"/>
  <c r="P94" i="20"/>
  <c r="R94" i="20"/>
  <c r="S94" i="20"/>
  <c r="T94" i="20"/>
  <c r="U94" i="20"/>
  <c r="V94" i="20"/>
  <c r="W94" i="20"/>
  <c r="D95" i="20"/>
  <c r="E95" i="20"/>
  <c r="F95" i="20"/>
  <c r="G95" i="20"/>
  <c r="H95" i="20"/>
  <c r="I95" i="20"/>
  <c r="K95" i="20"/>
  <c r="L95" i="20"/>
  <c r="M95" i="20"/>
  <c r="N95" i="20"/>
  <c r="O95" i="20"/>
  <c r="P95" i="20"/>
  <c r="R95" i="20"/>
  <c r="S95" i="20"/>
  <c r="T95" i="20"/>
  <c r="U95" i="20"/>
  <c r="V95" i="20"/>
  <c r="W95" i="20"/>
  <c r="D96" i="20"/>
  <c r="E96" i="20"/>
  <c r="F96" i="20"/>
  <c r="G96" i="20"/>
  <c r="H96" i="20"/>
  <c r="I96" i="20"/>
  <c r="K96" i="20"/>
  <c r="L96" i="20"/>
  <c r="M96" i="20"/>
  <c r="N96" i="20"/>
  <c r="O96" i="20"/>
  <c r="P96" i="20"/>
  <c r="R96" i="20"/>
  <c r="S96" i="20"/>
  <c r="T96" i="20"/>
  <c r="U96" i="20"/>
  <c r="V96" i="20"/>
  <c r="W96" i="20"/>
  <c r="D97" i="20"/>
  <c r="E97" i="20"/>
  <c r="F97" i="20"/>
  <c r="G97" i="20"/>
  <c r="H97" i="20"/>
  <c r="I97" i="20"/>
  <c r="K97" i="20"/>
  <c r="L97" i="20"/>
  <c r="M97" i="20"/>
  <c r="N97" i="20"/>
  <c r="O97" i="20"/>
  <c r="P97" i="20"/>
  <c r="R97" i="20"/>
  <c r="S97" i="20"/>
  <c r="T97" i="20"/>
  <c r="U97" i="20"/>
  <c r="V97" i="20"/>
  <c r="W97" i="20"/>
  <c r="D98" i="20"/>
  <c r="E98" i="20"/>
  <c r="F98" i="20"/>
  <c r="G98" i="20"/>
  <c r="H98" i="20"/>
  <c r="I98" i="20"/>
  <c r="K98" i="20"/>
  <c r="L98" i="20"/>
  <c r="M98" i="20"/>
  <c r="N98" i="20"/>
  <c r="O98" i="20"/>
  <c r="P98" i="20"/>
  <c r="R98" i="20"/>
  <c r="S98" i="20"/>
  <c r="T98" i="20"/>
  <c r="U98" i="20"/>
  <c r="V98" i="20"/>
  <c r="W98" i="20"/>
  <c r="D99" i="20"/>
  <c r="E99" i="20"/>
  <c r="F99" i="20"/>
  <c r="G99" i="20"/>
  <c r="H99" i="20"/>
  <c r="I99" i="20"/>
  <c r="K99" i="20"/>
  <c r="L99" i="20"/>
  <c r="M99" i="20"/>
  <c r="N99" i="20"/>
  <c r="O99" i="20"/>
  <c r="P99" i="20"/>
  <c r="R99" i="20"/>
  <c r="S99" i="20"/>
  <c r="T99" i="20"/>
  <c r="U99" i="20"/>
  <c r="V99" i="20"/>
  <c r="W99" i="20"/>
  <c r="D100" i="20"/>
  <c r="E100" i="20"/>
  <c r="F100" i="20"/>
  <c r="G100" i="20"/>
  <c r="H100" i="20"/>
  <c r="I100" i="20"/>
  <c r="K100" i="20"/>
  <c r="L100" i="20"/>
  <c r="M100" i="20"/>
  <c r="N100" i="20"/>
  <c r="O100" i="20"/>
  <c r="P100" i="20"/>
  <c r="R100" i="20"/>
  <c r="S100" i="20"/>
  <c r="T100" i="20"/>
  <c r="U100" i="20"/>
  <c r="V100" i="20"/>
  <c r="W100" i="20"/>
  <c r="D101" i="20"/>
  <c r="E101" i="20"/>
  <c r="F101" i="20"/>
  <c r="G101" i="20"/>
  <c r="H101" i="20"/>
  <c r="I101" i="20"/>
  <c r="K101" i="20"/>
  <c r="L101" i="20"/>
  <c r="M101" i="20"/>
  <c r="N101" i="20"/>
  <c r="O101" i="20"/>
  <c r="P101" i="20"/>
  <c r="R101" i="20"/>
  <c r="S101" i="20"/>
  <c r="T101" i="20"/>
  <c r="U101" i="20"/>
  <c r="V101" i="20"/>
  <c r="W101" i="20"/>
  <c r="D102" i="20"/>
  <c r="E102" i="20"/>
  <c r="F102" i="20"/>
  <c r="G102" i="20"/>
  <c r="H102" i="20"/>
  <c r="I102" i="20"/>
  <c r="K102" i="20"/>
  <c r="L102" i="20"/>
  <c r="M102" i="20"/>
  <c r="N102" i="20"/>
  <c r="O102" i="20"/>
  <c r="P102" i="20"/>
  <c r="R102" i="20"/>
  <c r="S102" i="20"/>
  <c r="T102" i="20"/>
  <c r="U102" i="20"/>
  <c r="V102" i="20"/>
  <c r="W102" i="20"/>
  <c r="D103" i="20"/>
  <c r="E103" i="20"/>
  <c r="F103" i="20"/>
  <c r="G103" i="20"/>
  <c r="H103" i="20"/>
  <c r="I103" i="20"/>
  <c r="K103" i="20"/>
  <c r="L103" i="20"/>
  <c r="M103" i="20"/>
  <c r="N103" i="20"/>
  <c r="O103" i="20"/>
  <c r="P103" i="20"/>
  <c r="R103" i="20"/>
  <c r="S103" i="20"/>
  <c r="T103" i="20"/>
  <c r="U103" i="20"/>
  <c r="V103" i="20"/>
  <c r="W103" i="20"/>
  <c r="D104" i="20"/>
  <c r="E104" i="20"/>
  <c r="F104" i="20"/>
  <c r="G104" i="20"/>
  <c r="H104" i="20"/>
  <c r="I104" i="20"/>
  <c r="K104" i="20"/>
  <c r="L104" i="20"/>
  <c r="M104" i="20"/>
  <c r="N104" i="20"/>
  <c r="O104" i="20"/>
  <c r="P104" i="20"/>
  <c r="R104" i="20"/>
  <c r="S104" i="20"/>
  <c r="T104" i="20"/>
  <c r="U104" i="20"/>
  <c r="V104" i="20"/>
  <c r="W104" i="20"/>
  <c r="D105" i="20"/>
  <c r="E105" i="20"/>
  <c r="F105" i="20"/>
  <c r="G105" i="20"/>
  <c r="H105" i="20"/>
  <c r="I105" i="20"/>
  <c r="K105" i="20"/>
  <c r="L105" i="20"/>
  <c r="M105" i="20"/>
  <c r="N105" i="20"/>
  <c r="O105" i="20"/>
  <c r="P105" i="20"/>
  <c r="R105" i="20"/>
  <c r="S105" i="20"/>
  <c r="T105" i="20"/>
  <c r="U105" i="20"/>
  <c r="V105" i="20"/>
  <c r="W105" i="20"/>
  <c r="D106" i="20"/>
  <c r="E106" i="20"/>
  <c r="F106" i="20"/>
  <c r="G106" i="20"/>
  <c r="H106" i="20"/>
  <c r="I106" i="20"/>
  <c r="K106" i="20"/>
  <c r="L106" i="20"/>
  <c r="M106" i="20"/>
  <c r="N106" i="20"/>
  <c r="O106" i="20"/>
  <c r="P106" i="20"/>
  <c r="R106" i="20"/>
  <c r="S106" i="20"/>
  <c r="T106" i="20"/>
  <c r="U106" i="20"/>
  <c r="V106" i="20"/>
  <c r="W106" i="20"/>
  <c r="D107" i="20"/>
  <c r="E107" i="20"/>
  <c r="F107" i="20"/>
  <c r="G107" i="20"/>
  <c r="H107" i="20"/>
  <c r="I107" i="20"/>
  <c r="K107" i="20"/>
  <c r="L107" i="20"/>
  <c r="M107" i="20"/>
  <c r="N107" i="20"/>
  <c r="O107" i="20"/>
  <c r="P107" i="20"/>
  <c r="R107" i="20"/>
  <c r="S107" i="20"/>
  <c r="T107" i="20"/>
  <c r="U107" i="20"/>
  <c r="V107" i="20"/>
  <c r="W107" i="20"/>
  <c r="D108" i="20"/>
  <c r="E108" i="20"/>
  <c r="F108" i="20"/>
  <c r="G108" i="20"/>
  <c r="H108" i="20"/>
  <c r="I108" i="20"/>
  <c r="K108" i="20"/>
  <c r="L108" i="20"/>
  <c r="M108" i="20"/>
  <c r="N108" i="20"/>
  <c r="O108" i="20"/>
  <c r="P108" i="20"/>
  <c r="R108" i="20"/>
  <c r="S108" i="20"/>
  <c r="T108" i="20"/>
  <c r="U108" i="20"/>
  <c r="V108" i="20"/>
  <c r="W108" i="20"/>
  <c r="D109" i="20"/>
  <c r="E109" i="20"/>
  <c r="F109" i="20"/>
  <c r="G109" i="20"/>
  <c r="H109" i="20"/>
  <c r="I109" i="20"/>
  <c r="K109" i="20"/>
  <c r="L109" i="20"/>
  <c r="M109" i="20"/>
  <c r="N109" i="20"/>
  <c r="O109" i="20"/>
  <c r="P109" i="20"/>
  <c r="R109" i="20"/>
  <c r="S109" i="20"/>
  <c r="T109" i="20"/>
  <c r="U109" i="20"/>
  <c r="V109" i="20"/>
  <c r="W109" i="20"/>
  <c r="D110" i="20"/>
  <c r="E110" i="20"/>
  <c r="F110" i="20"/>
  <c r="G110" i="20"/>
  <c r="H110" i="20"/>
  <c r="I110" i="20"/>
  <c r="K110" i="20"/>
  <c r="L110" i="20"/>
  <c r="M110" i="20"/>
  <c r="N110" i="20"/>
  <c r="O110" i="20"/>
  <c r="P110" i="20"/>
  <c r="R110" i="20"/>
  <c r="S110" i="20"/>
  <c r="T110" i="20"/>
  <c r="U110" i="20"/>
  <c r="V110" i="20"/>
  <c r="W110" i="20"/>
  <c r="D111" i="20"/>
  <c r="E111" i="20"/>
  <c r="F111" i="20"/>
  <c r="G111" i="20"/>
  <c r="H111" i="20"/>
  <c r="I111" i="20"/>
  <c r="K111" i="20"/>
  <c r="L111" i="20"/>
  <c r="M111" i="20"/>
  <c r="N111" i="20"/>
  <c r="O111" i="20"/>
  <c r="P111" i="20"/>
  <c r="R111" i="20"/>
  <c r="S111" i="20"/>
  <c r="T111" i="20"/>
  <c r="U111" i="20"/>
  <c r="V111" i="20"/>
  <c r="W111" i="20"/>
  <c r="D112" i="20"/>
  <c r="E112" i="20"/>
  <c r="F112" i="20"/>
  <c r="G112" i="20"/>
  <c r="H112" i="20"/>
  <c r="I112" i="20"/>
  <c r="K112" i="20"/>
  <c r="L112" i="20"/>
  <c r="M112" i="20"/>
  <c r="N112" i="20"/>
  <c r="O112" i="20"/>
  <c r="P112" i="20"/>
  <c r="R112" i="20"/>
  <c r="S112" i="20"/>
  <c r="T112" i="20"/>
  <c r="U112" i="20"/>
  <c r="V112" i="20"/>
  <c r="W112" i="20"/>
  <c r="D113" i="20"/>
  <c r="E113" i="20"/>
  <c r="F113" i="20"/>
  <c r="G113" i="20"/>
  <c r="H113" i="20"/>
  <c r="I113" i="20"/>
  <c r="K113" i="20"/>
  <c r="L113" i="20"/>
  <c r="M113" i="20"/>
  <c r="N113" i="20"/>
  <c r="O113" i="20"/>
  <c r="P113" i="20"/>
  <c r="R113" i="20"/>
  <c r="S113" i="20"/>
  <c r="T113" i="20"/>
  <c r="U113" i="20"/>
  <c r="V113" i="20"/>
  <c r="W113" i="20"/>
  <c r="D114" i="20"/>
  <c r="E114" i="20"/>
  <c r="F114" i="20"/>
  <c r="G114" i="20"/>
  <c r="H114" i="20"/>
  <c r="I114" i="20"/>
  <c r="K114" i="20"/>
  <c r="L114" i="20"/>
  <c r="M114" i="20"/>
  <c r="N114" i="20"/>
  <c r="O114" i="20"/>
  <c r="P114" i="20"/>
  <c r="R114" i="20"/>
  <c r="S114" i="20"/>
  <c r="T114" i="20"/>
  <c r="U114" i="20"/>
  <c r="V114" i="20"/>
  <c r="W114" i="20"/>
  <c r="D115" i="20"/>
  <c r="E115" i="20"/>
  <c r="F115" i="20"/>
  <c r="G115" i="20"/>
  <c r="H115" i="20"/>
  <c r="I115" i="20"/>
  <c r="K115" i="20"/>
  <c r="L115" i="20"/>
  <c r="M115" i="20"/>
  <c r="N115" i="20"/>
  <c r="O115" i="20"/>
  <c r="P115" i="20"/>
  <c r="R115" i="20"/>
  <c r="S115" i="20"/>
  <c r="T115" i="20"/>
  <c r="U115" i="20"/>
  <c r="V115" i="20"/>
  <c r="W115" i="20"/>
  <c r="D116" i="20"/>
  <c r="E116" i="20"/>
  <c r="F116" i="20"/>
  <c r="G116" i="20"/>
  <c r="H116" i="20"/>
  <c r="I116" i="20"/>
  <c r="K116" i="20"/>
  <c r="L116" i="20"/>
  <c r="M116" i="20"/>
  <c r="N116" i="20"/>
  <c r="O116" i="20"/>
  <c r="P116" i="20"/>
  <c r="R116" i="20"/>
  <c r="S116" i="20"/>
  <c r="T116" i="20"/>
  <c r="U116" i="20"/>
  <c r="V116" i="20"/>
  <c r="W116" i="20"/>
  <c r="E82" i="20"/>
  <c r="F82" i="20"/>
  <c r="G82" i="20"/>
  <c r="H82" i="20"/>
  <c r="I82" i="20"/>
  <c r="K82" i="20"/>
  <c r="L82" i="20"/>
  <c r="M82" i="20"/>
  <c r="N82" i="20"/>
  <c r="O82" i="20"/>
  <c r="P82" i="20"/>
  <c r="R82" i="20"/>
  <c r="S82" i="20"/>
  <c r="T82" i="20"/>
  <c r="U82" i="20"/>
  <c r="V82" i="20"/>
  <c r="W82" i="20"/>
  <c r="D82" i="20"/>
  <c r="AX78" i="21"/>
  <c r="AY78" i="21"/>
  <c r="AZ78" i="21"/>
  <c r="BA78" i="21"/>
  <c r="BB78" i="21"/>
  <c r="BC78" i="21"/>
  <c r="BD78" i="21"/>
  <c r="BE78" i="21"/>
  <c r="BF78" i="21"/>
  <c r="BG78" i="21"/>
  <c r="BH78" i="21"/>
  <c r="BI78" i="21"/>
  <c r="BJ78" i="21"/>
  <c r="BK78" i="21"/>
  <c r="BL78" i="21"/>
  <c r="BM78" i="21"/>
  <c r="BN78" i="21"/>
  <c r="BO78" i="21"/>
  <c r="BP78" i="21"/>
  <c r="BQ78" i="21"/>
  <c r="BR78" i="21"/>
  <c r="X81" i="21"/>
  <c r="X82" i="21"/>
  <c r="X83" i="21"/>
  <c r="X84" i="21"/>
  <c r="X85" i="21"/>
  <c r="X86" i="21"/>
  <c r="X87" i="21"/>
  <c r="X88" i="21"/>
  <c r="X89" i="21"/>
  <c r="X90" i="21"/>
  <c r="X91" i="21"/>
  <c r="X92" i="21"/>
  <c r="X93" i="21"/>
  <c r="X94" i="21"/>
  <c r="X95" i="21"/>
  <c r="X96" i="21"/>
  <c r="X97" i="21"/>
  <c r="X98" i="21"/>
  <c r="X99" i="21"/>
  <c r="X100" i="21"/>
  <c r="X101" i="21"/>
  <c r="X102" i="21"/>
  <c r="X103" i="21"/>
  <c r="X104" i="21"/>
  <c r="X105" i="21"/>
  <c r="X106" i="21"/>
  <c r="X107" i="21"/>
  <c r="X108" i="21"/>
  <c r="X109" i="21"/>
  <c r="X110" i="21"/>
  <c r="X111" i="21"/>
  <c r="X112" i="21"/>
  <c r="X113" i="21"/>
  <c r="X114" i="21"/>
  <c r="W81" i="21"/>
  <c r="W82" i="21"/>
  <c r="W83" i="21"/>
  <c r="W84" i="21"/>
  <c r="W85" i="21"/>
  <c r="W86" i="21"/>
  <c r="W87" i="21"/>
  <c r="W88" i="21"/>
  <c r="W89" i="21"/>
  <c r="W90" i="21"/>
  <c r="W91" i="21"/>
  <c r="W92" i="21"/>
  <c r="W93" i="21"/>
  <c r="W94" i="21"/>
  <c r="W95" i="21"/>
  <c r="W96" i="21"/>
  <c r="W97" i="21"/>
  <c r="W98" i="21"/>
  <c r="W99" i="21"/>
  <c r="W100" i="21"/>
  <c r="W101" i="21"/>
  <c r="W102" i="21"/>
  <c r="W103" i="21"/>
  <c r="W104" i="21"/>
  <c r="W105" i="21"/>
  <c r="W106" i="21"/>
  <c r="W107" i="21"/>
  <c r="W108" i="21"/>
  <c r="W109" i="21"/>
  <c r="W110" i="21"/>
  <c r="W111" i="21"/>
  <c r="W112" i="21"/>
  <c r="W113" i="21"/>
  <c r="W114" i="21"/>
  <c r="D81" i="21"/>
  <c r="E81" i="21"/>
  <c r="F81" i="21"/>
  <c r="G81" i="21"/>
  <c r="H81" i="21"/>
  <c r="I81" i="21"/>
  <c r="J81" i="21"/>
  <c r="K81" i="21"/>
  <c r="L81" i="21"/>
  <c r="M81" i="21"/>
  <c r="N81" i="21"/>
  <c r="O81" i="21"/>
  <c r="P81" i="21"/>
  <c r="Q81" i="21"/>
  <c r="R81" i="21"/>
  <c r="S81" i="21"/>
  <c r="T81" i="21"/>
  <c r="U81" i="21"/>
  <c r="V81" i="21"/>
  <c r="D82" i="21"/>
  <c r="E82" i="21"/>
  <c r="F82" i="21"/>
  <c r="G82" i="21"/>
  <c r="H82" i="21"/>
  <c r="I82" i="21"/>
  <c r="J82" i="21"/>
  <c r="K82" i="21"/>
  <c r="L82" i="21"/>
  <c r="M82" i="21"/>
  <c r="N82" i="21"/>
  <c r="O82" i="21"/>
  <c r="P82" i="21"/>
  <c r="Q82" i="21"/>
  <c r="R82" i="21"/>
  <c r="S82" i="21"/>
  <c r="T82" i="21"/>
  <c r="U82" i="21"/>
  <c r="V82" i="21"/>
  <c r="D83" i="21"/>
  <c r="E83" i="21"/>
  <c r="F83" i="21"/>
  <c r="G83" i="21"/>
  <c r="H83" i="21"/>
  <c r="I83" i="21"/>
  <c r="J83" i="21"/>
  <c r="K83" i="21"/>
  <c r="L83" i="21"/>
  <c r="M83" i="21"/>
  <c r="N83" i="21"/>
  <c r="O83" i="21"/>
  <c r="P83" i="21"/>
  <c r="Q83" i="21"/>
  <c r="R83" i="21"/>
  <c r="S83" i="21"/>
  <c r="T83" i="21"/>
  <c r="U83" i="21"/>
  <c r="V83" i="21"/>
  <c r="D84" i="21"/>
  <c r="E84" i="21"/>
  <c r="F84" i="21"/>
  <c r="G84" i="21"/>
  <c r="H84" i="21"/>
  <c r="I84" i="21"/>
  <c r="J84" i="21"/>
  <c r="K84" i="21"/>
  <c r="L84" i="21"/>
  <c r="M84" i="21"/>
  <c r="N84" i="21"/>
  <c r="O84" i="21"/>
  <c r="P84" i="21"/>
  <c r="Q84" i="21"/>
  <c r="R84" i="21"/>
  <c r="S84" i="21"/>
  <c r="T84" i="21"/>
  <c r="U84" i="21"/>
  <c r="V84" i="21"/>
  <c r="D85" i="21"/>
  <c r="E85" i="21"/>
  <c r="F85" i="21"/>
  <c r="G85" i="21"/>
  <c r="H85" i="21"/>
  <c r="I85" i="21"/>
  <c r="J85" i="21"/>
  <c r="K85" i="21"/>
  <c r="L85" i="21"/>
  <c r="M85" i="21"/>
  <c r="N85" i="21"/>
  <c r="O85" i="21"/>
  <c r="P85" i="21"/>
  <c r="Q85" i="21"/>
  <c r="R85" i="21"/>
  <c r="S85" i="21"/>
  <c r="T85" i="21"/>
  <c r="U85" i="21"/>
  <c r="V85" i="21"/>
  <c r="D86" i="21"/>
  <c r="E86" i="21"/>
  <c r="F86" i="21"/>
  <c r="G86" i="21"/>
  <c r="H86" i="21"/>
  <c r="I86" i="21"/>
  <c r="J86" i="21"/>
  <c r="K86" i="21"/>
  <c r="L86" i="21"/>
  <c r="M86" i="21"/>
  <c r="N86" i="21"/>
  <c r="O86" i="21"/>
  <c r="P86" i="21"/>
  <c r="Q86" i="21"/>
  <c r="R86" i="21"/>
  <c r="S86" i="21"/>
  <c r="T86" i="21"/>
  <c r="U86" i="21"/>
  <c r="V86" i="21"/>
  <c r="D87" i="21"/>
  <c r="E87" i="21"/>
  <c r="F87" i="21"/>
  <c r="G87" i="21"/>
  <c r="H87" i="21"/>
  <c r="I87" i="21"/>
  <c r="J87" i="21"/>
  <c r="K87" i="21"/>
  <c r="L87" i="21"/>
  <c r="M87" i="21"/>
  <c r="N87" i="21"/>
  <c r="O87" i="21"/>
  <c r="P87" i="21"/>
  <c r="Q87" i="21"/>
  <c r="R87" i="21"/>
  <c r="S87" i="21"/>
  <c r="T87" i="21"/>
  <c r="U87" i="21"/>
  <c r="V87" i="21"/>
  <c r="D88" i="21"/>
  <c r="E88" i="21"/>
  <c r="F88" i="21"/>
  <c r="G88" i="21"/>
  <c r="H88" i="21"/>
  <c r="I88" i="21"/>
  <c r="J88" i="21"/>
  <c r="K88" i="21"/>
  <c r="L88" i="21"/>
  <c r="M88" i="21"/>
  <c r="N88" i="21"/>
  <c r="O88" i="21"/>
  <c r="P88" i="21"/>
  <c r="Q88" i="21"/>
  <c r="R88" i="21"/>
  <c r="S88" i="21"/>
  <c r="T88" i="21"/>
  <c r="U88" i="21"/>
  <c r="V88" i="21"/>
  <c r="D89" i="21"/>
  <c r="E89" i="21"/>
  <c r="F89" i="21"/>
  <c r="G89" i="21"/>
  <c r="H89" i="21"/>
  <c r="I89" i="21"/>
  <c r="J89" i="21"/>
  <c r="K89" i="21"/>
  <c r="L89" i="21"/>
  <c r="M89" i="21"/>
  <c r="N89" i="21"/>
  <c r="O89" i="21"/>
  <c r="P89" i="21"/>
  <c r="Q89" i="21"/>
  <c r="R89" i="21"/>
  <c r="S89" i="21"/>
  <c r="T89" i="21"/>
  <c r="U89" i="21"/>
  <c r="V89" i="21"/>
  <c r="D90" i="21"/>
  <c r="E90" i="21"/>
  <c r="F90" i="21"/>
  <c r="G90" i="21"/>
  <c r="H90" i="21"/>
  <c r="I90" i="21"/>
  <c r="J90" i="21"/>
  <c r="K90" i="21"/>
  <c r="L90" i="21"/>
  <c r="M90" i="21"/>
  <c r="N90" i="21"/>
  <c r="O90" i="21"/>
  <c r="P90" i="21"/>
  <c r="Q90" i="21"/>
  <c r="R90" i="21"/>
  <c r="S90" i="21"/>
  <c r="T90" i="21"/>
  <c r="U90" i="21"/>
  <c r="V90" i="21"/>
  <c r="D91" i="21"/>
  <c r="E91" i="21"/>
  <c r="F91" i="21"/>
  <c r="G91" i="21"/>
  <c r="H91" i="21"/>
  <c r="I91" i="21"/>
  <c r="J91" i="21"/>
  <c r="K91" i="21"/>
  <c r="L91" i="21"/>
  <c r="M91" i="21"/>
  <c r="N91" i="21"/>
  <c r="O91" i="21"/>
  <c r="P91" i="21"/>
  <c r="Q91" i="21"/>
  <c r="R91" i="21"/>
  <c r="S91" i="21"/>
  <c r="T91" i="21"/>
  <c r="U91" i="21"/>
  <c r="V91" i="21"/>
  <c r="D92" i="21"/>
  <c r="E92" i="21"/>
  <c r="F92" i="21"/>
  <c r="G92" i="21"/>
  <c r="H92" i="21"/>
  <c r="I92" i="21"/>
  <c r="J92" i="21"/>
  <c r="K92" i="21"/>
  <c r="L92" i="21"/>
  <c r="M92" i="21"/>
  <c r="N92" i="21"/>
  <c r="O92" i="21"/>
  <c r="P92" i="21"/>
  <c r="Q92" i="21"/>
  <c r="R92" i="21"/>
  <c r="S92" i="21"/>
  <c r="T92" i="21"/>
  <c r="U92" i="21"/>
  <c r="V92" i="21"/>
  <c r="D93" i="21"/>
  <c r="E93" i="21"/>
  <c r="F93" i="21"/>
  <c r="G93" i="21"/>
  <c r="H93" i="21"/>
  <c r="I93" i="21"/>
  <c r="J93" i="21"/>
  <c r="K93" i="21"/>
  <c r="L93" i="21"/>
  <c r="M93" i="21"/>
  <c r="N93" i="21"/>
  <c r="O93" i="21"/>
  <c r="P93" i="21"/>
  <c r="Q93" i="21"/>
  <c r="R93" i="21"/>
  <c r="S93" i="21"/>
  <c r="T93" i="21"/>
  <c r="U93" i="21"/>
  <c r="V93" i="21"/>
  <c r="D94" i="21"/>
  <c r="E94" i="21"/>
  <c r="F94" i="21"/>
  <c r="G94" i="21"/>
  <c r="H94" i="21"/>
  <c r="I94" i="21"/>
  <c r="J94" i="21"/>
  <c r="K94" i="21"/>
  <c r="L94" i="21"/>
  <c r="M94" i="21"/>
  <c r="N94" i="21"/>
  <c r="O94" i="21"/>
  <c r="P94" i="21"/>
  <c r="Q94" i="21"/>
  <c r="R94" i="21"/>
  <c r="S94" i="21"/>
  <c r="T94" i="21"/>
  <c r="U94" i="21"/>
  <c r="V94" i="21"/>
  <c r="D95" i="21"/>
  <c r="E95" i="21"/>
  <c r="F95" i="21"/>
  <c r="G95" i="21"/>
  <c r="H95" i="21"/>
  <c r="I95" i="21"/>
  <c r="J95" i="21"/>
  <c r="K95" i="21"/>
  <c r="L95" i="21"/>
  <c r="M95" i="21"/>
  <c r="N95" i="21"/>
  <c r="O95" i="21"/>
  <c r="P95" i="21"/>
  <c r="Q95" i="21"/>
  <c r="R95" i="21"/>
  <c r="S95" i="21"/>
  <c r="T95" i="21"/>
  <c r="U95" i="21"/>
  <c r="V95" i="21"/>
  <c r="D96" i="21"/>
  <c r="E96" i="21"/>
  <c r="F96" i="21"/>
  <c r="G96" i="21"/>
  <c r="H96" i="21"/>
  <c r="I96" i="21"/>
  <c r="J96" i="21"/>
  <c r="K96" i="21"/>
  <c r="L96" i="21"/>
  <c r="M96" i="21"/>
  <c r="N96" i="21"/>
  <c r="O96" i="21"/>
  <c r="P96" i="21"/>
  <c r="Q96" i="21"/>
  <c r="R96" i="21"/>
  <c r="S96" i="21"/>
  <c r="T96" i="21"/>
  <c r="U96" i="21"/>
  <c r="V96" i="21"/>
  <c r="D97" i="21"/>
  <c r="E97" i="21"/>
  <c r="F97" i="21"/>
  <c r="G97" i="21"/>
  <c r="H97" i="21"/>
  <c r="I97" i="21"/>
  <c r="J97" i="21"/>
  <c r="K97" i="21"/>
  <c r="L97" i="21"/>
  <c r="M97" i="21"/>
  <c r="N97" i="21"/>
  <c r="O97" i="21"/>
  <c r="P97" i="21"/>
  <c r="Q97" i="21"/>
  <c r="R97" i="21"/>
  <c r="S97" i="21"/>
  <c r="T97" i="21"/>
  <c r="U97" i="21"/>
  <c r="V97" i="21"/>
  <c r="D98" i="21"/>
  <c r="E98" i="21"/>
  <c r="F98" i="21"/>
  <c r="G98" i="21"/>
  <c r="H98" i="21"/>
  <c r="I98" i="21"/>
  <c r="J98" i="21"/>
  <c r="K98" i="21"/>
  <c r="L98" i="21"/>
  <c r="M98" i="21"/>
  <c r="N98" i="21"/>
  <c r="O98" i="21"/>
  <c r="P98" i="21"/>
  <c r="Q98" i="21"/>
  <c r="R98" i="21"/>
  <c r="S98" i="21"/>
  <c r="T98" i="21"/>
  <c r="U98" i="21"/>
  <c r="V98" i="21"/>
  <c r="D99" i="21"/>
  <c r="E99" i="21"/>
  <c r="F99" i="21"/>
  <c r="G99" i="21"/>
  <c r="H99" i="21"/>
  <c r="I99" i="21"/>
  <c r="J99" i="21"/>
  <c r="K99" i="21"/>
  <c r="L99" i="21"/>
  <c r="M99" i="21"/>
  <c r="N99" i="21"/>
  <c r="O99" i="21"/>
  <c r="P99" i="21"/>
  <c r="Q99" i="21"/>
  <c r="R99" i="21"/>
  <c r="S99" i="21"/>
  <c r="T99" i="21"/>
  <c r="U99" i="21"/>
  <c r="V99" i="21"/>
  <c r="D100" i="21"/>
  <c r="E100" i="21"/>
  <c r="F100" i="21"/>
  <c r="G100" i="21"/>
  <c r="H100" i="21"/>
  <c r="I100" i="21"/>
  <c r="J100" i="21"/>
  <c r="K100" i="21"/>
  <c r="L100" i="21"/>
  <c r="M100" i="21"/>
  <c r="N100" i="21"/>
  <c r="O100" i="21"/>
  <c r="P100" i="21"/>
  <c r="Q100" i="21"/>
  <c r="R100" i="21"/>
  <c r="S100" i="21"/>
  <c r="T100" i="21"/>
  <c r="U100" i="21"/>
  <c r="V100" i="21"/>
  <c r="D101" i="21"/>
  <c r="E101" i="21"/>
  <c r="F101" i="21"/>
  <c r="G101" i="21"/>
  <c r="H101" i="21"/>
  <c r="I101" i="21"/>
  <c r="J101" i="21"/>
  <c r="K101" i="21"/>
  <c r="L101" i="21"/>
  <c r="M101" i="21"/>
  <c r="N101" i="21"/>
  <c r="O101" i="21"/>
  <c r="P101" i="21"/>
  <c r="Q101" i="21"/>
  <c r="R101" i="21"/>
  <c r="S101" i="21"/>
  <c r="T101" i="21"/>
  <c r="U101" i="21"/>
  <c r="V101" i="21"/>
  <c r="D102" i="21"/>
  <c r="E102" i="21"/>
  <c r="F102" i="21"/>
  <c r="G102" i="21"/>
  <c r="H102" i="21"/>
  <c r="I102" i="21"/>
  <c r="J102" i="21"/>
  <c r="K102" i="21"/>
  <c r="L102" i="21"/>
  <c r="M102" i="21"/>
  <c r="N102" i="21"/>
  <c r="O102" i="21"/>
  <c r="P102" i="21"/>
  <c r="Q102" i="21"/>
  <c r="R102" i="21"/>
  <c r="S102" i="21"/>
  <c r="T102" i="21"/>
  <c r="U102" i="21"/>
  <c r="V102" i="21"/>
  <c r="D103" i="21"/>
  <c r="E103" i="21"/>
  <c r="F103" i="21"/>
  <c r="G103" i="21"/>
  <c r="H103" i="21"/>
  <c r="I103" i="21"/>
  <c r="J103" i="21"/>
  <c r="K103" i="21"/>
  <c r="L103" i="21"/>
  <c r="M103" i="21"/>
  <c r="N103" i="21"/>
  <c r="O103" i="21"/>
  <c r="P103" i="21"/>
  <c r="Q103" i="21"/>
  <c r="R103" i="21"/>
  <c r="S103" i="21"/>
  <c r="T103" i="21"/>
  <c r="U103" i="21"/>
  <c r="V103" i="21"/>
  <c r="D104" i="21"/>
  <c r="E104" i="21"/>
  <c r="F104" i="21"/>
  <c r="G104" i="21"/>
  <c r="H104" i="21"/>
  <c r="I104" i="21"/>
  <c r="J104" i="21"/>
  <c r="K104" i="21"/>
  <c r="L104" i="21"/>
  <c r="M104" i="21"/>
  <c r="N104" i="21"/>
  <c r="O104" i="21"/>
  <c r="P104" i="21"/>
  <c r="Q104" i="21"/>
  <c r="R104" i="21"/>
  <c r="S104" i="21"/>
  <c r="T104" i="21"/>
  <c r="U104" i="21"/>
  <c r="V104" i="21"/>
  <c r="D105" i="21"/>
  <c r="E105" i="21"/>
  <c r="F105" i="21"/>
  <c r="G105" i="21"/>
  <c r="H105" i="21"/>
  <c r="I105" i="21"/>
  <c r="J105" i="21"/>
  <c r="K105" i="21"/>
  <c r="L105" i="21"/>
  <c r="M105" i="21"/>
  <c r="N105" i="21"/>
  <c r="O105" i="21"/>
  <c r="P105" i="21"/>
  <c r="Q105" i="21"/>
  <c r="R105" i="21"/>
  <c r="S105" i="21"/>
  <c r="T105" i="21"/>
  <c r="U105" i="21"/>
  <c r="V105" i="21"/>
  <c r="D106" i="21"/>
  <c r="E106" i="21"/>
  <c r="F106" i="21"/>
  <c r="G106" i="21"/>
  <c r="H106" i="21"/>
  <c r="I106" i="21"/>
  <c r="J106" i="21"/>
  <c r="K106" i="21"/>
  <c r="L106" i="21"/>
  <c r="M106" i="21"/>
  <c r="N106" i="21"/>
  <c r="O106" i="21"/>
  <c r="P106" i="21"/>
  <c r="Q106" i="21"/>
  <c r="R106" i="21"/>
  <c r="S106" i="21"/>
  <c r="T106" i="21"/>
  <c r="U106" i="21"/>
  <c r="V106" i="21"/>
  <c r="D107" i="21"/>
  <c r="E107" i="21"/>
  <c r="F107" i="21"/>
  <c r="G107" i="21"/>
  <c r="H107" i="21"/>
  <c r="I107" i="21"/>
  <c r="J107" i="21"/>
  <c r="K107" i="21"/>
  <c r="L107" i="21"/>
  <c r="M107" i="21"/>
  <c r="N107" i="21"/>
  <c r="O107" i="21"/>
  <c r="P107" i="21"/>
  <c r="Q107" i="21"/>
  <c r="R107" i="21"/>
  <c r="S107" i="21"/>
  <c r="T107" i="21"/>
  <c r="U107" i="21"/>
  <c r="V107" i="21"/>
  <c r="D108" i="21"/>
  <c r="E108" i="21"/>
  <c r="F108" i="21"/>
  <c r="G108" i="21"/>
  <c r="H108" i="21"/>
  <c r="I108" i="21"/>
  <c r="J108" i="21"/>
  <c r="K108" i="21"/>
  <c r="L108" i="21"/>
  <c r="M108" i="21"/>
  <c r="N108" i="21"/>
  <c r="O108" i="21"/>
  <c r="P108" i="21"/>
  <c r="Q108" i="21"/>
  <c r="R108" i="21"/>
  <c r="S108" i="21"/>
  <c r="T108" i="21"/>
  <c r="U108" i="21"/>
  <c r="V108" i="21"/>
  <c r="D109" i="21"/>
  <c r="E109" i="21"/>
  <c r="F109" i="21"/>
  <c r="G109" i="21"/>
  <c r="H109" i="21"/>
  <c r="I109" i="21"/>
  <c r="J109" i="21"/>
  <c r="K109" i="21"/>
  <c r="L109" i="21"/>
  <c r="M109" i="21"/>
  <c r="N109" i="21"/>
  <c r="O109" i="21"/>
  <c r="P109" i="21"/>
  <c r="Q109" i="21"/>
  <c r="R109" i="21"/>
  <c r="S109" i="21"/>
  <c r="T109" i="21"/>
  <c r="U109" i="21"/>
  <c r="V109" i="21"/>
  <c r="D110" i="21"/>
  <c r="E110" i="21"/>
  <c r="F110" i="21"/>
  <c r="G110" i="21"/>
  <c r="H110" i="21"/>
  <c r="I110" i="21"/>
  <c r="J110" i="21"/>
  <c r="K110" i="21"/>
  <c r="L110" i="21"/>
  <c r="M110" i="21"/>
  <c r="N110" i="21"/>
  <c r="O110" i="21"/>
  <c r="P110" i="21"/>
  <c r="Q110" i="21"/>
  <c r="R110" i="21"/>
  <c r="S110" i="21"/>
  <c r="T110" i="21"/>
  <c r="U110" i="21"/>
  <c r="V110" i="21"/>
  <c r="D111" i="21"/>
  <c r="E111" i="21"/>
  <c r="F111" i="21"/>
  <c r="G111" i="21"/>
  <c r="H111" i="21"/>
  <c r="I111" i="21"/>
  <c r="J111" i="21"/>
  <c r="K111" i="21"/>
  <c r="L111" i="21"/>
  <c r="M111" i="21"/>
  <c r="N111" i="21"/>
  <c r="O111" i="21"/>
  <c r="P111" i="21"/>
  <c r="Q111" i="21"/>
  <c r="R111" i="21"/>
  <c r="S111" i="21"/>
  <c r="T111" i="21"/>
  <c r="U111" i="21"/>
  <c r="V111" i="21"/>
  <c r="D112" i="21"/>
  <c r="E112" i="21"/>
  <c r="F112" i="21"/>
  <c r="G112" i="21"/>
  <c r="H112" i="21"/>
  <c r="I112" i="21"/>
  <c r="J112" i="21"/>
  <c r="K112" i="21"/>
  <c r="L112" i="21"/>
  <c r="M112" i="21"/>
  <c r="N112" i="21"/>
  <c r="O112" i="21"/>
  <c r="P112" i="21"/>
  <c r="Q112" i="21"/>
  <c r="R112" i="21"/>
  <c r="S112" i="21"/>
  <c r="T112" i="21"/>
  <c r="U112" i="21"/>
  <c r="V112" i="21"/>
  <c r="D113" i="21"/>
  <c r="E113" i="21"/>
  <c r="F113" i="21"/>
  <c r="G113" i="21"/>
  <c r="H113" i="21"/>
  <c r="I113" i="21"/>
  <c r="J113" i="21"/>
  <c r="K113" i="21"/>
  <c r="L113" i="21"/>
  <c r="M113" i="21"/>
  <c r="N113" i="21"/>
  <c r="O113" i="21"/>
  <c r="P113" i="21"/>
  <c r="Q113" i="21"/>
  <c r="R113" i="21"/>
  <c r="S113" i="21"/>
  <c r="T113" i="21"/>
  <c r="U113" i="21"/>
  <c r="V113" i="21"/>
  <c r="D114" i="21"/>
  <c r="E114" i="21"/>
  <c r="F114" i="21"/>
  <c r="G114" i="21"/>
  <c r="H114" i="21"/>
  <c r="I114" i="21"/>
  <c r="J114" i="21"/>
  <c r="K114" i="21"/>
  <c r="L114" i="21"/>
  <c r="M114" i="21"/>
  <c r="N114" i="21"/>
  <c r="O114" i="21"/>
  <c r="P114" i="21"/>
  <c r="Q114" i="21"/>
  <c r="R114" i="21"/>
  <c r="S114" i="21"/>
  <c r="T114" i="21"/>
  <c r="U114" i="21"/>
  <c r="V114" i="21"/>
  <c r="X80" i="21"/>
  <c r="Q80" i="21"/>
  <c r="J80" i="21"/>
  <c r="E80" i="21"/>
  <c r="F80" i="21"/>
  <c r="G80" i="21"/>
  <c r="H80" i="21"/>
  <c r="I80" i="21"/>
  <c r="K80" i="21"/>
  <c r="L80" i="21"/>
  <c r="M80" i="21"/>
  <c r="N80" i="21"/>
  <c r="O80" i="21"/>
  <c r="P80" i="21"/>
  <c r="R80" i="21"/>
  <c r="S80" i="21"/>
  <c r="T80" i="21"/>
  <c r="U80" i="21"/>
  <c r="V80" i="21"/>
  <c r="W80" i="21"/>
  <c r="D80" i="21"/>
  <c r="D83" i="22" l="1"/>
  <c r="E83" i="22"/>
  <c r="F83" i="22"/>
  <c r="G83" i="22"/>
  <c r="H83" i="22"/>
  <c r="I83" i="22"/>
  <c r="J83" i="22"/>
  <c r="K83" i="22"/>
  <c r="L83" i="22"/>
  <c r="M83" i="22"/>
  <c r="N83" i="22"/>
  <c r="O83" i="22"/>
  <c r="P83" i="22"/>
  <c r="Q83" i="22"/>
  <c r="R83" i="22"/>
  <c r="S83" i="22"/>
  <c r="T83" i="22"/>
  <c r="U83" i="22"/>
  <c r="V83" i="22"/>
  <c r="W83" i="22"/>
  <c r="X83" i="22"/>
  <c r="D84" i="22"/>
  <c r="E84" i="22"/>
  <c r="F84" i="22"/>
  <c r="G84" i="22"/>
  <c r="H84" i="22"/>
  <c r="I84" i="22"/>
  <c r="J84" i="22"/>
  <c r="K84" i="22"/>
  <c r="L84" i="22"/>
  <c r="M84" i="22"/>
  <c r="N84" i="22"/>
  <c r="O84" i="22"/>
  <c r="P84" i="22"/>
  <c r="Q84" i="22"/>
  <c r="R84" i="22"/>
  <c r="S84" i="22"/>
  <c r="T84" i="22"/>
  <c r="U84" i="22"/>
  <c r="V84" i="22"/>
  <c r="W84" i="22"/>
  <c r="X84" i="22"/>
  <c r="D85" i="22"/>
  <c r="E85" i="22"/>
  <c r="F85" i="22"/>
  <c r="G85" i="22"/>
  <c r="H85" i="22"/>
  <c r="I85" i="22"/>
  <c r="J85" i="22"/>
  <c r="K85" i="22"/>
  <c r="L85" i="22"/>
  <c r="M85" i="22"/>
  <c r="N85" i="22"/>
  <c r="O85" i="22"/>
  <c r="P85" i="22"/>
  <c r="Q85" i="22"/>
  <c r="R85" i="22"/>
  <c r="S85" i="22"/>
  <c r="T85" i="22"/>
  <c r="U85" i="22"/>
  <c r="V85" i="22"/>
  <c r="W85" i="22"/>
  <c r="X85" i="22"/>
  <c r="D86" i="22"/>
  <c r="E86" i="22"/>
  <c r="F86" i="22"/>
  <c r="G86" i="22"/>
  <c r="H86" i="22"/>
  <c r="I86" i="22"/>
  <c r="J86" i="22"/>
  <c r="K86" i="22"/>
  <c r="L86" i="22"/>
  <c r="M86" i="22"/>
  <c r="N86" i="22"/>
  <c r="O86" i="22"/>
  <c r="P86" i="22"/>
  <c r="Q86" i="22"/>
  <c r="R86" i="22"/>
  <c r="S86" i="22"/>
  <c r="T86" i="22"/>
  <c r="U86" i="22"/>
  <c r="V86" i="22"/>
  <c r="W86" i="22"/>
  <c r="X86" i="22"/>
  <c r="D87" i="22"/>
  <c r="E87" i="22"/>
  <c r="F87" i="22"/>
  <c r="G87" i="22"/>
  <c r="H87" i="22"/>
  <c r="I87" i="22"/>
  <c r="J87" i="22"/>
  <c r="K87" i="22"/>
  <c r="L87" i="22"/>
  <c r="M87" i="22"/>
  <c r="N87" i="22"/>
  <c r="O87" i="22"/>
  <c r="P87" i="22"/>
  <c r="Q87" i="22"/>
  <c r="R87" i="22"/>
  <c r="S87" i="22"/>
  <c r="T87" i="22"/>
  <c r="U87" i="22"/>
  <c r="V87" i="22"/>
  <c r="W87" i="22"/>
  <c r="X87" i="22"/>
  <c r="D88" i="22"/>
  <c r="E88" i="22"/>
  <c r="F88" i="22"/>
  <c r="G88" i="22"/>
  <c r="H88" i="22"/>
  <c r="I88" i="22"/>
  <c r="J88" i="22"/>
  <c r="K88" i="22"/>
  <c r="L88" i="22"/>
  <c r="M88" i="22"/>
  <c r="N88" i="22"/>
  <c r="O88" i="22"/>
  <c r="P88" i="22"/>
  <c r="Q88" i="22"/>
  <c r="R88" i="22"/>
  <c r="S88" i="22"/>
  <c r="T88" i="22"/>
  <c r="U88" i="22"/>
  <c r="V88" i="22"/>
  <c r="W88" i="22"/>
  <c r="X88" i="22"/>
  <c r="D89" i="22"/>
  <c r="E89" i="22"/>
  <c r="F89" i="22"/>
  <c r="G89" i="22"/>
  <c r="H89" i="22"/>
  <c r="I89" i="22"/>
  <c r="J89" i="22"/>
  <c r="K89" i="22"/>
  <c r="L89" i="22"/>
  <c r="M89" i="22"/>
  <c r="N89" i="22"/>
  <c r="O89" i="22"/>
  <c r="P89" i="22"/>
  <c r="Q89" i="22"/>
  <c r="R89" i="22"/>
  <c r="S89" i="22"/>
  <c r="T89" i="22"/>
  <c r="U89" i="22"/>
  <c r="V89" i="22"/>
  <c r="W89" i="22"/>
  <c r="X89" i="22"/>
  <c r="D90" i="22"/>
  <c r="E90" i="22"/>
  <c r="F90" i="22"/>
  <c r="G90" i="22"/>
  <c r="H90" i="22"/>
  <c r="I90" i="22"/>
  <c r="J90" i="22"/>
  <c r="K90" i="22"/>
  <c r="L90" i="22"/>
  <c r="M90" i="22"/>
  <c r="N90" i="22"/>
  <c r="O90" i="22"/>
  <c r="P90" i="22"/>
  <c r="Q90" i="22"/>
  <c r="R90" i="22"/>
  <c r="S90" i="22"/>
  <c r="T90" i="22"/>
  <c r="U90" i="22"/>
  <c r="V90" i="22"/>
  <c r="W90" i="22"/>
  <c r="X90" i="22"/>
  <c r="D91" i="22"/>
  <c r="E91" i="22"/>
  <c r="F91" i="22"/>
  <c r="G91" i="22"/>
  <c r="H91" i="22"/>
  <c r="I91" i="22"/>
  <c r="J91" i="22"/>
  <c r="K91" i="22"/>
  <c r="L91" i="22"/>
  <c r="M91" i="22"/>
  <c r="N91" i="22"/>
  <c r="O91" i="22"/>
  <c r="P91" i="22"/>
  <c r="Q91" i="22"/>
  <c r="R91" i="22"/>
  <c r="S91" i="22"/>
  <c r="T91" i="22"/>
  <c r="U91" i="22"/>
  <c r="V91" i="22"/>
  <c r="W91" i="22"/>
  <c r="X91" i="22"/>
  <c r="D92" i="22"/>
  <c r="E92" i="22"/>
  <c r="F92" i="22"/>
  <c r="G92" i="22"/>
  <c r="H92" i="22"/>
  <c r="I92" i="22"/>
  <c r="J92" i="22"/>
  <c r="K92" i="22"/>
  <c r="L92" i="22"/>
  <c r="M92" i="22"/>
  <c r="N92" i="22"/>
  <c r="O92" i="22"/>
  <c r="P92" i="22"/>
  <c r="Q92" i="22"/>
  <c r="R92" i="22"/>
  <c r="S92" i="22"/>
  <c r="T92" i="22"/>
  <c r="U92" i="22"/>
  <c r="V92" i="22"/>
  <c r="W92" i="22"/>
  <c r="X92" i="22"/>
  <c r="D93" i="22"/>
  <c r="E93" i="22"/>
  <c r="F93" i="22"/>
  <c r="G93" i="22"/>
  <c r="H93" i="22"/>
  <c r="I93" i="22"/>
  <c r="J93" i="22"/>
  <c r="K93" i="22"/>
  <c r="L93" i="22"/>
  <c r="M93" i="22"/>
  <c r="N93" i="22"/>
  <c r="O93" i="22"/>
  <c r="P93" i="22"/>
  <c r="Q93" i="22"/>
  <c r="R93" i="22"/>
  <c r="S93" i="22"/>
  <c r="T93" i="22"/>
  <c r="U93" i="22"/>
  <c r="V93" i="22"/>
  <c r="W93" i="22"/>
  <c r="X93" i="22"/>
  <c r="D94" i="22"/>
  <c r="E94" i="22"/>
  <c r="F94" i="22"/>
  <c r="G94" i="22"/>
  <c r="H94" i="22"/>
  <c r="I94" i="22"/>
  <c r="J94" i="22"/>
  <c r="K94" i="22"/>
  <c r="L94" i="22"/>
  <c r="M94" i="22"/>
  <c r="N94" i="22"/>
  <c r="O94" i="22"/>
  <c r="P94" i="22"/>
  <c r="Q94" i="22"/>
  <c r="R94" i="22"/>
  <c r="S94" i="22"/>
  <c r="T94" i="22"/>
  <c r="U94" i="22"/>
  <c r="V94" i="22"/>
  <c r="W94" i="22"/>
  <c r="X94" i="22"/>
  <c r="D95" i="22"/>
  <c r="E95" i="22"/>
  <c r="F95" i="22"/>
  <c r="G95" i="22"/>
  <c r="H95" i="22"/>
  <c r="I95" i="22"/>
  <c r="J95" i="22"/>
  <c r="K95" i="22"/>
  <c r="L95" i="22"/>
  <c r="M95" i="22"/>
  <c r="N95" i="22"/>
  <c r="O95" i="22"/>
  <c r="P95" i="22"/>
  <c r="Q95" i="22"/>
  <c r="R95" i="22"/>
  <c r="S95" i="22"/>
  <c r="T95" i="22"/>
  <c r="U95" i="22"/>
  <c r="V95" i="22"/>
  <c r="W95" i="22"/>
  <c r="X95" i="22"/>
  <c r="D96" i="22"/>
  <c r="E96" i="22"/>
  <c r="F96" i="22"/>
  <c r="G96" i="22"/>
  <c r="H96" i="22"/>
  <c r="I96" i="22"/>
  <c r="J96" i="22"/>
  <c r="K96" i="22"/>
  <c r="L96" i="22"/>
  <c r="M96" i="22"/>
  <c r="N96" i="22"/>
  <c r="O96" i="22"/>
  <c r="P96" i="22"/>
  <c r="Q96" i="22"/>
  <c r="R96" i="22"/>
  <c r="S96" i="22"/>
  <c r="T96" i="22"/>
  <c r="U96" i="22"/>
  <c r="V96" i="22"/>
  <c r="W96" i="22"/>
  <c r="X96" i="22"/>
  <c r="D97" i="22"/>
  <c r="E97" i="22"/>
  <c r="F97" i="22"/>
  <c r="G97" i="22"/>
  <c r="H97" i="22"/>
  <c r="I97" i="22"/>
  <c r="J97" i="22"/>
  <c r="K97" i="22"/>
  <c r="L97" i="22"/>
  <c r="M97" i="22"/>
  <c r="N97" i="22"/>
  <c r="O97" i="22"/>
  <c r="P97" i="22"/>
  <c r="Q97" i="22"/>
  <c r="R97" i="22"/>
  <c r="S97" i="22"/>
  <c r="T97" i="22"/>
  <c r="U97" i="22"/>
  <c r="V97" i="22"/>
  <c r="W97" i="22"/>
  <c r="X97" i="22"/>
  <c r="D98" i="22"/>
  <c r="E98" i="22"/>
  <c r="F98" i="22"/>
  <c r="G98" i="22"/>
  <c r="H98" i="22"/>
  <c r="I98" i="22"/>
  <c r="J98" i="22"/>
  <c r="K98" i="22"/>
  <c r="L98" i="22"/>
  <c r="M98" i="22"/>
  <c r="N98" i="22"/>
  <c r="O98" i="22"/>
  <c r="P98" i="22"/>
  <c r="Q98" i="22"/>
  <c r="R98" i="22"/>
  <c r="S98" i="22"/>
  <c r="T98" i="22"/>
  <c r="U98" i="22"/>
  <c r="V98" i="22"/>
  <c r="W98" i="22"/>
  <c r="X98" i="22"/>
  <c r="D99" i="22"/>
  <c r="E99" i="22"/>
  <c r="F99" i="22"/>
  <c r="G99" i="22"/>
  <c r="H99" i="22"/>
  <c r="I99" i="22"/>
  <c r="J99" i="22"/>
  <c r="K99" i="22"/>
  <c r="L99" i="22"/>
  <c r="M99" i="22"/>
  <c r="N99" i="22"/>
  <c r="O99" i="22"/>
  <c r="P99" i="22"/>
  <c r="Q99" i="22"/>
  <c r="R99" i="22"/>
  <c r="S99" i="22"/>
  <c r="T99" i="22"/>
  <c r="U99" i="22"/>
  <c r="V99" i="22"/>
  <c r="W99" i="22"/>
  <c r="X99" i="22"/>
  <c r="D100" i="22"/>
  <c r="E100" i="22"/>
  <c r="F100" i="22"/>
  <c r="G100" i="22"/>
  <c r="H100" i="22"/>
  <c r="I100" i="22"/>
  <c r="J100" i="22"/>
  <c r="K100" i="22"/>
  <c r="L100" i="22"/>
  <c r="M100" i="22"/>
  <c r="N100" i="22"/>
  <c r="O100" i="22"/>
  <c r="P100" i="22"/>
  <c r="Q100" i="22"/>
  <c r="R100" i="22"/>
  <c r="S100" i="22"/>
  <c r="T100" i="22"/>
  <c r="U100" i="22"/>
  <c r="V100" i="22"/>
  <c r="W100" i="22"/>
  <c r="X100" i="22"/>
  <c r="D101" i="22"/>
  <c r="E101" i="22"/>
  <c r="F101" i="22"/>
  <c r="G101" i="22"/>
  <c r="H101" i="22"/>
  <c r="I101" i="22"/>
  <c r="J101" i="22"/>
  <c r="K101" i="22"/>
  <c r="L101" i="22"/>
  <c r="M101" i="22"/>
  <c r="N101" i="22"/>
  <c r="O101" i="22"/>
  <c r="P101" i="22"/>
  <c r="Q101" i="22"/>
  <c r="R101" i="22"/>
  <c r="S101" i="22"/>
  <c r="T101" i="22"/>
  <c r="U101" i="22"/>
  <c r="V101" i="22"/>
  <c r="W101" i="22"/>
  <c r="X101" i="22"/>
  <c r="D102" i="22"/>
  <c r="E102" i="22"/>
  <c r="F102" i="22"/>
  <c r="G102" i="22"/>
  <c r="H102" i="22"/>
  <c r="I102" i="22"/>
  <c r="J102" i="22"/>
  <c r="K102" i="22"/>
  <c r="L102" i="22"/>
  <c r="M102" i="22"/>
  <c r="N102" i="22"/>
  <c r="O102" i="22"/>
  <c r="P102" i="22"/>
  <c r="Q102" i="22"/>
  <c r="R102" i="22"/>
  <c r="S102" i="22"/>
  <c r="T102" i="22"/>
  <c r="U102" i="22"/>
  <c r="V102" i="22"/>
  <c r="W102" i="22"/>
  <c r="X102" i="22"/>
  <c r="D103" i="22"/>
  <c r="E103" i="22"/>
  <c r="F103" i="22"/>
  <c r="G103" i="22"/>
  <c r="H103" i="22"/>
  <c r="I103" i="22"/>
  <c r="J103" i="22"/>
  <c r="K103" i="22"/>
  <c r="L103" i="22"/>
  <c r="M103" i="22"/>
  <c r="N103" i="22"/>
  <c r="O103" i="22"/>
  <c r="P103" i="22"/>
  <c r="Q103" i="22"/>
  <c r="R103" i="22"/>
  <c r="S103" i="22"/>
  <c r="T103" i="22"/>
  <c r="U103" i="22"/>
  <c r="V103" i="22"/>
  <c r="W103" i="22"/>
  <c r="X103" i="22"/>
  <c r="D104" i="22"/>
  <c r="E104" i="22"/>
  <c r="F104" i="22"/>
  <c r="G104" i="22"/>
  <c r="H104" i="22"/>
  <c r="I104" i="22"/>
  <c r="J104" i="22"/>
  <c r="K104" i="22"/>
  <c r="L104" i="22"/>
  <c r="M104" i="22"/>
  <c r="N104" i="22"/>
  <c r="O104" i="22"/>
  <c r="P104" i="22"/>
  <c r="Q104" i="22"/>
  <c r="R104" i="22"/>
  <c r="S104" i="22"/>
  <c r="T104" i="22"/>
  <c r="U104" i="22"/>
  <c r="V104" i="22"/>
  <c r="W104" i="22"/>
  <c r="X104" i="22"/>
  <c r="D105" i="22"/>
  <c r="E105" i="22"/>
  <c r="F105" i="22"/>
  <c r="G105" i="22"/>
  <c r="H105" i="22"/>
  <c r="I105" i="22"/>
  <c r="J105" i="22"/>
  <c r="K105" i="22"/>
  <c r="L105" i="22"/>
  <c r="M105" i="22"/>
  <c r="N105" i="22"/>
  <c r="O105" i="22"/>
  <c r="P105" i="22"/>
  <c r="Q105" i="22"/>
  <c r="R105" i="22"/>
  <c r="S105" i="22"/>
  <c r="T105" i="22"/>
  <c r="U105" i="22"/>
  <c r="V105" i="22"/>
  <c r="W105" i="22"/>
  <c r="X105" i="22"/>
  <c r="D106" i="22"/>
  <c r="E106" i="22"/>
  <c r="F106" i="22"/>
  <c r="G106" i="22"/>
  <c r="H106" i="22"/>
  <c r="I106" i="22"/>
  <c r="J106" i="22"/>
  <c r="K106" i="22"/>
  <c r="L106" i="22"/>
  <c r="M106" i="22"/>
  <c r="N106" i="22"/>
  <c r="O106" i="22"/>
  <c r="P106" i="22"/>
  <c r="Q106" i="22"/>
  <c r="R106" i="22"/>
  <c r="S106" i="22"/>
  <c r="T106" i="22"/>
  <c r="U106" i="22"/>
  <c r="V106" i="22"/>
  <c r="W106" i="22"/>
  <c r="X106" i="22"/>
  <c r="D107" i="22"/>
  <c r="E107" i="22"/>
  <c r="F107" i="22"/>
  <c r="G107" i="22"/>
  <c r="H107" i="22"/>
  <c r="I107" i="22"/>
  <c r="J107" i="22"/>
  <c r="K107" i="22"/>
  <c r="L107" i="22"/>
  <c r="M107" i="22"/>
  <c r="N107" i="22"/>
  <c r="O107" i="22"/>
  <c r="P107" i="22"/>
  <c r="Q107" i="22"/>
  <c r="R107" i="22"/>
  <c r="S107" i="22"/>
  <c r="T107" i="22"/>
  <c r="U107" i="22"/>
  <c r="V107" i="22"/>
  <c r="W107" i="22"/>
  <c r="X107" i="22"/>
  <c r="D108" i="22"/>
  <c r="E108" i="22"/>
  <c r="F108" i="22"/>
  <c r="G108" i="22"/>
  <c r="H108" i="22"/>
  <c r="I108" i="22"/>
  <c r="J108" i="22"/>
  <c r="K108" i="22"/>
  <c r="L108" i="22"/>
  <c r="M108" i="22"/>
  <c r="N108" i="22"/>
  <c r="O108" i="22"/>
  <c r="P108" i="22"/>
  <c r="Q108" i="22"/>
  <c r="R108" i="22"/>
  <c r="S108" i="22"/>
  <c r="T108" i="22"/>
  <c r="U108" i="22"/>
  <c r="V108" i="22"/>
  <c r="W108" i="22"/>
  <c r="X108" i="22"/>
  <c r="D109" i="22"/>
  <c r="E109" i="22"/>
  <c r="F109" i="22"/>
  <c r="G109" i="22"/>
  <c r="H109" i="22"/>
  <c r="I109" i="22"/>
  <c r="J109" i="22"/>
  <c r="K109" i="22"/>
  <c r="L109" i="22"/>
  <c r="M109" i="22"/>
  <c r="N109" i="22"/>
  <c r="O109" i="22"/>
  <c r="P109" i="22"/>
  <c r="Q109" i="22"/>
  <c r="R109" i="22"/>
  <c r="S109" i="22"/>
  <c r="T109" i="22"/>
  <c r="U109" i="22"/>
  <c r="V109" i="22"/>
  <c r="W109" i="22"/>
  <c r="X109" i="22"/>
  <c r="D110" i="22"/>
  <c r="E110" i="22"/>
  <c r="F110" i="22"/>
  <c r="G110" i="22"/>
  <c r="H110" i="22"/>
  <c r="I110" i="22"/>
  <c r="J110" i="22"/>
  <c r="K110" i="22"/>
  <c r="L110" i="22"/>
  <c r="M110" i="22"/>
  <c r="N110" i="22"/>
  <c r="O110" i="22"/>
  <c r="P110" i="22"/>
  <c r="Q110" i="22"/>
  <c r="R110" i="22"/>
  <c r="S110" i="22"/>
  <c r="T110" i="22"/>
  <c r="U110" i="22"/>
  <c r="V110" i="22"/>
  <c r="W110" i="22"/>
  <c r="X110" i="22"/>
  <c r="D111" i="22"/>
  <c r="E111" i="22"/>
  <c r="F111" i="22"/>
  <c r="G111" i="22"/>
  <c r="H111" i="22"/>
  <c r="I111" i="22"/>
  <c r="J111" i="22"/>
  <c r="K111" i="22"/>
  <c r="L111" i="22"/>
  <c r="M111" i="22"/>
  <c r="N111" i="22"/>
  <c r="O111" i="22"/>
  <c r="P111" i="22"/>
  <c r="Q111" i="22"/>
  <c r="R111" i="22"/>
  <c r="S111" i="22"/>
  <c r="T111" i="22"/>
  <c r="U111" i="22"/>
  <c r="V111" i="22"/>
  <c r="W111" i="22"/>
  <c r="X111" i="22"/>
  <c r="D112" i="22"/>
  <c r="E112" i="22"/>
  <c r="F112" i="22"/>
  <c r="G112" i="22"/>
  <c r="H112" i="22"/>
  <c r="I112" i="22"/>
  <c r="J112" i="22"/>
  <c r="K112" i="22"/>
  <c r="L112" i="22"/>
  <c r="M112" i="22"/>
  <c r="N112" i="22"/>
  <c r="O112" i="22"/>
  <c r="P112" i="22"/>
  <c r="Q112" i="22"/>
  <c r="R112" i="22"/>
  <c r="S112" i="22"/>
  <c r="T112" i="22"/>
  <c r="U112" i="22"/>
  <c r="V112" i="22"/>
  <c r="W112" i="22"/>
  <c r="X112" i="22"/>
  <c r="D113" i="22"/>
  <c r="E113" i="22"/>
  <c r="F113" i="22"/>
  <c r="G113" i="22"/>
  <c r="H113" i="22"/>
  <c r="I113" i="22"/>
  <c r="J113" i="22"/>
  <c r="K113" i="22"/>
  <c r="L113" i="22"/>
  <c r="M113" i="22"/>
  <c r="N113" i="22"/>
  <c r="O113" i="22"/>
  <c r="P113" i="22"/>
  <c r="Q113" i="22"/>
  <c r="R113" i="22"/>
  <c r="S113" i="22"/>
  <c r="T113" i="22"/>
  <c r="U113" i="22"/>
  <c r="V113" i="22"/>
  <c r="W113" i="22"/>
  <c r="X113" i="22"/>
  <c r="D114" i="22"/>
  <c r="E114" i="22"/>
  <c r="F114" i="22"/>
  <c r="G114" i="22"/>
  <c r="H114" i="22"/>
  <c r="I114" i="22"/>
  <c r="J114" i="22"/>
  <c r="K114" i="22"/>
  <c r="L114" i="22"/>
  <c r="M114" i="22"/>
  <c r="N114" i="22"/>
  <c r="O114" i="22"/>
  <c r="P114" i="22"/>
  <c r="Q114" i="22"/>
  <c r="R114" i="22"/>
  <c r="S114" i="22"/>
  <c r="T114" i="22"/>
  <c r="U114" i="22"/>
  <c r="V114" i="22"/>
  <c r="W114" i="22"/>
  <c r="X114" i="22"/>
  <c r="D115" i="22"/>
  <c r="E115" i="22"/>
  <c r="F115" i="22"/>
  <c r="G115" i="22"/>
  <c r="H115" i="22"/>
  <c r="I115" i="22"/>
  <c r="J115" i="22"/>
  <c r="K115" i="22"/>
  <c r="L115" i="22"/>
  <c r="M115" i="22"/>
  <c r="N115" i="22"/>
  <c r="O115" i="22"/>
  <c r="P115" i="22"/>
  <c r="Q115" i="22"/>
  <c r="R115" i="22"/>
  <c r="S115" i="22"/>
  <c r="T115" i="22"/>
  <c r="U115" i="22"/>
  <c r="V115" i="22"/>
  <c r="W115" i="22"/>
  <c r="X115" i="22"/>
  <c r="D116" i="22"/>
  <c r="E116" i="22"/>
  <c r="F116" i="22"/>
  <c r="G116" i="22"/>
  <c r="H116" i="22"/>
  <c r="I116" i="22"/>
  <c r="J116" i="22"/>
  <c r="K116" i="22"/>
  <c r="L116" i="22"/>
  <c r="M116" i="22"/>
  <c r="N116" i="22"/>
  <c r="O116" i="22"/>
  <c r="P116" i="22"/>
  <c r="Q116" i="22"/>
  <c r="R116" i="22"/>
  <c r="S116" i="22"/>
  <c r="T116" i="22"/>
  <c r="U116" i="22"/>
  <c r="V116" i="22"/>
  <c r="W116" i="22"/>
  <c r="X116" i="22"/>
  <c r="X82" i="22"/>
  <c r="Q82" i="22"/>
  <c r="J82" i="22"/>
  <c r="E82" i="22"/>
  <c r="F82" i="22"/>
  <c r="G82" i="22"/>
  <c r="H82" i="22"/>
  <c r="I82" i="22"/>
  <c r="K82" i="22"/>
  <c r="L82" i="22"/>
  <c r="M82" i="22"/>
  <c r="N82" i="22"/>
  <c r="O82" i="22"/>
  <c r="P82" i="22"/>
  <c r="R82" i="22"/>
  <c r="S82" i="22"/>
  <c r="T82" i="22"/>
  <c r="U82" i="22"/>
  <c r="V82" i="22"/>
  <c r="W82" i="22"/>
  <c r="D82" i="22"/>
  <c r="C6" i="23" l="1"/>
  <c r="D6" i="23"/>
  <c r="E6" i="23"/>
  <c r="F6" i="23"/>
  <c r="G6" i="23"/>
  <c r="H6" i="23"/>
  <c r="I6" i="23"/>
  <c r="J6" i="23"/>
  <c r="K6" i="23"/>
  <c r="L6" i="23"/>
  <c r="M6" i="23"/>
  <c r="N6" i="23"/>
  <c r="O6" i="23"/>
  <c r="P6" i="23"/>
  <c r="Q6" i="23"/>
  <c r="R6" i="23"/>
  <c r="S6" i="23"/>
  <c r="T6" i="23"/>
  <c r="U6" i="23"/>
  <c r="V6" i="23"/>
  <c r="W6" i="23"/>
  <c r="C7" i="23"/>
  <c r="D7" i="23"/>
  <c r="E7" i="23"/>
  <c r="F7" i="23"/>
  <c r="G7" i="23"/>
  <c r="H7" i="23"/>
  <c r="I7" i="23"/>
  <c r="J7" i="23"/>
  <c r="K7" i="23"/>
  <c r="L7" i="23"/>
  <c r="M7" i="23"/>
  <c r="N7" i="23"/>
  <c r="O7" i="23"/>
  <c r="P7" i="23"/>
  <c r="Q7" i="23"/>
  <c r="R7" i="23"/>
  <c r="S7" i="23"/>
  <c r="T7" i="23"/>
  <c r="U7" i="23"/>
  <c r="V7" i="23"/>
  <c r="W7" i="23"/>
  <c r="C8" i="23"/>
  <c r="D8" i="23"/>
  <c r="E8" i="23"/>
  <c r="F8" i="23"/>
  <c r="G8" i="23"/>
  <c r="H8" i="23"/>
  <c r="I8" i="23"/>
  <c r="J8" i="23"/>
  <c r="K8" i="23"/>
  <c r="L8" i="23"/>
  <c r="M8" i="23"/>
  <c r="N8" i="23"/>
  <c r="O8" i="23"/>
  <c r="P8" i="23"/>
  <c r="Q8" i="23"/>
  <c r="R8" i="23"/>
  <c r="S8" i="23"/>
  <c r="T8" i="23"/>
  <c r="U8" i="23"/>
  <c r="V8" i="23"/>
  <c r="W8" i="23"/>
  <c r="C9" i="23"/>
  <c r="D9" i="23"/>
  <c r="E9" i="23"/>
  <c r="F9" i="23"/>
  <c r="G9" i="23"/>
  <c r="H9" i="23"/>
  <c r="I9" i="23"/>
  <c r="J9" i="23"/>
  <c r="K9" i="23"/>
  <c r="L9" i="23"/>
  <c r="M9" i="23"/>
  <c r="N9" i="23"/>
  <c r="O9" i="23"/>
  <c r="P9" i="23"/>
  <c r="Q9" i="23"/>
  <c r="R9" i="23"/>
  <c r="S9" i="23"/>
  <c r="T9" i="23"/>
  <c r="U9" i="23"/>
  <c r="V9" i="23"/>
  <c r="W9" i="23"/>
  <c r="C10" i="23"/>
  <c r="D10" i="23"/>
  <c r="E10" i="23"/>
  <c r="F10" i="23"/>
  <c r="G10" i="23"/>
  <c r="H10" i="23"/>
  <c r="I10" i="23"/>
  <c r="J10" i="23"/>
  <c r="K10" i="23"/>
  <c r="L10" i="23"/>
  <c r="M10" i="23"/>
  <c r="N10" i="23"/>
  <c r="O10" i="23"/>
  <c r="P10" i="23"/>
  <c r="Q10" i="23"/>
  <c r="R10" i="23"/>
  <c r="S10" i="23"/>
  <c r="T10" i="23"/>
  <c r="U10" i="23"/>
  <c r="V10" i="23"/>
  <c r="W10" i="23"/>
  <c r="C11" i="23"/>
  <c r="D11" i="23"/>
  <c r="E11" i="23"/>
  <c r="F11" i="23"/>
  <c r="G11" i="23"/>
  <c r="H11" i="23"/>
  <c r="I11" i="23"/>
  <c r="J11" i="23"/>
  <c r="K11" i="23"/>
  <c r="L11" i="23"/>
  <c r="M11" i="23"/>
  <c r="N11" i="23"/>
  <c r="O11" i="23"/>
  <c r="P11" i="23"/>
  <c r="Q11" i="23"/>
  <c r="R11" i="23"/>
  <c r="S11" i="23"/>
  <c r="T11" i="23"/>
  <c r="U11" i="23"/>
  <c r="V11" i="23"/>
  <c r="W11" i="23"/>
  <c r="C12" i="23"/>
  <c r="D12" i="23"/>
  <c r="E12" i="23"/>
  <c r="F12" i="23"/>
  <c r="G12" i="23"/>
  <c r="H12" i="23"/>
  <c r="I12" i="23"/>
  <c r="J12" i="23"/>
  <c r="K12" i="23"/>
  <c r="L12" i="23"/>
  <c r="M12" i="23"/>
  <c r="N12" i="23"/>
  <c r="O12" i="23"/>
  <c r="P12" i="23"/>
  <c r="Q12" i="23"/>
  <c r="R12" i="23"/>
  <c r="S12" i="23"/>
  <c r="T12" i="23"/>
  <c r="U12" i="23"/>
  <c r="V12" i="23"/>
  <c r="W12" i="23"/>
  <c r="C13" i="23"/>
  <c r="D13" i="23"/>
  <c r="E13" i="23"/>
  <c r="F13" i="23"/>
  <c r="G13" i="23"/>
  <c r="H13" i="23"/>
  <c r="I13" i="23"/>
  <c r="J13" i="23"/>
  <c r="K13" i="23"/>
  <c r="L13" i="23"/>
  <c r="M13" i="23"/>
  <c r="N13" i="23"/>
  <c r="O13" i="23"/>
  <c r="P13" i="23"/>
  <c r="Q13" i="23"/>
  <c r="R13" i="23"/>
  <c r="S13" i="23"/>
  <c r="T13" i="23"/>
  <c r="U13" i="23"/>
  <c r="V13" i="23"/>
  <c r="W13" i="23"/>
  <c r="C14" i="23"/>
  <c r="D14" i="23"/>
  <c r="E14" i="23"/>
  <c r="F14" i="23"/>
  <c r="G14" i="23"/>
  <c r="H14" i="23"/>
  <c r="I14" i="23"/>
  <c r="J14" i="23"/>
  <c r="K14" i="23"/>
  <c r="L14" i="23"/>
  <c r="M14" i="23"/>
  <c r="N14" i="23"/>
  <c r="O14" i="23"/>
  <c r="P14" i="23"/>
  <c r="Q14" i="23"/>
  <c r="R14" i="23"/>
  <c r="S14" i="23"/>
  <c r="T14" i="23"/>
  <c r="U14" i="23"/>
  <c r="V14" i="23"/>
  <c r="W14" i="23"/>
  <c r="E15" i="23"/>
  <c r="F15" i="23"/>
  <c r="G15" i="23"/>
  <c r="H15" i="23"/>
  <c r="I15" i="23"/>
  <c r="L15" i="23"/>
  <c r="M15" i="23"/>
  <c r="N15" i="23"/>
  <c r="O15" i="23"/>
  <c r="P15" i="23"/>
  <c r="Q15" i="23"/>
  <c r="R15" i="23"/>
  <c r="S15" i="23"/>
  <c r="T15" i="23"/>
  <c r="U15" i="23"/>
  <c r="V15" i="23"/>
  <c r="W15" i="23"/>
  <c r="E16" i="23"/>
  <c r="F16" i="23"/>
  <c r="G16" i="23"/>
  <c r="H16" i="23"/>
  <c r="I16" i="23"/>
  <c r="L16" i="23"/>
  <c r="M16" i="23"/>
  <c r="N16" i="23"/>
  <c r="O16" i="23"/>
  <c r="P16" i="23"/>
  <c r="Q16" i="23"/>
  <c r="R16" i="23"/>
  <c r="S16" i="23"/>
  <c r="T16" i="23"/>
  <c r="U16" i="23"/>
  <c r="V16" i="23"/>
  <c r="W16" i="23"/>
  <c r="C17" i="23"/>
  <c r="D17" i="23"/>
  <c r="E17" i="23"/>
  <c r="F17" i="23"/>
  <c r="G17" i="23"/>
  <c r="H17" i="23"/>
  <c r="I17" i="23"/>
  <c r="J17" i="23"/>
  <c r="K17" i="23"/>
  <c r="L17" i="23"/>
  <c r="M17" i="23"/>
  <c r="N17" i="23"/>
  <c r="O17" i="23"/>
  <c r="P17" i="23"/>
  <c r="Q17" i="23"/>
  <c r="R17" i="23"/>
  <c r="S17" i="23"/>
  <c r="T17" i="23"/>
  <c r="U17" i="23"/>
  <c r="V17" i="23"/>
  <c r="W17" i="23"/>
  <c r="C18" i="23"/>
  <c r="D18" i="23"/>
  <c r="E18" i="23"/>
  <c r="F18" i="23"/>
  <c r="G18" i="23"/>
  <c r="H18" i="23"/>
  <c r="I18" i="23"/>
  <c r="J18" i="23"/>
  <c r="K18" i="23"/>
  <c r="L18" i="23"/>
  <c r="M18" i="23"/>
  <c r="N18" i="23"/>
  <c r="O18" i="23"/>
  <c r="P18" i="23"/>
  <c r="Q18" i="23"/>
  <c r="R18" i="23"/>
  <c r="S18" i="23"/>
  <c r="T18" i="23"/>
  <c r="U18" i="23"/>
  <c r="V18" i="23"/>
  <c r="W18" i="23"/>
  <c r="C19" i="23"/>
  <c r="D19" i="23"/>
  <c r="E19" i="23"/>
  <c r="F19" i="23"/>
  <c r="G19" i="23"/>
  <c r="H19" i="23"/>
  <c r="I19" i="23"/>
  <c r="J19" i="23"/>
  <c r="K19" i="23"/>
  <c r="L19" i="23"/>
  <c r="M19" i="23"/>
  <c r="N19" i="23"/>
  <c r="O19" i="23"/>
  <c r="P19" i="23"/>
  <c r="Q19" i="23"/>
  <c r="R19" i="23"/>
  <c r="S19" i="23"/>
  <c r="T19" i="23"/>
  <c r="U19" i="23"/>
  <c r="V19" i="23"/>
  <c r="W19" i="23"/>
  <c r="C20" i="23"/>
  <c r="D20" i="23"/>
  <c r="E20" i="23"/>
  <c r="F20" i="23"/>
  <c r="G20" i="23"/>
  <c r="H20" i="23"/>
  <c r="I20" i="23"/>
  <c r="J20" i="23"/>
  <c r="K20" i="23"/>
  <c r="L20" i="23"/>
  <c r="M20" i="23"/>
  <c r="N20" i="23"/>
  <c r="O20" i="23"/>
  <c r="P20" i="23"/>
  <c r="Q20" i="23"/>
  <c r="R20" i="23"/>
  <c r="S20" i="23"/>
  <c r="T20" i="23"/>
  <c r="U20" i="23"/>
  <c r="V20" i="23"/>
  <c r="W20" i="23"/>
  <c r="C21" i="23"/>
  <c r="D21" i="23"/>
  <c r="E21" i="23"/>
  <c r="F21" i="23"/>
  <c r="G21" i="23"/>
  <c r="H21" i="23"/>
  <c r="I21" i="23"/>
  <c r="J21" i="23"/>
  <c r="K21" i="23"/>
  <c r="L21" i="23"/>
  <c r="M21" i="23"/>
  <c r="N21" i="23"/>
  <c r="O21" i="23"/>
  <c r="P21" i="23"/>
  <c r="Q21" i="23"/>
  <c r="R21" i="23"/>
  <c r="S21" i="23"/>
  <c r="T21" i="23"/>
  <c r="U21" i="23"/>
  <c r="V21" i="23"/>
  <c r="W21" i="23"/>
  <c r="C22" i="23"/>
  <c r="D22" i="23"/>
  <c r="E22" i="23"/>
  <c r="F22" i="23"/>
  <c r="G22" i="23"/>
  <c r="H22" i="23"/>
  <c r="I22" i="23"/>
  <c r="J22" i="23"/>
  <c r="K22" i="23"/>
  <c r="L22" i="23"/>
  <c r="M22" i="23"/>
  <c r="N22" i="23"/>
  <c r="O22" i="23"/>
  <c r="P22" i="23"/>
  <c r="Q22" i="23"/>
  <c r="R22" i="23"/>
  <c r="S22" i="23"/>
  <c r="T22" i="23"/>
  <c r="U22" i="23"/>
  <c r="V22" i="23"/>
  <c r="W22" i="23"/>
  <c r="C23" i="23"/>
  <c r="D23" i="23"/>
  <c r="E23" i="23"/>
  <c r="F23" i="23"/>
  <c r="G23" i="23"/>
  <c r="H23" i="23"/>
  <c r="I23" i="23"/>
  <c r="J23" i="23"/>
  <c r="K23" i="23"/>
  <c r="L23" i="23"/>
  <c r="M23" i="23"/>
  <c r="N23" i="23"/>
  <c r="O23" i="23"/>
  <c r="P23" i="23"/>
  <c r="Q23" i="23"/>
  <c r="R23" i="23"/>
  <c r="S23" i="23"/>
  <c r="T23" i="23"/>
  <c r="U23" i="23"/>
  <c r="V23" i="23"/>
  <c r="W23" i="23"/>
  <c r="C24" i="23"/>
  <c r="D24" i="23"/>
  <c r="E24" i="23"/>
  <c r="F24" i="23"/>
  <c r="G24" i="23"/>
  <c r="H24" i="23"/>
  <c r="I24" i="23"/>
  <c r="J24" i="23"/>
  <c r="K24" i="23"/>
  <c r="L24" i="23"/>
  <c r="M24" i="23"/>
  <c r="N24" i="23"/>
  <c r="O24" i="23"/>
  <c r="P24" i="23"/>
  <c r="Q24" i="23"/>
  <c r="R24" i="23"/>
  <c r="S24" i="23"/>
  <c r="T24" i="23"/>
  <c r="U24" i="23"/>
  <c r="V24" i="23"/>
  <c r="W24" i="23"/>
  <c r="C25" i="23"/>
  <c r="D25" i="23"/>
  <c r="E25" i="23"/>
  <c r="F25" i="23"/>
  <c r="G25" i="23"/>
  <c r="H25" i="23"/>
  <c r="I25" i="23"/>
  <c r="J25" i="23"/>
  <c r="K25" i="23"/>
  <c r="L25" i="23"/>
  <c r="M25" i="23"/>
  <c r="N25" i="23"/>
  <c r="O25" i="23"/>
  <c r="P25" i="23"/>
  <c r="Q25" i="23"/>
  <c r="R25" i="23"/>
  <c r="S25" i="23"/>
  <c r="T25" i="23"/>
  <c r="U25" i="23"/>
  <c r="V25" i="23"/>
  <c r="W25" i="23"/>
  <c r="C26" i="23"/>
  <c r="D26" i="23"/>
  <c r="E26" i="23"/>
  <c r="F26" i="23"/>
  <c r="G26" i="23"/>
  <c r="H26" i="23"/>
  <c r="I26" i="23"/>
  <c r="J26" i="23"/>
  <c r="K26" i="23"/>
  <c r="L26" i="23"/>
  <c r="M26" i="23"/>
  <c r="N26" i="23"/>
  <c r="O26" i="23"/>
  <c r="P26" i="23"/>
  <c r="Q26" i="23"/>
  <c r="R26" i="23"/>
  <c r="S26" i="23"/>
  <c r="T26" i="23"/>
  <c r="U26" i="23"/>
  <c r="V26" i="23"/>
  <c r="W26" i="23"/>
  <c r="C27" i="23"/>
  <c r="D27" i="23"/>
  <c r="E27" i="23"/>
  <c r="F27" i="23"/>
  <c r="G27" i="23"/>
  <c r="H27" i="23"/>
  <c r="I27" i="23"/>
  <c r="J27" i="23"/>
  <c r="K27" i="23"/>
  <c r="L27" i="23"/>
  <c r="M27" i="23"/>
  <c r="N27" i="23"/>
  <c r="O27" i="23"/>
  <c r="P27" i="23"/>
  <c r="Q27" i="23"/>
  <c r="R27" i="23"/>
  <c r="S27" i="23"/>
  <c r="T27" i="23"/>
  <c r="U27" i="23"/>
  <c r="V27" i="23"/>
  <c r="W27" i="23"/>
  <c r="C28" i="23"/>
  <c r="D28" i="23"/>
  <c r="E28" i="23"/>
  <c r="F28" i="23"/>
  <c r="G28" i="23"/>
  <c r="H28" i="23"/>
  <c r="I28" i="23"/>
  <c r="J28" i="23"/>
  <c r="K28" i="23"/>
  <c r="L28" i="23"/>
  <c r="M28" i="23"/>
  <c r="N28" i="23"/>
  <c r="O28" i="23"/>
  <c r="P28" i="23"/>
  <c r="Q28" i="23"/>
  <c r="R28" i="23"/>
  <c r="S28" i="23"/>
  <c r="T28" i="23"/>
  <c r="U28" i="23"/>
  <c r="V28" i="23"/>
  <c r="W28" i="23"/>
  <c r="C29" i="23"/>
  <c r="D29" i="23"/>
  <c r="E29" i="23"/>
  <c r="F29" i="23"/>
  <c r="G29" i="23"/>
  <c r="H29" i="23"/>
  <c r="I29" i="23"/>
  <c r="J29" i="23"/>
  <c r="K29" i="23"/>
  <c r="L29" i="23"/>
  <c r="M29" i="23"/>
  <c r="N29" i="23"/>
  <c r="O29" i="23"/>
  <c r="P29" i="23"/>
  <c r="Q29" i="23"/>
  <c r="R29" i="23"/>
  <c r="S29" i="23"/>
  <c r="T29" i="23"/>
  <c r="U29" i="23"/>
  <c r="V29" i="23"/>
  <c r="W29" i="23"/>
  <c r="C30" i="23"/>
  <c r="D30" i="23"/>
  <c r="E30" i="23"/>
  <c r="F30" i="23"/>
  <c r="G30" i="23"/>
  <c r="H30" i="23"/>
  <c r="I30" i="23"/>
  <c r="J30" i="23"/>
  <c r="K30" i="23"/>
  <c r="L30" i="23"/>
  <c r="M30" i="23"/>
  <c r="N30" i="23"/>
  <c r="O30" i="23"/>
  <c r="P30" i="23"/>
  <c r="Q30" i="23"/>
  <c r="R30" i="23"/>
  <c r="S30" i="23"/>
  <c r="T30" i="23"/>
  <c r="U30" i="23"/>
  <c r="V30" i="23"/>
  <c r="W30" i="23"/>
  <c r="C31" i="23"/>
  <c r="D31" i="23"/>
  <c r="E31" i="23"/>
  <c r="F31" i="23"/>
  <c r="G31" i="23"/>
  <c r="H31" i="23"/>
  <c r="I31" i="23"/>
  <c r="J31" i="23"/>
  <c r="K31" i="23"/>
  <c r="L31" i="23"/>
  <c r="M31" i="23"/>
  <c r="N31" i="23"/>
  <c r="O31" i="23"/>
  <c r="P31" i="23"/>
  <c r="Q31" i="23"/>
  <c r="R31" i="23"/>
  <c r="S31" i="23"/>
  <c r="T31" i="23"/>
  <c r="U31" i="23"/>
  <c r="V31" i="23"/>
  <c r="W31" i="23"/>
  <c r="C32" i="23"/>
  <c r="D32" i="23"/>
  <c r="E32" i="23"/>
  <c r="F32" i="23"/>
  <c r="G32" i="23"/>
  <c r="H32" i="23"/>
  <c r="I32" i="23"/>
  <c r="J32" i="23"/>
  <c r="K32" i="23"/>
  <c r="L32" i="23"/>
  <c r="M32" i="23"/>
  <c r="N32" i="23"/>
  <c r="O32" i="23"/>
  <c r="P32" i="23"/>
  <c r="Q32" i="23"/>
  <c r="R32" i="23"/>
  <c r="S32" i="23"/>
  <c r="T32" i="23"/>
  <c r="U32" i="23"/>
  <c r="V32" i="23"/>
  <c r="W32" i="23"/>
  <c r="C33" i="23"/>
  <c r="D33" i="23"/>
  <c r="E33" i="23"/>
  <c r="F33" i="23"/>
  <c r="G33" i="23"/>
  <c r="H33" i="23"/>
  <c r="I33" i="23"/>
  <c r="J33" i="23"/>
  <c r="K33" i="23"/>
  <c r="L33" i="23"/>
  <c r="M33" i="23"/>
  <c r="N33" i="23"/>
  <c r="O33" i="23"/>
  <c r="P33" i="23"/>
  <c r="Q33" i="23"/>
  <c r="R33" i="23"/>
  <c r="S33" i="23"/>
  <c r="T33" i="23"/>
  <c r="U33" i="23"/>
  <c r="V33" i="23"/>
  <c r="W33" i="23"/>
  <c r="C34" i="23"/>
  <c r="D34" i="23"/>
  <c r="E34" i="23"/>
  <c r="F34" i="23"/>
  <c r="G34" i="23"/>
  <c r="H34" i="23"/>
  <c r="I34" i="23"/>
  <c r="J34" i="23"/>
  <c r="K34" i="23"/>
  <c r="L34" i="23"/>
  <c r="M34" i="23"/>
  <c r="N34" i="23"/>
  <c r="O34" i="23"/>
  <c r="P34" i="23"/>
  <c r="Q34" i="23"/>
  <c r="R34" i="23"/>
  <c r="S34" i="23"/>
  <c r="T34" i="23"/>
  <c r="U34" i="23"/>
  <c r="V34" i="23"/>
  <c r="W34" i="23"/>
  <c r="C35" i="23"/>
  <c r="D35" i="23"/>
  <c r="E35" i="23"/>
  <c r="F35" i="23"/>
  <c r="G35" i="23"/>
  <c r="H35" i="23"/>
  <c r="I35" i="23"/>
  <c r="J35" i="23"/>
  <c r="K35" i="23"/>
  <c r="L35" i="23"/>
  <c r="M35" i="23"/>
  <c r="N35" i="23"/>
  <c r="O35" i="23"/>
  <c r="P35" i="23"/>
  <c r="Q35" i="23"/>
  <c r="R35" i="23"/>
  <c r="S35" i="23"/>
  <c r="T35" i="23"/>
  <c r="U35" i="23"/>
  <c r="V35" i="23"/>
  <c r="W35" i="23"/>
  <c r="C36" i="23"/>
  <c r="D36" i="23"/>
  <c r="E36" i="23"/>
  <c r="F36" i="23"/>
  <c r="G36" i="23"/>
  <c r="H36" i="23"/>
  <c r="I36" i="23"/>
  <c r="J36" i="23"/>
  <c r="K36" i="23"/>
  <c r="L36" i="23"/>
  <c r="M36" i="23"/>
  <c r="N36" i="23"/>
  <c r="O36" i="23"/>
  <c r="P36" i="23"/>
  <c r="Q36" i="23"/>
  <c r="R36" i="23"/>
  <c r="S36" i="23"/>
  <c r="T36" i="23"/>
  <c r="U36" i="23"/>
  <c r="V36" i="23"/>
  <c r="W36" i="23"/>
  <c r="C37" i="23"/>
  <c r="D37" i="23"/>
  <c r="E37" i="23"/>
  <c r="F37" i="23"/>
  <c r="G37" i="23"/>
  <c r="H37" i="23"/>
  <c r="I37" i="23"/>
  <c r="J37" i="23"/>
  <c r="K37" i="23"/>
  <c r="L37" i="23"/>
  <c r="M37" i="23"/>
  <c r="N37" i="23"/>
  <c r="O37" i="23"/>
  <c r="P37" i="23"/>
  <c r="Q37" i="23"/>
  <c r="R37" i="23"/>
  <c r="S37" i="23"/>
  <c r="T37" i="23"/>
  <c r="U37" i="23"/>
  <c r="V37" i="23"/>
  <c r="W37" i="23"/>
  <c r="C38" i="23"/>
  <c r="D38" i="23"/>
  <c r="E38" i="23"/>
  <c r="F38" i="23"/>
  <c r="G38" i="23"/>
  <c r="H38" i="23"/>
  <c r="I38" i="23"/>
  <c r="J38" i="23"/>
  <c r="K38" i="23"/>
  <c r="L38" i="23"/>
  <c r="M38" i="23"/>
  <c r="N38" i="23"/>
  <c r="O38" i="23"/>
  <c r="P38" i="23"/>
  <c r="Q38" i="23"/>
  <c r="R38" i="23"/>
  <c r="S38" i="23"/>
  <c r="T38" i="23"/>
  <c r="U38" i="23"/>
  <c r="V38" i="23"/>
  <c r="W38" i="23"/>
  <c r="C39" i="23"/>
  <c r="D39" i="23"/>
  <c r="E39" i="23"/>
  <c r="F39" i="23"/>
  <c r="G39" i="23"/>
  <c r="H39" i="23"/>
  <c r="I39" i="23"/>
  <c r="J39" i="23"/>
  <c r="K39" i="23"/>
  <c r="L39" i="23"/>
  <c r="M39" i="23"/>
  <c r="N39" i="23"/>
  <c r="O39" i="23"/>
  <c r="P39" i="23"/>
  <c r="Q39" i="23"/>
  <c r="R39" i="23"/>
  <c r="S39" i="23"/>
  <c r="T39" i="23"/>
  <c r="U39" i="23"/>
  <c r="V39" i="23"/>
  <c r="W39" i="23"/>
  <c r="C40" i="23"/>
  <c r="D40" i="23"/>
  <c r="E40" i="23"/>
  <c r="F40" i="23"/>
  <c r="G40" i="23"/>
  <c r="H40" i="23"/>
  <c r="I40" i="23"/>
  <c r="J40" i="23"/>
  <c r="K40" i="23"/>
  <c r="L40" i="23"/>
  <c r="M40" i="23"/>
  <c r="N40" i="23"/>
  <c r="O40" i="23"/>
  <c r="P40" i="23"/>
  <c r="Q40" i="23"/>
  <c r="R40" i="23"/>
  <c r="S40" i="23"/>
  <c r="T40" i="23"/>
  <c r="U40" i="23"/>
  <c r="V40" i="23"/>
  <c r="W40" i="23"/>
  <c r="W40" i="24"/>
  <c r="V40" i="24"/>
  <c r="U40" i="24"/>
  <c r="T40" i="24"/>
  <c r="S40" i="24"/>
  <c r="R40" i="24"/>
  <c r="Q40" i="24"/>
  <c r="P40" i="24"/>
  <c r="O40" i="24"/>
  <c r="N40" i="24"/>
  <c r="M40" i="24"/>
  <c r="L40" i="24"/>
  <c r="K40" i="24"/>
  <c r="J40" i="24"/>
  <c r="I40" i="24"/>
  <c r="H40" i="24"/>
  <c r="G40" i="24"/>
  <c r="F40" i="24"/>
  <c r="E40" i="24"/>
  <c r="D40" i="24"/>
  <c r="C40" i="24"/>
  <c r="W39" i="24"/>
  <c r="V39" i="24"/>
  <c r="U39" i="24"/>
  <c r="T39" i="24"/>
  <c r="S39" i="24"/>
  <c r="R39" i="24"/>
  <c r="Q39" i="24"/>
  <c r="P39" i="24"/>
  <c r="O39" i="24"/>
  <c r="N39" i="24"/>
  <c r="M39" i="24"/>
  <c r="L39" i="24"/>
  <c r="K39" i="24"/>
  <c r="J39" i="24"/>
  <c r="I39" i="24"/>
  <c r="H39" i="24"/>
  <c r="G39" i="24"/>
  <c r="F39" i="24"/>
  <c r="E39" i="24"/>
  <c r="D39" i="24"/>
  <c r="C39" i="24"/>
  <c r="W38" i="24"/>
  <c r="V38" i="24"/>
  <c r="U38" i="24"/>
  <c r="T38" i="24"/>
  <c r="S38" i="24"/>
  <c r="R38" i="24"/>
  <c r="Q38" i="24"/>
  <c r="P38" i="24"/>
  <c r="O38" i="24"/>
  <c r="N38" i="24"/>
  <c r="M38" i="24"/>
  <c r="L38" i="24"/>
  <c r="K38" i="24"/>
  <c r="J38" i="24"/>
  <c r="I38" i="24"/>
  <c r="H38" i="24"/>
  <c r="G38" i="24"/>
  <c r="F38" i="24"/>
  <c r="E38" i="24"/>
  <c r="D38" i="24"/>
  <c r="C38" i="24"/>
  <c r="W37" i="24"/>
  <c r="V37" i="24"/>
  <c r="U37" i="24"/>
  <c r="T37" i="24"/>
  <c r="S37" i="24"/>
  <c r="R37" i="24"/>
  <c r="Q37" i="24"/>
  <c r="P37" i="24"/>
  <c r="O37" i="24"/>
  <c r="N37" i="24"/>
  <c r="M37" i="24"/>
  <c r="L37" i="24"/>
  <c r="K37" i="24"/>
  <c r="J37" i="24"/>
  <c r="I37" i="24"/>
  <c r="H37" i="24"/>
  <c r="G37" i="24"/>
  <c r="F37" i="24"/>
  <c r="E37" i="24"/>
  <c r="D37" i="24"/>
  <c r="C37" i="24"/>
  <c r="W36" i="24"/>
  <c r="V36" i="24"/>
  <c r="U36" i="24"/>
  <c r="T36" i="24"/>
  <c r="S36" i="24"/>
  <c r="R36" i="24"/>
  <c r="Q36" i="24"/>
  <c r="P36" i="24"/>
  <c r="O36" i="24"/>
  <c r="N36" i="24"/>
  <c r="M36" i="24"/>
  <c r="L36" i="24"/>
  <c r="K36" i="24"/>
  <c r="J36" i="24"/>
  <c r="I36" i="24"/>
  <c r="H36" i="24"/>
  <c r="G36" i="24"/>
  <c r="F36" i="24"/>
  <c r="E36" i="24"/>
  <c r="D36" i="24"/>
  <c r="C36" i="24"/>
  <c r="W35" i="24"/>
  <c r="V35" i="24"/>
  <c r="U35" i="24"/>
  <c r="T35" i="24"/>
  <c r="S35" i="24"/>
  <c r="R35" i="24"/>
  <c r="Q35" i="24"/>
  <c r="P35" i="24"/>
  <c r="O35" i="24"/>
  <c r="N35" i="24"/>
  <c r="M35" i="24"/>
  <c r="L35" i="24"/>
  <c r="K35" i="24"/>
  <c r="J35" i="24"/>
  <c r="I35" i="24"/>
  <c r="H35" i="24"/>
  <c r="G35" i="24"/>
  <c r="F35" i="24"/>
  <c r="E35" i="24"/>
  <c r="D35" i="24"/>
  <c r="C35" i="24"/>
  <c r="W34" i="24"/>
  <c r="V34" i="24"/>
  <c r="U34" i="24"/>
  <c r="T34" i="24"/>
  <c r="S34" i="24"/>
  <c r="R34" i="24"/>
  <c r="Q34" i="24"/>
  <c r="P34" i="24"/>
  <c r="O34" i="24"/>
  <c r="N34" i="24"/>
  <c r="M34" i="24"/>
  <c r="L34" i="24"/>
  <c r="K34" i="24"/>
  <c r="J34" i="24"/>
  <c r="I34" i="24"/>
  <c r="H34" i="24"/>
  <c r="G34" i="24"/>
  <c r="F34" i="24"/>
  <c r="E34" i="24"/>
  <c r="D34" i="24"/>
  <c r="C34" i="24"/>
  <c r="W33" i="24"/>
  <c r="V33" i="24"/>
  <c r="U33" i="24"/>
  <c r="T33" i="24"/>
  <c r="S33" i="24"/>
  <c r="R33" i="24"/>
  <c r="Q33" i="24"/>
  <c r="P33" i="24"/>
  <c r="O33" i="24"/>
  <c r="N33" i="24"/>
  <c r="M33" i="24"/>
  <c r="L33" i="24"/>
  <c r="K33" i="24"/>
  <c r="J33" i="24"/>
  <c r="I33" i="24"/>
  <c r="H33" i="24"/>
  <c r="G33" i="24"/>
  <c r="F33" i="24"/>
  <c r="E33" i="24"/>
  <c r="D33" i="24"/>
  <c r="C33" i="24"/>
  <c r="W32" i="24"/>
  <c r="V32" i="24"/>
  <c r="U32" i="24"/>
  <c r="T32" i="24"/>
  <c r="S32" i="24"/>
  <c r="R32" i="24"/>
  <c r="Q32" i="24"/>
  <c r="P32" i="24"/>
  <c r="O32" i="24"/>
  <c r="N32" i="24"/>
  <c r="M32" i="24"/>
  <c r="L32" i="24"/>
  <c r="K32" i="24"/>
  <c r="J32" i="24"/>
  <c r="I32" i="24"/>
  <c r="H32" i="24"/>
  <c r="G32" i="24"/>
  <c r="F32" i="24"/>
  <c r="E32" i="24"/>
  <c r="D32" i="24"/>
  <c r="C32" i="24"/>
  <c r="W31" i="24"/>
  <c r="V31" i="24"/>
  <c r="U31" i="24"/>
  <c r="T31" i="24"/>
  <c r="S31" i="24"/>
  <c r="R31" i="24"/>
  <c r="Q31" i="24"/>
  <c r="P31" i="24"/>
  <c r="O31" i="24"/>
  <c r="N31" i="24"/>
  <c r="M31" i="24"/>
  <c r="L31" i="24"/>
  <c r="K31" i="24"/>
  <c r="J31" i="24"/>
  <c r="I31" i="24"/>
  <c r="H31" i="24"/>
  <c r="G31" i="24"/>
  <c r="F31" i="24"/>
  <c r="E31" i="24"/>
  <c r="D31" i="24"/>
  <c r="C31" i="24"/>
  <c r="W30" i="24"/>
  <c r="V30" i="24"/>
  <c r="U30" i="24"/>
  <c r="T30" i="24"/>
  <c r="S30" i="24"/>
  <c r="R30" i="24"/>
  <c r="Q30" i="24"/>
  <c r="P30" i="24"/>
  <c r="O30" i="24"/>
  <c r="N30" i="24"/>
  <c r="M30" i="24"/>
  <c r="L30" i="24"/>
  <c r="K30" i="24"/>
  <c r="J30" i="24"/>
  <c r="I30" i="24"/>
  <c r="H30" i="24"/>
  <c r="G30" i="24"/>
  <c r="F30" i="24"/>
  <c r="E30" i="24"/>
  <c r="D30" i="24"/>
  <c r="C30" i="24"/>
  <c r="W29" i="24"/>
  <c r="V29" i="24"/>
  <c r="U29" i="24"/>
  <c r="T29" i="24"/>
  <c r="S29" i="24"/>
  <c r="R29" i="24"/>
  <c r="Q29" i="24"/>
  <c r="P29" i="24"/>
  <c r="O29" i="24"/>
  <c r="N29" i="24"/>
  <c r="M29" i="24"/>
  <c r="L29" i="24"/>
  <c r="K29" i="24"/>
  <c r="J29" i="24"/>
  <c r="I29" i="24"/>
  <c r="H29" i="24"/>
  <c r="G29" i="24"/>
  <c r="F29" i="24"/>
  <c r="E29" i="24"/>
  <c r="D29" i="24"/>
  <c r="C29" i="24"/>
  <c r="W28" i="24"/>
  <c r="V28" i="24"/>
  <c r="U28" i="24"/>
  <c r="T28" i="24"/>
  <c r="S28" i="24"/>
  <c r="R28" i="24"/>
  <c r="Q28" i="24"/>
  <c r="P28" i="24"/>
  <c r="O28" i="24"/>
  <c r="N28" i="24"/>
  <c r="M28" i="24"/>
  <c r="L28" i="24"/>
  <c r="K28" i="24"/>
  <c r="J28" i="24"/>
  <c r="I28" i="24"/>
  <c r="H28" i="24"/>
  <c r="G28" i="24"/>
  <c r="F28" i="24"/>
  <c r="E28" i="24"/>
  <c r="D28" i="24"/>
  <c r="C28" i="24"/>
  <c r="W27" i="24"/>
  <c r="V27" i="24"/>
  <c r="U27" i="24"/>
  <c r="T27" i="24"/>
  <c r="S27" i="24"/>
  <c r="R27" i="24"/>
  <c r="Q27" i="24"/>
  <c r="P27" i="24"/>
  <c r="O27" i="24"/>
  <c r="N27" i="24"/>
  <c r="M27" i="24"/>
  <c r="L27" i="24"/>
  <c r="K27" i="24"/>
  <c r="J27" i="24"/>
  <c r="I27" i="24"/>
  <c r="H27" i="24"/>
  <c r="G27" i="24"/>
  <c r="F27" i="24"/>
  <c r="E27" i="24"/>
  <c r="D27" i="24"/>
  <c r="C27" i="24"/>
  <c r="W26" i="24"/>
  <c r="V26" i="24"/>
  <c r="U26" i="24"/>
  <c r="T26" i="24"/>
  <c r="S26" i="24"/>
  <c r="R26" i="24"/>
  <c r="Q26" i="24"/>
  <c r="P26" i="24"/>
  <c r="O26" i="24"/>
  <c r="N26" i="24"/>
  <c r="M26" i="24"/>
  <c r="L26" i="24"/>
  <c r="K26" i="24"/>
  <c r="J26" i="24"/>
  <c r="I26" i="24"/>
  <c r="H26" i="24"/>
  <c r="G26" i="24"/>
  <c r="F26" i="24"/>
  <c r="E26" i="24"/>
  <c r="D26" i="24"/>
  <c r="C26" i="24"/>
  <c r="W25" i="24"/>
  <c r="V25" i="24"/>
  <c r="U25" i="24"/>
  <c r="T25" i="24"/>
  <c r="S25" i="24"/>
  <c r="R25" i="24"/>
  <c r="Q25" i="24"/>
  <c r="P25" i="24"/>
  <c r="O25" i="24"/>
  <c r="N25" i="24"/>
  <c r="M25" i="24"/>
  <c r="L25" i="24"/>
  <c r="K25" i="24"/>
  <c r="J25" i="24"/>
  <c r="I25" i="24"/>
  <c r="H25" i="24"/>
  <c r="G25" i="24"/>
  <c r="F25" i="24"/>
  <c r="E25" i="24"/>
  <c r="D25" i="24"/>
  <c r="C25" i="24"/>
  <c r="W24" i="24"/>
  <c r="V24" i="24"/>
  <c r="U24" i="24"/>
  <c r="T24" i="24"/>
  <c r="S24" i="24"/>
  <c r="R24" i="24"/>
  <c r="Q24" i="24"/>
  <c r="P24" i="24"/>
  <c r="O24" i="24"/>
  <c r="N24" i="24"/>
  <c r="M24" i="24"/>
  <c r="L24" i="24"/>
  <c r="K24" i="24"/>
  <c r="J24" i="24"/>
  <c r="I24" i="24"/>
  <c r="H24" i="24"/>
  <c r="G24" i="24"/>
  <c r="F24" i="24"/>
  <c r="E24" i="24"/>
  <c r="D24" i="24"/>
  <c r="C24" i="24"/>
  <c r="W23" i="24"/>
  <c r="V23" i="24"/>
  <c r="U23" i="24"/>
  <c r="T23" i="24"/>
  <c r="S23" i="24"/>
  <c r="R23" i="24"/>
  <c r="Q23" i="24"/>
  <c r="P23" i="24"/>
  <c r="O23" i="24"/>
  <c r="N23" i="24"/>
  <c r="M23" i="24"/>
  <c r="L23" i="24"/>
  <c r="K23" i="24"/>
  <c r="J23" i="24"/>
  <c r="I23" i="24"/>
  <c r="H23" i="24"/>
  <c r="G23" i="24"/>
  <c r="F23" i="24"/>
  <c r="E23" i="24"/>
  <c r="D23" i="24"/>
  <c r="C23" i="24"/>
  <c r="W22" i="24"/>
  <c r="V22" i="24"/>
  <c r="U22" i="24"/>
  <c r="T22" i="24"/>
  <c r="S22" i="24"/>
  <c r="R22" i="24"/>
  <c r="Q22" i="24"/>
  <c r="P22" i="24"/>
  <c r="O22" i="24"/>
  <c r="N22" i="24"/>
  <c r="M22" i="24"/>
  <c r="L22" i="24"/>
  <c r="K22" i="24"/>
  <c r="J22" i="24"/>
  <c r="I22" i="24"/>
  <c r="H22" i="24"/>
  <c r="G22" i="24"/>
  <c r="F22" i="24"/>
  <c r="E22" i="24"/>
  <c r="D22" i="24"/>
  <c r="C22" i="24"/>
  <c r="W21" i="24"/>
  <c r="V21" i="24"/>
  <c r="U21" i="24"/>
  <c r="T21" i="24"/>
  <c r="S21" i="24"/>
  <c r="R21" i="24"/>
  <c r="Q21" i="24"/>
  <c r="P21" i="24"/>
  <c r="O21" i="24"/>
  <c r="N21" i="24"/>
  <c r="M21" i="24"/>
  <c r="L21" i="24"/>
  <c r="K21" i="24"/>
  <c r="J21" i="24"/>
  <c r="I21" i="24"/>
  <c r="H21" i="24"/>
  <c r="G21" i="24"/>
  <c r="F21" i="24"/>
  <c r="E21" i="24"/>
  <c r="D21" i="24"/>
  <c r="C21" i="24"/>
  <c r="W20" i="24"/>
  <c r="V20" i="24"/>
  <c r="U20" i="24"/>
  <c r="T20" i="24"/>
  <c r="S20" i="24"/>
  <c r="R20" i="24"/>
  <c r="Q20" i="24"/>
  <c r="P20" i="24"/>
  <c r="O20" i="24"/>
  <c r="N20" i="24"/>
  <c r="M20" i="24"/>
  <c r="L20" i="24"/>
  <c r="K20" i="24"/>
  <c r="J20" i="24"/>
  <c r="I20" i="24"/>
  <c r="H20" i="24"/>
  <c r="G20" i="24"/>
  <c r="F20" i="24"/>
  <c r="E20" i="24"/>
  <c r="D20" i="24"/>
  <c r="C20" i="24"/>
  <c r="W19" i="24"/>
  <c r="V19" i="24"/>
  <c r="U19" i="24"/>
  <c r="T19" i="24"/>
  <c r="S19" i="24"/>
  <c r="R19" i="24"/>
  <c r="Q19" i="24"/>
  <c r="P19" i="24"/>
  <c r="O19" i="24"/>
  <c r="N19" i="24"/>
  <c r="M19" i="24"/>
  <c r="L19" i="24"/>
  <c r="K19" i="24"/>
  <c r="J19" i="24"/>
  <c r="I19" i="24"/>
  <c r="H19" i="24"/>
  <c r="G19" i="24"/>
  <c r="F19" i="24"/>
  <c r="E19" i="24"/>
  <c r="D19" i="24"/>
  <c r="C19" i="24"/>
  <c r="W18" i="24"/>
  <c r="V18" i="24"/>
  <c r="U18" i="24"/>
  <c r="T18" i="24"/>
  <c r="S18" i="24"/>
  <c r="R18" i="24"/>
  <c r="Q18" i="24"/>
  <c r="P18" i="24"/>
  <c r="O18" i="24"/>
  <c r="N18" i="24"/>
  <c r="M18" i="24"/>
  <c r="L18" i="24"/>
  <c r="K18" i="24"/>
  <c r="J18" i="24"/>
  <c r="I18" i="24"/>
  <c r="H18" i="24"/>
  <c r="G18" i="24"/>
  <c r="F18" i="24"/>
  <c r="E18" i="24"/>
  <c r="D18" i="24"/>
  <c r="C18" i="24"/>
  <c r="W17" i="24"/>
  <c r="V17" i="24"/>
  <c r="U17" i="24"/>
  <c r="T17" i="24"/>
  <c r="S17" i="24"/>
  <c r="R17" i="24"/>
  <c r="Q17" i="24"/>
  <c r="P17" i="24"/>
  <c r="O17" i="24"/>
  <c r="N17" i="24"/>
  <c r="M17" i="24"/>
  <c r="L17" i="24"/>
  <c r="K17" i="24"/>
  <c r="J17" i="24"/>
  <c r="I17" i="24"/>
  <c r="H17" i="24"/>
  <c r="G17" i="24"/>
  <c r="F17" i="24"/>
  <c r="E17" i="24"/>
  <c r="D17" i="24"/>
  <c r="C17" i="24"/>
  <c r="W16" i="24"/>
  <c r="V16" i="24"/>
  <c r="U16" i="24"/>
  <c r="T16" i="24"/>
  <c r="S16" i="24"/>
  <c r="R16" i="24"/>
  <c r="Q16" i="24"/>
  <c r="P16" i="24"/>
  <c r="O16" i="24"/>
  <c r="N16" i="24"/>
  <c r="M16" i="24"/>
  <c r="L16" i="24"/>
  <c r="K16" i="24"/>
  <c r="J16" i="24"/>
  <c r="I16" i="24"/>
  <c r="H16" i="24"/>
  <c r="G16" i="24"/>
  <c r="F16" i="24"/>
  <c r="E16" i="24"/>
  <c r="D16" i="24"/>
  <c r="C16" i="24"/>
  <c r="W15" i="24"/>
  <c r="V15" i="24"/>
  <c r="U15" i="24"/>
  <c r="T15" i="24"/>
  <c r="S15" i="24"/>
  <c r="R15" i="24"/>
  <c r="Q15" i="24"/>
  <c r="P15" i="24"/>
  <c r="O15" i="24"/>
  <c r="N15" i="24"/>
  <c r="M15" i="24"/>
  <c r="L15" i="24"/>
  <c r="K15" i="24"/>
  <c r="J15" i="24"/>
  <c r="I15" i="24"/>
  <c r="H15" i="24"/>
  <c r="G15" i="24"/>
  <c r="F15" i="24"/>
  <c r="E15" i="24"/>
  <c r="D15" i="24"/>
  <c r="C15" i="24"/>
  <c r="W14" i="24"/>
  <c r="V14" i="24"/>
  <c r="U14" i="24"/>
  <c r="T14" i="24"/>
  <c r="S14" i="24"/>
  <c r="R14" i="24"/>
  <c r="Q14" i="24"/>
  <c r="P14" i="24"/>
  <c r="O14" i="24"/>
  <c r="N14" i="24"/>
  <c r="M14" i="24"/>
  <c r="L14" i="24"/>
  <c r="K14" i="24"/>
  <c r="J14" i="24"/>
  <c r="I14" i="24"/>
  <c r="H14" i="24"/>
  <c r="G14" i="24"/>
  <c r="F14" i="24"/>
  <c r="E14" i="24"/>
  <c r="D14" i="24"/>
  <c r="C14" i="24"/>
  <c r="W13" i="24"/>
  <c r="V13" i="24"/>
  <c r="U13" i="24"/>
  <c r="T13" i="24"/>
  <c r="S13" i="24"/>
  <c r="R13" i="24"/>
  <c r="Q13" i="24"/>
  <c r="P13" i="24"/>
  <c r="O13" i="24"/>
  <c r="N13" i="24"/>
  <c r="M13" i="24"/>
  <c r="L13" i="24"/>
  <c r="K13" i="24"/>
  <c r="J13" i="24"/>
  <c r="I13" i="24"/>
  <c r="H13" i="24"/>
  <c r="G13" i="24"/>
  <c r="F13" i="24"/>
  <c r="E13" i="24"/>
  <c r="D13" i="24"/>
  <c r="C13" i="24"/>
  <c r="W12" i="24"/>
  <c r="V12" i="24"/>
  <c r="U12" i="24"/>
  <c r="T12" i="24"/>
  <c r="S12" i="24"/>
  <c r="R12" i="24"/>
  <c r="Q12" i="24"/>
  <c r="P12" i="24"/>
  <c r="O12" i="24"/>
  <c r="N12" i="24"/>
  <c r="M12" i="24"/>
  <c r="L12" i="24"/>
  <c r="K12" i="24"/>
  <c r="J12" i="24"/>
  <c r="I12" i="24"/>
  <c r="H12" i="24"/>
  <c r="G12" i="24"/>
  <c r="F12" i="24"/>
  <c r="E12" i="24"/>
  <c r="D12" i="24"/>
  <c r="C12" i="24"/>
  <c r="W11" i="24"/>
  <c r="V11" i="24"/>
  <c r="U11" i="24"/>
  <c r="T11" i="24"/>
  <c r="S11" i="24"/>
  <c r="R11" i="24"/>
  <c r="Q11" i="24"/>
  <c r="P11" i="24"/>
  <c r="O11" i="24"/>
  <c r="N11" i="24"/>
  <c r="M11" i="24"/>
  <c r="L11" i="24"/>
  <c r="K11" i="24"/>
  <c r="J11" i="24"/>
  <c r="I11" i="24"/>
  <c r="H11" i="24"/>
  <c r="G11" i="24"/>
  <c r="F11" i="24"/>
  <c r="E11" i="24"/>
  <c r="D11" i="24"/>
  <c r="C11" i="24"/>
  <c r="W10" i="24"/>
  <c r="V10" i="24"/>
  <c r="U10" i="24"/>
  <c r="T10" i="24"/>
  <c r="S10" i="24"/>
  <c r="R10" i="24"/>
  <c r="Q10" i="24"/>
  <c r="P10" i="24"/>
  <c r="O10" i="24"/>
  <c r="N10" i="24"/>
  <c r="M10" i="24"/>
  <c r="L10" i="24"/>
  <c r="K10" i="24"/>
  <c r="J10" i="24"/>
  <c r="I10" i="24"/>
  <c r="H10" i="24"/>
  <c r="G10" i="24"/>
  <c r="F10" i="24"/>
  <c r="E10" i="24"/>
  <c r="D10" i="24"/>
  <c r="C10" i="24"/>
  <c r="W9" i="24"/>
  <c r="V9" i="24"/>
  <c r="U9" i="24"/>
  <c r="T9" i="24"/>
  <c r="S9" i="24"/>
  <c r="R9" i="24"/>
  <c r="Q9" i="24"/>
  <c r="P9" i="24"/>
  <c r="O9" i="24"/>
  <c r="N9" i="24"/>
  <c r="M9" i="24"/>
  <c r="L9" i="24"/>
  <c r="K9" i="24"/>
  <c r="J9" i="24"/>
  <c r="I9" i="24"/>
  <c r="H9" i="24"/>
  <c r="G9" i="24"/>
  <c r="F9" i="24"/>
  <c r="E9" i="24"/>
  <c r="D9" i="24"/>
  <c r="C9" i="24"/>
  <c r="W8" i="24"/>
  <c r="V8" i="24"/>
  <c r="U8" i="24"/>
  <c r="T8" i="24"/>
  <c r="S8" i="24"/>
  <c r="R8" i="24"/>
  <c r="Q8" i="24"/>
  <c r="P8" i="24"/>
  <c r="O8" i="24"/>
  <c r="N8" i="24"/>
  <c r="M8" i="24"/>
  <c r="L8" i="24"/>
  <c r="K8" i="24"/>
  <c r="J8" i="24"/>
  <c r="I8" i="24"/>
  <c r="H8" i="24"/>
  <c r="G8" i="24"/>
  <c r="F8" i="24"/>
  <c r="E8" i="24"/>
  <c r="D8" i="24"/>
  <c r="C8" i="24"/>
  <c r="W7" i="24"/>
  <c r="V7" i="24"/>
  <c r="U7" i="24"/>
  <c r="T7" i="24"/>
  <c r="S7" i="24"/>
  <c r="R7" i="24"/>
  <c r="Q7" i="24"/>
  <c r="P7" i="24"/>
  <c r="O7" i="24"/>
  <c r="N7" i="24"/>
  <c r="M7" i="24"/>
  <c r="L7" i="24"/>
  <c r="K7" i="24"/>
  <c r="J7" i="24"/>
  <c r="I7" i="24"/>
  <c r="H7" i="24"/>
  <c r="G7" i="24"/>
  <c r="F7" i="24"/>
  <c r="E7" i="24"/>
  <c r="D7" i="24"/>
  <c r="C7" i="24"/>
  <c r="W6" i="24"/>
  <c r="V6" i="24"/>
  <c r="U6" i="24"/>
  <c r="T6" i="24"/>
  <c r="S6" i="24"/>
  <c r="R6" i="24"/>
  <c r="Q6" i="24"/>
  <c r="P6" i="24"/>
  <c r="O6" i="24"/>
  <c r="N6" i="24"/>
  <c r="M6" i="24"/>
  <c r="L6" i="24"/>
  <c r="K6" i="24"/>
  <c r="J6" i="24"/>
  <c r="I6" i="24"/>
  <c r="H6" i="24"/>
  <c r="G6" i="24"/>
  <c r="F6" i="24"/>
  <c r="E6" i="24"/>
  <c r="D6" i="24"/>
  <c r="C6" i="24"/>
  <c r="W40" i="25"/>
  <c r="V40" i="25"/>
  <c r="U40" i="25"/>
  <c r="T40" i="25"/>
  <c r="S40" i="25"/>
  <c r="R40" i="25"/>
  <c r="Q40" i="25"/>
  <c r="P40" i="25"/>
  <c r="O40" i="25"/>
  <c r="N40" i="25"/>
  <c r="M40" i="25"/>
  <c r="L40" i="25"/>
  <c r="K40" i="25"/>
  <c r="J40" i="25"/>
  <c r="I40" i="25"/>
  <c r="H40" i="25"/>
  <c r="G40" i="25"/>
  <c r="F40" i="25"/>
  <c r="E40" i="25"/>
  <c r="D40" i="25"/>
  <c r="C40" i="25"/>
  <c r="W39" i="25"/>
  <c r="V39" i="25"/>
  <c r="U39" i="25"/>
  <c r="T39" i="25"/>
  <c r="S39" i="25"/>
  <c r="R39" i="25"/>
  <c r="Q39" i="25"/>
  <c r="P39" i="25"/>
  <c r="O39" i="25"/>
  <c r="N39" i="25"/>
  <c r="M39" i="25"/>
  <c r="L39" i="25"/>
  <c r="K39" i="25"/>
  <c r="J39" i="25"/>
  <c r="I39" i="25"/>
  <c r="H39" i="25"/>
  <c r="G39" i="25"/>
  <c r="F39" i="25"/>
  <c r="E39" i="25"/>
  <c r="D39" i="25"/>
  <c r="C39" i="25"/>
  <c r="W38" i="25"/>
  <c r="V38" i="25"/>
  <c r="U38" i="25"/>
  <c r="T38" i="25"/>
  <c r="S38" i="25"/>
  <c r="R38" i="25"/>
  <c r="Q38" i="25"/>
  <c r="P38" i="25"/>
  <c r="O38" i="25"/>
  <c r="N38" i="25"/>
  <c r="M38" i="25"/>
  <c r="L38" i="25"/>
  <c r="K38" i="25"/>
  <c r="J38" i="25"/>
  <c r="I38" i="25"/>
  <c r="H38" i="25"/>
  <c r="G38" i="25"/>
  <c r="F38" i="25"/>
  <c r="E38" i="25"/>
  <c r="D38" i="25"/>
  <c r="C38" i="25"/>
  <c r="W37" i="25"/>
  <c r="V37" i="25"/>
  <c r="U37" i="25"/>
  <c r="T37" i="25"/>
  <c r="S37" i="25"/>
  <c r="R37" i="25"/>
  <c r="Q37" i="25"/>
  <c r="P37" i="25"/>
  <c r="O37" i="25"/>
  <c r="N37" i="25"/>
  <c r="M37" i="25"/>
  <c r="L37" i="25"/>
  <c r="K37" i="25"/>
  <c r="J37" i="25"/>
  <c r="I37" i="25"/>
  <c r="H37" i="25"/>
  <c r="G37" i="25"/>
  <c r="F37" i="25"/>
  <c r="E37" i="25"/>
  <c r="D37" i="25"/>
  <c r="C37" i="25"/>
  <c r="W36" i="25"/>
  <c r="V36" i="25"/>
  <c r="U36" i="25"/>
  <c r="T36" i="25"/>
  <c r="S36" i="25"/>
  <c r="R36" i="25"/>
  <c r="Q36" i="25"/>
  <c r="P36" i="25"/>
  <c r="O36" i="25"/>
  <c r="N36" i="25"/>
  <c r="M36" i="25"/>
  <c r="L36" i="25"/>
  <c r="K36" i="25"/>
  <c r="J36" i="25"/>
  <c r="I36" i="25"/>
  <c r="H36" i="25"/>
  <c r="G36" i="25"/>
  <c r="F36" i="25"/>
  <c r="E36" i="25"/>
  <c r="D36" i="25"/>
  <c r="C36" i="25"/>
  <c r="W35" i="25"/>
  <c r="V35" i="25"/>
  <c r="U35" i="25"/>
  <c r="T35" i="25"/>
  <c r="S35" i="25"/>
  <c r="R35" i="25"/>
  <c r="Q35" i="25"/>
  <c r="P35" i="25"/>
  <c r="O35" i="25"/>
  <c r="N35" i="25"/>
  <c r="M35" i="25"/>
  <c r="L35" i="25"/>
  <c r="K35" i="25"/>
  <c r="J35" i="25"/>
  <c r="I35" i="25"/>
  <c r="H35" i="25"/>
  <c r="G35" i="25"/>
  <c r="F35" i="25"/>
  <c r="E35" i="25"/>
  <c r="D35" i="25"/>
  <c r="C35" i="25"/>
  <c r="W34" i="25"/>
  <c r="V34" i="25"/>
  <c r="U34" i="25"/>
  <c r="T34" i="25"/>
  <c r="S34" i="25"/>
  <c r="R34" i="25"/>
  <c r="Q34" i="25"/>
  <c r="P34" i="25"/>
  <c r="O34" i="25"/>
  <c r="N34" i="25"/>
  <c r="M34" i="25"/>
  <c r="L34" i="25"/>
  <c r="K34" i="25"/>
  <c r="J34" i="25"/>
  <c r="I34" i="25"/>
  <c r="H34" i="25"/>
  <c r="G34" i="25"/>
  <c r="F34" i="25"/>
  <c r="E34" i="25"/>
  <c r="D34" i="25"/>
  <c r="C34" i="25"/>
  <c r="W33" i="25"/>
  <c r="V33" i="25"/>
  <c r="U33" i="25"/>
  <c r="T33" i="25"/>
  <c r="S33" i="25"/>
  <c r="R33" i="25"/>
  <c r="Q33" i="25"/>
  <c r="P33" i="25"/>
  <c r="O33" i="25"/>
  <c r="N33" i="25"/>
  <c r="M33" i="25"/>
  <c r="L33" i="25"/>
  <c r="K33" i="25"/>
  <c r="J33" i="25"/>
  <c r="I33" i="25"/>
  <c r="H33" i="25"/>
  <c r="G33" i="25"/>
  <c r="F33" i="25"/>
  <c r="E33" i="25"/>
  <c r="D33" i="25"/>
  <c r="C33" i="25"/>
  <c r="W32" i="25"/>
  <c r="V32" i="25"/>
  <c r="U32" i="25"/>
  <c r="T32" i="25"/>
  <c r="S32" i="25"/>
  <c r="R32" i="25"/>
  <c r="Q32" i="25"/>
  <c r="P32" i="25"/>
  <c r="O32" i="25"/>
  <c r="N32" i="25"/>
  <c r="M32" i="25"/>
  <c r="L32" i="25"/>
  <c r="K32" i="25"/>
  <c r="J32" i="25"/>
  <c r="I32" i="25"/>
  <c r="H32" i="25"/>
  <c r="G32" i="25"/>
  <c r="F32" i="25"/>
  <c r="E32" i="25"/>
  <c r="D32" i="25"/>
  <c r="C32" i="25"/>
  <c r="W31" i="25"/>
  <c r="V31" i="25"/>
  <c r="U31" i="25"/>
  <c r="T31" i="25"/>
  <c r="S31" i="25"/>
  <c r="R31" i="25"/>
  <c r="Q31" i="25"/>
  <c r="P31" i="25"/>
  <c r="O31" i="25"/>
  <c r="N31" i="25"/>
  <c r="M31" i="25"/>
  <c r="L31" i="25"/>
  <c r="K31" i="25"/>
  <c r="J31" i="25"/>
  <c r="I31" i="25"/>
  <c r="H31" i="25"/>
  <c r="G31" i="25"/>
  <c r="F31" i="25"/>
  <c r="E31" i="25"/>
  <c r="D31" i="25"/>
  <c r="C31" i="25"/>
  <c r="W30" i="25"/>
  <c r="V30" i="25"/>
  <c r="U30" i="25"/>
  <c r="T30" i="25"/>
  <c r="S30" i="25"/>
  <c r="R30" i="25"/>
  <c r="Q30" i="25"/>
  <c r="P30" i="25"/>
  <c r="O30" i="25"/>
  <c r="N30" i="25"/>
  <c r="M30" i="25"/>
  <c r="L30" i="25"/>
  <c r="K30" i="25"/>
  <c r="J30" i="25"/>
  <c r="I30" i="25"/>
  <c r="H30" i="25"/>
  <c r="G30" i="25"/>
  <c r="F30" i="25"/>
  <c r="E30" i="25"/>
  <c r="D30" i="25"/>
  <c r="C30" i="25"/>
  <c r="W29" i="25"/>
  <c r="V29" i="25"/>
  <c r="U29" i="25"/>
  <c r="T29" i="25"/>
  <c r="S29" i="25"/>
  <c r="R29" i="25"/>
  <c r="Q29" i="25"/>
  <c r="P29" i="25"/>
  <c r="O29" i="25"/>
  <c r="N29" i="25"/>
  <c r="M29" i="25"/>
  <c r="L29" i="25"/>
  <c r="K29" i="25"/>
  <c r="J29" i="25"/>
  <c r="I29" i="25"/>
  <c r="H29" i="25"/>
  <c r="G29" i="25"/>
  <c r="F29" i="25"/>
  <c r="E29" i="25"/>
  <c r="D29" i="25"/>
  <c r="C29" i="25"/>
  <c r="W28" i="25"/>
  <c r="V28" i="25"/>
  <c r="U28" i="25"/>
  <c r="T28" i="25"/>
  <c r="S28" i="25"/>
  <c r="R28" i="25"/>
  <c r="Q28" i="25"/>
  <c r="P28" i="25"/>
  <c r="O28" i="25"/>
  <c r="N28" i="25"/>
  <c r="M28" i="25"/>
  <c r="L28" i="25"/>
  <c r="K28" i="25"/>
  <c r="J28" i="25"/>
  <c r="I28" i="25"/>
  <c r="H28" i="25"/>
  <c r="G28" i="25"/>
  <c r="F28" i="25"/>
  <c r="E28" i="25"/>
  <c r="D28" i="25"/>
  <c r="C28" i="25"/>
  <c r="W27" i="25"/>
  <c r="V27" i="25"/>
  <c r="U27" i="25"/>
  <c r="T27" i="25"/>
  <c r="S27" i="25"/>
  <c r="R27" i="25"/>
  <c r="Q27" i="25"/>
  <c r="P27" i="25"/>
  <c r="O27" i="25"/>
  <c r="N27" i="25"/>
  <c r="M27" i="25"/>
  <c r="L27" i="25"/>
  <c r="K27" i="25"/>
  <c r="J27" i="25"/>
  <c r="I27" i="25"/>
  <c r="H27" i="25"/>
  <c r="G27" i="25"/>
  <c r="F27" i="25"/>
  <c r="E27" i="25"/>
  <c r="D27" i="25"/>
  <c r="C27" i="25"/>
  <c r="W26" i="25"/>
  <c r="V26" i="25"/>
  <c r="U26" i="25"/>
  <c r="T26" i="25"/>
  <c r="S26" i="25"/>
  <c r="R26" i="25"/>
  <c r="Q26" i="25"/>
  <c r="P26" i="25"/>
  <c r="O26" i="25"/>
  <c r="N26" i="25"/>
  <c r="M26" i="25"/>
  <c r="L26" i="25"/>
  <c r="K26" i="25"/>
  <c r="J26" i="25"/>
  <c r="I26" i="25"/>
  <c r="H26" i="25"/>
  <c r="G26" i="25"/>
  <c r="F26" i="25"/>
  <c r="E26" i="25"/>
  <c r="D26" i="25"/>
  <c r="C26" i="25"/>
  <c r="W25" i="25"/>
  <c r="V25" i="25"/>
  <c r="U25" i="25"/>
  <c r="T25" i="25"/>
  <c r="S25" i="25"/>
  <c r="R25" i="25"/>
  <c r="Q25" i="25"/>
  <c r="P25" i="25"/>
  <c r="O25" i="25"/>
  <c r="N25" i="25"/>
  <c r="M25" i="25"/>
  <c r="L25" i="25"/>
  <c r="K25" i="25"/>
  <c r="J25" i="25"/>
  <c r="I25" i="25"/>
  <c r="H25" i="25"/>
  <c r="G25" i="25"/>
  <c r="F25" i="25"/>
  <c r="E25" i="25"/>
  <c r="D25" i="25"/>
  <c r="C25" i="25"/>
  <c r="W24" i="25"/>
  <c r="V24" i="25"/>
  <c r="U24" i="25"/>
  <c r="T24" i="25"/>
  <c r="S24" i="25"/>
  <c r="R24" i="25"/>
  <c r="Q24" i="25"/>
  <c r="P24" i="25"/>
  <c r="O24" i="25"/>
  <c r="N24" i="25"/>
  <c r="M24" i="25"/>
  <c r="L24" i="25"/>
  <c r="K24" i="25"/>
  <c r="J24" i="25"/>
  <c r="I24" i="25"/>
  <c r="H24" i="25"/>
  <c r="G24" i="25"/>
  <c r="F24" i="25"/>
  <c r="E24" i="25"/>
  <c r="D24" i="25"/>
  <c r="C24" i="25"/>
  <c r="W23" i="25"/>
  <c r="V23" i="25"/>
  <c r="U23" i="25"/>
  <c r="T23" i="25"/>
  <c r="S23" i="25"/>
  <c r="R23" i="25"/>
  <c r="Q23" i="25"/>
  <c r="P23" i="25"/>
  <c r="O23" i="25"/>
  <c r="N23" i="25"/>
  <c r="M23" i="25"/>
  <c r="L23" i="25"/>
  <c r="K23" i="25"/>
  <c r="J23" i="25"/>
  <c r="I23" i="25"/>
  <c r="H23" i="25"/>
  <c r="G23" i="25"/>
  <c r="F23" i="25"/>
  <c r="E23" i="25"/>
  <c r="D23" i="25"/>
  <c r="C23" i="25"/>
  <c r="W22" i="25"/>
  <c r="V22" i="25"/>
  <c r="U22" i="25"/>
  <c r="T22" i="25"/>
  <c r="S22" i="25"/>
  <c r="R22" i="25"/>
  <c r="Q22" i="25"/>
  <c r="P22" i="25"/>
  <c r="O22" i="25"/>
  <c r="N22" i="25"/>
  <c r="M22" i="25"/>
  <c r="L22" i="25"/>
  <c r="K22" i="25"/>
  <c r="J22" i="25"/>
  <c r="I22" i="25"/>
  <c r="H22" i="25"/>
  <c r="G22" i="25"/>
  <c r="F22" i="25"/>
  <c r="E22" i="25"/>
  <c r="D22" i="25"/>
  <c r="C22" i="25"/>
  <c r="W21" i="25"/>
  <c r="V21" i="25"/>
  <c r="U21" i="25"/>
  <c r="T21" i="25"/>
  <c r="S21" i="25"/>
  <c r="R21" i="25"/>
  <c r="Q21" i="25"/>
  <c r="P21" i="25"/>
  <c r="O21" i="25"/>
  <c r="N21" i="25"/>
  <c r="M21" i="25"/>
  <c r="L21" i="25"/>
  <c r="K21" i="25"/>
  <c r="J21" i="25"/>
  <c r="I21" i="25"/>
  <c r="H21" i="25"/>
  <c r="G21" i="25"/>
  <c r="F21" i="25"/>
  <c r="E21" i="25"/>
  <c r="D21" i="25"/>
  <c r="C21" i="25"/>
  <c r="W20" i="25"/>
  <c r="V20" i="25"/>
  <c r="U20" i="25"/>
  <c r="T20" i="25"/>
  <c r="S20" i="25"/>
  <c r="R20" i="25"/>
  <c r="Q20" i="25"/>
  <c r="P20" i="25"/>
  <c r="O20" i="25"/>
  <c r="N20" i="25"/>
  <c r="M20" i="25"/>
  <c r="L20" i="25"/>
  <c r="K20" i="25"/>
  <c r="J20" i="25"/>
  <c r="I20" i="25"/>
  <c r="H20" i="25"/>
  <c r="G20" i="25"/>
  <c r="F20" i="25"/>
  <c r="E20" i="25"/>
  <c r="D20" i="25"/>
  <c r="C20" i="25"/>
  <c r="W19" i="25"/>
  <c r="V19" i="25"/>
  <c r="U19" i="25"/>
  <c r="T19" i="25"/>
  <c r="S19" i="25"/>
  <c r="R19" i="25"/>
  <c r="Q19" i="25"/>
  <c r="P19" i="25"/>
  <c r="O19" i="25"/>
  <c r="N19" i="25"/>
  <c r="M19" i="25"/>
  <c r="L19" i="25"/>
  <c r="K19" i="25"/>
  <c r="J19" i="25"/>
  <c r="I19" i="25"/>
  <c r="H19" i="25"/>
  <c r="G19" i="25"/>
  <c r="F19" i="25"/>
  <c r="E19" i="25"/>
  <c r="D19" i="25"/>
  <c r="C19" i="25"/>
  <c r="W18" i="25"/>
  <c r="V18" i="25"/>
  <c r="U18" i="25"/>
  <c r="T18" i="25"/>
  <c r="S18" i="25"/>
  <c r="R18" i="25"/>
  <c r="Q18" i="25"/>
  <c r="P18" i="25"/>
  <c r="O18" i="25"/>
  <c r="N18" i="25"/>
  <c r="M18" i="25"/>
  <c r="L18" i="25"/>
  <c r="K18" i="25"/>
  <c r="J18" i="25"/>
  <c r="I18" i="25"/>
  <c r="H18" i="25"/>
  <c r="G18" i="25"/>
  <c r="F18" i="25"/>
  <c r="E18" i="25"/>
  <c r="D18" i="25"/>
  <c r="C18" i="25"/>
  <c r="W17" i="25"/>
  <c r="V17" i="25"/>
  <c r="U17" i="25"/>
  <c r="T17" i="25"/>
  <c r="S17" i="25"/>
  <c r="R17" i="25"/>
  <c r="Q17" i="25"/>
  <c r="P17" i="25"/>
  <c r="O17" i="25"/>
  <c r="N17" i="25"/>
  <c r="M17" i="25"/>
  <c r="L17" i="25"/>
  <c r="K17" i="25"/>
  <c r="J17" i="25"/>
  <c r="I17" i="25"/>
  <c r="H17" i="25"/>
  <c r="G17" i="25"/>
  <c r="F17" i="25"/>
  <c r="E17" i="25"/>
  <c r="D17" i="25"/>
  <c r="C17" i="25"/>
  <c r="W16" i="25"/>
  <c r="V16" i="25"/>
  <c r="U16" i="25"/>
  <c r="T16" i="25"/>
  <c r="S16" i="25"/>
  <c r="R16" i="25"/>
  <c r="Q16" i="25"/>
  <c r="P16" i="25"/>
  <c r="O16" i="25"/>
  <c r="N16" i="25"/>
  <c r="M16" i="25"/>
  <c r="L16" i="25"/>
  <c r="K16" i="25"/>
  <c r="J16" i="25"/>
  <c r="I16" i="25"/>
  <c r="H16" i="25"/>
  <c r="G16" i="25"/>
  <c r="F16" i="25"/>
  <c r="E16" i="25"/>
  <c r="D16" i="25"/>
  <c r="C16" i="25"/>
  <c r="W15" i="25"/>
  <c r="V15" i="25"/>
  <c r="U15" i="25"/>
  <c r="T15" i="25"/>
  <c r="S15" i="25"/>
  <c r="R15" i="25"/>
  <c r="Q15" i="25"/>
  <c r="P15" i="25"/>
  <c r="O15" i="25"/>
  <c r="N15" i="25"/>
  <c r="M15" i="25"/>
  <c r="L15" i="25"/>
  <c r="K15" i="25"/>
  <c r="J15" i="25"/>
  <c r="I15" i="25"/>
  <c r="H15" i="25"/>
  <c r="G15" i="25"/>
  <c r="F15" i="25"/>
  <c r="E15" i="25"/>
  <c r="D15" i="25"/>
  <c r="C15" i="25"/>
  <c r="W14" i="25"/>
  <c r="V14" i="25"/>
  <c r="U14" i="25"/>
  <c r="T14" i="25"/>
  <c r="S14" i="25"/>
  <c r="R14" i="25"/>
  <c r="Q14" i="25"/>
  <c r="P14" i="25"/>
  <c r="O14" i="25"/>
  <c r="N14" i="25"/>
  <c r="M14" i="25"/>
  <c r="L14" i="25"/>
  <c r="K14" i="25"/>
  <c r="J14" i="25"/>
  <c r="I14" i="25"/>
  <c r="H14" i="25"/>
  <c r="G14" i="25"/>
  <c r="F14" i="25"/>
  <c r="E14" i="25"/>
  <c r="D14" i="25"/>
  <c r="C14" i="25"/>
  <c r="W13" i="25"/>
  <c r="V13" i="25"/>
  <c r="U13" i="25"/>
  <c r="T13" i="25"/>
  <c r="S13" i="25"/>
  <c r="R13" i="25"/>
  <c r="Q13" i="25"/>
  <c r="P13" i="25"/>
  <c r="O13" i="25"/>
  <c r="N13" i="25"/>
  <c r="M13" i="25"/>
  <c r="L13" i="25"/>
  <c r="K13" i="25"/>
  <c r="J13" i="25"/>
  <c r="I13" i="25"/>
  <c r="H13" i="25"/>
  <c r="G13" i="25"/>
  <c r="F13" i="25"/>
  <c r="E13" i="25"/>
  <c r="D13" i="25"/>
  <c r="C13" i="25"/>
  <c r="W12" i="25"/>
  <c r="V12" i="25"/>
  <c r="U12" i="25"/>
  <c r="T12" i="25"/>
  <c r="S12" i="25"/>
  <c r="R12" i="25"/>
  <c r="Q12" i="25"/>
  <c r="P12" i="25"/>
  <c r="O12" i="25"/>
  <c r="N12" i="25"/>
  <c r="M12" i="25"/>
  <c r="L12" i="25"/>
  <c r="K12" i="25"/>
  <c r="J12" i="25"/>
  <c r="I12" i="25"/>
  <c r="H12" i="25"/>
  <c r="G12" i="25"/>
  <c r="F12" i="25"/>
  <c r="E12" i="25"/>
  <c r="D12" i="25"/>
  <c r="C12" i="25"/>
  <c r="W11" i="25"/>
  <c r="V11" i="25"/>
  <c r="U11" i="25"/>
  <c r="T11" i="25"/>
  <c r="S11" i="25"/>
  <c r="R11" i="25"/>
  <c r="Q11" i="25"/>
  <c r="P11" i="25"/>
  <c r="O11" i="25"/>
  <c r="N11" i="25"/>
  <c r="M11" i="25"/>
  <c r="L11" i="25"/>
  <c r="K11" i="25"/>
  <c r="J11" i="25"/>
  <c r="I11" i="25"/>
  <c r="H11" i="25"/>
  <c r="G11" i="25"/>
  <c r="F11" i="25"/>
  <c r="E11" i="25"/>
  <c r="D11" i="25"/>
  <c r="C11" i="25"/>
  <c r="W10" i="25"/>
  <c r="V10" i="25"/>
  <c r="U10" i="25"/>
  <c r="T10" i="25"/>
  <c r="S10" i="25"/>
  <c r="R10" i="25"/>
  <c r="Q10" i="25"/>
  <c r="P10" i="25"/>
  <c r="O10" i="25"/>
  <c r="N10" i="25"/>
  <c r="M10" i="25"/>
  <c r="L10" i="25"/>
  <c r="K10" i="25"/>
  <c r="J10" i="25"/>
  <c r="I10" i="25"/>
  <c r="H10" i="25"/>
  <c r="G10" i="25"/>
  <c r="F10" i="25"/>
  <c r="E10" i="25"/>
  <c r="D10" i="25"/>
  <c r="C10" i="25"/>
  <c r="W9" i="25"/>
  <c r="V9" i="25"/>
  <c r="U9" i="25"/>
  <c r="T9" i="25"/>
  <c r="S9" i="25"/>
  <c r="R9" i="25"/>
  <c r="Q9" i="25"/>
  <c r="P9" i="25"/>
  <c r="O9" i="25"/>
  <c r="N9" i="25"/>
  <c r="M9" i="25"/>
  <c r="L9" i="25"/>
  <c r="K9" i="25"/>
  <c r="J9" i="25"/>
  <c r="I9" i="25"/>
  <c r="H9" i="25"/>
  <c r="G9" i="25"/>
  <c r="F9" i="25"/>
  <c r="E9" i="25"/>
  <c r="D9" i="25"/>
  <c r="C9" i="25"/>
  <c r="W8" i="25"/>
  <c r="V8" i="25"/>
  <c r="U8" i="25"/>
  <c r="T8" i="25"/>
  <c r="S8" i="25"/>
  <c r="R8" i="25"/>
  <c r="Q8" i="25"/>
  <c r="P8" i="25"/>
  <c r="O8" i="25"/>
  <c r="N8" i="25"/>
  <c r="M8" i="25"/>
  <c r="L8" i="25"/>
  <c r="K8" i="25"/>
  <c r="J8" i="25"/>
  <c r="I8" i="25"/>
  <c r="H8" i="25"/>
  <c r="G8" i="25"/>
  <c r="F8" i="25"/>
  <c r="E8" i="25"/>
  <c r="D8" i="25"/>
  <c r="C8" i="25"/>
  <c r="W7" i="25"/>
  <c r="V7" i="25"/>
  <c r="U7" i="25"/>
  <c r="T7" i="25"/>
  <c r="S7" i="25"/>
  <c r="R7" i="25"/>
  <c r="Q7" i="25"/>
  <c r="P7" i="25"/>
  <c r="O7" i="25"/>
  <c r="N7" i="25"/>
  <c r="M7" i="25"/>
  <c r="L7" i="25"/>
  <c r="K7" i="25"/>
  <c r="J7" i="25"/>
  <c r="I7" i="25"/>
  <c r="H7" i="25"/>
  <c r="G7" i="25"/>
  <c r="F7" i="25"/>
  <c r="E7" i="25"/>
  <c r="D7" i="25"/>
  <c r="C7" i="25"/>
  <c r="W6" i="25"/>
  <c r="V6" i="25"/>
  <c r="U6" i="25"/>
  <c r="T6" i="25"/>
  <c r="S6" i="25"/>
  <c r="R6" i="25"/>
  <c r="Q6" i="25"/>
  <c r="P6" i="25"/>
  <c r="O6" i="25"/>
  <c r="N6" i="25"/>
  <c r="M6" i="25"/>
  <c r="L6" i="25"/>
  <c r="K6" i="25"/>
  <c r="J6" i="25"/>
  <c r="I6" i="25"/>
  <c r="H6" i="25"/>
  <c r="G6" i="25"/>
  <c r="F6" i="25"/>
  <c r="E6" i="25"/>
  <c r="D6" i="25"/>
  <c r="C6" i="25"/>
  <c r="W40" i="26"/>
  <c r="V40" i="26"/>
  <c r="U40" i="26"/>
  <c r="T40" i="26"/>
  <c r="S40" i="26"/>
  <c r="R40" i="26"/>
  <c r="Q40" i="26"/>
  <c r="P40" i="26"/>
  <c r="O40" i="26"/>
  <c r="N40" i="26"/>
  <c r="M40" i="26"/>
  <c r="L40" i="26"/>
  <c r="K40" i="26"/>
  <c r="J40" i="26"/>
  <c r="I40" i="26"/>
  <c r="H40" i="26"/>
  <c r="G40" i="26"/>
  <c r="F40" i="26"/>
  <c r="E40" i="26"/>
  <c r="D40" i="26"/>
  <c r="C40" i="26"/>
  <c r="W39" i="26"/>
  <c r="V39" i="26"/>
  <c r="U39" i="26"/>
  <c r="T39" i="26"/>
  <c r="S39" i="26"/>
  <c r="R39" i="26"/>
  <c r="Q39" i="26"/>
  <c r="P39" i="26"/>
  <c r="O39" i="26"/>
  <c r="N39" i="26"/>
  <c r="M39" i="26"/>
  <c r="L39" i="26"/>
  <c r="K39" i="26"/>
  <c r="J39" i="26"/>
  <c r="I39" i="26"/>
  <c r="H39" i="26"/>
  <c r="G39" i="26"/>
  <c r="F39" i="26"/>
  <c r="E39" i="26"/>
  <c r="D39" i="26"/>
  <c r="C39" i="26"/>
  <c r="W38" i="26"/>
  <c r="V38" i="26"/>
  <c r="U38" i="26"/>
  <c r="T38" i="26"/>
  <c r="S38" i="26"/>
  <c r="R38" i="26"/>
  <c r="Q38" i="26"/>
  <c r="P38" i="26"/>
  <c r="O38" i="26"/>
  <c r="N38" i="26"/>
  <c r="M38" i="26"/>
  <c r="L38" i="26"/>
  <c r="K38" i="26"/>
  <c r="J38" i="26"/>
  <c r="I38" i="26"/>
  <c r="H38" i="26"/>
  <c r="G38" i="26"/>
  <c r="F38" i="26"/>
  <c r="E38" i="26"/>
  <c r="D38" i="26"/>
  <c r="C38" i="26"/>
  <c r="W37" i="26"/>
  <c r="V37" i="26"/>
  <c r="U37" i="26"/>
  <c r="T37" i="26"/>
  <c r="S37" i="26"/>
  <c r="R37" i="26"/>
  <c r="Q37" i="26"/>
  <c r="P37" i="26"/>
  <c r="O37" i="26"/>
  <c r="N37" i="26"/>
  <c r="M37" i="26"/>
  <c r="L37" i="26"/>
  <c r="K37" i="26"/>
  <c r="J37" i="26"/>
  <c r="I37" i="26"/>
  <c r="H37" i="26"/>
  <c r="G37" i="26"/>
  <c r="F37" i="26"/>
  <c r="E37" i="26"/>
  <c r="D37" i="26"/>
  <c r="C37" i="26"/>
  <c r="W36" i="26"/>
  <c r="V36" i="26"/>
  <c r="U36" i="26"/>
  <c r="T36" i="26"/>
  <c r="S36" i="26"/>
  <c r="R36" i="26"/>
  <c r="Q36" i="26"/>
  <c r="P36" i="26"/>
  <c r="O36" i="26"/>
  <c r="N36" i="26"/>
  <c r="M36" i="26"/>
  <c r="L36" i="26"/>
  <c r="K36" i="26"/>
  <c r="J36" i="26"/>
  <c r="I36" i="26"/>
  <c r="H36" i="26"/>
  <c r="G36" i="26"/>
  <c r="F36" i="26"/>
  <c r="E36" i="26"/>
  <c r="D36" i="26"/>
  <c r="C36" i="26"/>
  <c r="W35" i="26"/>
  <c r="V35" i="26"/>
  <c r="U35" i="26"/>
  <c r="T35" i="26"/>
  <c r="S35" i="26"/>
  <c r="R35" i="26"/>
  <c r="Q35" i="26"/>
  <c r="P35" i="26"/>
  <c r="O35" i="26"/>
  <c r="N35" i="26"/>
  <c r="M35" i="26"/>
  <c r="L35" i="26"/>
  <c r="K35" i="26"/>
  <c r="J35" i="26"/>
  <c r="I35" i="26"/>
  <c r="H35" i="26"/>
  <c r="G35" i="26"/>
  <c r="F35" i="26"/>
  <c r="E35" i="26"/>
  <c r="D35" i="26"/>
  <c r="C35" i="26"/>
  <c r="W34" i="26"/>
  <c r="V34" i="26"/>
  <c r="U34" i="26"/>
  <c r="T34" i="26"/>
  <c r="S34" i="26"/>
  <c r="R34" i="26"/>
  <c r="Q34" i="26"/>
  <c r="P34" i="26"/>
  <c r="O34" i="26"/>
  <c r="N34" i="26"/>
  <c r="M34" i="26"/>
  <c r="L34" i="26"/>
  <c r="K34" i="26"/>
  <c r="J34" i="26"/>
  <c r="I34" i="26"/>
  <c r="H34" i="26"/>
  <c r="G34" i="26"/>
  <c r="F34" i="26"/>
  <c r="E34" i="26"/>
  <c r="D34" i="26"/>
  <c r="C34" i="26"/>
  <c r="W33" i="26"/>
  <c r="V33" i="26"/>
  <c r="U33" i="26"/>
  <c r="T33" i="26"/>
  <c r="S33" i="26"/>
  <c r="R33" i="26"/>
  <c r="Q33" i="26"/>
  <c r="P33" i="26"/>
  <c r="O33" i="26"/>
  <c r="N33" i="26"/>
  <c r="M33" i="26"/>
  <c r="L33" i="26"/>
  <c r="K33" i="26"/>
  <c r="J33" i="26"/>
  <c r="I33" i="26"/>
  <c r="H33" i="26"/>
  <c r="G33" i="26"/>
  <c r="F33" i="26"/>
  <c r="E33" i="26"/>
  <c r="D33" i="26"/>
  <c r="C33" i="26"/>
  <c r="W32" i="26"/>
  <c r="V32" i="26"/>
  <c r="U32" i="26"/>
  <c r="T32" i="26"/>
  <c r="S32" i="26"/>
  <c r="R32" i="26"/>
  <c r="Q32" i="26"/>
  <c r="P32" i="26"/>
  <c r="O32" i="26"/>
  <c r="N32" i="26"/>
  <c r="M32" i="26"/>
  <c r="L32" i="26"/>
  <c r="K32" i="26"/>
  <c r="J32" i="26"/>
  <c r="I32" i="26"/>
  <c r="H32" i="26"/>
  <c r="G32" i="26"/>
  <c r="F32" i="26"/>
  <c r="E32" i="26"/>
  <c r="D32" i="26"/>
  <c r="C32" i="26"/>
  <c r="W31" i="26"/>
  <c r="V31" i="26"/>
  <c r="U31" i="26"/>
  <c r="T31" i="26"/>
  <c r="S31" i="26"/>
  <c r="R31" i="26"/>
  <c r="Q31" i="26"/>
  <c r="P31" i="26"/>
  <c r="O31" i="26"/>
  <c r="N31" i="26"/>
  <c r="M31" i="26"/>
  <c r="L31" i="26"/>
  <c r="K31" i="26"/>
  <c r="J31" i="26"/>
  <c r="I31" i="26"/>
  <c r="H31" i="26"/>
  <c r="G31" i="26"/>
  <c r="F31" i="26"/>
  <c r="E31" i="26"/>
  <c r="D31" i="26"/>
  <c r="C31" i="26"/>
  <c r="W30" i="26"/>
  <c r="V30" i="26"/>
  <c r="U30" i="26"/>
  <c r="T30" i="26"/>
  <c r="S30" i="26"/>
  <c r="R30" i="26"/>
  <c r="Q30" i="26"/>
  <c r="P30" i="26"/>
  <c r="O30" i="26"/>
  <c r="N30" i="26"/>
  <c r="M30" i="26"/>
  <c r="L30" i="26"/>
  <c r="K30" i="26"/>
  <c r="J30" i="26"/>
  <c r="I30" i="26"/>
  <c r="H30" i="26"/>
  <c r="G30" i="26"/>
  <c r="F30" i="26"/>
  <c r="E30" i="26"/>
  <c r="D30" i="26"/>
  <c r="C30" i="26"/>
  <c r="W29" i="26"/>
  <c r="V29" i="26"/>
  <c r="U29" i="26"/>
  <c r="T29" i="26"/>
  <c r="S29" i="26"/>
  <c r="R29" i="26"/>
  <c r="Q29" i="26"/>
  <c r="P29" i="26"/>
  <c r="O29" i="26"/>
  <c r="N29" i="26"/>
  <c r="M29" i="26"/>
  <c r="L29" i="26"/>
  <c r="K29" i="26"/>
  <c r="J29" i="26"/>
  <c r="I29" i="26"/>
  <c r="H29" i="26"/>
  <c r="G29" i="26"/>
  <c r="F29" i="26"/>
  <c r="E29" i="26"/>
  <c r="D29" i="26"/>
  <c r="C29" i="26"/>
  <c r="W28" i="26"/>
  <c r="V28" i="26"/>
  <c r="U28" i="26"/>
  <c r="T28" i="26"/>
  <c r="S28" i="26"/>
  <c r="R28" i="26"/>
  <c r="Q28" i="26"/>
  <c r="P28" i="26"/>
  <c r="O28" i="26"/>
  <c r="N28" i="26"/>
  <c r="M28" i="26"/>
  <c r="L28" i="26"/>
  <c r="K28" i="26"/>
  <c r="J28" i="26"/>
  <c r="I28" i="26"/>
  <c r="H28" i="26"/>
  <c r="G28" i="26"/>
  <c r="F28" i="26"/>
  <c r="E28" i="26"/>
  <c r="D28" i="26"/>
  <c r="C28" i="26"/>
  <c r="W27" i="26"/>
  <c r="V27" i="26"/>
  <c r="U27" i="26"/>
  <c r="T27" i="26"/>
  <c r="S27" i="26"/>
  <c r="R27" i="26"/>
  <c r="Q27" i="26"/>
  <c r="P27" i="26"/>
  <c r="O27" i="26"/>
  <c r="N27" i="26"/>
  <c r="M27" i="26"/>
  <c r="L27" i="26"/>
  <c r="K27" i="26"/>
  <c r="J27" i="26"/>
  <c r="I27" i="26"/>
  <c r="H27" i="26"/>
  <c r="G27" i="26"/>
  <c r="F27" i="26"/>
  <c r="E27" i="26"/>
  <c r="D27" i="26"/>
  <c r="C27" i="26"/>
  <c r="W26" i="26"/>
  <c r="V26" i="26"/>
  <c r="U26" i="26"/>
  <c r="T26" i="26"/>
  <c r="S26" i="26"/>
  <c r="R26" i="26"/>
  <c r="Q26" i="26"/>
  <c r="P26" i="26"/>
  <c r="O26" i="26"/>
  <c r="N26" i="26"/>
  <c r="M26" i="26"/>
  <c r="L26" i="26"/>
  <c r="K26" i="26"/>
  <c r="J26" i="26"/>
  <c r="I26" i="26"/>
  <c r="H26" i="26"/>
  <c r="G26" i="26"/>
  <c r="F26" i="26"/>
  <c r="E26" i="26"/>
  <c r="D26" i="26"/>
  <c r="C26" i="26"/>
  <c r="W25" i="26"/>
  <c r="V25" i="26"/>
  <c r="U25" i="26"/>
  <c r="T25" i="26"/>
  <c r="S25" i="26"/>
  <c r="R25" i="26"/>
  <c r="Q25" i="26"/>
  <c r="P25" i="26"/>
  <c r="O25" i="26"/>
  <c r="N25" i="26"/>
  <c r="M25" i="26"/>
  <c r="L25" i="26"/>
  <c r="K25" i="26"/>
  <c r="J25" i="26"/>
  <c r="I25" i="26"/>
  <c r="H25" i="26"/>
  <c r="G25" i="26"/>
  <c r="F25" i="26"/>
  <c r="E25" i="26"/>
  <c r="D25" i="26"/>
  <c r="C25" i="26"/>
  <c r="W24" i="26"/>
  <c r="V24" i="26"/>
  <c r="U24" i="26"/>
  <c r="T24" i="26"/>
  <c r="S24" i="26"/>
  <c r="R24" i="26"/>
  <c r="Q24" i="26"/>
  <c r="P24" i="26"/>
  <c r="O24" i="26"/>
  <c r="N24" i="26"/>
  <c r="M24" i="26"/>
  <c r="L24" i="26"/>
  <c r="K24" i="26"/>
  <c r="J24" i="26"/>
  <c r="I24" i="26"/>
  <c r="H24" i="26"/>
  <c r="G24" i="26"/>
  <c r="F24" i="26"/>
  <c r="E24" i="26"/>
  <c r="D24" i="26"/>
  <c r="C24" i="26"/>
  <c r="W23" i="26"/>
  <c r="V23" i="26"/>
  <c r="U23" i="26"/>
  <c r="T23" i="26"/>
  <c r="S23" i="26"/>
  <c r="R23" i="26"/>
  <c r="Q23" i="26"/>
  <c r="P23" i="26"/>
  <c r="O23" i="26"/>
  <c r="N23" i="26"/>
  <c r="M23" i="26"/>
  <c r="L23" i="26"/>
  <c r="K23" i="26"/>
  <c r="J23" i="26"/>
  <c r="I23" i="26"/>
  <c r="H23" i="26"/>
  <c r="G23" i="26"/>
  <c r="F23" i="26"/>
  <c r="E23" i="26"/>
  <c r="D23" i="26"/>
  <c r="C23" i="26"/>
  <c r="W22" i="26"/>
  <c r="V22" i="26"/>
  <c r="U22" i="26"/>
  <c r="T22" i="26"/>
  <c r="S22" i="26"/>
  <c r="R22" i="26"/>
  <c r="Q22" i="26"/>
  <c r="P22" i="26"/>
  <c r="O22" i="26"/>
  <c r="N22" i="26"/>
  <c r="M22" i="26"/>
  <c r="L22" i="26"/>
  <c r="K22" i="26"/>
  <c r="J22" i="26"/>
  <c r="I22" i="26"/>
  <c r="H22" i="26"/>
  <c r="G22" i="26"/>
  <c r="F22" i="26"/>
  <c r="E22" i="26"/>
  <c r="D22" i="26"/>
  <c r="C22" i="26"/>
  <c r="W21" i="26"/>
  <c r="V21" i="26"/>
  <c r="U21" i="26"/>
  <c r="T21" i="26"/>
  <c r="S21" i="26"/>
  <c r="R21" i="26"/>
  <c r="Q21" i="26"/>
  <c r="P21" i="26"/>
  <c r="O21" i="26"/>
  <c r="N21" i="26"/>
  <c r="M21" i="26"/>
  <c r="L21" i="26"/>
  <c r="K21" i="26"/>
  <c r="J21" i="26"/>
  <c r="I21" i="26"/>
  <c r="H21" i="26"/>
  <c r="G21" i="26"/>
  <c r="F21" i="26"/>
  <c r="E21" i="26"/>
  <c r="D21" i="26"/>
  <c r="C21" i="26"/>
  <c r="W20" i="26"/>
  <c r="V20" i="26"/>
  <c r="U20" i="26"/>
  <c r="T20" i="26"/>
  <c r="S20" i="26"/>
  <c r="R20" i="26"/>
  <c r="Q20" i="26"/>
  <c r="P20" i="26"/>
  <c r="O20" i="26"/>
  <c r="N20" i="26"/>
  <c r="M20" i="26"/>
  <c r="L20" i="26"/>
  <c r="K20" i="26"/>
  <c r="J20" i="26"/>
  <c r="I20" i="26"/>
  <c r="H20" i="26"/>
  <c r="G20" i="26"/>
  <c r="F20" i="26"/>
  <c r="E20" i="26"/>
  <c r="D20" i="26"/>
  <c r="C20" i="26"/>
  <c r="W19" i="26"/>
  <c r="V19" i="26"/>
  <c r="U19" i="26"/>
  <c r="T19" i="26"/>
  <c r="S19" i="26"/>
  <c r="R19" i="26"/>
  <c r="Q19" i="26"/>
  <c r="P19" i="26"/>
  <c r="O19" i="26"/>
  <c r="N19" i="26"/>
  <c r="M19" i="26"/>
  <c r="L19" i="26"/>
  <c r="K19" i="26"/>
  <c r="J19" i="26"/>
  <c r="I19" i="26"/>
  <c r="H19" i="26"/>
  <c r="G19" i="26"/>
  <c r="F19" i="26"/>
  <c r="E19" i="26"/>
  <c r="D19" i="26"/>
  <c r="C19" i="26"/>
  <c r="W18" i="26"/>
  <c r="V18" i="26"/>
  <c r="U18" i="26"/>
  <c r="T18" i="26"/>
  <c r="S18" i="26"/>
  <c r="R18" i="26"/>
  <c r="Q18" i="26"/>
  <c r="P18" i="26"/>
  <c r="O18" i="26"/>
  <c r="N18" i="26"/>
  <c r="M18" i="26"/>
  <c r="L18" i="26"/>
  <c r="K18" i="26"/>
  <c r="J18" i="26"/>
  <c r="I18" i="26"/>
  <c r="H18" i="26"/>
  <c r="G18" i="26"/>
  <c r="F18" i="26"/>
  <c r="E18" i="26"/>
  <c r="D18" i="26"/>
  <c r="C18" i="26"/>
  <c r="W17" i="26"/>
  <c r="V17" i="26"/>
  <c r="U17" i="26"/>
  <c r="T17" i="26"/>
  <c r="S17" i="26"/>
  <c r="R17" i="26"/>
  <c r="Q17" i="26"/>
  <c r="P17" i="26"/>
  <c r="O17" i="26"/>
  <c r="N17" i="26"/>
  <c r="M17" i="26"/>
  <c r="L17" i="26"/>
  <c r="K17" i="26"/>
  <c r="J17" i="26"/>
  <c r="I17" i="26"/>
  <c r="H17" i="26"/>
  <c r="G17" i="26"/>
  <c r="F17" i="26"/>
  <c r="E17" i="26"/>
  <c r="D17" i="26"/>
  <c r="C17" i="26"/>
  <c r="W16" i="26"/>
  <c r="V16" i="26"/>
  <c r="U16" i="26"/>
  <c r="T16" i="26"/>
  <c r="S16" i="26"/>
  <c r="R16" i="26"/>
  <c r="Q16" i="26"/>
  <c r="P16" i="26"/>
  <c r="O16" i="26"/>
  <c r="N16" i="26"/>
  <c r="M16" i="26"/>
  <c r="L16" i="26"/>
  <c r="K16" i="26"/>
  <c r="J16" i="26"/>
  <c r="I16" i="26"/>
  <c r="H16" i="26"/>
  <c r="G16" i="26"/>
  <c r="F16" i="26"/>
  <c r="E16" i="26"/>
  <c r="D16" i="26"/>
  <c r="C16" i="26"/>
  <c r="W15" i="26"/>
  <c r="V15" i="26"/>
  <c r="U15" i="26"/>
  <c r="T15" i="26"/>
  <c r="S15" i="26"/>
  <c r="R15" i="26"/>
  <c r="Q15" i="26"/>
  <c r="P15" i="26"/>
  <c r="O15" i="26"/>
  <c r="N15" i="26"/>
  <c r="M15" i="26"/>
  <c r="L15" i="26"/>
  <c r="K15" i="26"/>
  <c r="J15" i="26"/>
  <c r="I15" i="26"/>
  <c r="H15" i="26"/>
  <c r="G15" i="26"/>
  <c r="F15" i="26"/>
  <c r="E15" i="26"/>
  <c r="D15" i="26"/>
  <c r="C15" i="26"/>
  <c r="W14" i="26"/>
  <c r="V14" i="26"/>
  <c r="U14" i="26"/>
  <c r="T14" i="26"/>
  <c r="S14" i="26"/>
  <c r="R14" i="26"/>
  <c r="Q14" i="26"/>
  <c r="P14" i="26"/>
  <c r="O14" i="26"/>
  <c r="N14" i="26"/>
  <c r="M14" i="26"/>
  <c r="L14" i="26"/>
  <c r="K14" i="26"/>
  <c r="J14" i="26"/>
  <c r="I14" i="26"/>
  <c r="H14" i="26"/>
  <c r="G14" i="26"/>
  <c r="F14" i="26"/>
  <c r="E14" i="26"/>
  <c r="D14" i="26"/>
  <c r="C14" i="26"/>
  <c r="W13" i="26"/>
  <c r="V13" i="26"/>
  <c r="U13" i="26"/>
  <c r="T13" i="26"/>
  <c r="S13" i="26"/>
  <c r="R13" i="26"/>
  <c r="Q13" i="26"/>
  <c r="P13" i="26"/>
  <c r="O13" i="26"/>
  <c r="N13" i="26"/>
  <c r="M13" i="26"/>
  <c r="L13" i="26"/>
  <c r="K13" i="26"/>
  <c r="J13" i="26"/>
  <c r="I13" i="26"/>
  <c r="H13" i="26"/>
  <c r="G13" i="26"/>
  <c r="F13" i="26"/>
  <c r="E13" i="26"/>
  <c r="D13" i="26"/>
  <c r="C13" i="26"/>
  <c r="W12" i="26"/>
  <c r="V12" i="26"/>
  <c r="U12" i="26"/>
  <c r="T12" i="26"/>
  <c r="S12" i="26"/>
  <c r="R12" i="26"/>
  <c r="Q12" i="26"/>
  <c r="P12" i="26"/>
  <c r="O12" i="26"/>
  <c r="N12" i="26"/>
  <c r="M12" i="26"/>
  <c r="L12" i="26"/>
  <c r="K12" i="26"/>
  <c r="J12" i="26"/>
  <c r="I12" i="26"/>
  <c r="H12" i="26"/>
  <c r="G12" i="26"/>
  <c r="F12" i="26"/>
  <c r="E12" i="26"/>
  <c r="D12" i="26"/>
  <c r="C12" i="26"/>
  <c r="W11" i="26"/>
  <c r="V11" i="26"/>
  <c r="U11" i="26"/>
  <c r="T11" i="26"/>
  <c r="S11" i="26"/>
  <c r="R11" i="26"/>
  <c r="Q11" i="26"/>
  <c r="P11" i="26"/>
  <c r="O11" i="26"/>
  <c r="N11" i="26"/>
  <c r="M11" i="26"/>
  <c r="L11" i="26"/>
  <c r="K11" i="26"/>
  <c r="J11" i="26"/>
  <c r="I11" i="26"/>
  <c r="H11" i="26"/>
  <c r="G11" i="26"/>
  <c r="F11" i="26"/>
  <c r="E11" i="26"/>
  <c r="D11" i="26"/>
  <c r="C11" i="26"/>
  <c r="W10" i="26"/>
  <c r="V10" i="26"/>
  <c r="U10" i="26"/>
  <c r="T10" i="26"/>
  <c r="S10" i="26"/>
  <c r="R10" i="26"/>
  <c r="Q10" i="26"/>
  <c r="P10" i="26"/>
  <c r="O10" i="26"/>
  <c r="N10" i="26"/>
  <c r="M10" i="26"/>
  <c r="L10" i="26"/>
  <c r="K10" i="26"/>
  <c r="J10" i="26"/>
  <c r="I10" i="26"/>
  <c r="H10" i="26"/>
  <c r="G10" i="26"/>
  <c r="F10" i="26"/>
  <c r="E10" i="26"/>
  <c r="D10" i="26"/>
  <c r="C10" i="26"/>
  <c r="W9" i="26"/>
  <c r="V9" i="26"/>
  <c r="U9" i="26"/>
  <c r="T9" i="26"/>
  <c r="S9" i="26"/>
  <c r="R9" i="26"/>
  <c r="Q9" i="26"/>
  <c r="P9" i="26"/>
  <c r="O9" i="26"/>
  <c r="N9" i="26"/>
  <c r="M9" i="26"/>
  <c r="L9" i="26"/>
  <c r="K9" i="26"/>
  <c r="J9" i="26"/>
  <c r="I9" i="26"/>
  <c r="H9" i="26"/>
  <c r="G9" i="26"/>
  <c r="F9" i="26"/>
  <c r="E9" i="26"/>
  <c r="D9" i="26"/>
  <c r="C9" i="26"/>
  <c r="W8" i="26"/>
  <c r="V8" i="26"/>
  <c r="U8" i="26"/>
  <c r="T8" i="26"/>
  <c r="S8" i="26"/>
  <c r="R8" i="26"/>
  <c r="Q8" i="26"/>
  <c r="P8" i="26"/>
  <c r="O8" i="26"/>
  <c r="N8" i="26"/>
  <c r="M8" i="26"/>
  <c r="L8" i="26"/>
  <c r="K8" i="26"/>
  <c r="J8" i="26"/>
  <c r="I8" i="26"/>
  <c r="H8" i="26"/>
  <c r="G8" i="26"/>
  <c r="F8" i="26"/>
  <c r="E8" i="26"/>
  <c r="D8" i="26"/>
  <c r="C8" i="26"/>
  <c r="W7" i="26"/>
  <c r="V7" i="26"/>
  <c r="U7" i="26"/>
  <c r="T7" i="26"/>
  <c r="S7" i="26"/>
  <c r="R7" i="26"/>
  <c r="Q7" i="26"/>
  <c r="P7" i="26"/>
  <c r="O7" i="26"/>
  <c r="N7" i="26"/>
  <c r="M7" i="26"/>
  <c r="L7" i="26"/>
  <c r="K7" i="26"/>
  <c r="J7" i="26"/>
  <c r="I7" i="26"/>
  <c r="H7" i="26"/>
  <c r="G7" i="26"/>
  <c r="F7" i="26"/>
  <c r="E7" i="26"/>
  <c r="D7" i="26"/>
  <c r="C7" i="26"/>
  <c r="W6" i="26"/>
  <c r="V6" i="26"/>
  <c r="U6" i="26"/>
  <c r="T6" i="26"/>
  <c r="S6" i="26"/>
  <c r="R6" i="26"/>
  <c r="Q6" i="26"/>
  <c r="P6" i="26"/>
  <c r="O6" i="26"/>
  <c r="N6" i="26"/>
  <c r="M6" i="26"/>
  <c r="L6" i="26"/>
  <c r="K6" i="26"/>
  <c r="J6" i="26"/>
  <c r="I6" i="26"/>
  <c r="H6" i="26"/>
  <c r="G6" i="26"/>
  <c r="F6" i="26"/>
  <c r="E6" i="26"/>
  <c r="D6" i="26"/>
  <c r="C6" i="26"/>
  <c r="W40" i="27"/>
  <c r="V40" i="27"/>
  <c r="U40" i="27"/>
  <c r="T40" i="27"/>
  <c r="S40" i="27"/>
  <c r="R40" i="27"/>
  <c r="Q40" i="27"/>
  <c r="P40" i="27"/>
  <c r="O40" i="27"/>
  <c r="N40" i="27"/>
  <c r="M40" i="27"/>
  <c r="L40" i="27"/>
  <c r="K40" i="27"/>
  <c r="J40" i="27"/>
  <c r="I40" i="27"/>
  <c r="H40" i="27"/>
  <c r="G40" i="27"/>
  <c r="F40" i="27"/>
  <c r="E40" i="27"/>
  <c r="D40" i="27"/>
  <c r="C40" i="27"/>
  <c r="W39" i="27"/>
  <c r="V39" i="27"/>
  <c r="U39" i="27"/>
  <c r="T39" i="27"/>
  <c r="S39" i="27"/>
  <c r="R39" i="27"/>
  <c r="Q39" i="27"/>
  <c r="P39" i="27"/>
  <c r="O39" i="27"/>
  <c r="N39" i="27"/>
  <c r="M39" i="27"/>
  <c r="L39" i="27"/>
  <c r="K39" i="27"/>
  <c r="J39" i="27"/>
  <c r="I39" i="27"/>
  <c r="H39" i="27"/>
  <c r="G39" i="27"/>
  <c r="F39" i="27"/>
  <c r="E39" i="27"/>
  <c r="D39" i="27"/>
  <c r="C39" i="27"/>
  <c r="W38" i="27"/>
  <c r="V38" i="27"/>
  <c r="U38" i="27"/>
  <c r="T38" i="27"/>
  <c r="S38" i="27"/>
  <c r="R38" i="27"/>
  <c r="Q38" i="27"/>
  <c r="P38" i="27"/>
  <c r="O38" i="27"/>
  <c r="N38" i="27"/>
  <c r="M38" i="27"/>
  <c r="L38" i="27"/>
  <c r="K38" i="27"/>
  <c r="J38" i="27"/>
  <c r="I38" i="27"/>
  <c r="H38" i="27"/>
  <c r="G38" i="27"/>
  <c r="F38" i="27"/>
  <c r="E38" i="27"/>
  <c r="D38" i="27"/>
  <c r="C38" i="27"/>
  <c r="W37" i="27"/>
  <c r="V37" i="27"/>
  <c r="U37" i="27"/>
  <c r="T37" i="27"/>
  <c r="S37" i="27"/>
  <c r="R37" i="27"/>
  <c r="Q37" i="27"/>
  <c r="P37" i="27"/>
  <c r="O37" i="27"/>
  <c r="N37" i="27"/>
  <c r="M37" i="27"/>
  <c r="L37" i="27"/>
  <c r="K37" i="27"/>
  <c r="J37" i="27"/>
  <c r="I37" i="27"/>
  <c r="H37" i="27"/>
  <c r="G37" i="27"/>
  <c r="F37" i="27"/>
  <c r="E37" i="27"/>
  <c r="D37" i="27"/>
  <c r="C37" i="27"/>
  <c r="W36" i="27"/>
  <c r="V36" i="27"/>
  <c r="U36" i="27"/>
  <c r="T36" i="27"/>
  <c r="S36" i="27"/>
  <c r="R36" i="27"/>
  <c r="Q36" i="27"/>
  <c r="P36" i="27"/>
  <c r="O36" i="27"/>
  <c r="N36" i="27"/>
  <c r="M36" i="27"/>
  <c r="L36" i="27"/>
  <c r="K36" i="27"/>
  <c r="J36" i="27"/>
  <c r="I36" i="27"/>
  <c r="H36" i="27"/>
  <c r="G36" i="27"/>
  <c r="F36" i="27"/>
  <c r="E36" i="27"/>
  <c r="D36" i="27"/>
  <c r="C36" i="27"/>
  <c r="W35" i="27"/>
  <c r="V35" i="27"/>
  <c r="U35" i="27"/>
  <c r="T35" i="27"/>
  <c r="S35" i="27"/>
  <c r="R35" i="27"/>
  <c r="Q35" i="27"/>
  <c r="P35" i="27"/>
  <c r="O35" i="27"/>
  <c r="N35" i="27"/>
  <c r="M35" i="27"/>
  <c r="L35" i="27"/>
  <c r="K35" i="27"/>
  <c r="J35" i="27"/>
  <c r="I35" i="27"/>
  <c r="H35" i="27"/>
  <c r="G35" i="27"/>
  <c r="F35" i="27"/>
  <c r="E35" i="27"/>
  <c r="D35" i="27"/>
  <c r="C35" i="27"/>
  <c r="W34" i="27"/>
  <c r="V34" i="27"/>
  <c r="U34" i="27"/>
  <c r="T34" i="27"/>
  <c r="S34" i="27"/>
  <c r="R34" i="27"/>
  <c r="Q34" i="27"/>
  <c r="P34" i="27"/>
  <c r="O34" i="27"/>
  <c r="N34" i="27"/>
  <c r="M34" i="27"/>
  <c r="L34" i="27"/>
  <c r="K34" i="27"/>
  <c r="J34" i="27"/>
  <c r="I34" i="27"/>
  <c r="H34" i="27"/>
  <c r="G34" i="27"/>
  <c r="F34" i="27"/>
  <c r="E34" i="27"/>
  <c r="D34" i="27"/>
  <c r="C34" i="27"/>
  <c r="W33" i="27"/>
  <c r="V33" i="27"/>
  <c r="U33" i="27"/>
  <c r="T33" i="27"/>
  <c r="S33" i="27"/>
  <c r="R33" i="27"/>
  <c r="Q33" i="27"/>
  <c r="P33" i="27"/>
  <c r="O33" i="27"/>
  <c r="N33" i="27"/>
  <c r="M33" i="27"/>
  <c r="L33" i="27"/>
  <c r="K33" i="27"/>
  <c r="J33" i="27"/>
  <c r="I33" i="27"/>
  <c r="H33" i="27"/>
  <c r="G33" i="27"/>
  <c r="F33" i="27"/>
  <c r="E33" i="27"/>
  <c r="D33" i="27"/>
  <c r="C33" i="27"/>
  <c r="W32" i="27"/>
  <c r="V32" i="27"/>
  <c r="U32" i="27"/>
  <c r="T32" i="27"/>
  <c r="S32" i="27"/>
  <c r="R32" i="27"/>
  <c r="Q32" i="27"/>
  <c r="P32" i="27"/>
  <c r="O32" i="27"/>
  <c r="N32" i="27"/>
  <c r="M32" i="27"/>
  <c r="L32" i="27"/>
  <c r="K32" i="27"/>
  <c r="J32" i="27"/>
  <c r="I32" i="27"/>
  <c r="H32" i="27"/>
  <c r="G32" i="27"/>
  <c r="F32" i="27"/>
  <c r="E32" i="27"/>
  <c r="D32" i="27"/>
  <c r="C32" i="27"/>
  <c r="W31" i="27"/>
  <c r="V31" i="27"/>
  <c r="U31" i="27"/>
  <c r="T31" i="27"/>
  <c r="S31" i="27"/>
  <c r="R31" i="27"/>
  <c r="Q31" i="27"/>
  <c r="P31" i="27"/>
  <c r="O31" i="27"/>
  <c r="N31" i="27"/>
  <c r="M31" i="27"/>
  <c r="L31" i="27"/>
  <c r="K31" i="27"/>
  <c r="J31" i="27"/>
  <c r="I31" i="27"/>
  <c r="H31" i="27"/>
  <c r="G31" i="27"/>
  <c r="F31" i="27"/>
  <c r="E31" i="27"/>
  <c r="D31" i="27"/>
  <c r="C31" i="27"/>
  <c r="W30" i="27"/>
  <c r="V30" i="27"/>
  <c r="U30" i="27"/>
  <c r="T30" i="27"/>
  <c r="S30" i="27"/>
  <c r="R30" i="27"/>
  <c r="Q30" i="27"/>
  <c r="P30" i="27"/>
  <c r="O30" i="27"/>
  <c r="N30" i="27"/>
  <c r="M30" i="27"/>
  <c r="L30" i="27"/>
  <c r="K30" i="27"/>
  <c r="J30" i="27"/>
  <c r="I30" i="27"/>
  <c r="H30" i="27"/>
  <c r="G30" i="27"/>
  <c r="F30" i="27"/>
  <c r="E30" i="27"/>
  <c r="D30" i="27"/>
  <c r="C30" i="27"/>
  <c r="W29" i="27"/>
  <c r="V29" i="27"/>
  <c r="U29" i="27"/>
  <c r="T29" i="27"/>
  <c r="S29" i="27"/>
  <c r="R29" i="27"/>
  <c r="Q29" i="27"/>
  <c r="P29" i="27"/>
  <c r="O29" i="27"/>
  <c r="N29" i="27"/>
  <c r="M29" i="27"/>
  <c r="L29" i="27"/>
  <c r="K29" i="27"/>
  <c r="J29" i="27"/>
  <c r="I29" i="27"/>
  <c r="H29" i="27"/>
  <c r="G29" i="27"/>
  <c r="F29" i="27"/>
  <c r="E29" i="27"/>
  <c r="D29" i="27"/>
  <c r="C29" i="27"/>
  <c r="W28" i="27"/>
  <c r="V28" i="27"/>
  <c r="U28" i="27"/>
  <c r="T28" i="27"/>
  <c r="S28" i="27"/>
  <c r="R28" i="27"/>
  <c r="Q28" i="27"/>
  <c r="P28" i="27"/>
  <c r="O28" i="27"/>
  <c r="N28" i="27"/>
  <c r="M28" i="27"/>
  <c r="L28" i="27"/>
  <c r="K28" i="27"/>
  <c r="J28" i="27"/>
  <c r="I28" i="27"/>
  <c r="H28" i="27"/>
  <c r="G28" i="27"/>
  <c r="F28" i="27"/>
  <c r="E28" i="27"/>
  <c r="D28" i="27"/>
  <c r="C28" i="27"/>
  <c r="W27" i="27"/>
  <c r="V27" i="27"/>
  <c r="U27" i="27"/>
  <c r="T27" i="27"/>
  <c r="S27" i="27"/>
  <c r="R27" i="27"/>
  <c r="Q27" i="27"/>
  <c r="P27" i="27"/>
  <c r="O27" i="27"/>
  <c r="N27" i="27"/>
  <c r="M27" i="27"/>
  <c r="L27" i="27"/>
  <c r="K27" i="27"/>
  <c r="J27" i="27"/>
  <c r="I27" i="27"/>
  <c r="H27" i="27"/>
  <c r="G27" i="27"/>
  <c r="F27" i="27"/>
  <c r="E27" i="27"/>
  <c r="D27" i="27"/>
  <c r="C27" i="27"/>
  <c r="W26" i="27"/>
  <c r="V26" i="27"/>
  <c r="U26" i="27"/>
  <c r="T26" i="27"/>
  <c r="S26" i="27"/>
  <c r="R26" i="27"/>
  <c r="Q26" i="27"/>
  <c r="P26" i="27"/>
  <c r="O26" i="27"/>
  <c r="N26" i="27"/>
  <c r="M26" i="27"/>
  <c r="L26" i="27"/>
  <c r="K26" i="27"/>
  <c r="J26" i="27"/>
  <c r="I26" i="27"/>
  <c r="H26" i="27"/>
  <c r="G26" i="27"/>
  <c r="F26" i="27"/>
  <c r="E26" i="27"/>
  <c r="D26" i="27"/>
  <c r="C26" i="27"/>
  <c r="W25" i="27"/>
  <c r="V25" i="27"/>
  <c r="U25" i="27"/>
  <c r="T25" i="27"/>
  <c r="S25" i="27"/>
  <c r="R25" i="27"/>
  <c r="Q25" i="27"/>
  <c r="P25" i="27"/>
  <c r="O25" i="27"/>
  <c r="N25" i="27"/>
  <c r="M25" i="27"/>
  <c r="L25" i="27"/>
  <c r="K25" i="27"/>
  <c r="J25" i="27"/>
  <c r="I25" i="27"/>
  <c r="H25" i="27"/>
  <c r="G25" i="27"/>
  <c r="F25" i="27"/>
  <c r="E25" i="27"/>
  <c r="D25" i="27"/>
  <c r="C25" i="27"/>
  <c r="W24" i="27"/>
  <c r="V24" i="27"/>
  <c r="U24" i="27"/>
  <c r="T24" i="27"/>
  <c r="S24" i="27"/>
  <c r="R24" i="27"/>
  <c r="Q24" i="27"/>
  <c r="P24" i="27"/>
  <c r="O24" i="27"/>
  <c r="N24" i="27"/>
  <c r="M24" i="27"/>
  <c r="L24" i="27"/>
  <c r="K24" i="27"/>
  <c r="J24" i="27"/>
  <c r="I24" i="27"/>
  <c r="H24" i="27"/>
  <c r="G24" i="27"/>
  <c r="F24" i="27"/>
  <c r="E24" i="27"/>
  <c r="D24" i="27"/>
  <c r="C24" i="27"/>
  <c r="W23" i="27"/>
  <c r="V23" i="27"/>
  <c r="U23" i="27"/>
  <c r="T23" i="27"/>
  <c r="S23" i="27"/>
  <c r="R23" i="27"/>
  <c r="Q23" i="27"/>
  <c r="P23" i="27"/>
  <c r="O23" i="27"/>
  <c r="N23" i="27"/>
  <c r="M23" i="27"/>
  <c r="L23" i="27"/>
  <c r="K23" i="27"/>
  <c r="J23" i="27"/>
  <c r="I23" i="27"/>
  <c r="H23" i="27"/>
  <c r="G23" i="27"/>
  <c r="F23" i="27"/>
  <c r="E23" i="27"/>
  <c r="D23" i="27"/>
  <c r="C23" i="27"/>
  <c r="W22" i="27"/>
  <c r="V22" i="27"/>
  <c r="U22" i="27"/>
  <c r="T22" i="27"/>
  <c r="S22" i="27"/>
  <c r="R22" i="27"/>
  <c r="Q22" i="27"/>
  <c r="P22" i="27"/>
  <c r="O22" i="27"/>
  <c r="N22" i="27"/>
  <c r="M22" i="27"/>
  <c r="L22" i="27"/>
  <c r="K22" i="27"/>
  <c r="J22" i="27"/>
  <c r="I22" i="27"/>
  <c r="H22" i="27"/>
  <c r="G22" i="27"/>
  <c r="F22" i="27"/>
  <c r="E22" i="27"/>
  <c r="D22" i="27"/>
  <c r="C22" i="27"/>
  <c r="W21" i="27"/>
  <c r="V21" i="27"/>
  <c r="U21" i="27"/>
  <c r="T21" i="27"/>
  <c r="S21" i="27"/>
  <c r="R21" i="27"/>
  <c r="Q21" i="27"/>
  <c r="P21" i="27"/>
  <c r="O21" i="27"/>
  <c r="N21" i="27"/>
  <c r="M21" i="27"/>
  <c r="L21" i="27"/>
  <c r="K21" i="27"/>
  <c r="J21" i="27"/>
  <c r="I21" i="27"/>
  <c r="H21" i="27"/>
  <c r="G21" i="27"/>
  <c r="F21" i="27"/>
  <c r="E21" i="27"/>
  <c r="D21" i="27"/>
  <c r="C21" i="27"/>
  <c r="W20" i="27"/>
  <c r="V20" i="27"/>
  <c r="U20" i="27"/>
  <c r="T20" i="27"/>
  <c r="S20" i="27"/>
  <c r="R20" i="27"/>
  <c r="Q20" i="27"/>
  <c r="P20" i="27"/>
  <c r="O20" i="27"/>
  <c r="N20" i="27"/>
  <c r="M20" i="27"/>
  <c r="L20" i="27"/>
  <c r="K20" i="27"/>
  <c r="J20" i="27"/>
  <c r="I20" i="27"/>
  <c r="H20" i="27"/>
  <c r="G20" i="27"/>
  <c r="F20" i="27"/>
  <c r="E20" i="27"/>
  <c r="D20" i="27"/>
  <c r="C20" i="27"/>
  <c r="W19" i="27"/>
  <c r="V19" i="27"/>
  <c r="U19" i="27"/>
  <c r="T19" i="27"/>
  <c r="S19" i="27"/>
  <c r="R19" i="27"/>
  <c r="Q19" i="27"/>
  <c r="P19" i="27"/>
  <c r="O19" i="27"/>
  <c r="N19" i="27"/>
  <c r="M19" i="27"/>
  <c r="L19" i="27"/>
  <c r="K19" i="27"/>
  <c r="J19" i="27"/>
  <c r="I19" i="27"/>
  <c r="H19" i="27"/>
  <c r="G19" i="27"/>
  <c r="F19" i="27"/>
  <c r="E19" i="27"/>
  <c r="D19" i="27"/>
  <c r="C19" i="27"/>
  <c r="W18" i="27"/>
  <c r="V18" i="27"/>
  <c r="U18" i="27"/>
  <c r="T18" i="27"/>
  <c r="S18" i="27"/>
  <c r="R18" i="27"/>
  <c r="Q18" i="27"/>
  <c r="P18" i="27"/>
  <c r="O18" i="27"/>
  <c r="N18" i="27"/>
  <c r="M18" i="27"/>
  <c r="L18" i="27"/>
  <c r="K18" i="27"/>
  <c r="J18" i="27"/>
  <c r="I18" i="27"/>
  <c r="H18" i="27"/>
  <c r="G18" i="27"/>
  <c r="F18" i="27"/>
  <c r="E18" i="27"/>
  <c r="D18" i="27"/>
  <c r="C18" i="27"/>
  <c r="W17" i="27"/>
  <c r="V17" i="27"/>
  <c r="U17" i="27"/>
  <c r="T17" i="27"/>
  <c r="S17" i="27"/>
  <c r="R17" i="27"/>
  <c r="Q17" i="27"/>
  <c r="P17" i="27"/>
  <c r="O17" i="27"/>
  <c r="N17" i="27"/>
  <c r="M17" i="27"/>
  <c r="L17" i="27"/>
  <c r="K17" i="27"/>
  <c r="J17" i="27"/>
  <c r="I17" i="27"/>
  <c r="H17" i="27"/>
  <c r="G17" i="27"/>
  <c r="F17" i="27"/>
  <c r="E17" i="27"/>
  <c r="D17" i="27"/>
  <c r="C17" i="27"/>
  <c r="W16" i="27"/>
  <c r="V16" i="27"/>
  <c r="U16" i="27"/>
  <c r="T16" i="27"/>
  <c r="S16" i="27"/>
  <c r="R16" i="27"/>
  <c r="Q16" i="27"/>
  <c r="P16" i="27"/>
  <c r="O16" i="27"/>
  <c r="N16" i="27"/>
  <c r="M16" i="27"/>
  <c r="L16" i="27"/>
  <c r="K16" i="27"/>
  <c r="J16" i="27"/>
  <c r="I16" i="27"/>
  <c r="H16" i="27"/>
  <c r="G16" i="27"/>
  <c r="F16" i="27"/>
  <c r="E16" i="27"/>
  <c r="D16" i="27"/>
  <c r="C16" i="27"/>
  <c r="W15" i="27"/>
  <c r="V15" i="27"/>
  <c r="U15" i="27"/>
  <c r="T15" i="27"/>
  <c r="S15" i="27"/>
  <c r="R15" i="27"/>
  <c r="Q15" i="27"/>
  <c r="P15" i="27"/>
  <c r="O15" i="27"/>
  <c r="N15" i="27"/>
  <c r="M15" i="27"/>
  <c r="L15" i="27"/>
  <c r="K15" i="27"/>
  <c r="J15" i="27"/>
  <c r="I15" i="27"/>
  <c r="H15" i="27"/>
  <c r="G15" i="27"/>
  <c r="F15" i="27"/>
  <c r="E15" i="27"/>
  <c r="D15" i="27"/>
  <c r="C15" i="27"/>
  <c r="W14" i="27"/>
  <c r="V14" i="27"/>
  <c r="U14" i="27"/>
  <c r="T14" i="27"/>
  <c r="S14" i="27"/>
  <c r="R14" i="27"/>
  <c r="Q14" i="27"/>
  <c r="P14" i="27"/>
  <c r="O14" i="27"/>
  <c r="N14" i="27"/>
  <c r="M14" i="27"/>
  <c r="L14" i="27"/>
  <c r="K14" i="27"/>
  <c r="J14" i="27"/>
  <c r="I14" i="27"/>
  <c r="H14" i="27"/>
  <c r="G14" i="27"/>
  <c r="F14" i="27"/>
  <c r="E14" i="27"/>
  <c r="D14" i="27"/>
  <c r="C14" i="27"/>
  <c r="W13" i="27"/>
  <c r="V13" i="27"/>
  <c r="U13" i="27"/>
  <c r="T13" i="27"/>
  <c r="S13" i="27"/>
  <c r="R13" i="27"/>
  <c r="Q13" i="27"/>
  <c r="P13" i="27"/>
  <c r="O13" i="27"/>
  <c r="N13" i="27"/>
  <c r="M13" i="27"/>
  <c r="L13" i="27"/>
  <c r="K13" i="27"/>
  <c r="J13" i="27"/>
  <c r="I13" i="27"/>
  <c r="H13" i="27"/>
  <c r="G13" i="27"/>
  <c r="F13" i="27"/>
  <c r="E13" i="27"/>
  <c r="D13" i="27"/>
  <c r="C13" i="27"/>
  <c r="W12" i="27"/>
  <c r="V12" i="27"/>
  <c r="U12" i="27"/>
  <c r="T12" i="27"/>
  <c r="S12" i="27"/>
  <c r="R12" i="27"/>
  <c r="Q12" i="27"/>
  <c r="P12" i="27"/>
  <c r="O12" i="27"/>
  <c r="N12" i="27"/>
  <c r="M12" i="27"/>
  <c r="L12" i="27"/>
  <c r="K12" i="27"/>
  <c r="J12" i="27"/>
  <c r="I12" i="27"/>
  <c r="H12" i="27"/>
  <c r="G12" i="27"/>
  <c r="F12" i="27"/>
  <c r="E12" i="27"/>
  <c r="D12" i="27"/>
  <c r="C12" i="27"/>
  <c r="W11" i="27"/>
  <c r="V11" i="27"/>
  <c r="U11" i="27"/>
  <c r="T11" i="27"/>
  <c r="S11" i="27"/>
  <c r="R11" i="27"/>
  <c r="Q11" i="27"/>
  <c r="P11" i="27"/>
  <c r="O11" i="27"/>
  <c r="N11" i="27"/>
  <c r="M11" i="27"/>
  <c r="L11" i="27"/>
  <c r="K11" i="27"/>
  <c r="J11" i="27"/>
  <c r="I11" i="27"/>
  <c r="H11" i="27"/>
  <c r="G11" i="27"/>
  <c r="F11" i="27"/>
  <c r="E11" i="27"/>
  <c r="D11" i="27"/>
  <c r="C11" i="27"/>
  <c r="W10" i="27"/>
  <c r="V10" i="27"/>
  <c r="U10" i="27"/>
  <c r="T10" i="27"/>
  <c r="S10" i="27"/>
  <c r="R10" i="27"/>
  <c r="Q10" i="27"/>
  <c r="P10" i="27"/>
  <c r="O10" i="27"/>
  <c r="N10" i="27"/>
  <c r="M10" i="27"/>
  <c r="L10" i="27"/>
  <c r="K10" i="27"/>
  <c r="J10" i="27"/>
  <c r="I10" i="27"/>
  <c r="H10" i="27"/>
  <c r="G10" i="27"/>
  <c r="F10" i="27"/>
  <c r="E10" i="27"/>
  <c r="D10" i="27"/>
  <c r="C10" i="27"/>
  <c r="W9" i="27"/>
  <c r="V9" i="27"/>
  <c r="U9" i="27"/>
  <c r="T9" i="27"/>
  <c r="S9" i="27"/>
  <c r="R9" i="27"/>
  <c r="Q9" i="27"/>
  <c r="P9" i="27"/>
  <c r="O9" i="27"/>
  <c r="N9" i="27"/>
  <c r="M9" i="27"/>
  <c r="L9" i="27"/>
  <c r="K9" i="27"/>
  <c r="J9" i="27"/>
  <c r="I9" i="27"/>
  <c r="H9" i="27"/>
  <c r="G9" i="27"/>
  <c r="F9" i="27"/>
  <c r="E9" i="27"/>
  <c r="D9" i="27"/>
  <c r="C9" i="27"/>
  <c r="W8" i="27"/>
  <c r="V8" i="27"/>
  <c r="U8" i="27"/>
  <c r="T8" i="27"/>
  <c r="S8" i="27"/>
  <c r="R8" i="27"/>
  <c r="Q8" i="27"/>
  <c r="P8" i="27"/>
  <c r="O8" i="27"/>
  <c r="N8" i="27"/>
  <c r="M8" i="27"/>
  <c r="L8" i="27"/>
  <c r="K8" i="27"/>
  <c r="J8" i="27"/>
  <c r="I8" i="27"/>
  <c r="H8" i="27"/>
  <c r="G8" i="27"/>
  <c r="F8" i="27"/>
  <c r="E8" i="27"/>
  <c r="D8" i="27"/>
  <c r="C8" i="27"/>
  <c r="W7" i="27"/>
  <c r="V7" i="27"/>
  <c r="U7" i="27"/>
  <c r="T7" i="27"/>
  <c r="S7" i="27"/>
  <c r="R7" i="27"/>
  <c r="Q7" i="27"/>
  <c r="P7" i="27"/>
  <c r="O7" i="27"/>
  <c r="N7" i="27"/>
  <c r="M7" i="27"/>
  <c r="L7" i="27"/>
  <c r="K7" i="27"/>
  <c r="J7" i="27"/>
  <c r="I7" i="27"/>
  <c r="H7" i="27"/>
  <c r="G7" i="27"/>
  <c r="F7" i="27"/>
  <c r="E7" i="27"/>
  <c r="D7" i="27"/>
  <c r="C7" i="27"/>
  <c r="W6" i="27"/>
  <c r="V6" i="27"/>
  <c r="U6" i="27"/>
  <c r="T6" i="27"/>
  <c r="S6" i="27"/>
  <c r="R6" i="27"/>
  <c r="Q6" i="27"/>
  <c r="P6" i="27"/>
  <c r="O6" i="27"/>
  <c r="N6" i="27"/>
  <c r="M6" i="27"/>
  <c r="L6" i="27"/>
  <c r="K6" i="27"/>
  <c r="J6" i="27"/>
  <c r="I6" i="27"/>
  <c r="H6" i="27"/>
  <c r="G6" i="27"/>
  <c r="F6" i="27"/>
  <c r="E6" i="27"/>
  <c r="D6" i="27"/>
  <c r="C6" i="27"/>
  <c r="W40" i="29"/>
  <c r="V40" i="29"/>
  <c r="U40" i="29"/>
  <c r="T40" i="29"/>
  <c r="S40" i="29"/>
  <c r="R40" i="29"/>
  <c r="Q40" i="29"/>
  <c r="P40" i="29"/>
  <c r="O40" i="29"/>
  <c r="N40" i="29"/>
  <c r="M40" i="29"/>
  <c r="L40" i="29"/>
  <c r="K40" i="29"/>
  <c r="J40" i="29"/>
  <c r="I40" i="29"/>
  <c r="H40" i="29"/>
  <c r="G40" i="29"/>
  <c r="F40" i="29"/>
  <c r="E40" i="29"/>
  <c r="D40" i="29"/>
  <c r="C40" i="29"/>
  <c r="W39" i="29"/>
  <c r="V39" i="29"/>
  <c r="U39" i="29"/>
  <c r="T39" i="29"/>
  <c r="S39" i="29"/>
  <c r="R39" i="29"/>
  <c r="Q39" i="29"/>
  <c r="P39" i="29"/>
  <c r="O39" i="29"/>
  <c r="N39" i="29"/>
  <c r="M39" i="29"/>
  <c r="L39" i="29"/>
  <c r="K39" i="29"/>
  <c r="J39" i="29"/>
  <c r="I39" i="29"/>
  <c r="H39" i="29"/>
  <c r="G39" i="29"/>
  <c r="F39" i="29"/>
  <c r="E39" i="29"/>
  <c r="D39" i="29"/>
  <c r="C39" i="29"/>
  <c r="W38" i="29"/>
  <c r="V38" i="29"/>
  <c r="U38" i="29"/>
  <c r="T38" i="29"/>
  <c r="S38" i="29"/>
  <c r="R38" i="29"/>
  <c r="Q38" i="29"/>
  <c r="P38" i="29"/>
  <c r="O38" i="29"/>
  <c r="N38" i="29"/>
  <c r="M38" i="29"/>
  <c r="L38" i="29"/>
  <c r="K38" i="29"/>
  <c r="J38" i="29"/>
  <c r="I38" i="29"/>
  <c r="H38" i="29"/>
  <c r="G38" i="29"/>
  <c r="F38" i="29"/>
  <c r="E38" i="29"/>
  <c r="D38" i="29"/>
  <c r="C38" i="29"/>
  <c r="W37" i="29"/>
  <c r="V37" i="29"/>
  <c r="U37" i="29"/>
  <c r="T37" i="29"/>
  <c r="S37" i="29"/>
  <c r="R37" i="29"/>
  <c r="Q37" i="29"/>
  <c r="P37" i="29"/>
  <c r="O37" i="29"/>
  <c r="N37" i="29"/>
  <c r="M37" i="29"/>
  <c r="L37" i="29"/>
  <c r="K37" i="29"/>
  <c r="J37" i="29"/>
  <c r="I37" i="29"/>
  <c r="H37" i="29"/>
  <c r="G37" i="29"/>
  <c r="F37" i="29"/>
  <c r="E37" i="29"/>
  <c r="D37" i="29"/>
  <c r="C37" i="29"/>
  <c r="W36" i="29"/>
  <c r="V36" i="29"/>
  <c r="U36" i="29"/>
  <c r="T36" i="29"/>
  <c r="S36" i="29"/>
  <c r="R36" i="29"/>
  <c r="Q36" i="29"/>
  <c r="P36" i="29"/>
  <c r="O36" i="29"/>
  <c r="N36" i="29"/>
  <c r="M36" i="29"/>
  <c r="L36" i="29"/>
  <c r="K36" i="29"/>
  <c r="J36" i="29"/>
  <c r="I36" i="29"/>
  <c r="H36" i="29"/>
  <c r="G36" i="29"/>
  <c r="F36" i="29"/>
  <c r="E36" i="29"/>
  <c r="D36" i="29"/>
  <c r="C36" i="29"/>
  <c r="W35" i="29"/>
  <c r="V35" i="29"/>
  <c r="U35" i="29"/>
  <c r="T35" i="29"/>
  <c r="S35" i="29"/>
  <c r="R35" i="29"/>
  <c r="Q35" i="29"/>
  <c r="P35" i="29"/>
  <c r="O35" i="29"/>
  <c r="N35" i="29"/>
  <c r="M35" i="29"/>
  <c r="L35" i="29"/>
  <c r="K35" i="29"/>
  <c r="J35" i="29"/>
  <c r="I35" i="29"/>
  <c r="H35" i="29"/>
  <c r="G35" i="29"/>
  <c r="F35" i="29"/>
  <c r="E35" i="29"/>
  <c r="D35" i="29"/>
  <c r="C35" i="29"/>
  <c r="W34" i="29"/>
  <c r="V34" i="29"/>
  <c r="U34" i="29"/>
  <c r="T34" i="29"/>
  <c r="S34" i="29"/>
  <c r="R34" i="29"/>
  <c r="Q34" i="29"/>
  <c r="P34" i="29"/>
  <c r="O34" i="29"/>
  <c r="N34" i="29"/>
  <c r="M34" i="29"/>
  <c r="L34" i="29"/>
  <c r="K34" i="29"/>
  <c r="J34" i="29"/>
  <c r="I34" i="29"/>
  <c r="H34" i="29"/>
  <c r="G34" i="29"/>
  <c r="F34" i="29"/>
  <c r="E34" i="29"/>
  <c r="D34" i="29"/>
  <c r="C34" i="29"/>
  <c r="W33" i="29"/>
  <c r="V33" i="29"/>
  <c r="U33" i="29"/>
  <c r="T33" i="29"/>
  <c r="S33" i="29"/>
  <c r="R33" i="29"/>
  <c r="Q33" i="29"/>
  <c r="P33" i="29"/>
  <c r="O33" i="29"/>
  <c r="N33" i="29"/>
  <c r="M33" i="29"/>
  <c r="L33" i="29"/>
  <c r="K33" i="29"/>
  <c r="J33" i="29"/>
  <c r="I33" i="29"/>
  <c r="H33" i="29"/>
  <c r="G33" i="29"/>
  <c r="F33" i="29"/>
  <c r="E33" i="29"/>
  <c r="D33" i="29"/>
  <c r="C33" i="29"/>
  <c r="W32" i="29"/>
  <c r="V32" i="29"/>
  <c r="U32" i="29"/>
  <c r="T32" i="29"/>
  <c r="S32" i="29"/>
  <c r="R32" i="29"/>
  <c r="Q32" i="29"/>
  <c r="P32" i="29"/>
  <c r="O32" i="29"/>
  <c r="N32" i="29"/>
  <c r="M32" i="29"/>
  <c r="L32" i="29"/>
  <c r="K32" i="29"/>
  <c r="J32" i="29"/>
  <c r="I32" i="29"/>
  <c r="H32" i="29"/>
  <c r="G32" i="29"/>
  <c r="F32" i="29"/>
  <c r="E32" i="29"/>
  <c r="D32" i="29"/>
  <c r="C32" i="29"/>
  <c r="W31" i="29"/>
  <c r="V31" i="29"/>
  <c r="U31" i="29"/>
  <c r="T31" i="29"/>
  <c r="S31" i="29"/>
  <c r="R31" i="29"/>
  <c r="Q31" i="29"/>
  <c r="P31" i="29"/>
  <c r="O31" i="29"/>
  <c r="N31" i="29"/>
  <c r="M31" i="29"/>
  <c r="L31" i="29"/>
  <c r="K31" i="29"/>
  <c r="J31" i="29"/>
  <c r="I31" i="29"/>
  <c r="H31" i="29"/>
  <c r="G31" i="29"/>
  <c r="F31" i="29"/>
  <c r="E31" i="29"/>
  <c r="D31" i="29"/>
  <c r="C31" i="29"/>
  <c r="W30" i="29"/>
  <c r="V30" i="29"/>
  <c r="U30" i="29"/>
  <c r="T30" i="29"/>
  <c r="S30" i="29"/>
  <c r="R30" i="29"/>
  <c r="Q30" i="29"/>
  <c r="P30" i="29"/>
  <c r="O30" i="29"/>
  <c r="N30" i="29"/>
  <c r="M30" i="29"/>
  <c r="L30" i="29"/>
  <c r="K30" i="29"/>
  <c r="J30" i="29"/>
  <c r="I30" i="29"/>
  <c r="H30" i="29"/>
  <c r="G30" i="29"/>
  <c r="F30" i="29"/>
  <c r="E30" i="29"/>
  <c r="D30" i="29"/>
  <c r="C30" i="29"/>
  <c r="W29" i="29"/>
  <c r="V29" i="29"/>
  <c r="U29" i="29"/>
  <c r="T29" i="29"/>
  <c r="S29" i="29"/>
  <c r="R29" i="29"/>
  <c r="Q29" i="29"/>
  <c r="P29" i="29"/>
  <c r="O29" i="29"/>
  <c r="N29" i="29"/>
  <c r="M29" i="29"/>
  <c r="L29" i="29"/>
  <c r="K29" i="29"/>
  <c r="J29" i="29"/>
  <c r="I29" i="29"/>
  <c r="H29" i="29"/>
  <c r="G29" i="29"/>
  <c r="F29" i="29"/>
  <c r="E29" i="29"/>
  <c r="D29" i="29"/>
  <c r="C29" i="29"/>
  <c r="W28" i="29"/>
  <c r="V28" i="29"/>
  <c r="U28" i="29"/>
  <c r="T28" i="29"/>
  <c r="S28" i="29"/>
  <c r="R28" i="29"/>
  <c r="Q28" i="29"/>
  <c r="P28" i="29"/>
  <c r="O28" i="29"/>
  <c r="N28" i="29"/>
  <c r="M28" i="29"/>
  <c r="L28" i="29"/>
  <c r="K28" i="29"/>
  <c r="J28" i="29"/>
  <c r="I28" i="29"/>
  <c r="H28" i="29"/>
  <c r="G28" i="29"/>
  <c r="F28" i="29"/>
  <c r="E28" i="29"/>
  <c r="D28" i="29"/>
  <c r="C28" i="29"/>
  <c r="W27" i="29"/>
  <c r="V27" i="29"/>
  <c r="U27" i="29"/>
  <c r="T27" i="29"/>
  <c r="S27" i="29"/>
  <c r="R27" i="29"/>
  <c r="Q27" i="29"/>
  <c r="P27" i="29"/>
  <c r="O27" i="29"/>
  <c r="N27" i="29"/>
  <c r="M27" i="29"/>
  <c r="L27" i="29"/>
  <c r="K27" i="29"/>
  <c r="J27" i="29"/>
  <c r="I27" i="29"/>
  <c r="H27" i="29"/>
  <c r="G27" i="29"/>
  <c r="F27" i="29"/>
  <c r="E27" i="29"/>
  <c r="D27" i="29"/>
  <c r="C27" i="29"/>
  <c r="W26" i="29"/>
  <c r="V26" i="29"/>
  <c r="U26" i="29"/>
  <c r="T26" i="29"/>
  <c r="S26" i="29"/>
  <c r="R26" i="29"/>
  <c r="Q26" i="29"/>
  <c r="P26" i="29"/>
  <c r="O26" i="29"/>
  <c r="N26" i="29"/>
  <c r="M26" i="29"/>
  <c r="L26" i="29"/>
  <c r="K26" i="29"/>
  <c r="J26" i="29"/>
  <c r="I26" i="29"/>
  <c r="H26" i="29"/>
  <c r="G26" i="29"/>
  <c r="F26" i="29"/>
  <c r="E26" i="29"/>
  <c r="D26" i="29"/>
  <c r="C26" i="29"/>
  <c r="W25" i="29"/>
  <c r="V25" i="29"/>
  <c r="U25" i="29"/>
  <c r="T25" i="29"/>
  <c r="S25" i="29"/>
  <c r="R25" i="29"/>
  <c r="Q25" i="29"/>
  <c r="P25" i="29"/>
  <c r="O25" i="29"/>
  <c r="N25" i="29"/>
  <c r="M25" i="29"/>
  <c r="L25" i="29"/>
  <c r="K25" i="29"/>
  <c r="J25" i="29"/>
  <c r="I25" i="29"/>
  <c r="H25" i="29"/>
  <c r="G25" i="29"/>
  <c r="F25" i="29"/>
  <c r="E25" i="29"/>
  <c r="D25" i="29"/>
  <c r="C25" i="29"/>
  <c r="W24" i="29"/>
  <c r="V24" i="29"/>
  <c r="U24" i="29"/>
  <c r="T24" i="29"/>
  <c r="S24" i="29"/>
  <c r="R24" i="29"/>
  <c r="Q24" i="29"/>
  <c r="P24" i="29"/>
  <c r="O24" i="29"/>
  <c r="N24" i="29"/>
  <c r="M24" i="29"/>
  <c r="L24" i="29"/>
  <c r="K24" i="29"/>
  <c r="J24" i="29"/>
  <c r="I24" i="29"/>
  <c r="H24" i="29"/>
  <c r="G24" i="29"/>
  <c r="F24" i="29"/>
  <c r="E24" i="29"/>
  <c r="D24" i="29"/>
  <c r="C24" i="29"/>
  <c r="W23" i="29"/>
  <c r="V23" i="29"/>
  <c r="U23" i="29"/>
  <c r="T23" i="29"/>
  <c r="S23" i="29"/>
  <c r="R23" i="29"/>
  <c r="Q23" i="29"/>
  <c r="P23" i="29"/>
  <c r="O23" i="29"/>
  <c r="N23" i="29"/>
  <c r="M23" i="29"/>
  <c r="L23" i="29"/>
  <c r="K23" i="29"/>
  <c r="J23" i="29"/>
  <c r="I23" i="29"/>
  <c r="H23" i="29"/>
  <c r="G23" i="29"/>
  <c r="F23" i="29"/>
  <c r="E23" i="29"/>
  <c r="D23" i="29"/>
  <c r="C23" i="29"/>
  <c r="W22" i="29"/>
  <c r="V22" i="29"/>
  <c r="U22" i="29"/>
  <c r="T22" i="29"/>
  <c r="S22" i="29"/>
  <c r="R22" i="29"/>
  <c r="Q22" i="29"/>
  <c r="P22" i="29"/>
  <c r="O22" i="29"/>
  <c r="N22" i="29"/>
  <c r="M22" i="29"/>
  <c r="L22" i="29"/>
  <c r="K22" i="29"/>
  <c r="J22" i="29"/>
  <c r="I22" i="29"/>
  <c r="H22" i="29"/>
  <c r="G22" i="29"/>
  <c r="F22" i="29"/>
  <c r="E22" i="29"/>
  <c r="D22" i="29"/>
  <c r="C22" i="29"/>
  <c r="W21" i="29"/>
  <c r="V21" i="29"/>
  <c r="U21" i="29"/>
  <c r="T21" i="29"/>
  <c r="S21" i="29"/>
  <c r="R21" i="29"/>
  <c r="Q21" i="29"/>
  <c r="P21" i="29"/>
  <c r="O21" i="29"/>
  <c r="N21" i="29"/>
  <c r="M21" i="29"/>
  <c r="L21" i="29"/>
  <c r="K21" i="29"/>
  <c r="J21" i="29"/>
  <c r="I21" i="29"/>
  <c r="H21" i="29"/>
  <c r="G21" i="29"/>
  <c r="F21" i="29"/>
  <c r="E21" i="29"/>
  <c r="D21" i="29"/>
  <c r="C21" i="29"/>
  <c r="W20" i="29"/>
  <c r="V20" i="29"/>
  <c r="U20" i="29"/>
  <c r="T20" i="29"/>
  <c r="S20" i="29"/>
  <c r="R20" i="29"/>
  <c r="Q20" i="29"/>
  <c r="P20" i="29"/>
  <c r="O20" i="29"/>
  <c r="N20" i="29"/>
  <c r="M20" i="29"/>
  <c r="L20" i="29"/>
  <c r="K20" i="29"/>
  <c r="J20" i="29"/>
  <c r="I20" i="29"/>
  <c r="H20" i="29"/>
  <c r="G20" i="29"/>
  <c r="F20" i="29"/>
  <c r="E20" i="29"/>
  <c r="D20" i="29"/>
  <c r="C20" i="29"/>
  <c r="W19" i="29"/>
  <c r="V19" i="29"/>
  <c r="U19" i="29"/>
  <c r="T19" i="29"/>
  <c r="S19" i="29"/>
  <c r="R19" i="29"/>
  <c r="Q19" i="29"/>
  <c r="P19" i="29"/>
  <c r="O19" i="29"/>
  <c r="N19" i="29"/>
  <c r="M19" i="29"/>
  <c r="L19" i="29"/>
  <c r="K19" i="29"/>
  <c r="J19" i="29"/>
  <c r="I19" i="29"/>
  <c r="H19" i="29"/>
  <c r="G19" i="29"/>
  <c r="F19" i="29"/>
  <c r="E19" i="29"/>
  <c r="D19" i="29"/>
  <c r="C19" i="29"/>
  <c r="W18" i="29"/>
  <c r="V18" i="29"/>
  <c r="U18" i="29"/>
  <c r="T18" i="29"/>
  <c r="S18" i="29"/>
  <c r="R18" i="29"/>
  <c r="Q18" i="29"/>
  <c r="P18" i="29"/>
  <c r="O18" i="29"/>
  <c r="N18" i="29"/>
  <c r="M18" i="29"/>
  <c r="L18" i="29"/>
  <c r="K18" i="29"/>
  <c r="J18" i="29"/>
  <c r="I18" i="29"/>
  <c r="H18" i="29"/>
  <c r="G18" i="29"/>
  <c r="F18" i="29"/>
  <c r="E18" i="29"/>
  <c r="D18" i="29"/>
  <c r="C18" i="29"/>
  <c r="W17" i="29"/>
  <c r="V17" i="29"/>
  <c r="U17" i="29"/>
  <c r="T17" i="29"/>
  <c r="S17" i="29"/>
  <c r="R17" i="29"/>
  <c r="Q17" i="29"/>
  <c r="P17" i="29"/>
  <c r="O17" i="29"/>
  <c r="N17" i="29"/>
  <c r="M17" i="29"/>
  <c r="L17" i="29"/>
  <c r="K17" i="29"/>
  <c r="J17" i="29"/>
  <c r="I17" i="29"/>
  <c r="H17" i="29"/>
  <c r="G17" i="29"/>
  <c r="F17" i="29"/>
  <c r="E17" i="29"/>
  <c r="D17" i="29"/>
  <c r="C17" i="29"/>
  <c r="W16" i="29"/>
  <c r="V16" i="29"/>
  <c r="U16" i="29"/>
  <c r="T16" i="29"/>
  <c r="S16" i="29"/>
  <c r="R16" i="29"/>
  <c r="Q16" i="29"/>
  <c r="P16" i="29"/>
  <c r="O16" i="29"/>
  <c r="N16" i="29"/>
  <c r="M16" i="29"/>
  <c r="L16" i="29"/>
  <c r="K16" i="29"/>
  <c r="J16" i="29"/>
  <c r="I16" i="29"/>
  <c r="H16" i="29"/>
  <c r="G16" i="29"/>
  <c r="F16" i="29"/>
  <c r="E16" i="29"/>
  <c r="D16" i="29"/>
  <c r="C16" i="29"/>
  <c r="W15" i="29"/>
  <c r="V15" i="29"/>
  <c r="U15" i="29"/>
  <c r="T15" i="29"/>
  <c r="S15" i="29"/>
  <c r="R15" i="29"/>
  <c r="Q15" i="29"/>
  <c r="P15" i="29"/>
  <c r="O15" i="29"/>
  <c r="N15" i="29"/>
  <c r="M15" i="29"/>
  <c r="L15" i="29"/>
  <c r="K15" i="29"/>
  <c r="J15" i="29"/>
  <c r="I15" i="29"/>
  <c r="H15" i="29"/>
  <c r="G15" i="29"/>
  <c r="F15" i="29"/>
  <c r="E15" i="29"/>
  <c r="D15" i="29"/>
  <c r="C15" i="29"/>
  <c r="W14" i="29"/>
  <c r="V14" i="29"/>
  <c r="U14" i="29"/>
  <c r="T14" i="29"/>
  <c r="S14" i="29"/>
  <c r="R14" i="29"/>
  <c r="Q14" i="29"/>
  <c r="P14" i="29"/>
  <c r="O14" i="29"/>
  <c r="N14" i="29"/>
  <c r="M14" i="29"/>
  <c r="L14" i="29"/>
  <c r="K14" i="29"/>
  <c r="J14" i="29"/>
  <c r="I14" i="29"/>
  <c r="H14" i="29"/>
  <c r="G14" i="29"/>
  <c r="F14" i="29"/>
  <c r="E14" i="29"/>
  <c r="D14" i="29"/>
  <c r="C14" i="29"/>
  <c r="W13" i="29"/>
  <c r="V13" i="29"/>
  <c r="U13" i="29"/>
  <c r="T13" i="29"/>
  <c r="S13" i="29"/>
  <c r="R13" i="29"/>
  <c r="Q13" i="29"/>
  <c r="P13" i="29"/>
  <c r="O13" i="29"/>
  <c r="N13" i="29"/>
  <c r="M13" i="29"/>
  <c r="L13" i="29"/>
  <c r="K13" i="29"/>
  <c r="J13" i="29"/>
  <c r="I13" i="29"/>
  <c r="H13" i="29"/>
  <c r="G13" i="29"/>
  <c r="F13" i="29"/>
  <c r="E13" i="29"/>
  <c r="D13" i="29"/>
  <c r="C13" i="29"/>
  <c r="W12" i="29"/>
  <c r="V12" i="29"/>
  <c r="U12" i="29"/>
  <c r="T12" i="29"/>
  <c r="S12" i="29"/>
  <c r="R12" i="29"/>
  <c r="Q12" i="29"/>
  <c r="P12" i="29"/>
  <c r="O12" i="29"/>
  <c r="N12" i="29"/>
  <c r="M12" i="29"/>
  <c r="L12" i="29"/>
  <c r="K12" i="29"/>
  <c r="J12" i="29"/>
  <c r="I12" i="29"/>
  <c r="H12" i="29"/>
  <c r="G12" i="29"/>
  <c r="F12" i="29"/>
  <c r="E12" i="29"/>
  <c r="D12" i="29"/>
  <c r="C12" i="29"/>
  <c r="W11" i="29"/>
  <c r="V11" i="29"/>
  <c r="U11" i="29"/>
  <c r="T11" i="29"/>
  <c r="S11" i="29"/>
  <c r="R11" i="29"/>
  <c r="Q11" i="29"/>
  <c r="P11" i="29"/>
  <c r="O11" i="29"/>
  <c r="N11" i="29"/>
  <c r="M11" i="29"/>
  <c r="L11" i="29"/>
  <c r="K11" i="29"/>
  <c r="J11" i="29"/>
  <c r="I11" i="29"/>
  <c r="H11" i="29"/>
  <c r="G11" i="29"/>
  <c r="F11" i="29"/>
  <c r="E11" i="29"/>
  <c r="D11" i="29"/>
  <c r="C11" i="29"/>
  <c r="W10" i="29"/>
  <c r="V10" i="29"/>
  <c r="U10" i="29"/>
  <c r="T10" i="29"/>
  <c r="S10" i="29"/>
  <c r="R10" i="29"/>
  <c r="Q10" i="29"/>
  <c r="P10" i="29"/>
  <c r="O10" i="29"/>
  <c r="N10" i="29"/>
  <c r="M10" i="29"/>
  <c r="L10" i="29"/>
  <c r="K10" i="29"/>
  <c r="J10" i="29"/>
  <c r="I10" i="29"/>
  <c r="H10" i="29"/>
  <c r="G10" i="29"/>
  <c r="F10" i="29"/>
  <c r="E10" i="29"/>
  <c r="D10" i="29"/>
  <c r="C10" i="29"/>
  <c r="W9" i="29"/>
  <c r="V9" i="29"/>
  <c r="U9" i="29"/>
  <c r="T9" i="29"/>
  <c r="S9" i="29"/>
  <c r="R9" i="29"/>
  <c r="Q9" i="29"/>
  <c r="P9" i="29"/>
  <c r="O9" i="29"/>
  <c r="N9" i="29"/>
  <c r="M9" i="29"/>
  <c r="L9" i="29"/>
  <c r="K9" i="29"/>
  <c r="J9" i="29"/>
  <c r="I9" i="29"/>
  <c r="H9" i="29"/>
  <c r="G9" i="29"/>
  <c r="F9" i="29"/>
  <c r="E9" i="29"/>
  <c r="D9" i="29"/>
  <c r="C9" i="29"/>
  <c r="W8" i="29"/>
  <c r="V8" i="29"/>
  <c r="U8" i="29"/>
  <c r="T8" i="29"/>
  <c r="S8" i="29"/>
  <c r="R8" i="29"/>
  <c r="Q8" i="29"/>
  <c r="P8" i="29"/>
  <c r="O8" i="29"/>
  <c r="N8" i="29"/>
  <c r="M8" i="29"/>
  <c r="L8" i="29"/>
  <c r="K8" i="29"/>
  <c r="J8" i="29"/>
  <c r="I8" i="29"/>
  <c r="H8" i="29"/>
  <c r="G8" i="29"/>
  <c r="F8" i="29"/>
  <c r="E8" i="29"/>
  <c r="D8" i="29"/>
  <c r="C8" i="29"/>
  <c r="W7" i="29"/>
  <c r="V7" i="29"/>
  <c r="U7" i="29"/>
  <c r="T7" i="29"/>
  <c r="S7" i="29"/>
  <c r="R7" i="29"/>
  <c r="Q7" i="29"/>
  <c r="P7" i="29"/>
  <c r="O7" i="29"/>
  <c r="N7" i="29"/>
  <c r="M7" i="29"/>
  <c r="L7" i="29"/>
  <c r="K7" i="29"/>
  <c r="J7" i="29"/>
  <c r="I7" i="29"/>
  <c r="H7" i="29"/>
  <c r="G7" i="29"/>
  <c r="F7" i="29"/>
  <c r="E7" i="29"/>
  <c r="D7" i="29"/>
  <c r="C7" i="29"/>
  <c r="W6" i="29"/>
  <c r="V6" i="29"/>
  <c r="U6" i="29"/>
  <c r="T6" i="29"/>
  <c r="S6" i="29"/>
  <c r="R6" i="29"/>
  <c r="Q6" i="29"/>
  <c r="P6" i="29"/>
  <c r="O6" i="29"/>
  <c r="N6" i="29"/>
  <c r="M6" i="29"/>
  <c r="L6" i="29"/>
  <c r="K6" i="29"/>
  <c r="J6" i="29"/>
  <c r="I6" i="29"/>
  <c r="H6" i="29"/>
  <c r="G6" i="29"/>
  <c r="F6" i="29"/>
  <c r="E6" i="29"/>
  <c r="D6" i="29"/>
  <c r="C6" i="29"/>
  <c r="W41" i="31"/>
  <c r="V41" i="31"/>
  <c r="U41" i="31"/>
  <c r="T41" i="31"/>
  <c r="S41" i="31"/>
  <c r="R41" i="31"/>
  <c r="Q41" i="31"/>
  <c r="P41" i="31"/>
  <c r="O41" i="31"/>
  <c r="N41" i="31"/>
  <c r="M41" i="31"/>
  <c r="L41" i="31"/>
  <c r="K41" i="31"/>
  <c r="J41" i="31"/>
  <c r="I41" i="31"/>
  <c r="H41" i="31"/>
  <c r="G41" i="31"/>
  <c r="F41" i="31"/>
  <c r="E41" i="31"/>
  <c r="D41" i="31"/>
  <c r="C41" i="31"/>
  <c r="W40" i="31"/>
  <c r="V40" i="31"/>
  <c r="U40" i="31"/>
  <c r="T40" i="31"/>
  <c r="S40" i="31"/>
  <c r="R40" i="31"/>
  <c r="Q40" i="31"/>
  <c r="P40" i="31"/>
  <c r="O40" i="31"/>
  <c r="N40" i="31"/>
  <c r="M40" i="31"/>
  <c r="L40" i="31"/>
  <c r="K40" i="31"/>
  <c r="J40" i="31"/>
  <c r="I40" i="31"/>
  <c r="H40" i="31"/>
  <c r="G40" i="31"/>
  <c r="F40" i="31"/>
  <c r="E40" i="31"/>
  <c r="D40" i="31"/>
  <c r="C40" i="31"/>
  <c r="W39" i="31"/>
  <c r="V39" i="31"/>
  <c r="U39" i="31"/>
  <c r="T39" i="31"/>
  <c r="S39" i="31"/>
  <c r="R39" i="31"/>
  <c r="Q39" i="31"/>
  <c r="P39" i="31"/>
  <c r="O39" i="31"/>
  <c r="N39" i="31"/>
  <c r="M39" i="31"/>
  <c r="L39" i="31"/>
  <c r="K39" i="31"/>
  <c r="J39" i="31"/>
  <c r="I39" i="31"/>
  <c r="H39" i="31"/>
  <c r="G39" i="31"/>
  <c r="F39" i="31"/>
  <c r="E39" i="31"/>
  <c r="D39" i="31"/>
  <c r="C39" i="31"/>
  <c r="W38" i="31"/>
  <c r="V38" i="31"/>
  <c r="U38" i="31"/>
  <c r="T38" i="31"/>
  <c r="S38" i="31"/>
  <c r="R38" i="31"/>
  <c r="Q38" i="31"/>
  <c r="P38" i="31"/>
  <c r="O38" i="31"/>
  <c r="N38" i="31"/>
  <c r="M38" i="31"/>
  <c r="L38" i="31"/>
  <c r="K38" i="31"/>
  <c r="J38" i="31"/>
  <c r="I38" i="31"/>
  <c r="H38" i="31"/>
  <c r="G38" i="31"/>
  <c r="F38" i="31"/>
  <c r="E38" i="31"/>
  <c r="D38" i="31"/>
  <c r="C38" i="31"/>
  <c r="W37" i="31"/>
  <c r="V37" i="31"/>
  <c r="U37" i="31"/>
  <c r="T37" i="31"/>
  <c r="S37" i="31"/>
  <c r="R37" i="31"/>
  <c r="Q37" i="31"/>
  <c r="P37" i="31"/>
  <c r="O37" i="31"/>
  <c r="N37" i="31"/>
  <c r="M37" i="31"/>
  <c r="L37" i="31"/>
  <c r="K37" i="31"/>
  <c r="J37" i="31"/>
  <c r="I37" i="31"/>
  <c r="H37" i="31"/>
  <c r="G37" i="31"/>
  <c r="F37" i="31"/>
  <c r="E37" i="31"/>
  <c r="D37" i="31"/>
  <c r="C37" i="31"/>
  <c r="W36" i="31"/>
  <c r="V36" i="31"/>
  <c r="U36" i="31"/>
  <c r="T36" i="31"/>
  <c r="S36" i="31"/>
  <c r="R36" i="31"/>
  <c r="Q36" i="31"/>
  <c r="P36" i="31"/>
  <c r="O36" i="31"/>
  <c r="N36" i="31"/>
  <c r="M36" i="31"/>
  <c r="L36" i="31"/>
  <c r="K36" i="31"/>
  <c r="J36" i="31"/>
  <c r="I36" i="31"/>
  <c r="H36" i="31"/>
  <c r="G36" i="31"/>
  <c r="F36" i="31"/>
  <c r="E36" i="31"/>
  <c r="D36" i="31"/>
  <c r="C36" i="31"/>
  <c r="W35" i="31"/>
  <c r="V35" i="31"/>
  <c r="U35" i="31"/>
  <c r="T35" i="31"/>
  <c r="S35" i="31"/>
  <c r="R35" i="31"/>
  <c r="Q35" i="31"/>
  <c r="P35" i="31"/>
  <c r="O35" i="31"/>
  <c r="N35" i="31"/>
  <c r="M35" i="31"/>
  <c r="L35" i="31"/>
  <c r="K35" i="31"/>
  <c r="J35" i="31"/>
  <c r="I35" i="31"/>
  <c r="H35" i="31"/>
  <c r="G35" i="31"/>
  <c r="F35" i="31"/>
  <c r="E35" i="31"/>
  <c r="D35" i="31"/>
  <c r="C35" i="31"/>
  <c r="W34" i="31"/>
  <c r="V34" i="31"/>
  <c r="U34" i="31"/>
  <c r="T34" i="31"/>
  <c r="S34" i="31"/>
  <c r="R34" i="31"/>
  <c r="Q34" i="31"/>
  <c r="P34" i="31"/>
  <c r="O34" i="31"/>
  <c r="N34" i="31"/>
  <c r="M34" i="31"/>
  <c r="L34" i="31"/>
  <c r="K34" i="31"/>
  <c r="J34" i="31"/>
  <c r="I34" i="31"/>
  <c r="H34" i="31"/>
  <c r="G34" i="31"/>
  <c r="F34" i="31"/>
  <c r="E34" i="31"/>
  <c r="D34" i="31"/>
  <c r="C34" i="31"/>
  <c r="W33" i="31"/>
  <c r="V33" i="31"/>
  <c r="U33" i="31"/>
  <c r="T33" i="31"/>
  <c r="S33" i="31"/>
  <c r="R33" i="31"/>
  <c r="Q33" i="31"/>
  <c r="P33" i="31"/>
  <c r="O33" i="31"/>
  <c r="N33" i="31"/>
  <c r="M33" i="31"/>
  <c r="L33" i="31"/>
  <c r="K33" i="31"/>
  <c r="J33" i="31"/>
  <c r="I33" i="31"/>
  <c r="H33" i="31"/>
  <c r="G33" i="31"/>
  <c r="F33" i="31"/>
  <c r="E33" i="31"/>
  <c r="D33" i="31"/>
  <c r="C33" i="31"/>
  <c r="W32" i="31"/>
  <c r="V32" i="31"/>
  <c r="U32" i="31"/>
  <c r="T32" i="31"/>
  <c r="S32" i="31"/>
  <c r="R32" i="31"/>
  <c r="Q32" i="31"/>
  <c r="P32" i="31"/>
  <c r="O32" i="31"/>
  <c r="N32" i="31"/>
  <c r="M32" i="31"/>
  <c r="L32" i="31"/>
  <c r="K32" i="31"/>
  <c r="J32" i="31"/>
  <c r="I32" i="31"/>
  <c r="H32" i="31"/>
  <c r="G32" i="31"/>
  <c r="F32" i="31"/>
  <c r="E32" i="31"/>
  <c r="D32" i="31"/>
  <c r="C32" i="31"/>
  <c r="W31" i="31"/>
  <c r="V31" i="31"/>
  <c r="U31" i="31"/>
  <c r="T31" i="31"/>
  <c r="S31" i="31"/>
  <c r="R31" i="31"/>
  <c r="Q31" i="31"/>
  <c r="P31" i="31"/>
  <c r="O31" i="31"/>
  <c r="N31" i="31"/>
  <c r="M31" i="31"/>
  <c r="L31" i="31"/>
  <c r="K31" i="31"/>
  <c r="J31" i="31"/>
  <c r="I31" i="31"/>
  <c r="H31" i="31"/>
  <c r="G31" i="31"/>
  <c r="F31" i="31"/>
  <c r="E31" i="31"/>
  <c r="D31" i="31"/>
  <c r="C31" i="31"/>
  <c r="W30" i="31"/>
  <c r="V30" i="31"/>
  <c r="U30" i="31"/>
  <c r="T30" i="31"/>
  <c r="S30" i="31"/>
  <c r="R30" i="31"/>
  <c r="Q30" i="31"/>
  <c r="P30" i="31"/>
  <c r="O30" i="31"/>
  <c r="N30" i="31"/>
  <c r="M30" i="31"/>
  <c r="L30" i="31"/>
  <c r="K30" i="31"/>
  <c r="J30" i="31"/>
  <c r="I30" i="31"/>
  <c r="H30" i="31"/>
  <c r="G30" i="31"/>
  <c r="F30" i="31"/>
  <c r="E30" i="31"/>
  <c r="D30" i="31"/>
  <c r="C30" i="31"/>
  <c r="W29" i="31"/>
  <c r="V29" i="31"/>
  <c r="U29" i="31"/>
  <c r="T29" i="31"/>
  <c r="S29" i="31"/>
  <c r="R29" i="31"/>
  <c r="Q29" i="31"/>
  <c r="P29" i="31"/>
  <c r="O29" i="31"/>
  <c r="N29" i="31"/>
  <c r="M29" i="31"/>
  <c r="L29" i="31"/>
  <c r="K29" i="31"/>
  <c r="J29" i="31"/>
  <c r="I29" i="31"/>
  <c r="H29" i="31"/>
  <c r="G29" i="31"/>
  <c r="F29" i="31"/>
  <c r="E29" i="31"/>
  <c r="D29" i="31"/>
  <c r="C29" i="31"/>
  <c r="W28" i="31"/>
  <c r="V28" i="31"/>
  <c r="U28" i="31"/>
  <c r="T28" i="31"/>
  <c r="S28" i="31"/>
  <c r="R28" i="31"/>
  <c r="Q28" i="31"/>
  <c r="P28" i="31"/>
  <c r="O28" i="31"/>
  <c r="N28" i="31"/>
  <c r="M28" i="31"/>
  <c r="L28" i="31"/>
  <c r="K28" i="31"/>
  <c r="J28" i="31"/>
  <c r="I28" i="31"/>
  <c r="H28" i="31"/>
  <c r="G28" i="31"/>
  <c r="F28" i="31"/>
  <c r="E28" i="31"/>
  <c r="D28" i="31"/>
  <c r="C28" i="31"/>
  <c r="W27" i="31"/>
  <c r="V27" i="31"/>
  <c r="U27" i="31"/>
  <c r="T27" i="31"/>
  <c r="S27" i="31"/>
  <c r="R27" i="31"/>
  <c r="Q27" i="31"/>
  <c r="P27" i="31"/>
  <c r="O27" i="31"/>
  <c r="N27" i="31"/>
  <c r="M27" i="31"/>
  <c r="L27" i="31"/>
  <c r="K27" i="31"/>
  <c r="J27" i="31"/>
  <c r="I27" i="31"/>
  <c r="H27" i="31"/>
  <c r="G27" i="31"/>
  <c r="F27" i="31"/>
  <c r="E27" i="31"/>
  <c r="D27" i="31"/>
  <c r="C27" i="31"/>
  <c r="W26" i="31"/>
  <c r="V26" i="31"/>
  <c r="U26" i="31"/>
  <c r="T26" i="31"/>
  <c r="S26" i="31"/>
  <c r="R26" i="31"/>
  <c r="Q26" i="31"/>
  <c r="P26" i="31"/>
  <c r="O26" i="31"/>
  <c r="N26" i="31"/>
  <c r="M26" i="31"/>
  <c r="L26" i="31"/>
  <c r="K26" i="31"/>
  <c r="J26" i="31"/>
  <c r="I26" i="31"/>
  <c r="H26" i="31"/>
  <c r="G26" i="31"/>
  <c r="F26" i="31"/>
  <c r="E26" i="31"/>
  <c r="D26" i="31"/>
  <c r="C26" i="31"/>
  <c r="W25" i="31"/>
  <c r="V25" i="31"/>
  <c r="U25" i="31"/>
  <c r="T25" i="31"/>
  <c r="S25" i="31"/>
  <c r="R25" i="31"/>
  <c r="Q25" i="31"/>
  <c r="P25" i="31"/>
  <c r="O25" i="31"/>
  <c r="N25" i="31"/>
  <c r="M25" i="31"/>
  <c r="L25" i="31"/>
  <c r="K25" i="31"/>
  <c r="J25" i="31"/>
  <c r="I25" i="31"/>
  <c r="H25" i="31"/>
  <c r="G25" i="31"/>
  <c r="F25" i="31"/>
  <c r="E25" i="31"/>
  <c r="D25" i="31"/>
  <c r="C25" i="31"/>
  <c r="W24" i="31"/>
  <c r="V24" i="31"/>
  <c r="U24" i="31"/>
  <c r="T24" i="31"/>
  <c r="S24" i="31"/>
  <c r="R24" i="31"/>
  <c r="Q24" i="31"/>
  <c r="P24" i="31"/>
  <c r="O24" i="31"/>
  <c r="N24" i="31"/>
  <c r="M24" i="31"/>
  <c r="L24" i="31"/>
  <c r="K24" i="31"/>
  <c r="J24" i="31"/>
  <c r="I24" i="31"/>
  <c r="H24" i="31"/>
  <c r="G24" i="31"/>
  <c r="F24" i="31"/>
  <c r="E24" i="31"/>
  <c r="D24" i="31"/>
  <c r="C24" i="31"/>
  <c r="W23" i="31"/>
  <c r="V23" i="31"/>
  <c r="U23" i="31"/>
  <c r="T23" i="31"/>
  <c r="S23" i="31"/>
  <c r="R23" i="31"/>
  <c r="Q23" i="31"/>
  <c r="P23" i="31"/>
  <c r="O23" i="31"/>
  <c r="N23" i="31"/>
  <c r="M23" i="31"/>
  <c r="L23" i="31"/>
  <c r="K23" i="31"/>
  <c r="J23" i="31"/>
  <c r="I23" i="31"/>
  <c r="H23" i="31"/>
  <c r="G23" i="31"/>
  <c r="F23" i="31"/>
  <c r="E23" i="31"/>
  <c r="D23" i="31"/>
  <c r="C23" i="31"/>
  <c r="W22" i="31"/>
  <c r="V22" i="31"/>
  <c r="U22" i="31"/>
  <c r="T22" i="31"/>
  <c r="S22" i="31"/>
  <c r="R22" i="31"/>
  <c r="Q22" i="31"/>
  <c r="P22" i="31"/>
  <c r="O22" i="31"/>
  <c r="N22" i="31"/>
  <c r="M22" i="31"/>
  <c r="L22" i="31"/>
  <c r="K22" i="31"/>
  <c r="J22" i="31"/>
  <c r="I22" i="31"/>
  <c r="H22" i="31"/>
  <c r="G22" i="31"/>
  <c r="F22" i="31"/>
  <c r="E22" i="31"/>
  <c r="D22" i="31"/>
  <c r="C22" i="31"/>
  <c r="W21" i="31"/>
  <c r="V21" i="31"/>
  <c r="U21" i="31"/>
  <c r="T21" i="31"/>
  <c r="S21" i="31"/>
  <c r="R21" i="31"/>
  <c r="Q21" i="31"/>
  <c r="P21" i="31"/>
  <c r="O21" i="31"/>
  <c r="N21" i="31"/>
  <c r="M21" i="31"/>
  <c r="L21" i="31"/>
  <c r="K21" i="31"/>
  <c r="J21" i="31"/>
  <c r="I21" i="31"/>
  <c r="H21" i="31"/>
  <c r="G21" i="31"/>
  <c r="F21" i="31"/>
  <c r="E21" i="31"/>
  <c r="D21" i="31"/>
  <c r="C21" i="31"/>
  <c r="W20" i="31"/>
  <c r="V20" i="31"/>
  <c r="U20" i="31"/>
  <c r="T20" i="31"/>
  <c r="S20" i="31"/>
  <c r="R20" i="31"/>
  <c r="Q20" i="31"/>
  <c r="P20" i="31"/>
  <c r="O20" i="31"/>
  <c r="N20" i="31"/>
  <c r="M20" i="31"/>
  <c r="L20" i="31"/>
  <c r="K20" i="31"/>
  <c r="J20" i="31"/>
  <c r="I20" i="31"/>
  <c r="H20" i="31"/>
  <c r="G20" i="31"/>
  <c r="F20" i="31"/>
  <c r="E20" i="31"/>
  <c r="D20" i="31"/>
  <c r="C20" i="31"/>
  <c r="W19" i="31"/>
  <c r="V19" i="31"/>
  <c r="U19" i="31"/>
  <c r="T19" i="31"/>
  <c r="S19" i="31"/>
  <c r="R19" i="31"/>
  <c r="Q19" i="31"/>
  <c r="P19" i="31"/>
  <c r="O19" i="31"/>
  <c r="N19" i="31"/>
  <c r="M19" i="31"/>
  <c r="L19" i="31"/>
  <c r="K19" i="31"/>
  <c r="J19" i="31"/>
  <c r="I19" i="31"/>
  <c r="H19" i="31"/>
  <c r="G19" i="31"/>
  <c r="F19" i="31"/>
  <c r="E19" i="31"/>
  <c r="D19" i="31"/>
  <c r="C19" i="31"/>
  <c r="W18" i="31"/>
  <c r="V18" i="31"/>
  <c r="U18" i="31"/>
  <c r="T18" i="31"/>
  <c r="S18" i="31"/>
  <c r="R18" i="31"/>
  <c r="Q18" i="31"/>
  <c r="P18" i="31"/>
  <c r="O18" i="31"/>
  <c r="N18" i="31"/>
  <c r="M18" i="31"/>
  <c r="L18" i="31"/>
  <c r="K18" i="31"/>
  <c r="J18" i="31"/>
  <c r="I18" i="31"/>
  <c r="H18" i="31"/>
  <c r="G18" i="31"/>
  <c r="F18" i="31"/>
  <c r="E18" i="31"/>
  <c r="D18" i="31"/>
  <c r="C18" i="31"/>
  <c r="W17" i="31"/>
  <c r="V17" i="31"/>
  <c r="U17" i="31"/>
  <c r="T17" i="31"/>
  <c r="S17" i="31"/>
  <c r="R17" i="31"/>
  <c r="Q17" i="31"/>
  <c r="P17" i="31"/>
  <c r="O17" i="31"/>
  <c r="N17" i="31"/>
  <c r="M17" i="31"/>
  <c r="L17" i="31"/>
  <c r="K17" i="31"/>
  <c r="J17" i="31"/>
  <c r="I17" i="31"/>
  <c r="H17" i="31"/>
  <c r="G17" i="31"/>
  <c r="F17" i="31"/>
  <c r="E17" i="31"/>
  <c r="D17" i="31"/>
  <c r="C17" i="31"/>
  <c r="W16" i="31"/>
  <c r="V16" i="31"/>
  <c r="U16" i="31"/>
  <c r="T16" i="31"/>
  <c r="S16" i="31"/>
  <c r="R16" i="31"/>
  <c r="Q16" i="31"/>
  <c r="P16" i="31"/>
  <c r="O16" i="31"/>
  <c r="N16" i="31"/>
  <c r="M16" i="31"/>
  <c r="L16" i="31"/>
  <c r="K16" i="31"/>
  <c r="J16" i="31"/>
  <c r="I16" i="31"/>
  <c r="H16" i="31"/>
  <c r="G16" i="31"/>
  <c r="F16" i="31"/>
  <c r="E16" i="31"/>
  <c r="D16" i="31"/>
  <c r="C16" i="31"/>
  <c r="W15" i="31"/>
  <c r="V15" i="31"/>
  <c r="U15" i="31"/>
  <c r="T15" i="31"/>
  <c r="S15" i="31"/>
  <c r="R15" i="31"/>
  <c r="Q15" i="31"/>
  <c r="P15" i="31"/>
  <c r="O15" i="31"/>
  <c r="N15" i="31"/>
  <c r="M15" i="31"/>
  <c r="L15" i="31"/>
  <c r="K15" i="31"/>
  <c r="J15" i="31"/>
  <c r="I15" i="31"/>
  <c r="H15" i="31"/>
  <c r="G15" i="31"/>
  <c r="F15" i="31"/>
  <c r="E15" i="31"/>
  <c r="D15" i="31"/>
  <c r="C15" i="31"/>
  <c r="W14" i="31"/>
  <c r="V14" i="31"/>
  <c r="U14" i="31"/>
  <c r="T14" i="31"/>
  <c r="S14" i="31"/>
  <c r="R14" i="31"/>
  <c r="Q14" i="31"/>
  <c r="P14" i="31"/>
  <c r="O14" i="31"/>
  <c r="N14" i="31"/>
  <c r="M14" i="31"/>
  <c r="L14" i="31"/>
  <c r="K14" i="31"/>
  <c r="J14" i="31"/>
  <c r="I14" i="31"/>
  <c r="H14" i="31"/>
  <c r="G14" i="31"/>
  <c r="F14" i="31"/>
  <c r="E14" i="31"/>
  <c r="D14" i="31"/>
  <c r="C14" i="31"/>
  <c r="W13" i="31"/>
  <c r="V13" i="31"/>
  <c r="U13" i="31"/>
  <c r="T13" i="31"/>
  <c r="S13" i="31"/>
  <c r="R13" i="31"/>
  <c r="Q13" i="31"/>
  <c r="P13" i="31"/>
  <c r="O13" i="31"/>
  <c r="N13" i="31"/>
  <c r="M13" i="31"/>
  <c r="L13" i="31"/>
  <c r="K13" i="31"/>
  <c r="J13" i="31"/>
  <c r="I13" i="31"/>
  <c r="H13" i="31"/>
  <c r="G13" i="31"/>
  <c r="F13" i="31"/>
  <c r="E13" i="31"/>
  <c r="D13" i="31"/>
  <c r="C13" i="31"/>
  <c r="W12" i="31"/>
  <c r="V12" i="31"/>
  <c r="U12" i="31"/>
  <c r="T12" i="31"/>
  <c r="S12" i="31"/>
  <c r="R12" i="31"/>
  <c r="Q12" i="31"/>
  <c r="P12" i="31"/>
  <c r="O12" i="31"/>
  <c r="N12" i="31"/>
  <c r="M12" i="31"/>
  <c r="L12" i="31"/>
  <c r="K12" i="31"/>
  <c r="J12" i="31"/>
  <c r="I12" i="31"/>
  <c r="H12" i="31"/>
  <c r="G12" i="31"/>
  <c r="F12" i="31"/>
  <c r="E12" i="31"/>
  <c r="D12" i="31"/>
  <c r="C12" i="31"/>
  <c r="W11" i="31"/>
  <c r="V11" i="31"/>
  <c r="U11" i="31"/>
  <c r="T11" i="31"/>
  <c r="S11" i="31"/>
  <c r="R11" i="31"/>
  <c r="Q11" i="31"/>
  <c r="P11" i="31"/>
  <c r="O11" i="31"/>
  <c r="N11" i="31"/>
  <c r="M11" i="31"/>
  <c r="L11" i="31"/>
  <c r="K11" i="31"/>
  <c r="J11" i="31"/>
  <c r="I11" i="31"/>
  <c r="H11" i="31"/>
  <c r="G11" i="31"/>
  <c r="F11" i="31"/>
  <c r="E11" i="31"/>
  <c r="D11" i="31"/>
  <c r="C11" i="31"/>
  <c r="W10" i="31"/>
  <c r="V10" i="31"/>
  <c r="U10" i="31"/>
  <c r="T10" i="31"/>
  <c r="S10" i="31"/>
  <c r="R10" i="31"/>
  <c r="Q10" i="31"/>
  <c r="P10" i="31"/>
  <c r="O10" i="31"/>
  <c r="N10" i="31"/>
  <c r="M10" i="31"/>
  <c r="L10" i="31"/>
  <c r="K10" i="31"/>
  <c r="J10" i="31"/>
  <c r="I10" i="31"/>
  <c r="H10" i="31"/>
  <c r="G10" i="31"/>
  <c r="F10" i="31"/>
  <c r="E10" i="31"/>
  <c r="D10" i="31"/>
  <c r="C10" i="31"/>
  <c r="W9" i="31"/>
  <c r="V9" i="31"/>
  <c r="U9" i="31"/>
  <c r="T9" i="31"/>
  <c r="S9" i="31"/>
  <c r="R9" i="31"/>
  <c r="Q9" i="31"/>
  <c r="P9" i="31"/>
  <c r="O9" i="31"/>
  <c r="N9" i="31"/>
  <c r="M9" i="31"/>
  <c r="L9" i="31"/>
  <c r="K9" i="31"/>
  <c r="J9" i="31"/>
  <c r="I9" i="31"/>
  <c r="H9" i="31"/>
  <c r="G9" i="31"/>
  <c r="F9" i="31"/>
  <c r="E9" i="31"/>
  <c r="D9" i="31"/>
  <c r="C9" i="31"/>
  <c r="W8" i="31"/>
  <c r="V8" i="31"/>
  <c r="U8" i="31"/>
  <c r="T8" i="31"/>
  <c r="S8" i="31"/>
  <c r="R8" i="31"/>
  <c r="Q8" i="31"/>
  <c r="P8" i="31"/>
  <c r="O8" i="31"/>
  <c r="N8" i="31"/>
  <c r="M8" i="31"/>
  <c r="L8" i="31"/>
  <c r="K8" i="31"/>
  <c r="J8" i="31"/>
  <c r="I8" i="31"/>
  <c r="H8" i="31"/>
  <c r="G8" i="31"/>
  <c r="F8" i="31"/>
  <c r="E8" i="31"/>
  <c r="D8" i="31"/>
  <c r="C8" i="31"/>
  <c r="W7" i="31"/>
  <c r="V7" i="31"/>
  <c r="U7" i="31"/>
  <c r="T7" i="31"/>
  <c r="S7" i="31"/>
  <c r="R7" i="31"/>
  <c r="Q7" i="31"/>
  <c r="P7" i="31"/>
  <c r="O7" i="31"/>
  <c r="N7" i="31"/>
  <c r="M7" i="31"/>
  <c r="L7" i="31"/>
  <c r="K7" i="31"/>
  <c r="J7" i="31"/>
  <c r="I7" i="31"/>
  <c r="H7" i="31"/>
  <c r="G7" i="31"/>
  <c r="F7" i="31"/>
  <c r="E7" i="31"/>
  <c r="D7" i="31"/>
  <c r="C7" i="31"/>
  <c r="W8" i="44"/>
  <c r="W9" i="44"/>
  <c r="W10" i="44"/>
  <c r="W11" i="44"/>
  <c r="W12" i="44"/>
  <c r="W13" i="44"/>
  <c r="W14" i="44"/>
  <c r="W15" i="44"/>
  <c r="W16" i="44"/>
  <c r="W17" i="44"/>
  <c r="W18" i="44"/>
  <c r="W19" i="44"/>
  <c r="W20" i="44"/>
  <c r="W21" i="44"/>
  <c r="W22" i="44"/>
  <c r="W23" i="44"/>
  <c r="W24" i="44"/>
  <c r="W25" i="44"/>
  <c r="W26" i="44"/>
  <c r="W27" i="44"/>
  <c r="W28" i="44"/>
  <c r="W29" i="44"/>
  <c r="W30" i="44"/>
  <c r="W31" i="44"/>
  <c r="W32" i="44"/>
  <c r="W33" i="44"/>
  <c r="W34" i="44"/>
  <c r="W35" i="44"/>
  <c r="W36" i="44"/>
  <c r="W37" i="44"/>
  <c r="W38" i="44"/>
  <c r="W39" i="44"/>
  <c r="W40" i="44"/>
  <c r="W41" i="44"/>
  <c r="Q8" i="44"/>
  <c r="R8" i="44"/>
  <c r="S8" i="44"/>
  <c r="T8" i="44"/>
  <c r="U8" i="44"/>
  <c r="V8" i="44"/>
  <c r="Q9" i="44"/>
  <c r="R9" i="44"/>
  <c r="S9" i="44"/>
  <c r="T9" i="44"/>
  <c r="U9" i="44"/>
  <c r="V9" i="44"/>
  <c r="Q10" i="44"/>
  <c r="R10" i="44"/>
  <c r="S10" i="44"/>
  <c r="T10" i="44"/>
  <c r="U10" i="44"/>
  <c r="V10" i="44"/>
  <c r="Q11" i="44"/>
  <c r="R11" i="44"/>
  <c r="S11" i="44"/>
  <c r="T11" i="44"/>
  <c r="U11" i="44"/>
  <c r="V11" i="44"/>
  <c r="Q12" i="44"/>
  <c r="R12" i="44"/>
  <c r="S12" i="44"/>
  <c r="T12" i="44"/>
  <c r="U12" i="44"/>
  <c r="V12" i="44"/>
  <c r="Q13" i="44"/>
  <c r="R13" i="44"/>
  <c r="S13" i="44"/>
  <c r="T13" i="44"/>
  <c r="U13" i="44"/>
  <c r="V13" i="44"/>
  <c r="Q14" i="44"/>
  <c r="R14" i="44"/>
  <c r="S14" i="44"/>
  <c r="T14" i="44"/>
  <c r="U14" i="44"/>
  <c r="V14" i="44"/>
  <c r="Q15" i="44"/>
  <c r="R15" i="44"/>
  <c r="S15" i="44"/>
  <c r="T15" i="44"/>
  <c r="U15" i="44"/>
  <c r="V15" i="44"/>
  <c r="Q16" i="44"/>
  <c r="R16" i="44"/>
  <c r="S16" i="44"/>
  <c r="T16" i="44"/>
  <c r="U16" i="44"/>
  <c r="V16" i="44"/>
  <c r="Q17" i="44"/>
  <c r="R17" i="44"/>
  <c r="S17" i="44"/>
  <c r="T17" i="44"/>
  <c r="U17" i="44"/>
  <c r="V17" i="44"/>
  <c r="Q18" i="44"/>
  <c r="R18" i="44"/>
  <c r="S18" i="44"/>
  <c r="T18" i="44"/>
  <c r="U18" i="44"/>
  <c r="V18" i="44"/>
  <c r="Q19" i="44"/>
  <c r="R19" i="44"/>
  <c r="S19" i="44"/>
  <c r="T19" i="44"/>
  <c r="U19" i="44"/>
  <c r="V19" i="44"/>
  <c r="Q20" i="44"/>
  <c r="R20" i="44"/>
  <c r="S20" i="44"/>
  <c r="T20" i="44"/>
  <c r="U20" i="44"/>
  <c r="V20" i="44"/>
  <c r="Q21" i="44"/>
  <c r="R21" i="44"/>
  <c r="S21" i="44"/>
  <c r="T21" i="44"/>
  <c r="U21" i="44"/>
  <c r="V21" i="44"/>
  <c r="Q22" i="44"/>
  <c r="R22" i="44"/>
  <c r="S22" i="44"/>
  <c r="T22" i="44"/>
  <c r="U22" i="44"/>
  <c r="V22" i="44"/>
  <c r="Q23" i="44"/>
  <c r="R23" i="44"/>
  <c r="S23" i="44"/>
  <c r="T23" i="44"/>
  <c r="U23" i="44"/>
  <c r="V23" i="44"/>
  <c r="Q24" i="44"/>
  <c r="R24" i="44"/>
  <c r="S24" i="44"/>
  <c r="T24" i="44"/>
  <c r="U24" i="44"/>
  <c r="V24" i="44"/>
  <c r="Q25" i="44"/>
  <c r="R25" i="44"/>
  <c r="S25" i="44"/>
  <c r="T25" i="44"/>
  <c r="U25" i="44"/>
  <c r="V25" i="44"/>
  <c r="Q26" i="44"/>
  <c r="R26" i="44"/>
  <c r="S26" i="44"/>
  <c r="T26" i="44"/>
  <c r="U26" i="44"/>
  <c r="V26" i="44"/>
  <c r="Q27" i="44"/>
  <c r="R27" i="44"/>
  <c r="S27" i="44"/>
  <c r="T27" i="44"/>
  <c r="U27" i="44"/>
  <c r="V27" i="44"/>
  <c r="Q28" i="44"/>
  <c r="R28" i="44"/>
  <c r="S28" i="44"/>
  <c r="T28" i="44"/>
  <c r="U28" i="44"/>
  <c r="V28" i="44"/>
  <c r="Q29" i="44"/>
  <c r="R29" i="44"/>
  <c r="S29" i="44"/>
  <c r="T29" i="44"/>
  <c r="U29" i="44"/>
  <c r="V29" i="44"/>
  <c r="Q30" i="44"/>
  <c r="R30" i="44"/>
  <c r="S30" i="44"/>
  <c r="T30" i="44"/>
  <c r="U30" i="44"/>
  <c r="V30" i="44"/>
  <c r="Q31" i="44"/>
  <c r="R31" i="44"/>
  <c r="S31" i="44"/>
  <c r="T31" i="44"/>
  <c r="U31" i="44"/>
  <c r="V31" i="44"/>
  <c r="Q32" i="44"/>
  <c r="R32" i="44"/>
  <c r="S32" i="44"/>
  <c r="T32" i="44"/>
  <c r="U32" i="44"/>
  <c r="V32" i="44"/>
  <c r="Q33" i="44"/>
  <c r="R33" i="44"/>
  <c r="S33" i="44"/>
  <c r="T33" i="44"/>
  <c r="U33" i="44"/>
  <c r="V33" i="44"/>
  <c r="Q34" i="44"/>
  <c r="R34" i="44"/>
  <c r="S34" i="44"/>
  <c r="T34" i="44"/>
  <c r="U34" i="44"/>
  <c r="V34" i="44"/>
  <c r="Q35" i="44"/>
  <c r="R35" i="44"/>
  <c r="S35" i="44"/>
  <c r="T35" i="44"/>
  <c r="U35" i="44"/>
  <c r="V35" i="44"/>
  <c r="Q36" i="44"/>
  <c r="R36" i="44"/>
  <c r="S36" i="44"/>
  <c r="T36" i="44"/>
  <c r="U36" i="44"/>
  <c r="V36" i="44"/>
  <c r="Q37" i="44"/>
  <c r="R37" i="44"/>
  <c r="S37" i="44"/>
  <c r="T37" i="44"/>
  <c r="U37" i="44"/>
  <c r="V37" i="44"/>
  <c r="Q38" i="44"/>
  <c r="R38" i="44"/>
  <c r="S38" i="44"/>
  <c r="T38" i="44"/>
  <c r="U38" i="44"/>
  <c r="V38" i="44"/>
  <c r="Q39" i="44"/>
  <c r="R39" i="44"/>
  <c r="S39" i="44"/>
  <c r="T39" i="44"/>
  <c r="U39" i="44"/>
  <c r="V39" i="44"/>
  <c r="Q40" i="44"/>
  <c r="R40" i="44"/>
  <c r="S40" i="44"/>
  <c r="T40" i="44"/>
  <c r="U40" i="44"/>
  <c r="V40" i="44"/>
  <c r="Q41" i="44"/>
  <c r="R41" i="44"/>
  <c r="S41" i="44"/>
  <c r="T41" i="44"/>
  <c r="U41" i="44"/>
  <c r="V41" i="44"/>
  <c r="R7" i="44"/>
  <c r="S7" i="44"/>
  <c r="T7" i="44"/>
  <c r="U7" i="44"/>
  <c r="V7" i="44"/>
  <c r="Q7" i="44"/>
  <c r="W7" i="44"/>
  <c r="J8" i="44"/>
  <c r="K8" i="44"/>
  <c r="L8" i="44"/>
  <c r="M8" i="44"/>
  <c r="N8" i="44"/>
  <c r="O8" i="44"/>
  <c r="P8" i="44"/>
  <c r="J9" i="44"/>
  <c r="K9" i="44"/>
  <c r="L9" i="44"/>
  <c r="M9" i="44"/>
  <c r="N9" i="44"/>
  <c r="O9" i="44"/>
  <c r="P9" i="44"/>
  <c r="J10" i="44"/>
  <c r="K10" i="44"/>
  <c r="L10" i="44"/>
  <c r="M10" i="44"/>
  <c r="N10" i="44"/>
  <c r="O10" i="44"/>
  <c r="P10" i="44"/>
  <c r="J11" i="44"/>
  <c r="K11" i="44"/>
  <c r="L11" i="44"/>
  <c r="M11" i="44"/>
  <c r="N11" i="44"/>
  <c r="O11" i="44"/>
  <c r="P11" i="44"/>
  <c r="J12" i="44"/>
  <c r="K12" i="44"/>
  <c r="L12" i="44"/>
  <c r="M12" i="44"/>
  <c r="N12" i="44"/>
  <c r="O12" i="44"/>
  <c r="P12" i="44"/>
  <c r="J13" i="44"/>
  <c r="K13" i="44"/>
  <c r="L13" i="44"/>
  <c r="M13" i="44"/>
  <c r="N13" i="44"/>
  <c r="O13" i="44"/>
  <c r="P13" i="44"/>
  <c r="J14" i="44"/>
  <c r="K14" i="44"/>
  <c r="L14" i="44"/>
  <c r="M14" i="44"/>
  <c r="N14" i="44"/>
  <c r="O14" i="44"/>
  <c r="P14" i="44"/>
  <c r="J15" i="44"/>
  <c r="K15" i="44"/>
  <c r="L15" i="44"/>
  <c r="M15" i="44"/>
  <c r="N15" i="44"/>
  <c r="O15" i="44"/>
  <c r="P15" i="44"/>
  <c r="J16" i="44"/>
  <c r="K16" i="44"/>
  <c r="L16" i="44"/>
  <c r="M16" i="44"/>
  <c r="N16" i="44"/>
  <c r="O16" i="44"/>
  <c r="P16" i="44"/>
  <c r="J17" i="44"/>
  <c r="K17" i="44"/>
  <c r="L17" i="44"/>
  <c r="M17" i="44"/>
  <c r="N17" i="44"/>
  <c r="O17" i="44"/>
  <c r="P17" i="44"/>
  <c r="J18" i="44"/>
  <c r="K18" i="44"/>
  <c r="L18" i="44"/>
  <c r="M18" i="44"/>
  <c r="N18" i="44"/>
  <c r="O18" i="44"/>
  <c r="P18" i="44"/>
  <c r="J19" i="44"/>
  <c r="K19" i="44"/>
  <c r="L19" i="44"/>
  <c r="M19" i="44"/>
  <c r="N19" i="44"/>
  <c r="O19" i="44"/>
  <c r="P19" i="44"/>
  <c r="J20" i="44"/>
  <c r="K20" i="44"/>
  <c r="L20" i="44"/>
  <c r="M20" i="44"/>
  <c r="N20" i="44"/>
  <c r="O20" i="44"/>
  <c r="P20" i="44"/>
  <c r="J21" i="44"/>
  <c r="K21" i="44"/>
  <c r="L21" i="44"/>
  <c r="M21" i="44"/>
  <c r="N21" i="44"/>
  <c r="O21" i="44"/>
  <c r="P21" i="44"/>
  <c r="J22" i="44"/>
  <c r="K22" i="44"/>
  <c r="L22" i="44"/>
  <c r="M22" i="44"/>
  <c r="N22" i="44"/>
  <c r="O22" i="44"/>
  <c r="P22" i="44"/>
  <c r="J23" i="44"/>
  <c r="K23" i="44"/>
  <c r="L23" i="44"/>
  <c r="M23" i="44"/>
  <c r="N23" i="44"/>
  <c r="O23" i="44"/>
  <c r="P23" i="44"/>
  <c r="J24" i="44"/>
  <c r="K24" i="44"/>
  <c r="L24" i="44"/>
  <c r="M24" i="44"/>
  <c r="N24" i="44"/>
  <c r="O24" i="44"/>
  <c r="P24" i="44"/>
  <c r="J25" i="44"/>
  <c r="K25" i="44"/>
  <c r="L25" i="44"/>
  <c r="M25" i="44"/>
  <c r="N25" i="44"/>
  <c r="O25" i="44"/>
  <c r="P25" i="44"/>
  <c r="J26" i="44"/>
  <c r="K26" i="44"/>
  <c r="L26" i="44"/>
  <c r="M26" i="44"/>
  <c r="N26" i="44"/>
  <c r="O26" i="44"/>
  <c r="P26" i="44"/>
  <c r="J27" i="44"/>
  <c r="K27" i="44"/>
  <c r="L27" i="44"/>
  <c r="M27" i="44"/>
  <c r="N27" i="44"/>
  <c r="O27" i="44"/>
  <c r="P27" i="44"/>
  <c r="J28" i="44"/>
  <c r="K28" i="44"/>
  <c r="L28" i="44"/>
  <c r="M28" i="44"/>
  <c r="N28" i="44"/>
  <c r="O28" i="44"/>
  <c r="P28" i="44"/>
  <c r="J29" i="44"/>
  <c r="K29" i="44"/>
  <c r="L29" i="44"/>
  <c r="M29" i="44"/>
  <c r="N29" i="44"/>
  <c r="O29" i="44"/>
  <c r="P29" i="44"/>
  <c r="J30" i="44"/>
  <c r="K30" i="44"/>
  <c r="L30" i="44"/>
  <c r="M30" i="44"/>
  <c r="N30" i="44"/>
  <c r="O30" i="44"/>
  <c r="P30" i="44"/>
  <c r="J31" i="44"/>
  <c r="K31" i="44"/>
  <c r="L31" i="44"/>
  <c r="M31" i="44"/>
  <c r="N31" i="44"/>
  <c r="O31" i="44"/>
  <c r="P31" i="44"/>
  <c r="J32" i="44"/>
  <c r="K32" i="44"/>
  <c r="L32" i="44"/>
  <c r="M32" i="44"/>
  <c r="N32" i="44"/>
  <c r="O32" i="44"/>
  <c r="P32" i="44"/>
  <c r="J33" i="44"/>
  <c r="K33" i="44"/>
  <c r="L33" i="44"/>
  <c r="M33" i="44"/>
  <c r="N33" i="44"/>
  <c r="O33" i="44"/>
  <c r="P33" i="44"/>
  <c r="J34" i="44"/>
  <c r="K34" i="44"/>
  <c r="L34" i="44"/>
  <c r="M34" i="44"/>
  <c r="N34" i="44"/>
  <c r="O34" i="44"/>
  <c r="P34" i="44"/>
  <c r="J35" i="44"/>
  <c r="K35" i="44"/>
  <c r="L35" i="44"/>
  <c r="M35" i="44"/>
  <c r="N35" i="44"/>
  <c r="O35" i="44"/>
  <c r="P35" i="44"/>
  <c r="J36" i="44"/>
  <c r="K36" i="44"/>
  <c r="L36" i="44"/>
  <c r="M36" i="44"/>
  <c r="N36" i="44"/>
  <c r="O36" i="44"/>
  <c r="P36" i="44"/>
  <c r="J37" i="44"/>
  <c r="K37" i="44"/>
  <c r="L37" i="44"/>
  <c r="M37" i="44"/>
  <c r="N37" i="44"/>
  <c r="O37" i="44"/>
  <c r="P37" i="44"/>
  <c r="J38" i="44"/>
  <c r="K38" i="44"/>
  <c r="L38" i="44"/>
  <c r="M38" i="44"/>
  <c r="N38" i="44"/>
  <c r="O38" i="44"/>
  <c r="P38" i="44"/>
  <c r="J39" i="44"/>
  <c r="K39" i="44"/>
  <c r="L39" i="44"/>
  <c r="M39" i="44"/>
  <c r="N39" i="44"/>
  <c r="O39" i="44"/>
  <c r="P39" i="44"/>
  <c r="J40" i="44"/>
  <c r="K40" i="44"/>
  <c r="L40" i="44"/>
  <c r="M40" i="44"/>
  <c r="N40" i="44"/>
  <c r="O40" i="44"/>
  <c r="P40" i="44"/>
  <c r="J41" i="44"/>
  <c r="K41" i="44"/>
  <c r="L41" i="44"/>
  <c r="M41" i="44"/>
  <c r="N41" i="44"/>
  <c r="O41" i="44"/>
  <c r="P41" i="44"/>
  <c r="K7" i="44"/>
  <c r="L7" i="44"/>
  <c r="M7" i="44"/>
  <c r="N7" i="44"/>
  <c r="O7" i="44"/>
  <c r="J7" i="44"/>
  <c r="P7" i="44"/>
  <c r="C8" i="44"/>
  <c r="D8" i="44"/>
  <c r="E8" i="44"/>
  <c r="F8" i="44"/>
  <c r="G8" i="44"/>
  <c r="H8" i="44"/>
  <c r="I8" i="44"/>
  <c r="C9" i="44"/>
  <c r="D9" i="44"/>
  <c r="E9" i="44"/>
  <c r="F9" i="44"/>
  <c r="G9" i="44"/>
  <c r="H9" i="44"/>
  <c r="I9" i="44"/>
  <c r="C10" i="44"/>
  <c r="D10" i="44"/>
  <c r="E10" i="44"/>
  <c r="F10" i="44"/>
  <c r="G10" i="44"/>
  <c r="H10" i="44"/>
  <c r="I10" i="44"/>
  <c r="C11" i="44"/>
  <c r="D11" i="44"/>
  <c r="E11" i="44"/>
  <c r="F11" i="44"/>
  <c r="G11" i="44"/>
  <c r="H11" i="44"/>
  <c r="I11" i="44"/>
  <c r="C12" i="44"/>
  <c r="D12" i="44"/>
  <c r="E12" i="44"/>
  <c r="F12" i="44"/>
  <c r="G12" i="44"/>
  <c r="H12" i="44"/>
  <c r="I12" i="44"/>
  <c r="C13" i="44"/>
  <c r="D13" i="44"/>
  <c r="E13" i="44"/>
  <c r="F13" i="44"/>
  <c r="G13" i="44"/>
  <c r="H13" i="44"/>
  <c r="I13" i="44"/>
  <c r="C14" i="44"/>
  <c r="D14" i="44"/>
  <c r="E14" i="44"/>
  <c r="F14" i="44"/>
  <c r="G14" i="44"/>
  <c r="H14" i="44"/>
  <c r="I14" i="44"/>
  <c r="C15" i="44"/>
  <c r="D15" i="44"/>
  <c r="E15" i="44"/>
  <c r="F15" i="44"/>
  <c r="G15" i="44"/>
  <c r="H15" i="44"/>
  <c r="I15" i="44"/>
  <c r="C16" i="44"/>
  <c r="D16" i="44"/>
  <c r="E16" i="44"/>
  <c r="F16" i="44"/>
  <c r="G16" i="44"/>
  <c r="H16" i="44"/>
  <c r="I16" i="44"/>
  <c r="C17" i="44"/>
  <c r="D17" i="44"/>
  <c r="E17" i="44"/>
  <c r="F17" i="44"/>
  <c r="G17" i="44"/>
  <c r="H17" i="44"/>
  <c r="I17" i="44"/>
  <c r="C18" i="44"/>
  <c r="D18" i="44"/>
  <c r="E18" i="44"/>
  <c r="F18" i="44"/>
  <c r="G18" i="44"/>
  <c r="H18" i="44"/>
  <c r="I18" i="44"/>
  <c r="C19" i="44"/>
  <c r="D19" i="44"/>
  <c r="E19" i="44"/>
  <c r="F19" i="44"/>
  <c r="G19" i="44"/>
  <c r="H19" i="44"/>
  <c r="I19" i="44"/>
  <c r="C20" i="44"/>
  <c r="D20" i="44"/>
  <c r="E20" i="44"/>
  <c r="F20" i="44"/>
  <c r="G20" i="44"/>
  <c r="H20" i="44"/>
  <c r="I20" i="44"/>
  <c r="C21" i="44"/>
  <c r="D21" i="44"/>
  <c r="E21" i="44"/>
  <c r="F21" i="44"/>
  <c r="G21" i="44"/>
  <c r="H21" i="44"/>
  <c r="I21" i="44"/>
  <c r="C22" i="44"/>
  <c r="D22" i="44"/>
  <c r="E22" i="44"/>
  <c r="F22" i="44"/>
  <c r="G22" i="44"/>
  <c r="H22" i="44"/>
  <c r="I22" i="44"/>
  <c r="C23" i="44"/>
  <c r="D23" i="44"/>
  <c r="E23" i="44"/>
  <c r="F23" i="44"/>
  <c r="G23" i="44"/>
  <c r="H23" i="44"/>
  <c r="I23" i="44"/>
  <c r="C24" i="44"/>
  <c r="D24" i="44"/>
  <c r="E24" i="44"/>
  <c r="F24" i="44"/>
  <c r="G24" i="44"/>
  <c r="H24" i="44"/>
  <c r="I24" i="44"/>
  <c r="C25" i="44"/>
  <c r="D25" i="44"/>
  <c r="E25" i="44"/>
  <c r="F25" i="44"/>
  <c r="G25" i="44"/>
  <c r="H25" i="44"/>
  <c r="I25" i="44"/>
  <c r="C26" i="44"/>
  <c r="D26" i="44"/>
  <c r="E26" i="44"/>
  <c r="F26" i="44"/>
  <c r="G26" i="44"/>
  <c r="H26" i="44"/>
  <c r="I26" i="44"/>
  <c r="C27" i="44"/>
  <c r="D27" i="44"/>
  <c r="E27" i="44"/>
  <c r="F27" i="44"/>
  <c r="G27" i="44"/>
  <c r="H27" i="44"/>
  <c r="I27" i="44"/>
  <c r="C28" i="44"/>
  <c r="D28" i="44"/>
  <c r="E28" i="44"/>
  <c r="F28" i="44"/>
  <c r="G28" i="44"/>
  <c r="H28" i="44"/>
  <c r="I28" i="44"/>
  <c r="C29" i="44"/>
  <c r="D29" i="44"/>
  <c r="E29" i="44"/>
  <c r="F29" i="44"/>
  <c r="G29" i="44"/>
  <c r="H29" i="44"/>
  <c r="I29" i="44"/>
  <c r="C30" i="44"/>
  <c r="D30" i="44"/>
  <c r="E30" i="44"/>
  <c r="F30" i="44"/>
  <c r="G30" i="44"/>
  <c r="H30" i="44"/>
  <c r="I30" i="44"/>
  <c r="C31" i="44"/>
  <c r="D31" i="44"/>
  <c r="E31" i="44"/>
  <c r="F31" i="44"/>
  <c r="G31" i="44"/>
  <c r="H31" i="44"/>
  <c r="I31" i="44"/>
  <c r="C32" i="44"/>
  <c r="D32" i="44"/>
  <c r="E32" i="44"/>
  <c r="F32" i="44"/>
  <c r="G32" i="44"/>
  <c r="H32" i="44"/>
  <c r="I32" i="44"/>
  <c r="C33" i="44"/>
  <c r="D33" i="44"/>
  <c r="E33" i="44"/>
  <c r="F33" i="44"/>
  <c r="G33" i="44"/>
  <c r="H33" i="44"/>
  <c r="I33" i="44"/>
  <c r="C34" i="44"/>
  <c r="D34" i="44"/>
  <c r="E34" i="44"/>
  <c r="F34" i="44"/>
  <c r="G34" i="44"/>
  <c r="H34" i="44"/>
  <c r="I34" i="44"/>
  <c r="C35" i="44"/>
  <c r="D35" i="44"/>
  <c r="E35" i="44"/>
  <c r="F35" i="44"/>
  <c r="G35" i="44"/>
  <c r="H35" i="44"/>
  <c r="I35" i="44"/>
  <c r="C36" i="44"/>
  <c r="D36" i="44"/>
  <c r="E36" i="44"/>
  <c r="F36" i="44"/>
  <c r="G36" i="44"/>
  <c r="H36" i="44"/>
  <c r="I36" i="44"/>
  <c r="C37" i="44"/>
  <c r="D37" i="44"/>
  <c r="E37" i="44"/>
  <c r="F37" i="44"/>
  <c r="G37" i="44"/>
  <c r="H37" i="44"/>
  <c r="I37" i="44"/>
  <c r="C38" i="44"/>
  <c r="D38" i="44"/>
  <c r="E38" i="44"/>
  <c r="F38" i="44"/>
  <c r="G38" i="44"/>
  <c r="H38" i="44"/>
  <c r="I38" i="44"/>
  <c r="C39" i="44"/>
  <c r="D39" i="44"/>
  <c r="E39" i="44"/>
  <c r="F39" i="44"/>
  <c r="G39" i="44"/>
  <c r="H39" i="44"/>
  <c r="I39" i="44"/>
  <c r="C40" i="44"/>
  <c r="D40" i="44"/>
  <c r="E40" i="44"/>
  <c r="F40" i="44"/>
  <c r="G40" i="44"/>
  <c r="H40" i="44"/>
  <c r="I40" i="44"/>
  <c r="C41" i="44"/>
  <c r="D41" i="44"/>
  <c r="E41" i="44"/>
  <c r="F41" i="44"/>
  <c r="G41" i="44"/>
  <c r="H41" i="44"/>
  <c r="I41" i="44"/>
  <c r="I7" i="44"/>
  <c r="D7" i="44"/>
  <c r="E7" i="44"/>
  <c r="F7" i="44"/>
  <c r="G7" i="44"/>
  <c r="H7" i="44"/>
  <c r="C7" i="44"/>
  <c r="W39" i="15" l="1"/>
  <c r="V39" i="15"/>
  <c r="U39" i="15"/>
  <c r="T39" i="15"/>
  <c r="S39" i="15"/>
  <c r="R39" i="15"/>
  <c r="Q39" i="15"/>
  <c r="P39" i="15"/>
  <c r="O39" i="15"/>
  <c r="N39" i="15"/>
  <c r="M39" i="15"/>
  <c r="L39" i="15"/>
  <c r="K39" i="15"/>
  <c r="J39" i="15"/>
  <c r="I39" i="15"/>
  <c r="H39" i="15"/>
  <c r="G39" i="15"/>
  <c r="F39" i="15"/>
  <c r="E39" i="15"/>
  <c r="D39" i="15"/>
  <c r="C39" i="15"/>
  <c r="W38" i="15"/>
  <c r="V38" i="15"/>
  <c r="U38" i="15"/>
  <c r="T38" i="15"/>
  <c r="S38" i="15"/>
  <c r="R38" i="15"/>
  <c r="Q38" i="15"/>
  <c r="P38" i="15"/>
  <c r="O38" i="15"/>
  <c r="N38" i="15"/>
  <c r="M38" i="15"/>
  <c r="L38" i="15"/>
  <c r="K38" i="15"/>
  <c r="J38" i="15"/>
  <c r="I38" i="15"/>
  <c r="H38" i="15"/>
  <c r="G38" i="15"/>
  <c r="F38" i="15"/>
  <c r="E38" i="15"/>
  <c r="D38" i="15"/>
  <c r="C38" i="15"/>
  <c r="W37" i="15"/>
  <c r="V37" i="15"/>
  <c r="U37" i="15"/>
  <c r="T37" i="15"/>
  <c r="S37" i="15"/>
  <c r="R37" i="15"/>
  <c r="Q37" i="15"/>
  <c r="P37" i="15"/>
  <c r="O37" i="15"/>
  <c r="N37" i="15"/>
  <c r="M37" i="15"/>
  <c r="L37" i="15"/>
  <c r="K37" i="15"/>
  <c r="J37" i="15"/>
  <c r="I37" i="15"/>
  <c r="H37" i="15"/>
  <c r="G37" i="15"/>
  <c r="F37" i="15"/>
  <c r="E37" i="15"/>
  <c r="D37" i="15"/>
  <c r="C37" i="15"/>
  <c r="W36" i="15"/>
  <c r="V36" i="15"/>
  <c r="U36" i="15"/>
  <c r="T36" i="15"/>
  <c r="S36" i="15"/>
  <c r="R36" i="15"/>
  <c r="Q36" i="15"/>
  <c r="P36" i="15"/>
  <c r="O36" i="15"/>
  <c r="N36" i="15"/>
  <c r="M36" i="15"/>
  <c r="L36" i="15"/>
  <c r="K36" i="15"/>
  <c r="J36" i="15"/>
  <c r="I36" i="15"/>
  <c r="H36" i="15"/>
  <c r="G36" i="15"/>
  <c r="F36" i="15"/>
  <c r="E36" i="15"/>
  <c r="D36" i="15"/>
  <c r="C36" i="15"/>
  <c r="W35" i="15"/>
  <c r="V35" i="15"/>
  <c r="U35" i="15"/>
  <c r="T35" i="15"/>
  <c r="S35" i="15"/>
  <c r="R35" i="15"/>
  <c r="Q35" i="15"/>
  <c r="P35" i="15"/>
  <c r="O35" i="15"/>
  <c r="N35" i="15"/>
  <c r="M35" i="15"/>
  <c r="L35" i="15"/>
  <c r="K35" i="15"/>
  <c r="J35" i="15"/>
  <c r="I35" i="15"/>
  <c r="H35" i="15"/>
  <c r="G35" i="15"/>
  <c r="F35" i="15"/>
  <c r="E35" i="15"/>
  <c r="D35" i="15"/>
  <c r="C35" i="15"/>
  <c r="W34" i="15"/>
  <c r="V34" i="15"/>
  <c r="U34" i="15"/>
  <c r="T34" i="15"/>
  <c r="S34" i="15"/>
  <c r="R34" i="15"/>
  <c r="Q34" i="15"/>
  <c r="P34" i="15"/>
  <c r="O34" i="15"/>
  <c r="N34" i="15"/>
  <c r="M34" i="15"/>
  <c r="L34" i="15"/>
  <c r="K34" i="15"/>
  <c r="J34" i="15"/>
  <c r="I34" i="15"/>
  <c r="H34" i="15"/>
  <c r="G34" i="15"/>
  <c r="F34" i="15"/>
  <c r="E34" i="15"/>
  <c r="D34" i="15"/>
  <c r="C34" i="15"/>
  <c r="W33" i="15"/>
  <c r="V33" i="15"/>
  <c r="U33" i="15"/>
  <c r="T33" i="15"/>
  <c r="S33" i="15"/>
  <c r="R33" i="15"/>
  <c r="Q33" i="15"/>
  <c r="P33" i="15"/>
  <c r="O33" i="15"/>
  <c r="N33" i="15"/>
  <c r="M33" i="15"/>
  <c r="L33" i="15"/>
  <c r="K33" i="15"/>
  <c r="J33" i="15"/>
  <c r="I33" i="15"/>
  <c r="H33" i="15"/>
  <c r="G33" i="15"/>
  <c r="F33" i="15"/>
  <c r="E33" i="15"/>
  <c r="D33" i="15"/>
  <c r="C33" i="15"/>
  <c r="W32" i="15"/>
  <c r="V32" i="15"/>
  <c r="U32" i="15"/>
  <c r="T32" i="15"/>
  <c r="S32" i="15"/>
  <c r="R32" i="15"/>
  <c r="Q32" i="15"/>
  <c r="P32" i="15"/>
  <c r="O32" i="15"/>
  <c r="N32" i="15"/>
  <c r="M32" i="15"/>
  <c r="L32" i="15"/>
  <c r="K32" i="15"/>
  <c r="J32" i="15"/>
  <c r="I32" i="15"/>
  <c r="H32" i="15"/>
  <c r="G32" i="15"/>
  <c r="F32" i="15"/>
  <c r="E32" i="15"/>
  <c r="D32" i="15"/>
  <c r="C32" i="15"/>
  <c r="W31" i="15"/>
  <c r="V31" i="15"/>
  <c r="U31" i="15"/>
  <c r="T31" i="15"/>
  <c r="S31" i="15"/>
  <c r="R31" i="15"/>
  <c r="Q31" i="15"/>
  <c r="P31" i="15"/>
  <c r="O31" i="15"/>
  <c r="N31" i="15"/>
  <c r="M31" i="15"/>
  <c r="L31" i="15"/>
  <c r="K31" i="15"/>
  <c r="J31" i="15"/>
  <c r="I31" i="15"/>
  <c r="H31" i="15"/>
  <c r="G31" i="15"/>
  <c r="F31" i="15"/>
  <c r="E31" i="15"/>
  <c r="D31" i="15"/>
  <c r="C31" i="15"/>
  <c r="W30" i="15"/>
  <c r="V30" i="15"/>
  <c r="U30" i="15"/>
  <c r="T30" i="15"/>
  <c r="S30" i="15"/>
  <c r="R30" i="15"/>
  <c r="Q30" i="15"/>
  <c r="P30" i="15"/>
  <c r="O30" i="15"/>
  <c r="N30" i="15"/>
  <c r="M30" i="15"/>
  <c r="L30" i="15"/>
  <c r="K30" i="15"/>
  <c r="J30" i="15"/>
  <c r="I30" i="15"/>
  <c r="H30" i="15"/>
  <c r="G30" i="15"/>
  <c r="F30" i="15"/>
  <c r="E30" i="15"/>
  <c r="D30" i="15"/>
  <c r="C30" i="15"/>
  <c r="W29" i="15"/>
  <c r="V29" i="15"/>
  <c r="U29" i="15"/>
  <c r="T29" i="15"/>
  <c r="S29" i="15"/>
  <c r="R29" i="15"/>
  <c r="Q29" i="15"/>
  <c r="P29" i="15"/>
  <c r="O29" i="15"/>
  <c r="N29" i="15"/>
  <c r="M29" i="15"/>
  <c r="L29" i="15"/>
  <c r="K29" i="15"/>
  <c r="J29" i="15"/>
  <c r="I29" i="15"/>
  <c r="H29" i="15"/>
  <c r="G29" i="15"/>
  <c r="F29" i="15"/>
  <c r="E29" i="15"/>
  <c r="D29" i="15"/>
  <c r="C29" i="15"/>
  <c r="W28" i="15"/>
  <c r="V28" i="15"/>
  <c r="U28" i="15"/>
  <c r="T28" i="15"/>
  <c r="S28" i="15"/>
  <c r="R28" i="15"/>
  <c r="Q28" i="15"/>
  <c r="P28" i="15"/>
  <c r="O28" i="15"/>
  <c r="N28" i="15"/>
  <c r="M28" i="15"/>
  <c r="L28" i="15"/>
  <c r="K28" i="15"/>
  <c r="J28" i="15"/>
  <c r="I28" i="15"/>
  <c r="H28" i="15"/>
  <c r="G28" i="15"/>
  <c r="F28" i="15"/>
  <c r="E28" i="15"/>
  <c r="D28" i="15"/>
  <c r="C28" i="15"/>
  <c r="W27" i="15"/>
  <c r="V27" i="15"/>
  <c r="U27" i="15"/>
  <c r="T27" i="15"/>
  <c r="S27" i="15"/>
  <c r="R27" i="15"/>
  <c r="Q27" i="15"/>
  <c r="P27" i="15"/>
  <c r="O27" i="15"/>
  <c r="N27" i="15"/>
  <c r="M27" i="15"/>
  <c r="L27" i="15"/>
  <c r="K27" i="15"/>
  <c r="J27" i="15"/>
  <c r="I27" i="15"/>
  <c r="H27" i="15"/>
  <c r="G27" i="15"/>
  <c r="F27" i="15"/>
  <c r="E27" i="15"/>
  <c r="D27" i="15"/>
  <c r="C27" i="15"/>
  <c r="W26" i="15"/>
  <c r="V26" i="15"/>
  <c r="U26" i="15"/>
  <c r="T26" i="15"/>
  <c r="S26" i="15"/>
  <c r="R26" i="15"/>
  <c r="Q26" i="15"/>
  <c r="P26" i="15"/>
  <c r="O26" i="15"/>
  <c r="N26" i="15"/>
  <c r="M26" i="15"/>
  <c r="L26" i="15"/>
  <c r="K26" i="15"/>
  <c r="J26" i="15"/>
  <c r="I26" i="15"/>
  <c r="H26" i="15"/>
  <c r="G26" i="15"/>
  <c r="F26" i="15"/>
  <c r="E26" i="15"/>
  <c r="D26" i="15"/>
  <c r="C26" i="15"/>
  <c r="W25" i="15"/>
  <c r="V25" i="15"/>
  <c r="U25" i="15"/>
  <c r="T25" i="15"/>
  <c r="S25" i="15"/>
  <c r="R25" i="15"/>
  <c r="Q25" i="15"/>
  <c r="P25" i="15"/>
  <c r="O25" i="15"/>
  <c r="N25" i="15"/>
  <c r="M25" i="15"/>
  <c r="L25" i="15"/>
  <c r="K25" i="15"/>
  <c r="J25" i="15"/>
  <c r="I25" i="15"/>
  <c r="H25" i="15"/>
  <c r="G25" i="15"/>
  <c r="F25" i="15"/>
  <c r="E25" i="15"/>
  <c r="D25" i="15"/>
  <c r="C25" i="15"/>
  <c r="W24" i="15"/>
  <c r="V24" i="15"/>
  <c r="U24" i="15"/>
  <c r="T24" i="15"/>
  <c r="S24" i="15"/>
  <c r="R24" i="15"/>
  <c r="Q24" i="15"/>
  <c r="P24" i="15"/>
  <c r="O24" i="15"/>
  <c r="N24" i="15"/>
  <c r="M24" i="15"/>
  <c r="L24" i="15"/>
  <c r="K24" i="15"/>
  <c r="J24" i="15"/>
  <c r="I24" i="15"/>
  <c r="H24" i="15"/>
  <c r="G24" i="15"/>
  <c r="F24" i="15"/>
  <c r="E24" i="15"/>
  <c r="D24" i="15"/>
  <c r="C24" i="15"/>
  <c r="W23" i="15"/>
  <c r="V23" i="15"/>
  <c r="U23" i="15"/>
  <c r="T23" i="15"/>
  <c r="S23" i="15"/>
  <c r="R23" i="15"/>
  <c r="Q23" i="15"/>
  <c r="P23" i="15"/>
  <c r="O23" i="15"/>
  <c r="N23" i="15"/>
  <c r="M23" i="15"/>
  <c r="L23" i="15"/>
  <c r="K23" i="15"/>
  <c r="J23" i="15"/>
  <c r="I23" i="15"/>
  <c r="H23" i="15"/>
  <c r="G23" i="15"/>
  <c r="F23" i="15"/>
  <c r="E23" i="15"/>
  <c r="D23" i="15"/>
  <c r="C23" i="15"/>
  <c r="W22" i="15"/>
  <c r="V22" i="15"/>
  <c r="U22" i="15"/>
  <c r="T22" i="15"/>
  <c r="S22" i="15"/>
  <c r="R22" i="15"/>
  <c r="Q22" i="15"/>
  <c r="P22" i="15"/>
  <c r="O22" i="15"/>
  <c r="N22" i="15"/>
  <c r="M22" i="15"/>
  <c r="L22" i="15"/>
  <c r="K22" i="15"/>
  <c r="J22" i="15"/>
  <c r="I22" i="15"/>
  <c r="H22" i="15"/>
  <c r="G22" i="15"/>
  <c r="F22" i="15"/>
  <c r="E22" i="15"/>
  <c r="D22" i="15"/>
  <c r="C22" i="15"/>
  <c r="W21" i="15"/>
  <c r="V21" i="15"/>
  <c r="U21" i="15"/>
  <c r="T21" i="15"/>
  <c r="S21" i="15"/>
  <c r="R21" i="15"/>
  <c r="Q21" i="15"/>
  <c r="P21" i="15"/>
  <c r="O21" i="15"/>
  <c r="N21" i="15"/>
  <c r="M21" i="15"/>
  <c r="L21" i="15"/>
  <c r="K21" i="15"/>
  <c r="J21" i="15"/>
  <c r="I21" i="15"/>
  <c r="H21" i="15"/>
  <c r="G21" i="15"/>
  <c r="F21" i="15"/>
  <c r="E21" i="15"/>
  <c r="D21" i="15"/>
  <c r="C21" i="15"/>
  <c r="W20" i="15"/>
  <c r="V20" i="15"/>
  <c r="U20" i="15"/>
  <c r="T20" i="15"/>
  <c r="S20" i="15"/>
  <c r="R20" i="15"/>
  <c r="Q20" i="15"/>
  <c r="P20" i="15"/>
  <c r="O20" i="15"/>
  <c r="N20" i="15"/>
  <c r="M20" i="15"/>
  <c r="L20" i="15"/>
  <c r="K20" i="15"/>
  <c r="J20" i="15"/>
  <c r="I20" i="15"/>
  <c r="H20" i="15"/>
  <c r="G20" i="15"/>
  <c r="F20" i="15"/>
  <c r="E20" i="15"/>
  <c r="D20" i="15"/>
  <c r="C20" i="15"/>
  <c r="W19" i="15"/>
  <c r="V19" i="15"/>
  <c r="U19" i="15"/>
  <c r="T19" i="15"/>
  <c r="S19" i="15"/>
  <c r="R19" i="15"/>
  <c r="Q19" i="15"/>
  <c r="P19" i="15"/>
  <c r="O19" i="15"/>
  <c r="N19" i="15"/>
  <c r="M19" i="15"/>
  <c r="L19" i="15"/>
  <c r="K19" i="15"/>
  <c r="J19" i="15"/>
  <c r="I19" i="15"/>
  <c r="H19" i="15"/>
  <c r="G19" i="15"/>
  <c r="F19" i="15"/>
  <c r="E19" i="15"/>
  <c r="D19" i="15"/>
  <c r="C19" i="15"/>
  <c r="W18" i="15"/>
  <c r="V18" i="15"/>
  <c r="U18" i="15"/>
  <c r="T18" i="15"/>
  <c r="S18" i="15"/>
  <c r="R18" i="15"/>
  <c r="Q18" i="15"/>
  <c r="P18" i="15"/>
  <c r="O18" i="15"/>
  <c r="N18" i="15"/>
  <c r="M18" i="15"/>
  <c r="L18" i="15"/>
  <c r="K18" i="15"/>
  <c r="J18" i="15"/>
  <c r="I18" i="15"/>
  <c r="H18" i="15"/>
  <c r="G18" i="15"/>
  <c r="F18" i="15"/>
  <c r="E18" i="15"/>
  <c r="D18" i="15"/>
  <c r="C18" i="15"/>
  <c r="W17" i="15"/>
  <c r="V17" i="15"/>
  <c r="U17" i="15"/>
  <c r="T17" i="15"/>
  <c r="S17" i="15"/>
  <c r="R17" i="15"/>
  <c r="Q17" i="15"/>
  <c r="P17" i="15"/>
  <c r="O17" i="15"/>
  <c r="N17" i="15"/>
  <c r="M17" i="15"/>
  <c r="L17" i="15"/>
  <c r="K17" i="15"/>
  <c r="J17" i="15"/>
  <c r="I17" i="15"/>
  <c r="H17" i="15"/>
  <c r="G17" i="15"/>
  <c r="F17" i="15"/>
  <c r="E17" i="15"/>
  <c r="D17" i="15"/>
  <c r="C17" i="15"/>
  <c r="W16" i="15"/>
  <c r="V16" i="15"/>
  <c r="U16" i="15"/>
  <c r="T16" i="15"/>
  <c r="S16" i="15"/>
  <c r="R16" i="15"/>
  <c r="Q16" i="15"/>
  <c r="P16" i="15"/>
  <c r="O16" i="15"/>
  <c r="N16" i="15"/>
  <c r="M16" i="15"/>
  <c r="L16" i="15"/>
  <c r="K16" i="15"/>
  <c r="J16" i="15"/>
  <c r="I16" i="15"/>
  <c r="H16" i="15"/>
  <c r="G16" i="15"/>
  <c r="F16" i="15"/>
  <c r="E16" i="15"/>
  <c r="D16" i="15"/>
  <c r="C16" i="15"/>
  <c r="W15" i="15"/>
  <c r="V15" i="15"/>
  <c r="U15" i="15"/>
  <c r="T15" i="15"/>
  <c r="S15" i="15"/>
  <c r="R15" i="15"/>
  <c r="Q15" i="15"/>
  <c r="P15" i="15"/>
  <c r="O15" i="15"/>
  <c r="N15" i="15"/>
  <c r="M15" i="15"/>
  <c r="L15" i="15"/>
  <c r="K15" i="15"/>
  <c r="J15" i="15"/>
  <c r="I15" i="15"/>
  <c r="H15" i="15"/>
  <c r="G15" i="15"/>
  <c r="F15" i="15"/>
  <c r="E15" i="15"/>
  <c r="D15" i="15"/>
  <c r="C15" i="15"/>
  <c r="W14" i="15"/>
  <c r="V14" i="15"/>
  <c r="U14" i="15"/>
  <c r="T14" i="15"/>
  <c r="S14" i="15"/>
  <c r="R14" i="15"/>
  <c r="Q14" i="15"/>
  <c r="P14" i="15"/>
  <c r="O14" i="15"/>
  <c r="N14" i="15"/>
  <c r="M14" i="15"/>
  <c r="L14" i="15"/>
  <c r="K14" i="15"/>
  <c r="J14" i="15"/>
  <c r="I14" i="15"/>
  <c r="H14" i="15"/>
  <c r="G14" i="15"/>
  <c r="F14" i="15"/>
  <c r="E14" i="15"/>
  <c r="D14" i="15"/>
  <c r="C14" i="15"/>
  <c r="W13" i="15"/>
  <c r="V13" i="15"/>
  <c r="U13" i="15"/>
  <c r="T13" i="15"/>
  <c r="S13" i="15"/>
  <c r="R13" i="15"/>
  <c r="Q13" i="15"/>
  <c r="P13" i="15"/>
  <c r="O13" i="15"/>
  <c r="N13" i="15"/>
  <c r="M13" i="15"/>
  <c r="L13" i="15"/>
  <c r="K13" i="15"/>
  <c r="J13" i="15"/>
  <c r="I13" i="15"/>
  <c r="H13" i="15"/>
  <c r="G13" i="15"/>
  <c r="F13" i="15"/>
  <c r="E13" i="15"/>
  <c r="D13" i="15"/>
  <c r="C13" i="15"/>
  <c r="W12" i="15"/>
  <c r="V12" i="15"/>
  <c r="U12" i="15"/>
  <c r="T12" i="15"/>
  <c r="S12" i="15"/>
  <c r="R12" i="15"/>
  <c r="Q12" i="15"/>
  <c r="P12" i="15"/>
  <c r="O12" i="15"/>
  <c r="N12" i="15"/>
  <c r="M12" i="15"/>
  <c r="L12" i="15"/>
  <c r="K12" i="15"/>
  <c r="J12" i="15"/>
  <c r="I12" i="15"/>
  <c r="H12" i="15"/>
  <c r="G12" i="15"/>
  <c r="F12" i="15"/>
  <c r="E12" i="15"/>
  <c r="D12" i="15"/>
  <c r="C12" i="15"/>
  <c r="W11" i="15"/>
  <c r="V11" i="15"/>
  <c r="U11" i="15"/>
  <c r="T11" i="15"/>
  <c r="S11" i="15"/>
  <c r="R11" i="15"/>
  <c r="Q11" i="15"/>
  <c r="P11" i="15"/>
  <c r="O11" i="15"/>
  <c r="N11" i="15"/>
  <c r="M11" i="15"/>
  <c r="L11" i="15"/>
  <c r="K11" i="15"/>
  <c r="J11" i="15"/>
  <c r="I11" i="15"/>
  <c r="H11" i="15"/>
  <c r="G11" i="15"/>
  <c r="F11" i="15"/>
  <c r="E11" i="15"/>
  <c r="D11" i="15"/>
  <c r="C11" i="15"/>
  <c r="W10" i="15"/>
  <c r="V10" i="15"/>
  <c r="U10" i="15"/>
  <c r="T10" i="15"/>
  <c r="S10" i="15"/>
  <c r="R10" i="15"/>
  <c r="Q10" i="15"/>
  <c r="P10" i="15"/>
  <c r="O10" i="15"/>
  <c r="N10" i="15"/>
  <c r="M10" i="15"/>
  <c r="L10" i="15"/>
  <c r="K10" i="15"/>
  <c r="J10" i="15"/>
  <c r="I10" i="15"/>
  <c r="H10" i="15"/>
  <c r="G10" i="15"/>
  <c r="F10" i="15"/>
  <c r="E10" i="15"/>
  <c r="D10" i="15"/>
  <c r="C10" i="15"/>
  <c r="W9" i="15"/>
  <c r="V9" i="15"/>
  <c r="U9" i="15"/>
  <c r="T9" i="15"/>
  <c r="S9" i="15"/>
  <c r="R9" i="15"/>
  <c r="Q9" i="15"/>
  <c r="P9" i="15"/>
  <c r="O9" i="15"/>
  <c r="N9" i="15"/>
  <c r="M9" i="15"/>
  <c r="L9" i="15"/>
  <c r="K9" i="15"/>
  <c r="J9" i="15"/>
  <c r="I9" i="15"/>
  <c r="H9" i="15"/>
  <c r="G9" i="15"/>
  <c r="F9" i="15"/>
  <c r="E9" i="15"/>
  <c r="D9" i="15"/>
  <c r="C9" i="15"/>
  <c r="W8" i="15"/>
  <c r="V8" i="15"/>
  <c r="U8" i="15"/>
  <c r="T8" i="15"/>
  <c r="S8" i="15"/>
  <c r="R8" i="15"/>
  <c r="Q8" i="15"/>
  <c r="P8" i="15"/>
  <c r="O8" i="15"/>
  <c r="N8" i="15"/>
  <c r="M8" i="15"/>
  <c r="L8" i="15"/>
  <c r="K8" i="15"/>
  <c r="J8" i="15"/>
  <c r="I8" i="15"/>
  <c r="H8" i="15"/>
  <c r="G8" i="15"/>
  <c r="F8" i="15"/>
  <c r="E8" i="15"/>
  <c r="D8" i="15"/>
  <c r="C8" i="15"/>
  <c r="W7" i="15"/>
  <c r="V7" i="15"/>
  <c r="U7" i="15"/>
  <c r="T7" i="15"/>
  <c r="S7" i="15"/>
  <c r="R7" i="15"/>
  <c r="Q7" i="15"/>
  <c r="P7" i="15"/>
  <c r="O7" i="15"/>
  <c r="N7" i="15"/>
  <c r="M7" i="15"/>
  <c r="L7" i="15"/>
  <c r="K7" i="15"/>
  <c r="J7" i="15"/>
  <c r="I7" i="15"/>
  <c r="H7" i="15"/>
  <c r="G7" i="15"/>
  <c r="F7" i="15"/>
  <c r="E7" i="15"/>
  <c r="D7" i="15"/>
  <c r="C7" i="15"/>
  <c r="W6" i="15"/>
  <c r="V6" i="15"/>
  <c r="U6" i="15"/>
  <c r="T6" i="15"/>
  <c r="S6" i="15"/>
  <c r="R6" i="15"/>
  <c r="Q6" i="15"/>
  <c r="P6" i="15"/>
  <c r="O6" i="15"/>
  <c r="N6" i="15"/>
  <c r="M6" i="15"/>
  <c r="L6" i="15"/>
  <c r="K6" i="15"/>
  <c r="J6" i="15"/>
  <c r="I6" i="15"/>
  <c r="H6" i="15"/>
  <c r="G6" i="15"/>
  <c r="F6" i="15"/>
  <c r="E6" i="15"/>
  <c r="D6" i="15"/>
  <c r="C6" i="15"/>
  <c r="W5" i="15"/>
  <c r="V5" i="15"/>
  <c r="U5" i="15"/>
  <c r="T5" i="15"/>
  <c r="S5" i="15"/>
  <c r="R5" i="15"/>
  <c r="Q5" i="15"/>
  <c r="P5" i="15"/>
  <c r="O5" i="15"/>
  <c r="N5" i="15"/>
  <c r="M5" i="15"/>
  <c r="L5" i="15"/>
  <c r="K5" i="15"/>
  <c r="J5" i="15"/>
  <c r="I5" i="15"/>
  <c r="H5" i="15"/>
  <c r="G5" i="15"/>
  <c r="F5" i="15"/>
  <c r="E5" i="15"/>
  <c r="D5" i="15"/>
  <c r="C5" i="15"/>
  <c r="C6" i="17"/>
  <c r="D6" i="17"/>
  <c r="E6" i="17"/>
  <c r="F6" i="17"/>
  <c r="G6" i="17"/>
  <c r="H6" i="17"/>
  <c r="I6" i="17"/>
  <c r="J6" i="17"/>
  <c r="K6" i="17"/>
  <c r="L6" i="17"/>
  <c r="M6" i="17"/>
  <c r="N6" i="17"/>
  <c r="O6" i="17"/>
  <c r="P6" i="17"/>
  <c r="Q6" i="17"/>
  <c r="R6" i="17"/>
  <c r="S6" i="17"/>
  <c r="T6" i="17"/>
  <c r="U6" i="17"/>
  <c r="V6" i="17"/>
  <c r="W6" i="17"/>
  <c r="C7" i="17"/>
  <c r="D7" i="17"/>
  <c r="E7" i="17"/>
  <c r="F7" i="17"/>
  <c r="G7" i="17"/>
  <c r="H7" i="17"/>
  <c r="I7" i="17"/>
  <c r="J7" i="17"/>
  <c r="K7" i="17"/>
  <c r="L7" i="17"/>
  <c r="M7" i="17"/>
  <c r="N7" i="17"/>
  <c r="O7" i="17"/>
  <c r="P7" i="17"/>
  <c r="Q7" i="17"/>
  <c r="R7" i="17"/>
  <c r="S7" i="17"/>
  <c r="T7" i="17"/>
  <c r="U7" i="17"/>
  <c r="V7" i="17"/>
  <c r="W7" i="17"/>
  <c r="C8" i="17"/>
  <c r="D8" i="17"/>
  <c r="E8" i="17"/>
  <c r="F8" i="17"/>
  <c r="G8" i="17"/>
  <c r="H8" i="17"/>
  <c r="I8" i="17"/>
  <c r="J8" i="17"/>
  <c r="K8" i="17"/>
  <c r="L8" i="17"/>
  <c r="M8" i="17"/>
  <c r="N8" i="17"/>
  <c r="O8" i="17"/>
  <c r="P8" i="17"/>
  <c r="Q8" i="17"/>
  <c r="R8" i="17"/>
  <c r="S8" i="17"/>
  <c r="T8" i="17"/>
  <c r="U8" i="17"/>
  <c r="V8" i="17"/>
  <c r="W8" i="17"/>
  <c r="C9" i="17"/>
  <c r="D9" i="17"/>
  <c r="E9" i="17"/>
  <c r="F9" i="17"/>
  <c r="G9" i="17"/>
  <c r="H9" i="17"/>
  <c r="I9" i="17"/>
  <c r="J9" i="17"/>
  <c r="K9" i="17"/>
  <c r="L9" i="17"/>
  <c r="M9" i="17"/>
  <c r="N9" i="17"/>
  <c r="O9" i="17"/>
  <c r="P9" i="17"/>
  <c r="Q9" i="17"/>
  <c r="R9" i="17"/>
  <c r="S9" i="17"/>
  <c r="T9" i="17"/>
  <c r="U9" i="17"/>
  <c r="V9" i="17"/>
  <c r="W9" i="17"/>
  <c r="C10" i="17"/>
  <c r="D10" i="17"/>
  <c r="E10" i="17"/>
  <c r="F10" i="17"/>
  <c r="G10" i="17"/>
  <c r="H10" i="17"/>
  <c r="I10" i="17"/>
  <c r="J10" i="17"/>
  <c r="K10" i="17"/>
  <c r="L10" i="17"/>
  <c r="M10" i="17"/>
  <c r="N10" i="17"/>
  <c r="O10" i="17"/>
  <c r="P10" i="17"/>
  <c r="Q10" i="17"/>
  <c r="R10" i="17"/>
  <c r="S10" i="17"/>
  <c r="T10" i="17"/>
  <c r="U10" i="17"/>
  <c r="V10" i="17"/>
  <c r="W10" i="17"/>
  <c r="C11" i="17"/>
  <c r="D11" i="17"/>
  <c r="E11" i="17"/>
  <c r="F11" i="17"/>
  <c r="G11" i="17"/>
  <c r="H11" i="17"/>
  <c r="I11" i="17"/>
  <c r="J11" i="17"/>
  <c r="K11" i="17"/>
  <c r="L11" i="17"/>
  <c r="M11" i="17"/>
  <c r="N11" i="17"/>
  <c r="O11" i="17"/>
  <c r="P11" i="17"/>
  <c r="Q11" i="17"/>
  <c r="R11" i="17"/>
  <c r="S11" i="17"/>
  <c r="T11" i="17"/>
  <c r="U11" i="17"/>
  <c r="V11" i="17"/>
  <c r="W11" i="17"/>
  <c r="C12" i="17"/>
  <c r="D12" i="17"/>
  <c r="E12" i="17"/>
  <c r="F12" i="17"/>
  <c r="G12" i="17"/>
  <c r="H12" i="17"/>
  <c r="I12" i="17"/>
  <c r="J12" i="17"/>
  <c r="K12" i="17"/>
  <c r="L12" i="17"/>
  <c r="M12" i="17"/>
  <c r="N12" i="17"/>
  <c r="O12" i="17"/>
  <c r="P12" i="17"/>
  <c r="Q12" i="17"/>
  <c r="R12" i="17"/>
  <c r="S12" i="17"/>
  <c r="T12" i="17"/>
  <c r="U12" i="17"/>
  <c r="V12" i="17"/>
  <c r="W12" i="17"/>
  <c r="C13" i="17"/>
  <c r="D13" i="17"/>
  <c r="E13" i="17"/>
  <c r="F13" i="17"/>
  <c r="G13" i="17"/>
  <c r="H13" i="17"/>
  <c r="I13" i="17"/>
  <c r="J13" i="17"/>
  <c r="K13" i="17"/>
  <c r="L13" i="17"/>
  <c r="M13" i="17"/>
  <c r="N13" i="17"/>
  <c r="O13" i="17"/>
  <c r="P13" i="17"/>
  <c r="Q13" i="17"/>
  <c r="R13" i="17"/>
  <c r="S13" i="17"/>
  <c r="T13" i="17"/>
  <c r="U13" i="17"/>
  <c r="V13" i="17"/>
  <c r="W13" i="17"/>
  <c r="C14" i="17"/>
  <c r="D14" i="17"/>
  <c r="E14" i="17"/>
  <c r="F14" i="17"/>
  <c r="G14" i="17"/>
  <c r="H14" i="17"/>
  <c r="I14" i="17"/>
  <c r="J14" i="17"/>
  <c r="K14" i="17"/>
  <c r="L14" i="17"/>
  <c r="M14" i="17"/>
  <c r="N14" i="17"/>
  <c r="O14" i="17"/>
  <c r="P14" i="17"/>
  <c r="Q14" i="17"/>
  <c r="R14" i="17"/>
  <c r="S14" i="17"/>
  <c r="T14" i="17"/>
  <c r="U14" i="17"/>
  <c r="V14" i="17"/>
  <c r="W14" i="17"/>
  <c r="C15" i="17"/>
  <c r="D15" i="17"/>
  <c r="E15" i="17"/>
  <c r="F15" i="17"/>
  <c r="G15" i="17"/>
  <c r="H15" i="17"/>
  <c r="I15" i="17"/>
  <c r="J15" i="17"/>
  <c r="K15" i="17"/>
  <c r="L15" i="17"/>
  <c r="M15" i="17"/>
  <c r="N15" i="17"/>
  <c r="O15" i="17"/>
  <c r="P15" i="17"/>
  <c r="Q15" i="17"/>
  <c r="R15" i="17"/>
  <c r="S15" i="17"/>
  <c r="T15" i="17"/>
  <c r="U15" i="17"/>
  <c r="V15" i="17"/>
  <c r="W15" i="17"/>
  <c r="C16" i="17"/>
  <c r="D16" i="17"/>
  <c r="E16" i="17"/>
  <c r="F16" i="17"/>
  <c r="G16" i="17"/>
  <c r="H16" i="17"/>
  <c r="I16" i="17"/>
  <c r="J16" i="17"/>
  <c r="K16" i="17"/>
  <c r="L16" i="17"/>
  <c r="M16" i="17"/>
  <c r="N16" i="17"/>
  <c r="O16" i="17"/>
  <c r="P16" i="17"/>
  <c r="Q16" i="17"/>
  <c r="R16" i="17"/>
  <c r="S16" i="17"/>
  <c r="T16" i="17"/>
  <c r="U16" i="17"/>
  <c r="V16" i="17"/>
  <c r="W16" i="17"/>
  <c r="C17" i="17"/>
  <c r="D17" i="17"/>
  <c r="E17" i="17"/>
  <c r="F17" i="17"/>
  <c r="G17" i="17"/>
  <c r="H17" i="17"/>
  <c r="I17" i="17"/>
  <c r="J17" i="17"/>
  <c r="K17" i="17"/>
  <c r="L17" i="17"/>
  <c r="M17" i="17"/>
  <c r="N17" i="17"/>
  <c r="O17" i="17"/>
  <c r="P17" i="17"/>
  <c r="Q17" i="17"/>
  <c r="R17" i="17"/>
  <c r="S17" i="17"/>
  <c r="T17" i="17"/>
  <c r="U17" i="17"/>
  <c r="V17" i="17"/>
  <c r="W17" i="17"/>
  <c r="C18" i="17"/>
  <c r="D18" i="17"/>
  <c r="E18" i="17"/>
  <c r="F18" i="17"/>
  <c r="G18" i="17"/>
  <c r="H18" i="17"/>
  <c r="I18" i="17"/>
  <c r="J18" i="17"/>
  <c r="K18" i="17"/>
  <c r="L18" i="17"/>
  <c r="M18" i="17"/>
  <c r="N18" i="17"/>
  <c r="O18" i="17"/>
  <c r="P18" i="17"/>
  <c r="Q18" i="17"/>
  <c r="R18" i="17"/>
  <c r="S18" i="17"/>
  <c r="T18" i="17"/>
  <c r="U18" i="17"/>
  <c r="V18" i="17"/>
  <c r="W18" i="17"/>
  <c r="C19" i="17"/>
  <c r="D19" i="17"/>
  <c r="E19" i="17"/>
  <c r="F19" i="17"/>
  <c r="G19" i="17"/>
  <c r="H19" i="17"/>
  <c r="I19" i="17"/>
  <c r="J19" i="17"/>
  <c r="K19" i="17"/>
  <c r="L19" i="17"/>
  <c r="M19" i="17"/>
  <c r="N19" i="17"/>
  <c r="O19" i="17"/>
  <c r="P19" i="17"/>
  <c r="Q19" i="17"/>
  <c r="R19" i="17"/>
  <c r="S19" i="17"/>
  <c r="T19" i="17"/>
  <c r="U19" i="17"/>
  <c r="V19" i="17"/>
  <c r="W19" i="17"/>
  <c r="C20" i="17"/>
  <c r="D20" i="17"/>
  <c r="E20" i="17"/>
  <c r="F20" i="17"/>
  <c r="G20" i="17"/>
  <c r="H20" i="17"/>
  <c r="I20" i="17"/>
  <c r="J20" i="17"/>
  <c r="K20" i="17"/>
  <c r="L20" i="17"/>
  <c r="M20" i="17"/>
  <c r="N20" i="17"/>
  <c r="O20" i="17"/>
  <c r="P20" i="17"/>
  <c r="Q20" i="17"/>
  <c r="R20" i="17"/>
  <c r="S20" i="17"/>
  <c r="T20" i="17"/>
  <c r="U20" i="17"/>
  <c r="V20" i="17"/>
  <c r="W20" i="17"/>
  <c r="C21" i="17"/>
  <c r="D21" i="17"/>
  <c r="E21" i="17"/>
  <c r="F21" i="17"/>
  <c r="G21" i="17"/>
  <c r="H21" i="17"/>
  <c r="I21" i="17"/>
  <c r="J21" i="17"/>
  <c r="K21" i="17"/>
  <c r="L21" i="17"/>
  <c r="M21" i="17"/>
  <c r="N21" i="17"/>
  <c r="O21" i="17"/>
  <c r="P21" i="17"/>
  <c r="Q21" i="17"/>
  <c r="R21" i="17"/>
  <c r="S21" i="17"/>
  <c r="T21" i="17"/>
  <c r="U21" i="17"/>
  <c r="V21" i="17"/>
  <c r="W21" i="17"/>
  <c r="C22" i="17"/>
  <c r="D22" i="17"/>
  <c r="E22" i="17"/>
  <c r="F22" i="17"/>
  <c r="G22" i="17"/>
  <c r="H22" i="17"/>
  <c r="I22" i="17"/>
  <c r="J22" i="17"/>
  <c r="K22" i="17"/>
  <c r="L22" i="17"/>
  <c r="M22" i="17"/>
  <c r="N22" i="17"/>
  <c r="O22" i="17"/>
  <c r="P22" i="17"/>
  <c r="Q22" i="17"/>
  <c r="R22" i="17"/>
  <c r="S22" i="17"/>
  <c r="T22" i="17"/>
  <c r="U22" i="17"/>
  <c r="V22" i="17"/>
  <c r="W22" i="17"/>
  <c r="C23" i="17"/>
  <c r="D23" i="17"/>
  <c r="E23" i="17"/>
  <c r="F23" i="17"/>
  <c r="G23" i="17"/>
  <c r="H23" i="17"/>
  <c r="I23" i="17"/>
  <c r="J23" i="17"/>
  <c r="K23" i="17"/>
  <c r="L23" i="17"/>
  <c r="M23" i="17"/>
  <c r="N23" i="17"/>
  <c r="O23" i="17"/>
  <c r="P23" i="17"/>
  <c r="Q23" i="17"/>
  <c r="R23" i="17"/>
  <c r="S23" i="17"/>
  <c r="T23" i="17"/>
  <c r="U23" i="17"/>
  <c r="V23" i="17"/>
  <c r="W23" i="17"/>
  <c r="C24" i="17"/>
  <c r="D24" i="17"/>
  <c r="E24" i="17"/>
  <c r="F24" i="17"/>
  <c r="G24" i="17"/>
  <c r="H24" i="17"/>
  <c r="I24" i="17"/>
  <c r="J24" i="17"/>
  <c r="K24" i="17"/>
  <c r="L24" i="17"/>
  <c r="M24" i="17"/>
  <c r="N24" i="17"/>
  <c r="O24" i="17"/>
  <c r="P24" i="17"/>
  <c r="Q24" i="17"/>
  <c r="R24" i="17"/>
  <c r="S24" i="17"/>
  <c r="T24" i="17"/>
  <c r="U24" i="17"/>
  <c r="V24" i="17"/>
  <c r="W24" i="17"/>
  <c r="C25" i="17"/>
  <c r="D25" i="17"/>
  <c r="E25" i="17"/>
  <c r="F25" i="17"/>
  <c r="G25" i="17"/>
  <c r="H25" i="17"/>
  <c r="I25" i="17"/>
  <c r="J25" i="17"/>
  <c r="K25" i="17"/>
  <c r="L25" i="17"/>
  <c r="M25" i="17"/>
  <c r="N25" i="17"/>
  <c r="O25" i="17"/>
  <c r="P25" i="17"/>
  <c r="Q25" i="17"/>
  <c r="R25" i="17"/>
  <c r="S25" i="17"/>
  <c r="T25" i="17"/>
  <c r="U25" i="17"/>
  <c r="V25" i="17"/>
  <c r="W25" i="17"/>
  <c r="C26" i="17"/>
  <c r="D26" i="17"/>
  <c r="E26" i="17"/>
  <c r="F26" i="17"/>
  <c r="G26" i="17"/>
  <c r="H26" i="17"/>
  <c r="I26" i="17"/>
  <c r="J26" i="17"/>
  <c r="K26" i="17"/>
  <c r="L26" i="17"/>
  <c r="M26" i="17"/>
  <c r="N26" i="17"/>
  <c r="O26" i="17"/>
  <c r="P26" i="17"/>
  <c r="Q26" i="17"/>
  <c r="R26" i="17"/>
  <c r="S26" i="17"/>
  <c r="T26" i="17"/>
  <c r="U26" i="17"/>
  <c r="V26" i="17"/>
  <c r="W26" i="17"/>
  <c r="C27" i="17"/>
  <c r="D27" i="17"/>
  <c r="E27" i="17"/>
  <c r="F27" i="17"/>
  <c r="G27" i="17"/>
  <c r="H27" i="17"/>
  <c r="I27" i="17"/>
  <c r="J27" i="17"/>
  <c r="K27" i="17"/>
  <c r="L27" i="17"/>
  <c r="M27" i="17"/>
  <c r="N27" i="17"/>
  <c r="O27" i="17"/>
  <c r="P27" i="17"/>
  <c r="Q27" i="17"/>
  <c r="R27" i="17"/>
  <c r="S27" i="17"/>
  <c r="T27" i="17"/>
  <c r="U27" i="17"/>
  <c r="V27" i="17"/>
  <c r="W27" i="17"/>
  <c r="C28" i="17"/>
  <c r="D28" i="17"/>
  <c r="E28" i="17"/>
  <c r="F28" i="17"/>
  <c r="G28" i="17"/>
  <c r="H28" i="17"/>
  <c r="I28" i="17"/>
  <c r="J28" i="17"/>
  <c r="K28" i="17"/>
  <c r="L28" i="17"/>
  <c r="M28" i="17"/>
  <c r="N28" i="17"/>
  <c r="O28" i="17"/>
  <c r="P28" i="17"/>
  <c r="Q28" i="17"/>
  <c r="R28" i="17"/>
  <c r="S28" i="17"/>
  <c r="T28" i="17"/>
  <c r="U28" i="17"/>
  <c r="V28" i="17"/>
  <c r="W28" i="17"/>
  <c r="C29" i="17"/>
  <c r="D29" i="17"/>
  <c r="E29" i="17"/>
  <c r="F29" i="17"/>
  <c r="G29" i="17"/>
  <c r="H29" i="17"/>
  <c r="I29" i="17"/>
  <c r="J29" i="17"/>
  <c r="K29" i="17"/>
  <c r="L29" i="17"/>
  <c r="M29" i="17"/>
  <c r="N29" i="17"/>
  <c r="O29" i="17"/>
  <c r="P29" i="17"/>
  <c r="Q29" i="17"/>
  <c r="R29" i="17"/>
  <c r="S29" i="17"/>
  <c r="T29" i="17"/>
  <c r="U29" i="17"/>
  <c r="V29" i="17"/>
  <c r="W29" i="17"/>
  <c r="C30" i="17"/>
  <c r="D30" i="17"/>
  <c r="E30" i="17"/>
  <c r="F30" i="17"/>
  <c r="G30" i="17"/>
  <c r="H30" i="17"/>
  <c r="I30" i="17"/>
  <c r="J30" i="17"/>
  <c r="K30" i="17"/>
  <c r="L30" i="17"/>
  <c r="M30" i="17"/>
  <c r="N30" i="17"/>
  <c r="O30" i="17"/>
  <c r="P30" i="17"/>
  <c r="Q30" i="17"/>
  <c r="R30" i="17"/>
  <c r="S30" i="17"/>
  <c r="T30" i="17"/>
  <c r="U30" i="17"/>
  <c r="V30" i="17"/>
  <c r="W30" i="17"/>
  <c r="C31" i="17"/>
  <c r="D31" i="17"/>
  <c r="E31" i="17"/>
  <c r="F31" i="17"/>
  <c r="G31" i="17"/>
  <c r="H31" i="17"/>
  <c r="I31" i="17"/>
  <c r="J31" i="17"/>
  <c r="K31" i="17"/>
  <c r="L31" i="17"/>
  <c r="M31" i="17"/>
  <c r="N31" i="17"/>
  <c r="O31" i="17"/>
  <c r="P31" i="17"/>
  <c r="Q31" i="17"/>
  <c r="R31" i="17"/>
  <c r="S31" i="17"/>
  <c r="T31" i="17"/>
  <c r="U31" i="17"/>
  <c r="V31" i="17"/>
  <c r="W31" i="17"/>
  <c r="C32" i="17"/>
  <c r="D32" i="17"/>
  <c r="E32" i="17"/>
  <c r="F32" i="17"/>
  <c r="G32" i="17"/>
  <c r="H32" i="17"/>
  <c r="I32" i="17"/>
  <c r="J32" i="17"/>
  <c r="K32" i="17"/>
  <c r="L32" i="17"/>
  <c r="M32" i="17"/>
  <c r="N32" i="17"/>
  <c r="O32" i="17"/>
  <c r="P32" i="17"/>
  <c r="Q32" i="17"/>
  <c r="R32" i="17"/>
  <c r="S32" i="17"/>
  <c r="T32" i="17"/>
  <c r="U32" i="17"/>
  <c r="V32" i="17"/>
  <c r="W32" i="17"/>
  <c r="C33" i="17"/>
  <c r="D33" i="17"/>
  <c r="E33" i="17"/>
  <c r="F33" i="17"/>
  <c r="G33" i="17"/>
  <c r="H33" i="17"/>
  <c r="I33" i="17"/>
  <c r="J33" i="17"/>
  <c r="K33" i="17"/>
  <c r="L33" i="17"/>
  <c r="M33" i="17"/>
  <c r="N33" i="17"/>
  <c r="O33" i="17"/>
  <c r="P33" i="17"/>
  <c r="Q33" i="17"/>
  <c r="R33" i="17"/>
  <c r="S33" i="17"/>
  <c r="T33" i="17"/>
  <c r="U33" i="17"/>
  <c r="V33" i="17"/>
  <c r="W33" i="17"/>
  <c r="C34" i="17"/>
  <c r="D34" i="17"/>
  <c r="E34" i="17"/>
  <c r="F34" i="17"/>
  <c r="G34" i="17"/>
  <c r="H34" i="17"/>
  <c r="I34" i="17"/>
  <c r="J34" i="17"/>
  <c r="K34" i="17"/>
  <c r="L34" i="17"/>
  <c r="M34" i="17"/>
  <c r="N34" i="17"/>
  <c r="O34" i="17"/>
  <c r="P34" i="17"/>
  <c r="Q34" i="17"/>
  <c r="R34" i="17"/>
  <c r="S34" i="17"/>
  <c r="T34" i="17"/>
  <c r="U34" i="17"/>
  <c r="V34" i="17"/>
  <c r="W34" i="17"/>
  <c r="C35" i="17"/>
  <c r="D35" i="17"/>
  <c r="E35" i="17"/>
  <c r="F35" i="17"/>
  <c r="G35" i="17"/>
  <c r="H35" i="17"/>
  <c r="I35" i="17"/>
  <c r="J35" i="17"/>
  <c r="K35" i="17"/>
  <c r="L35" i="17"/>
  <c r="M35" i="17"/>
  <c r="N35" i="17"/>
  <c r="O35" i="17"/>
  <c r="P35" i="17"/>
  <c r="Q35" i="17"/>
  <c r="R35" i="17"/>
  <c r="S35" i="17"/>
  <c r="T35" i="17"/>
  <c r="U35" i="17"/>
  <c r="V35" i="17"/>
  <c r="W35" i="17"/>
  <c r="C36" i="17"/>
  <c r="D36" i="17"/>
  <c r="E36" i="17"/>
  <c r="F36" i="17"/>
  <c r="G36" i="17"/>
  <c r="H36" i="17"/>
  <c r="I36" i="17"/>
  <c r="J36" i="17"/>
  <c r="K36" i="17"/>
  <c r="L36" i="17"/>
  <c r="M36" i="17"/>
  <c r="N36" i="17"/>
  <c r="O36" i="17"/>
  <c r="P36" i="17"/>
  <c r="Q36" i="17"/>
  <c r="R36" i="17"/>
  <c r="S36" i="17"/>
  <c r="T36" i="17"/>
  <c r="U36" i="17"/>
  <c r="V36" i="17"/>
  <c r="W36" i="17"/>
  <c r="C37" i="17"/>
  <c r="D37" i="17"/>
  <c r="E37" i="17"/>
  <c r="F37" i="17"/>
  <c r="G37" i="17"/>
  <c r="H37" i="17"/>
  <c r="I37" i="17"/>
  <c r="J37" i="17"/>
  <c r="K37" i="17"/>
  <c r="L37" i="17"/>
  <c r="M37" i="17"/>
  <c r="N37" i="17"/>
  <c r="O37" i="17"/>
  <c r="P37" i="17"/>
  <c r="Q37" i="17"/>
  <c r="R37" i="17"/>
  <c r="S37" i="17"/>
  <c r="T37" i="17"/>
  <c r="U37" i="17"/>
  <c r="V37" i="17"/>
  <c r="W37" i="17"/>
  <c r="C38" i="17"/>
  <c r="D38" i="17"/>
  <c r="E38" i="17"/>
  <c r="F38" i="17"/>
  <c r="G38" i="17"/>
  <c r="H38" i="17"/>
  <c r="I38" i="17"/>
  <c r="J38" i="17"/>
  <c r="K38" i="17"/>
  <c r="L38" i="17"/>
  <c r="M38" i="17"/>
  <c r="N38" i="17"/>
  <c r="O38" i="17"/>
  <c r="P38" i="17"/>
  <c r="Q38" i="17"/>
  <c r="R38" i="17"/>
  <c r="S38" i="17"/>
  <c r="T38" i="17"/>
  <c r="U38" i="17"/>
  <c r="V38" i="17"/>
  <c r="W38" i="17"/>
  <c r="C39" i="17"/>
  <c r="D39" i="17"/>
  <c r="E39" i="17"/>
  <c r="F39" i="17"/>
  <c r="G39" i="17"/>
  <c r="H39" i="17"/>
  <c r="I39" i="17"/>
  <c r="J39" i="17"/>
  <c r="K39" i="17"/>
  <c r="L39" i="17"/>
  <c r="M39" i="17"/>
  <c r="N39" i="17"/>
  <c r="O39" i="17"/>
  <c r="P39" i="17"/>
  <c r="Q39" i="17"/>
  <c r="R39" i="17"/>
  <c r="S39" i="17"/>
  <c r="T39" i="17"/>
  <c r="U39" i="17"/>
  <c r="V39" i="17"/>
  <c r="W39" i="17"/>
  <c r="V5" i="17"/>
  <c r="R5" i="17"/>
  <c r="S5" i="17"/>
  <c r="T5" i="17"/>
  <c r="U5" i="17"/>
  <c r="Q5" i="17"/>
  <c r="W5" i="17"/>
  <c r="K5" i="17"/>
  <c r="L5" i="17"/>
  <c r="M5" i="17"/>
  <c r="N5" i="17"/>
  <c r="O5" i="17"/>
  <c r="J5" i="17"/>
  <c r="P5" i="17"/>
  <c r="I5" i="17"/>
  <c r="D5" i="17"/>
  <c r="E5" i="17"/>
  <c r="F5" i="17"/>
  <c r="G5" i="17"/>
  <c r="H5" i="17"/>
  <c r="C5" i="17"/>
  <c r="C6" i="28" l="1"/>
  <c r="D6" i="28"/>
  <c r="E6" i="28"/>
  <c r="F6" i="28"/>
  <c r="G6" i="28"/>
  <c r="H6" i="28"/>
  <c r="I6" i="28"/>
  <c r="J6" i="28"/>
  <c r="K6" i="28"/>
  <c r="L6" i="28"/>
  <c r="M6" i="28"/>
  <c r="N6" i="28"/>
  <c r="O6" i="28"/>
  <c r="P6" i="28"/>
  <c r="Q6" i="28"/>
  <c r="R6" i="28"/>
  <c r="S6" i="28"/>
  <c r="T6" i="28"/>
  <c r="U6" i="28"/>
  <c r="V6" i="28"/>
  <c r="W6" i="28"/>
  <c r="X6" i="28"/>
  <c r="Y6" i="28"/>
  <c r="Z6" i="28"/>
  <c r="C7" i="28"/>
  <c r="D7" i="28"/>
  <c r="E7" i="28"/>
  <c r="F7" i="28"/>
  <c r="G7" i="28"/>
  <c r="H7" i="28"/>
  <c r="I7" i="28"/>
  <c r="J7" i="28"/>
  <c r="K7" i="28"/>
  <c r="L7" i="28"/>
  <c r="M7" i="28"/>
  <c r="N7" i="28"/>
  <c r="O7" i="28"/>
  <c r="P7" i="28"/>
  <c r="Q7" i="28"/>
  <c r="R7" i="28"/>
  <c r="S7" i="28"/>
  <c r="T7" i="28"/>
  <c r="U7" i="28"/>
  <c r="V7" i="28"/>
  <c r="W7" i="28"/>
  <c r="X7" i="28"/>
  <c r="Y7" i="28"/>
  <c r="Z7" i="28"/>
  <c r="C8" i="28"/>
  <c r="D8" i="28"/>
  <c r="E8" i="28"/>
  <c r="F8" i="28"/>
  <c r="G8" i="28"/>
  <c r="H8" i="28"/>
  <c r="I8" i="28"/>
  <c r="J8" i="28"/>
  <c r="K8" i="28"/>
  <c r="L8" i="28"/>
  <c r="M8" i="28"/>
  <c r="N8" i="28"/>
  <c r="O8" i="28"/>
  <c r="P8" i="28"/>
  <c r="Q8" i="28"/>
  <c r="R8" i="28"/>
  <c r="S8" i="28"/>
  <c r="T8" i="28"/>
  <c r="U8" i="28"/>
  <c r="V8" i="28"/>
  <c r="W8" i="28"/>
  <c r="X8" i="28"/>
  <c r="Y8" i="28"/>
  <c r="Z8" i="28"/>
  <c r="C9" i="28"/>
  <c r="D9" i="28"/>
  <c r="E9" i="28"/>
  <c r="F9" i="28"/>
  <c r="G9" i="28"/>
  <c r="H9" i="28"/>
  <c r="I9" i="28"/>
  <c r="J9" i="28"/>
  <c r="K9" i="28"/>
  <c r="L9" i="28"/>
  <c r="M9" i="28"/>
  <c r="N9" i="28"/>
  <c r="O9" i="28"/>
  <c r="P9" i="28"/>
  <c r="Q9" i="28"/>
  <c r="R9" i="28"/>
  <c r="S9" i="28"/>
  <c r="T9" i="28"/>
  <c r="U9" i="28"/>
  <c r="V9" i="28"/>
  <c r="W9" i="28"/>
  <c r="X9" i="28"/>
  <c r="Y9" i="28"/>
  <c r="Z9" i="28"/>
  <c r="C10" i="28"/>
  <c r="D10" i="28"/>
  <c r="E10" i="28"/>
  <c r="F10" i="28"/>
  <c r="G10" i="28"/>
  <c r="H10" i="28"/>
  <c r="I10" i="28"/>
  <c r="J10" i="28"/>
  <c r="K10" i="28"/>
  <c r="L10" i="28"/>
  <c r="M10" i="28"/>
  <c r="N10" i="28"/>
  <c r="O10" i="28"/>
  <c r="P10" i="28"/>
  <c r="Q10" i="28"/>
  <c r="R10" i="28"/>
  <c r="S10" i="28"/>
  <c r="T10" i="28"/>
  <c r="U10" i="28"/>
  <c r="V10" i="28"/>
  <c r="W10" i="28"/>
  <c r="X10" i="28"/>
  <c r="Y10" i="28"/>
  <c r="Z10" i="28"/>
  <c r="C11" i="28"/>
  <c r="D11" i="28"/>
  <c r="E11" i="28"/>
  <c r="F11" i="28"/>
  <c r="G11" i="28"/>
  <c r="H11" i="28"/>
  <c r="I11" i="28"/>
  <c r="J11" i="28"/>
  <c r="K11" i="28"/>
  <c r="L11" i="28"/>
  <c r="M11" i="28"/>
  <c r="N11" i="28"/>
  <c r="O11" i="28"/>
  <c r="P11" i="28"/>
  <c r="Q11" i="28"/>
  <c r="R11" i="28"/>
  <c r="S11" i="28"/>
  <c r="T11" i="28"/>
  <c r="U11" i="28"/>
  <c r="V11" i="28"/>
  <c r="W11" i="28"/>
  <c r="X11" i="28"/>
  <c r="Y11" i="28"/>
  <c r="Z11" i="28"/>
  <c r="C12" i="28"/>
  <c r="D12" i="28"/>
  <c r="E12" i="28"/>
  <c r="F12" i="28"/>
  <c r="G12" i="28"/>
  <c r="H12" i="28"/>
  <c r="I12" i="28"/>
  <c r="J12" i="28"/>
  <c r="K12" i="28"/>
  <c r="L12" i="28"/>
  <c r="M12" i="28"/>
  <c r="N12" i="28"/>
  <c r="O12" i="28"/>
  <c r="P12" i="28"/>
  <c r="Q12" i="28"/>
  <c r="R12" i="28"/>
  <c r="S12" i="28"/>
  <c r="T12" i="28"/>
  <c r="U12" i="28"/>
  <c r="V12" i="28"/>
  <c r="W12" i="28"/>
  <c r="X12" i="28"/>
  <c r="Y12" i="28"/>
  <c r="Z12" i="28"/>
  <c r="C13" i="28"/>
  <c r="D13" i="28"/>
  <c r="E13" i="28"/>
  <c r="F13" i="28"/>
  <c r="G13" i="28"/>
  <c r="H13" i="28"/>
  <c r="I13" i="28"/>
  <c r="J13" i="28"/>
  <c r="K13" i="28"/>
  <c r="L13" i="28"/>
  <c r="M13" i="28"/>
  <c r="N13" i="28"/>
  <c r="O13" i="28"/>
  <c r="P13" i="28"/>
  <c r="Q13" i="28"/>
  <c r="R13" i="28"/>
  <c r="S13" i="28"/>
  <c r="T13" i="28"/>
  <c r="U13" i="28"/>
  <c r="V13" i="28"/>
  <c r="W13" i="28"/>
  <c r="X13" i="28"/>
  <c r="Y13" i="28"/>
  <c r="Z13" i="28"/>
  <c r="C14" i="28"/>
  <c r="D14" i="28"/>
  <c r="E14" i="28"/>
  <c r="F14" i="28"/>
  <c r="G14" i="28"/>
  <c r="H14" i="28"/>
  <c r="I14" i="28"/>
  <c r="J14" i="28"/>
  <c r="K14" i="28"/>
  <c r="L14" i="28"/>
  <c r="M14" i="28"/>
  <c r="N14" i="28"/>
  <c r="O14" i="28"/>
  <c r="P14" i="28"/>
  <c r="Q14" i="28"/>
  <c r="R14" i="28"/>
  <c r="S14" i="28"/>
  <c r="T14" i="28"/>
  <c r="U14" i="28"/>
  <c r="V14" i="28"/>
  <c r="W14" i="28"/>
  <c r="X14" i="28"/>
  <c r="Y14" i="28"/>
  <c r="Z14" i="28"/>
  <c r="C15" i="28"/>
  <c r="D15" i="28"/>
  <c r="E15" i="28"/>
  <c r="F15" i="28"/>
  <c r="G15" i="28"/>
  <c r="H15" i="28"/>
  <c r="I15" i="28"/>
  <c r="J15" i="28"/>
  <c r="K15" i="28"/>
  <c r="L15" i="28"/>
  <c r="M15" i="28"/>
  <c r="N15" i="28"/>
  <c r="O15" i="28"/>
  <c r="P15" i="28"/>
  <c r="Q15" i="28"/>
  <c r="R15" i="28"/>
  <c r="S15" i="28"/>
  <c r="T15" i="28"/>
  <c r="U15" i="28"/>
  <c r="V15" i="28"/>
  <c r="W15" i="28"/>
  <c r="X15" i="28"/>
  <c r="Y15" i="28"/>
  <c r="Z15" i="28"/>
  <c r="C16" i="28"/>
  <c r="D16" i="28"/>
  <c r="E16" i="28"/>
  <c r="F16" i="28"/>
  <c r="G16" i="28"/>
  <c r="H16" i="28"/>
  <c r="I16" i="28"/>
  <c r="J16" i="28"/>
  <c r="K16" i="28"/>
  <c r="L16" i="28"/>
  <c r="M16" i="28"/>
  <c r="N16" i="28"/>
  <c r="O16" i="28"/>
  <c r="P16" i="28"/>
  <c r="Q16" i="28"/>
  <c r="R16" i="28"/>
  <c r="S16" i="28"/>
  <c r="T16" i="28"/>
  <c r="U16" i="28"/>
  <c r="V16" i="28"/>
  <c r="W16" i="28"/>
  <c r="X16" i="28"/>
  <c r="Y16" i="28"/>
  <c r="Z16" i="28"/>
  <c r="C17" i="28"/>
  <c r="D17" i="28"/>
  <c r="E17" i="28"/>
  <c r="F17" i="28"/>
  <c r="G17" i="28"/>
  <c r="H17" i="28"/>
  <c r="I17" i="28"/>
  <c r="J17" i="28"/>
  <c r="K17" i="28"/>
  <c r="L17" i="28"/>
  <c r="M17" i="28"/>
  <c r="N17" i="28"/>
  <c r="O17" i="28"/>
  <c r="P17" i="28"/>
  <c r="Q17" i="28"/>
  <c r="R17" i="28"/>
  <c r="S17" i="28"/>
  <c r="T17" i="28"/>
  <c r="U17" i="28"/>
  <c r="V17" i="28"/>
  <c r="W17" i="28"/>
  <c r="X17" i="28"/>
  <c r="Y17" i="28"/>
  <c r="Z17" i="28"/>
  <c r="C18" i="28"/>
  <c r="D18" i="28"/>
  <c r="E18" i="28"/>
  <c r="F18" i="28"/>
  <c r="G18" i="28"/>
  <c r="H18" i="28"/>
  <c r="I18" i="28"/>
  <c r="J18" i="28"/>
  <c r="K18" i="28"/>
  <c r="L18" i="28"/>
  <c r="M18" i="28"/>
  <c r="N18" i="28"/>
  <c r="O18" i="28"/>
  <c r="P18" i="28"/>
  <c r="Q18" i="28"/>
  <c r="R18" i="28"/>
  <c r="S18" i="28"/>
  <c r="T18" i="28"/>
  <c r="U18" i="28"/>
  <c r="V18" i="28"/>
  <c r="W18" i="28"/>
  <c r="X18" i="28"/>
  <c r="Y18" i="28"/>
  <c r="Z18" i="28"/>
  <c r="C19" i="28"/>
  <c r="D19" i="28"/>
  <c r="E19" i="28"/>
  <c r="F19" i="28"/>
  <c r="G19" i="28"/>
  <c r="H19" i="28"/>
  <c r="I19" i="28"/>
  <c r="J19" i="28"/>
  <c r="K19" i="28"/>
  <c r="L19" i="28"/>
  <c r="M19" i="28"/>
  <c r="N19" i="28"/>
  <c r="O19" i="28"/>
  <c r="P19" i="28"/>
  <c r="Q19" i="28"/>
  <c r="R19" i="28"/>
  <c r="S19" i="28"/>
  <c r="T19" i="28"/>
  <c r="U19" i="28"/>
  <c r="V19" i="28"/>
  <c r="W19" i="28"/>
  <c r="X19" i="28"/>
  <c r="Y19" i="28"/>
  <c r="Z19" i="28"/>
  <c r="C20" i="28"/>
  <c r="D20" i="28"/>
  <c r="E20" i="28"/>
  <c r="F20" i="28"/>
  <c r="G20" i="28"/>
  <c r="H20" i="28"/>
  <c r="I20" i="28"/>
  <c r="J20" i="28"/>
  <c r="K20" i="28"/>
  <c r="L20" i="28"/>
  <c r="M20" i="28"/>
  <c r="N20" i="28"/>
  <c r="O20" i="28"/>
  <c r="P20" i="28"/>
  <c r="Q20" i="28"/>
  <c r="R20" i="28"/>
  <c r="S20" i="28"/>
  <c r="T20" i="28"/>
  <c r="U20" i="28"/>
  <c r="V20" i="28"/>
  <c r="W20" i="28"/>
  <c r="X20" i="28"/>
  <c r="Y20" i="28"/>
  <c r="Z20" i="28"/>
  <c r="C21" i="28"/>
  <c r="D21" i="28"/>
  <c r="E21" i="28"/>
  <c r="F21" i="28"/>
  <c r="G21" i="28"/>
  <c r="H21" i="28"/>
  <c r="I21" i="28"/>
  <c r="J21" i="28"/>
  <c r="K21" i="28"/>
  <c r="L21" i="28"/>
  <c r="M21" i="28"/>
  <c r="N21" i="28"/>
  <c r="O21" i="28"/>
  <c r="P21" i="28"/>
  <c r="Q21" i="28"/>
  <c r="R21" i="28"/>
  <c r="S21" i="28"/>
  <c r="T21" i="28"/>
  <c r="U21" i="28"/>
  <c r="V21" i="28"/>
  <c r="W21" i="28"/>
  <c r="X21" i="28"/>
  <c r="Y21" i="28"/>
  <c r="Z21" i="28"/>
  <c r="C22" i="28"/>
  <c r="D22" i="28"/>
  <c r="E22" i="28"/>
  <c r="F22" i="28"/>
  <c r="G22" i="28"/>
  <c r="H22" i="28"/>
  <c r="I22" i="28"/>
  <c r="J22" i="28"/>
  <c r="K22" i="28"/>
  <c r="L22" i="28"/>
  <c r="M22" i="28"/>
  <c r="N22" i="28"/>
  <c r="O22" i="28"/>
  <c r="P22" i="28"/>
  <c r="Q22" i="28"/>
  <c r="R22" i="28"/>
  <c r="S22" i="28"/>
  <c r="T22" i="28"/>
  <c r="U22" i="28"/>
  <c r="V22" i="28"/>
  <c r="W22" i="28"/>
  <c r="X22" i="28"/>
  <c r="Y22" i="28"/>
  <c r="Z22" i="28"/>
  <c r="C23" i="28"/>
  <c r="D23" i="28"/>
  <c r="E23" i="28"/>
  <c r="F23" i="28"/>
  <c r="G23" i="28"/>
  <c r="H23" i="28"/>
  <c r="I23" i="28"/>
  <c r="J23" i="28"/>
  <c r="K23" i="28"/>
  <c r="L23" i="28"/>
  <c r="M23" i="28"/>
  <c r="N23" i="28"/>
  <c r="O23" i="28"/>
  <c r="P23" i="28"/>
  <c r="Q23" i="28"/>
  <c r="R23" i="28"/>
  <c r="S23" i="28"/>
  <c r="T23" i="28"/>
  <c r="U23" i="28"/>
  <c r="V23" i="28"/>
  <c r="W23" i="28"/>
  <c r="X23" i="28"/>
  <c r="Y23" i="28"/>
  <c r="Z23" i="28"/>
  <c r="C24" i="28"/>
  <c r="D24" i="28"/>
  <c r="E24" i="28"/>
  <c r="F24" i="28"/>
  <c r="G24" i="28"/>
  <c r="H24" i="28"/>
  <c r="I24" i="28"/>
  <c r="J24" i="28"/>
  <c r="K24" i="28"/>
  <c r="L24" i="28"/>
  <c r="M24" i="28"/>
  <c r="N24" i="28"/>
  <c r="O24" i="28"/>
  <c r="P24" i="28"/>
  <c r="Q24" i="28"/>
  <c r="R24" i="28"/>
  <c r="S24" i="28"/>
  <c r="T24" i="28"/>
  <c r="U24" i="28"/>
  <c r="V24" i="28"/>
  <c r="W24" i="28"/>
  <c r="X24" i="28"/>
  <c r="Y24" i="28"/>
  <c r="Z24" i="28"/>
  <c r="C25" i="28"/>
  <c r="D25" i="28"/>
  <c r="E25" i="28"/>
  <c r="F25" i="28"/>
  <c r="G25" i="28"/>
  <c r="H25" i="28"/>
  <c r="I25" i="28"/>
  <c r="J25" i="28"/>
  <c r="K25" i="28"/>
  <c r="L25" i="28"/>
  <c r="M25" i="28"/>
  <c r="N25" i="28"/>
  <c r="O25" i="28"/>
  <c r="P25" i="28"/>
  <c r="Q25" i="28"/>
  <c r="R25" i="28"/>
  <c r="S25" i="28"/>
  <c r="T25" i="28"/>
  <c r="U25" i="28"/>
  <c r="V25" i="28"/>
  <c r="W25" i="28"/>
  <c r="X25" i="28"/>
  <c r="Y25" i="28"/>
  <c r="Z25" i="28"/>
  <c r="C26" i="28"/>
  <c r="D26" i="28"/>
  <c r="E26" i="28"/>
  <c r="F26" i="28"/>
  <c r="G26" i="28"/>
  <c r="H26" i="28"/>
  <c r="I26" i="28"/>
  <c r="J26" i="28"/>
  <c r="K26" i="28"/>
  <c r="L26" i="28"/>
  <c r="M26" i="28"/>
  <c r="N26" i="28"/>
  <c r="O26" i="28"/>
  <c r="P26" i="28"/>
  <c r="Q26" i="28"/>
  <c r="R26" i="28"/>
  <c r="S26" i="28"/>
  <c r="T26" i="28"/>
  <c r="U26" i="28"/>
  <c r="V26" i="28"/>
  <c r="W26" i="28"/>
  <c r="X26" i="28"/>
  <c r="Y26" i="28"/>
  <c r="Z26" i="28"/>
  <c r="C27" i="28"/>
  <c r="D27" i="28"/>
  <c r="E27" i="28"/>
  <c r="F27" i="28"/>
  <c r="G27" i="28"/>
  <c r="H27" i="28"/>
  <c r="I27" i="28"/>
  <c r="J27" i="28"/>
  <c r="K27" i="28"/>
  <c r="L27" i="28"/>
  <c r="M27" i="28"/>
  <c r="N27" i="28"/>
  <c r="O27" i="28"/>
  <c r="P27" i="28"/>
  <c r="Q27" i="28"/>
  <c r="R27" i="28"/>
  <c r="S27" i="28"/>
  <c r="T27" i="28"/>
  <c r="U27" i="28"/>
  <c r="V27" i="28"/>
  <c r="W27" i="28"/>
  <c r="X27" i="28"/>
  <c r="Y27" i="28"/>
  <c r="Z27" i="28"/>
  <c r="C28" i="28"/>
  <c r="D28" i="28"/>
  <c r="E28" i="28"/>
  <c r="F28" i="28"/>
  <c r="G28" i="28"/>
  <c r="H28" i="28"/>
  <c r="I28" i="28"/>
  <c r="J28" i="28"/>
  <c r="K28" i="28"/>
  <c r="L28" i="28"/>
  <c r="M28" i="28"/>
  <c r="N28" i="28"/>
  <c r="O28" i="28"/>
  <c r="P28" i="28"/>
  <c r="Q28" i="28"/>
  <c r="R28" i="28"/>
  <c r="S28" i="28"/>
  <c r="T28" i="28"/>
  <c r="U28" i="28"/>
  <c r="V28" i="28"/>
  <c r="W28" i="28"/>
  <c r="X28" i="28"/>
  <c r="Y28" i="28"/>
  <c r="Z28" i="28"/>
  <c r="C29" i="28"/>
  <c r="D29" i="28"/>
  <c r="E29" i="28"/>
  <c r="F29" i="28"/>
  <c r="G29" i="28"/>
  <c r="H29" i="28"/>
  <c r="I29" i="28"/>
  <c r="J29" i="28"/>
  <c r="K29" i="28"/>
  <c r="L29" i="28"/>
  <c r="M29" i="28"/>
  <c r="N29" i="28"/>
  <c r="O29" i="28"/>
  <c r="P29" i="28"/>
  <c r="Q29" i="28"/>
  <c r="R29" i="28"/>
  <c r="S29" i="28"/>
  <c r="T29" i="28"/>
  <c r="U29" i="28"/>
  <c r="V29" i="28"/>
  <c r="W29" i="28"/>
  <c r="X29" i="28"/>
  <c r="Y29" i="28"/>
  <c r="Z29" i="28"/>
  <c r="C30" i="28"/>
  <c r="D30" i="28"/>
  <c r="E30" i="28"/>
  <c r="F30" i="28"/>
  <c r="G30" i="28"/>
  <c r="H30" i="28"/>
  <c r="I30" i="28"/>
  <c r="J30" i="28"/>
  <c r="K30" i="28"/>
  <c r="L30" i="28"/>
  <c r="M30" i="28"/>
  <c r="N30" i="28"/>
  <c r="O30" i="28"/>
  <c r="P30" i="28"/>
  <c r="Q30" i="28"/>
  <c r="R30" i="28"/>
  <c r="S30" i="28"/>
  <c r="T30" i="28"/>
  <c r="U30" i="28"/>
  <c r="V30" i="28"/>
  <c r="W30" i="28"/>
  <c r="X30" i="28"/>
  <c r="Y30" i="28"/>
  <c r="Z30" i="28"/>
  <c r="C31" i="28"/>
  <c r="D31" i="28"/>
  <c r="E31" i="28"/>
  <c r="F31" i="28"/>
  <c r="G31" i="28"/>
  <c r="H31" i="28"/>
  <c r="I31" i="28"/>
  <c r="J31" i="28"/>
  <c r="K31" i="28"/>
  <c r="L31" i="28"/>
  <c r="M31" i="28"/>
  <c r="N31" i="28"/>
  <c r="O31" i="28"/>
  <c r="P31" i="28"/>
  <c r="Q31" i="28"/>
  <c r="R31" i="28"/>
  <c r="S31" i="28"/>
  <c r="T31" i="28"/>
  <c r="U31" i="28"/>
  <c r="V31" i="28"/>
  <c r="W31" i="28"/>
  <c r="X31" i="28"/>
  <c r="Y31" i="28"/>
  <c r="Z31" i="28"/>
  <c r="C32" i="28"/>
  <c r="D32" i="28"/>
  <c r="E32" i="28"/>
  <c r="F32" i="28"/>
  <c r="G32" i="28"/>
  <c r="H32" i="28"/>
  <c r="I32" i="28"/>
  <c r="J32" i="28"/>
  <c r="K32" i="28"/>
  <c r="L32" i="28"/>
  <c r="M32" i="28"/>
  <c r="N32" i="28"/>
  <c r="O32" i="28"/>
  <c r="P32" i="28"/>
  <c r="Q32" i="28"/>
  <c r="R32" i="28"/>
  <c r="S32" i="28"/>
  <c r="T32" i="28"/>
  <c r="U32" i="28"/>
  <c r="V32" i="28"/>
  <c r="W32" i="28"/>
  <c r="X32" i="28"/>
  <c r="Y32" i="28"/>
  <c r="Z32" i="28"/>
  <c r="C33" i="28"/>
  <c r="D33" i="28"/>
  <c r="E33" i="28"/>
  <c r="F33" i="28"/>
  <c r="G33" i="28"/>
  <c r="H33" i="28"/>
  <c r="I33" i="28"/>
  <c r="J33" i="28"/>
  <c r="K33" i="28"/>
  <c r="L33" i="28"/>
  <c r="M33" i="28"/>
  <c r="N33" i="28"/>
  <c r="O33" i="28"/>
  <c r="P33" i="28"/>
  <c r="Q33" i="28"/>
  <c r="R33" i="28"/>
  <c r="S33" i="28"/>
  <c r="T33" i="28"/>
  <c r="U33" i="28"/>
  <c r="V33" i="28"/>
  <c r="W33" i="28"/>
  <c r="X33" i="28"/>
  <c r="Y33" i="28"/>
  <c r="Z33" i="28"/>
  <c r="C34" i="28"/>
  <c r="D34" i="28"/>
  <c r="E34" i="28"/>
  <c r="F34" i="28"/>
  <c r="G34" i="28"/>
  <c r="H34" i="28"/>
  <c r="I34" i="28"/>
  <c r="J34" i="28"/>
  <c r="K34" i="28"/>
  <c r="L34" i="28"/>
  <c r="M34" i="28"/>
  <c r="N34" i="28"/>
  <c r="O34" i="28"/>
  <c r="P34" i="28"/>
  <c r="Q34" i="28"/>
  <c r="R34" i="28"/>
  <c r="S34" i="28"/>
  <c r="T34" i="28"/>
  <c r="U34" i="28"/>
  <c r="V34" i="28"/>
  <c r="W34" i="28"/>
  <c r="X34" i="28"/>
  <c r="Y34" i="28"/>
  <c r="Z34" i="28"/>
  <c r="C35" i="28"/>
  <c r="D35" i="28"/>
  <c r="E35" i="28"/>
  <c r="F35" i="28"/>
  <c r="G35" i="28"/>
  <c r="H35" i="28"/>
  <c r="I35" i="28"/>
  <c r="J35" i="28"/>
  <c r="K35" i="28"/>
  <c r="L35" i="28"/>
  <c r="M35" i="28"/>
  <c r="N35" i="28"/>
  <c r="O35" i="28"/>
  <c r="P35" i="28"/>
  <c r="Q35" i="28"/>
  <c r="R35" i="28"/>
  <c r="S35" i="28"/>
  <c r="T35" i="28"/>
  <c r="U35" i="28"/>
  <c r="V35" i="28"/>
  <c r="W35" i="28"/>
  <c r="X35" i="28"/>
  <c r="Y35" i="28"/>
  <c r="Z35" i="28"/>
  <c r="C36" i="28"/>
  <c r="D36" i="28"/>
  <c r="E36" i="28"/>
  <c r="F36" i="28"/>
  <c r="G36" i="28"/>
  <c r="H36" i="28"/>
  <c r="I36" i="28"/>
  <c r="J36" i="28"/>
  <c r="K36" i="28"/>
  <c r="L36" i="28"/>
  <c r="M36" i="28"/>
  <c r="N36" i="28"/>
  <c r="O36" i="28"/>
  <c r="P36" i="28"/>
  <c r="Q36" i="28"/>
  <c r="R36" i="28"/>
  <c r="S36" i="28"/>
  <c r="T36" i="28"/>
  <c r="U36" i="28"/>
  <c r="V36" i="28"/>
  <c r="W36" i="28"/>
  <c r="X36" i="28"/>
  <c r="Y36" i="28"/>
  <c r="Z36" i="28"/>
  <c r="C37" i="28"/>
  <c r="D37" i="28"/>
  <c r="E37" i="28"/>
  <c r="F37" i="28"/>
  <c r="G37" i="28"/>
  <c r="H37" i="28"/>
  <c r="I37" i="28"/>
  <c r="J37" i="28"/>
  <c r="K37" i="28"/>
  <c r="L37" i="28"/>
  <c r="M37" i="28"/>
  <c r="N37" i="28"/>
  <c r="O37" i="28"/>
  <c r="P37" i="28"/>
  <c r="Q37" i="28"/>
  <c r="R37" i="28"/>
  <c r="S37" i="28"/>
  <c r="T37" i="28"/>
  <c r="U37" i="28"/>
  <c r="V37" i="28"/>
  <c r="W37" i="28"/>
  <c r="X37" i="28"/>
  <c r="Y37" i="28"/>
  <c r="Z37" i="28"/>
  <c r="C38" i="28"/>
  <c r="D38" i="28"/>
  <c r="E38" i="28"/>
  <c r="F38" i="28"/>
  <c r="G38" i="28"/>
  <c r="H38" i="28"/>
  <c r="I38" i="28"/>
  <c r="J38" i="28"/>
  <c r="K38" i="28"/>
  <c r="L38" i="28"/>
  <c r="M38" i="28"/>
  <c r="N38" i="28"/>
  <c r="O38" i="28"/>
  <c r="P38" i="28"/>
  <c r="Q38" i="28"/>
  <c r="R38" i="28"/>
  <c r="S38" i="28"/>
  <c r="T38" i="28"/>
  <c r="U38" i="28"/>
  <c r="V38" i="28"/>
  <c r="W38" i="28"/>
  <c r="X38" i="28"/>
  <c r="Y38" i="28"/>
  <c r="Z38" i="28"/>
  <c r="C39" i="28"/>
  <c r="D39" i="28"/>
  <c r="E39" i="28"/>
  <c r="F39" i="28"/>
  <c r="G39" i="28"/>
  <c r="H39" i="28"/>
  <c r="I39" i="28"/>
  <c r="J39" i="28"/>
  <c r="K39" i="28"/>
  <c r="L39" i="28"/>
  <c r="M39" i="28"/>
  <c r="N39" i="28"/>
  <c r="O39" i="28"/>
  <c r="P39" i="28"/>
  <c r="Q39" i="28"/>
  <c r="R39" i="28"/>
  <c r="S39" i="28"/>
  <c r="T39" i="28"/>
  <c r="U39" i="28"/>
  <c r="V39" i="28"/>
  <c r="W39" i="28"/>
  <c r="X39" i="28"/>
  <c r="Y39" i="28"/>
  <c r="Z39" i="28"/>
  <c r="Z5" i="28"/>
  <c r="Y5" i="28"/>
  <c r="X5" i="28"/>
  <c r="W5" i="28"/>
  <c r="V5" i="28"/>
  <c r="U5" i="28"/>
  <c r="T5" i="28"/>
  <c r="S5" i="28"/>
  <c r="R5" i="28"/>
  <c r="Q5" i="28"/>
  <c r="P5" i="28"/>
  <c r="O5" i="28"/>
  <c r="N5" i="28"/>
  <c r="M5" i="28"/>
  <c r="L5" i="28"/>
  <c r="K5" i="28"/>
  <c r="J5" i="28"/>
  <c r="I5" i="28"/>
  <c r="H5" i="28"/>
  <c r="G5" i="28"/>
  <c r="F5" i="28"/>
  <c r="E5" i="28"/>
  <c r="D5" i="28"/>
  <c r="C5" i="28"/>
  <c r="S6" i="43"/>
  <c r="T6" i="43"/>
  <c r="U6" i="43"/>
  <c r="V6" i="43"/>
  <c r="W6" i="43"/>
  <c r="X6" i="43"/>
  <c r="Y6" i="43"/>
  <c r="Z6" i="43"/>
  <c r="S7" i="43"/>
  <c r="T7" i="43"/>
  <c r="U7" i="43"/>
  <c r="V7" i="43"/>
  <c r="W7" i="43"/>
  <c r="X7" i="43"/>
  <c r="Y7" i="43"/>
  <c r="Z7" i="43"/>
  <c r="S8" i="43"/>
  <c r="T8" i="43"/>
  <c r="U8" i="43"/>
  <c r="V8" i="43"/>
  <c r="W8" i="43"/>
  <c r="X8" i="43"/>
  <c r="Y8" i="43"/>
  <c r="Z8" i="43"/>
  <c r="S9" i="43"/>
  <c r="T9" i="43"/>
  <c r="U9" i="43"/>
  <c r="V9" i="43"/>
  <c r="W9" i="43"/>
  <c r="X9" i="43"/>
  <c r="Y9" i="43"/>
  <c r="Z9" i="43"/>
  <c r="S10" i="43"/>
  <c r="T10" i="43"/>
  <c r="U10" i="43"/>
  <c r="V10" i="43"/>
  <c r="W10" i="43"/>
  <c r="X10" i="43"/>
  <c r="Y10" i="43"/>
  <c r="Z10" i="43"/>
  <c r="S11" i="43"/>
  <c r="T11" i="43"/>
  <c r="U11" i="43"/>
  <c r="V11" i="43"/>
  <c r="W11" i="43"/>
  <c r="X11" i="43"/>
  <c r="Y11" i="43"/>
  <c r="Z11" i="43"/>
  <c r="S12" i="43"/>
  <c r="T12" i="43"/>
  <c r="U12" i="43"/>
  <c r="V12" i="43"/>
  <c r="W12" i="43"/>
  <c r="X12" i="43"/>
  <c r="Y12" i="43"/>
  <c r="Z12" i="43"/>
  <c r="S13" i="43"/>
  <c r="T13" i="43"/>
  <c r="U13" i="43"/>
  <c r="V13" i="43"/>
  <c r="W13" i="43"/>
  <c r="X13" i="43"/>
  <c r="Y13" i="43"/>
  <c r="Z13" i="43"/>
  <c r="S14" i="43"/>
  <c r="T14" i="43"/>
  <c r="U14" i="43"/>
  <c r="V14" i="43"/>
  <c r="W14" i="43"/>
  <c r="X14" i="43"/>
  <c r="Y14" i="43"/>
  <c r="Z14" i="43"/>
  <c r="S15" i="43"/>
  <c r="T15" i="43"/>
  <c r="U15" i="43"/>
  <c r="V15" i="43"/>
  <c r="W15" i="43"/>
  <c r="X15" i="43"/>
  <c r="Y15" i="43"/>
  <c r="Z15" i="43"/>
  <c r="S16" i="43"/>
  <c r="T16" i="43"/>
  <c r="U16" i="43"/>
  <c r="V16" i="43"/>
  <c r="W16" i="43"/>
  <c r="X16" i="43"/>
  <c r="Y16" i="43"/>
  <c r="Z16" i="43"/>
  <c r="S17" i="43"/>
  <c r="T17" i="43"/>
  <c r="U17" i="43"/>
  <c r="V17" i="43"/>
  <c r="W17" i="43"/>
  <c r="X17" i="43"/>
  <c r="Y17" i="43"/>
  <c r="Z17" i="43"/>
  <c r="S18" i="43"/>
  <c r="T18" i="43"/>
  <c r="U18" i="43"/>
  <c r="V18" i="43"/>
  <c r="W18" i="43"/>
  <c r="X18" i="43"/>
  <c r="Y18" i="43"/>
  <c r="Z18" i="43"/>
  <c r="S19" i="43"/>
  <c r="T19" i="43"/>
  <c r="U19" i="43"/>
  <c r="V19" i="43"/>
  <c r="W19" i="43"/>
  <c r="X19" i="43"/>
  <c r="Y19" i="43"/>
  <c r="Z19" i="43"/>
  <c r="S20" i="43"/>
  <c r="T20" i="43"/>
  <c r="U20" i="43"/>
  <c r="V20" i="43"/>
  <c r="W20" i="43"/>
  <c r="X20" i="43"/>
  <c r="Y20" i="43"/>
  <c r="Z20" i="43"/>
  <c r="S21" i="43"/>
  <c r="T21" i="43"/>
  <c r="U21" i="43"/>
  <c r="V21" i="43"/>
  <c r="W21" i="43"/>
  <c r="X21" i="43"/>
  <c r="Y21" i="43"/>
  <c r="Z21" i="43"/>
  <c r="S22" i="43"/>
  <c r="T22" i="43"/>
  <c r="U22" i="43"/>
  <c r="V22" i="43"/>
  <c r="W22" i="43"/>
  <c r="X22" i="43"/>
  <c r="Y22" i="43"/>
  <c r="Z22" i="43"/>
  <c r="S23" i="43"/>
  <c r="T23" i="43"/>
  <c r="U23" i="43"/>
  <c r="V23" i="43"/>
  <c r="W23" i="43"/>
  <c r="X23" i="43"/>
  <c r="Y23" i="43"/>
  <c r="Z23" i="43"/>
  <c r="S24" i="43"/>
  <c r="T24" i="43"/>
  <c r="U24" i="43"/>
  <c r="V24" i="43"/>
  <c r="W24" i="43"/>
  <c r="X24" i="43"/>
  <c r="Y24" i="43"/>
  <c r="Z24" i="43"/>
  <c r="S25" i="43"/>
  <c r="T25" i="43"/>
  <c r="U25" i="43"/>
  <c r="V25" i="43"/>
  <c r="W25" i="43"/>
  <c r="X25" i="43"/>
  <c r="Y25" i="43"/>
  <c r="Z25" i="43"/>
  <c r="S26" i="43"/>
  <c r="T26" i="43"/>
  <c r="U26" i="43"/>
  <c r="V26" i="43"/>
  <c r="W26" i="43"/>
  <c r="X26" i="43"/>
  <c r="Y26" i="43"/>
  <c r="Z26" i="43"/>
  <c r="S27" i="43"/>
  <c r="T27" i="43"/>
  <c r="U27" i="43"/>
  <c r="V27" i="43"/>
  <c r="W27" i="43"/>
  <c r="X27" i="43"/>
  <c r="Y27" i="43"/>
  <c r="Z27" i="43"/>
  <c r="S28" i="43"/>
  <c r="T28" i="43"/>
  <c r="U28" i="43"/>
  <c r="V28" i="43"/>
  <c r="W28" i="43"/>
  <c r="X28" i="43"/>
  <c r="Y28" i="43"/>
  <c r="Z28" i="43"/>
  <c r="S29" i="43"/>
  <c r="T29" i="43"/>
  <c r="U29" i="43"/>
  <c r="V29" i="43"/>
  <c r="W29" i="43"/>
  <c r="X29" i="43"/>
  <c r="Y29" i="43"/>
  <c r="Z29" i="43"/>
  <c r="S30" i="43"/>
  <c r="T30" i="43"/>
  <c r="U30" i="43"/>
  <c r="V30" i="43"/>
  <c r="W30" i="43"/>
  <c r="X30" i="43"/>
  <c r="Y30" i="43"/>
  <c r="Z30" i="43"/>
  <c r="S31" i="43"/>
  <c r="T31" i="43"/>
  <c r="U31" i="43"/>
  <c r="V31" i="43"/>
  <c r="W31" i="43"/>
  <c r="X31" i="43"/>
  <c r="Y31" i="43"/>
  <c r="Z31" i="43"/>
  <c r="S32" i="43"/>
  <c r="T32" i="43"/>
  <c r="U32" i="43"/>
  <c r="V32" i="43"/>
  <c r="W32" i="43"/>
  <c r="X32" i="43"/>
  <c r="Y32" i="43"/>
  <c r="Z32" i="43"/>
  <c r="S33" i="43"/>
  <c r="T33" i="43"/>
  <c r="U33" i="43"/>
  <c r="V33" i="43"/>
  <c r="W33" i="43"/>
  <c r="X33" i="43"/>
  <c r="Y33" i="43"/>
  <c r="Z33" i="43"/>
  <c r="S34" i="43"/>
  <c r="T34" i="43"/>
  <c r="U34" i="43"/>
  <c r="V34" i="43"/>
  <c r="W34" i="43"/>
  <c r="X34" i="43"/>
  <c r="Y34" i="43"/>
  <c r="Z34" i="43"/>
  <c r="S35" i="43"/>
  <c r="T35" i="43"/>
  <c r="U35" i="43"/>
  <c r="V35" i="43"/>
  <c r="W35" i="43"/>
  <c r="X35" i="43"/>
  <c r="Y35" i="43"/>
  <c r="Z35" i="43"/>
  <c r="S36" i="43"/>
  <c r="T36" i="43"/>
  <c r="U36" i="43"/>
  <c r="V36" i="43"/>
  <c r="W36" i="43"/>
  <c r="X36" i="43"/>
  <c r="Y36" i="43"/>
  <c r="Z36" i="43"/>
  <c r="S37" i="43"/>
  <c r="T37" i="43"/>
  <c r="U37" i="43"/>
  <c r="V37" i="43"/>
  <c r="W37" i="43"/>
  <c r="X37" i="43"/>
  <c r="Y37" i="43"/>
  <c r="Z37" i="43"/>
  <c r="S38" i="43"/>
  <c r="T38" i="43"/>
  <c r="U38" i="43"/>
  <c r="V38" i="43"/>
  <c r="W38" i="43"/>
  <c r="X38" i="43"/>
  <c r="Y38" i="43"/>
  <c r="Z38" i="43"/>
  <c r="S39" i="43"/>
  <c r="T39" i="43"/>
  <c r="U39" i="43"/>
  <c r="V39" i="43"/>
  <c r="W39" i="43"/>
  <c r="X39" i="43"/>
  <c r="Y39" i="43"/>
  <c r="Z39" i="43"/>
  <c r="T5" i="43"/>
  <c r="U5" i="43"/>
  <c r="V5" i="43"/>
  <c r="W5" i="43"/>
  <c r="X5" i="43"/>
  <c r="Y5" i="43"/>
  <c r="Z5" i="43"/>
  <c r="S5" i="43"/>
  <c r="K6" i="43"/>
  <c r="L6" i="43"/>
  <c r="M6" i="43"/>
  <c r="N6" i="43"/>
  <c r="O6" i="43"/>
  <c r="P6" i="43"/>
  <c r="Q6" i="43"/>
  <c r="R6" i="43"/>
  <c r="K7" i="43"/>
  <c r="L7" i="43"/>
  <c r="M7" i="43"/>
  <c r="N7" i="43"/>
  <c r="O7" i="43"/>
  <c r="P7" i="43"/>
  <c r="Q7" i="43"/>
  <c r="R7" i="43"/>
  <c r="K8" i="43"/>
  <c r="L8" i="43"/>
  <c r="M8" i="43"/>
  <c r="N8" i="43"/>
  <c r="O8" i="43"/>
  <c r="P8" i="43"/>
  <c r="Q8" i="43"/>
  <c r="R8" i="43"/>
  <c r="K9" i="43"/>
  <c r="L9" i="43"/>
  <c r="M9" i="43"/>
  <c r="N9" i="43"/>
  <c r="O9" i="43"/>
  <c r="P9" i="43"/>
  <c r="Q9" i="43"/>
  <c r="R9" i="43"/>
  <c r="K10" i="43"/>
  <c r="L10" i="43"/>
  <c r="M10" i="43"/>
  <c r="N10" i="43"/>
  <c r="O10" i="43"/>
  <c r="P10" i="43"/>
  <c r="Q10" i="43"/>
  <c r="R10" i="43"/>
  <c r="K11" i="43"/>
  <c r="L11" i="43"/>
  <c r="M11" i="43"/>
  <c r="N11" i="43"/>
  <c r="O11" i="43"/>
  <c r="P11" i="43"/>
  <c r="Q11" i="43"/>
  <c r="R11" i="43"/>
  <c r="K12" i="43"/>
  <c r="L12" i="43"/>
  <c r="M12" i="43"/>
  <c r="N12" i="43"/>
  <c r="O12" i="43"/>
  <c r="P12" i="43"/>
  <c r="Q12" i="43"/>
  <c r="R12" i="43"/>
  <c r="K13" i="43"/>
  <c r="L13" i="43"/>
  <c r="M13" i="43"/>
  <c r="N13" i="43"/>
  <c r="O13" i="43"/>
  <c r="P13" i="43"/>
  <c r="Q13" i="43"/>
  <c r="R13" i="43"/>
  <c r="K14" i="43"/>
  <c r="L14" i="43"/>
  <c r="M14" i="43"/>
  <c r="N14" i="43"/>
  <c r="O14" i="43"/>
  <c r="P14" i="43"/>
  <c r="Q14" i="43"/>
  <c r="R14" i="43"/>
  <c r="K15" i="43"/>
  <c r="L15" i="43"/>
  <c r="M15" i="43"/>
  <c r="N15" i="43"/>
  <c r="O15" i="43"/>
  <c r="P15" i="43"/>
  <c r="Q15" i="43"/>
  <c r="R15" i="43"/>
  <c r="K16" i="43"/>
  <c r="L16" i="43"/>
  <c r="M16" i="43"/>
  <c r="N16" i="43"/>
  <c r="O16" i="43"/>
  <c r="P16" i="43"/>
  <c r="Q16" i="43"/>
  <c r="R16" i="43"/>
  <c r="K17" i="43"/>
  <c r="L17" i="43"/>
  <c r="M17" i="43"/>
  <c r="N17" i="43"/>
  <c r="O17" i="43"/>
  <c r="P17" i="43"/>
  <c r="Q17" i="43"/>
  <c r="R17" i="43"/>
  <c r="K18" i="43"/>
  <c r="L18" i="43"/>
  <c r="M18" i="43"/>
  <c r="N18" i="43"/>
  <c r="O18" i="43"/>
  <c r="P18" i="43"/>
  <c r="Q18" i="43"/>
  <c r="R18" i="43"/>
  <c r="K19" i="43"/>
  <c r="L19" i="43"/>
  <c r="M19" i="43"/>
  <c r="N19" i="43"/>
  <c r="O19" i="43"/>
  <c r="P19" i="43"/>
  <c r="Q19" i="43"/>
  <c r="R19" i="43"/>
  <c r="K20" i="43"/>
  <c r="L20" i="43"/>
  <c r="M20" i="43"/>
  <c r="N20" i="43"/>
  <c r="O20" i="43"/>
  <c r="P20" i="43"/>
  <c r="Q20" i="43"/>
  <c r="R20" i="43"/>
  <c r="K21" i="43"/>
  <c r="L21" i="43"/>
  <c r="M21" i="43"/>
  <c r="N21" i="43"/>
  <c r="O21" i="43"/>
  <c r="P21" i="43"/>
  <c r="Q21" i="43"/>
  <c r="R21" i="43"/>
  <c r="K22" i="43"/>
  <c r="L22" i="43"/>
  <c r="M22" i="43"/>
  <c r="N22" i="43"/>
  <c r="O22" i="43"/>
  <c r="P22" i="43"/>
  <c r="Q22" i="43"/>
  <c r="R22" i="43"/>
  <c r="K23" i="43"/>
  <c r="L23" i="43"/>
  <c r="M23" i="43"/>
  <c r="N23" i="43"/>
  <c r="O23" i="43"/>
  <c r="P23" i="43"/>
  <c r="Q23" i="43"/>
  <c r="R23" i="43"/>
  <c r="K24" i="43"/>
  <c r="L24" i="43"/>
  <c r="M24" i="43"/>
  <c r="N24" i="43"/>
  <c r="O24" i="43"/>
  <c r="P24" i="43"/>
  <c r="Q24" i="43"/>
  <c r="R24" i="43"/>
  <c r="K25" i="43"/>
  <c r="L25" i="43"/>
  <c r="M25" i="43"/>
  <c r="N25" i="43"/>
  <c r="O25" i="43"/>
  <c r="P25" i="43"/>
  <c r="Q25" i="43"/>
  <c r="R25" i="43"/>
  <c r="K26" i="43"/>
  <c r="L26" i="43"/>
  <c r="M26" i="43"/>
  <c r="N26" i="43"/>
  <c r="O26" i="43"/>
  <c r="P26" i="43"/>
  <c r="Q26" i="43"/>
  <c r="R26" i="43"/>
  <c r="K27" i="43"/>
  <c r="L27" i="43"/>
  <c r="M27" i="43"/>
  <c r="N27" i="43"/>
  <c r="O27" i="43"/>
  <c r="P27" i="43"/>
  <c r="Q27" i="43"/>
  <c r="R27" i="43"/>
  <c r="K28" i="43"/>
  <c r="L28" i="43"/>
  <c r="M28" i="43"/>
  <c r="N28" i="43"/>
  <c r="O28" i="43"/>
  <c r="P28" i="43"/>
  <c r="Q28" i="43"/>
  <c r="R28" i="43"/>
  <c r="K29" i="43"/>
  <c r="L29" i="43"/>
  <c r="M29" i="43"/>
  <c r="N29" i="43"/>
  <c r="O29" i="43"/>
  <c r="P29" i="43"/>
  <c r="Q29" i="43"/>
  <c r="R29" i="43"/>
  <c r="K30" i="43"/>
  <c r="L30" i="43"/>
  <c r="M30" i="43"/>
  <c r="N30" i="43"/>
  <c r="O30" i="43"/>
  <c r="P30" i="43"/>
  <c r="Q30" i="43"/>
  <c r="R30" i="43"/>
  <c r="K31" i="43"/>
  <c r="L31" i="43"/>
  <c r="M31" i="43"/>
  <c r="N31" i="43"/>
  <c r="O31" i="43"/>
  <c r="P31" i="43"/>
  <c r="Q31" i="43"/>
  <c r="R31" i="43"/>
  <c r="K32" i="43"/>
  <c r="L32" i="43"/>
  <c r="M32" i="43"/>
  <c r="N32" i="43"/>
  <c r="O32" i="43"/>
  <c r="P32" i="43"/>
  <c r="Q32" i="43"/>
  <c r="R32" i="43"/>
  <c r="K33" i="43"/>
  <c r="L33" i="43"/>
  <c r="M33" i="43"/>
  <c r="N33" i="43"/>
  <c r="O33" i="43"/>
  <c r="P33" i="43"/>
  <c r="Q33" i="43"/>
  <c r="R33" i="43"/>
  <c r="K34" i="43"/>
  <c r="L34" i="43"/>
  <c r="M34" i="43"/>
  <c r="N34" i="43"/>
  <c r="O34" i="43"/>
  <c r="P34" i="43"/>
  <c r="Q34" i="43"/>
  <c r="R34" i="43"/>
  <c r="K35" i="43"/>
  <c r="L35" i="43"/>
  <c r="M35" i="43"/>
  <c r="N35" i="43"/>
  <c r="O35" i="43"/>
  <c r="P35" i="43"/>
  <c r="Q35" i="43"/>
  <c r="R35" i="43"/>
  <c r="K36" i="43"/>
  <c r="L36" i="43"/>
  <c r="M36" i="43"/>
  <c r="N36" i="43"/>
  <c r="O36" i="43"/>
  <c r="P36" i="43"/>
  <c r="Q36" i="43"/>
  <c r="R36" i="43"/>
  <c r="K37" i="43"/>
  <c r="L37" i="43"/>
  <c r="M37" i="43"/>
  <c r="N37" i="43"/>
  <c r="O37" i="43"/>
  <c r="P37" i="43"/>
  <c r="Q37" i="43"/>
  <c r="R37" i="43"/>
  <c r="K38" i="43"/>
  <c r="L38" i="43"/>
  <c r="M38" i="43"/>
  <c r="N38" i="43"/>
  <c r="O38" i="43"/>
  <c r="P38" i="43"/>
  <c r="Q38" i="43"/>
  <c r="R38" i="43"/>
  <c r="K39" i="43"/>
  <c r="L39" i="43"/>
  <c r="M39" i="43"/>
  <c r="N39" i="43"/>
  <c r="O39" i="43"/>
  <c r="P39" i="43"/>
  <c r="Q39" i="43"/>
  <c r="R39" i="43"/>
  <c r="R5" i="43"/>
  <c r="L5" i="43"/>
  <c r="M5" i="43"/>
  <c r="N5" i="43"/>
  <c r="O5" i="43"/>
  <c r="P5" i="43"/>
  <c r="Q5" i="43"/>
  <c r="K5" i="43"/>
  <c r="S6" i="30"/>
  <c r="T6" i="30"/>
  <c r="U6" i="30"/>
  <c r="V6" i="30"/>
  <c r="W6" i="30"/>
  <c r="X6" i="30"/>
  <c r="Y6" i="30"/>
  <c r="Z6" i="30"/>
  <c r="S7" i="30"/>
  <c r="T7" i="30"/>
  <c r="U7" i="30"/>
  <c r="V7" i="30"/>
  <c r="W7" i="30"/>
  <c r="X7" i="30"/>
  <c r="Y7" i="30"/>
  <c r="Z7" i="30"/>
  <c r="S8" i="30"/>
  <c r="T8" i="30"/>
  <c r="U8" i="30"/>
  <c r="V8" i="30"/>
  <c r="W8" i="30"/>
  <c r="X8" i="30"/>
  <c r="Y8" i="30"/>
  <c r="Z8" i="30"/>
  <c r="S9" i="30"/>
  <c r="T9" i="30"/>
  <c r="U9" i="30"/>
  <c r="V9" i="30"/>
  <c r="W9" i="30"/>
  <c r="X9" i="30"/>
  <c r="Y9" i="30"/>
  <c r="Z9" i="30"/>
  <c r="S10" i="30"/>
  <c r="T10" i="30"/>
  <c r="U10" i="30"/>
  <c r="V10" i="30"/>
  <c r="W10" i="30"/>
  <c r="X10" i="30"/>
  <c r="Y10" i="30"/>
  <c r="Z10" i="30"/>
  <c r="S11" i="30"/>
  <c r="T11" i="30"/>
  <c r="U11" i="30"/>
  <c r="V11" i="30"/>
  <c r="W11" i="30"/>
  <c r="X11" i="30"/>
  <c r="Y11" i="30"/>
  <c r="Z11" i="30"/>
  <c r="S12" i="30"/>
  <c r="T12" i="30"/>
  <c r="U12" i="30"/>
  <c r="V12" i="30"/>
  <c r="W12" i="30"/>
  <c r="X12" i="30"/>
  <c r="Y12" i="30"/>
  <c r="Z12" i="30"/>
  <c r="S13" i="30"/>
  <c r="T13" i="30"/>
  <c r="U13" i="30"/>
  <c r="V13" i="30"/>
  <c r="W13" i="30"/>
  <c r="X13" i="30"/>
  <c r="Y13" i="30"/>
  <c r="Z13" i="30"/>
  <c r="S14" i="30"/>
  <c r="T14" i="30"/>
  <c r="U14" i="30"/>
  <c r="V14" i="30"/>
  <c r="W14" i="30"/>
  <c r="X14" i="30"/>
  <c r="Y14" i="30"/>
  <c r="Z14" i="30"/>
  <c r="S15" i="30"/>
  <c r="T15" i="30"/>
  <c r="U15" i="30"/>
  <c r="V15" i="30"/>
  <c r="W15" i="30"/>
  <c r="X15" i="30"/>
  <c r="Y15" i="30"/>
  <c r="Z15" i="30"/>
  <c r="S16" i="30"/>
  <c r="T16" i="30"/>
  <c r="U16" i="30"/>
  <c r="V16" i="30"/>
  <c r="W16" i="30"/>
  <c r="X16" i="30"/>
  <c r="Y16" i="30"/>
  <c r="Z16" i="30"/>
  <c r="S17" i="30"/>
  <c r="T17" i="30"/>
  <c r="U17" i="30"/>
  <c r="V17" i="30"/>
  <c r="W17" i="30"/>
  <c r="X17" i="30"/>
  <c r="Y17" i="30"/>
  <c r="Z17" i="30"/>
  <c r="S18" i="30"/>
  <c r="T18" i="30"/>
  <c r="U18" i="30"/>
  <c r="V18" i="30"/>
  <c r="W18" i="30"/>
  <c r="X18" i="30"/>
  <c r="Y18" i="30"/>
  <c r="Z18" i="30"/>
  <c r="S19" i="30"/>
  <c r="T19" i="30"/>
  <c r="U19" i="30"/>
  <c r="V19" i="30"/>
  <c r="W19" i="30"/>
  <c r="X19" i="30"/>
  <c r="Y19" i="30"/>
  <c r="Z19" i="30"/>
  <c r="S20" i="30"/>
  <c r="T20" i="30"/>
  <c r="U20" i="30"/>
  <c r="V20" i="30"/>
  <c r="W20" i="30"/>
  <c r="X20" i="30"/>
  <c r="Y20" i="30"/>
  <c r="Z20" i="30"/>
  <c r="S21" i="30"/>
  <c r="T21" i="30"/>
  <c r="U21" i="30"/>
  <c r="V21" i="30"/>
  <c r="W21" i="30"/>
  <c r="X21" i="30"/>
  <c r="Y21" i="30"/>
  <c r="Z21" i="30"/>
  <c r="S22" i="30"/>
  <c r="T22" i="30"/>
  <c r="U22" i="30"/>
  <c r="V22" i="30"/>
  <c r="W22" i="30"/>
  <c r="X22" i="30"/>
  <c r="Y22" i="30"/>
  <c r="Z22" i="30"/>
  <c r="S23" i="30"/>
  <c r="T23" i="30"/>
  <c r="U23" i="30"/>
  <c r="V23" i="30"/>
  <c r="W23" i="30"/>
  <c r="X23" i="30"/>
  <c r="Y23" i="30"/>
  <c r="Z23" i="30"/>
  <c r="S24" i="30"/>
  <c r="T24" i="30"/>
  <c r="U24" i="30"/>
  <c r="V24" i="30"/>
  <c r="W24" i="30"/>
  <c r="X24" i="30"/>
  <c r="Y24" i="30"/>
  <c r="Z24" i="30"/>
  <c r="S25" i="30"/>
  <c r="T25" i="30"/>
  <c r="U25" i="30"/>
  <c r="V25" i="30"/>
  <c r="W25" i="30"/>
  <c r="X25" i="30"/>
  <c r="Y25" i="30"/>
  <c r="Z25" i="30"/>
  <c r="S26" i="30"/>
  <c r="T26" i="30"/>
  <c r="U26" i="30"/>
  <c r="V26" i="30"/>
  <c r="W26" i="30"/>
  <c r="X26" i="30"/>
  <c r="Y26" i="30"/>
  <c r="Z26" i="30"/>
  <c r="S27" i="30"/>
  <c r="T27" i="30"/>
  <c r="U27" i="30"/>
  <c r="V27" i="30"/>
  <c r="W27" i="30"/>
  <c r="X27" i="30"/>
  <c r="Y27" i="30"/>
  <c r="Z27" i="30"/>
  <c r="S28" i="30"/>
  <c r="T28" i="30"/>
  <c r="U28" i="30"/>
  <c r="V28" i="30"/>
  <c r="W28" i="30"/>
  <c r="X28" i="30"/>
  <c r="Y28" i="30"/>
  <c r="Z28" i="30"/>
  <c r="S29" i="30"/>
  <c r="T29" i="30"/>
  <c r="U29" i="30"/>
  <c r="V29" i="30"/>
  <c r="W29" i="30"/>
  <c r="X29" i="30"/>
  <c r="Y29" i="30"/>
  <c r="Z29" i="30"/>
  <c r="S30" i="30"/>
  <c r="T30" i="30"/>
  <c r="U30" i="30"/>
  <c r="V30" i="30"/>
  <c r="W30" i="30"/>
  <c r="X30" i="30"/>
  <c r="Y30" i="30"/>
  <c r="Z30" i="30"/>
  <c r="S31" i="30"/>
  <c r="T31" i="30"/>
  <c r="U31" i="30"/>
  <c r="V31" i="30"/>
  <c r="W31" i="30"/>
  <c r="X31" i="30"/>
  <c r="Y31" i="30"/>
  <c r="Z31" i="30"/>
  <c r="S32" i="30"/>
  <c r="T32" i="30"/>
  <c r="U32" i="30"/>
  <c r="V32" i="30"/>
  <c r="W32" i="30"/>
  <c r="X32" i="30"/>
  <c r="Y32" i="30"/>
  <c r="Z32" i="30"/>
  <c r="S33" i="30"/>
  <c r="T33" i="30"/>
  <c r="U33" i="30"/>
  <c r="V33" i="30"/>
  <c r="W33" i="30"/>
  <c r="X33" i="30"/>
  <c r="Y33" i="30"/>
  <c r="Z33" i="30"/>
  <c r="S34" i="30"/>
  <c r="T34" i="30"/>
  <c r="U34" i="30"/>
  <c r="V34" i="30"/>
  <c r="W34" i="30"/>
  <c r="X34" i="30"/>
  <c r="Y34" i="30"/>
  <c r="Z34" i="30"/>
  <c r="S35" i="30"/>
  <c r="T35" i="30"/>
  <c r="U35" i="30"/>
  <c r="V35" i="30"/>
  <c r="W35" i="30"/>
  <c r="X35" i="30"/>
  <c r="Y35" i="30"/>
  <c r="Z35" i="30"/>
  <c r="S36" i="30"/>
  <c r="T36" i="30"/>
  <c r="U36" i="30"/>
  <c r="V36" i="30"/>
  <c r="W36" i="30"/>
  <c r="X36" i="30"/>
  <c r="Y36" i="30"/>
  <c r="Z36" i="30"/>
  <c r="S37" i="30"/>
  <c r="T37" i="30"/>
  <c r="U37" i="30"/>
  <c r="V37" i="30"/>
  <c r="W37" i="30"/>
  <c r="X37" i="30"/>
  <c r="Y37" i="30"/>
  <c r="Z37" i="30"/>
  <c r="S38" i="30"/>
  <c r="T38" i="30"/>
  <c r="U38" i="30"/>
  <c r="V38" i="30"/>
  <c r="W38" i="30"/>
  <c r="X38" i="30"/>
  <c r="Y38" i="30"/>
  <c r="Z38" i="30"/>
  <c r="S39" i="30"/>
  <c r="T39" i="30"/>
  <c r="U39" i="30"/>
  <c r="V39" i="30"/>
  <c r="W39" i="30"/>
  <c r="X39" i="30"/>
  <c r="Y39" i="30"/>
  <c r="Z39" i="30"/>
  <c r="Z5" i="30"/>
  <c r="S5" i="30"/>
  <c r="K6" i="30"/>
  <c r="L6" i="30"/>
  <c r="M6" i="30"/>
  <c r="N6" i="30"/>
  <c r="O6" i="30"/>
  <c r="P6" i="30"/>
  <c r="Q6" i="30"/>
  <c r="R6" i="30"/>
  <c r="K7" i="30"/>
  <c r="L7" i="30"/>
  <c r="M7" i="30"/>
  <c r="N7" i="30"/>
  <c r="O7" i="30"/>
  <c r="P7" i="30"/>
  <c r="Q7" i="30"/>
  <c r="R7" i="30"/>
  <c r="K8" i="30"/>
  <c r="L8" i="30"/>
  <c r="M8" i="30"/>
  <c r="N8" i="30"/>
  <c r="O8" i="30"/>
  <c r="P8" i="30"/>
  <c r="Q8" i="30"/>
  <c r="R8" i="30"/>
  <c r="K9" i="30"/>
  <c r="L9" i="30"/>
  <c r="M9" i="30"/>
  <c r="N9" i="30"/>
  <c r="O9" i="30"/>
  <c r="P9" i="30"/>
  <c r="Q9" i="30"/>
  <c r="R9" i="30"/>
  <c r="K10" i="30"/>
  <c r="L10" i="30"/>
  <c r="M10" i="30"/>
  <c r="N10" i="30"/>
  <c r="O10" i="30"/>
  <c r="P10" i="30"/>
  <c r="Q10" i="30"/>
  <c r="R10" i="30"/>
  <c r="K11" i="30"/>
  <c r="L11" i="30"/>
  <c r="M11" i="30"/>
  <c r="N11" i="30"/>
  <c r="O11" i="30"/>
  <c r="P11" i="30"/>
  <c r="Q11" i="30"/>
  <c r="R11" i="30"/>
  <c r="K12" i="30"/>
  <c r="L12" i="30"/>
  <c r="M12" i="30"/>
  <c r="N12" i="30"/>
  <c r="O12" i="30"/>
  <c r="P12" i="30"/>
  <c r="Q12" i="30"/>
  <c r="R12" i="30"/>
  <c r="K13" i="30"/>
  <c r="L13" i="30"/>
  <c r="M13" i="30"/>
  <c r="N13" i="30"/>
  <c r="O13" i="30"/>
  <c r="P13" i="30"/>
  <c r="Q13" i="30"/>
  <c r="R13" i="30"/>
  <c r="K14" i="30"/>
  <c r="L14" i="30"/>
  <c r="M14" i="30"/>
  <c r="N14" i="30"/>
  <c r="O14" i="30"/>
  <c r="P14" i="30"/>
  <c r="Q14" i="30"/>
  <c r="R14" i="30"/>
  <c r="K15" i="30"/>
  <c r="L15" i="30"/>
  <c r="M15" i="30"/>
  <c r="N15" i="30"/>
  <c r="O15" i="30"/>
  <c r="P15" i="30"/>
  <c r="Q15" i="30"/>
  <c r="R15" i="30"/>
  <c r="K16" i="30"/>
  <c r="L16" i="30"/>
  <c r="M16" i="30"/>
  <c r="N16" i="30"/>
  <c r="O16" i="30"/>
  <c r="P16" i="30"/>
  <c r="Q16" i="30"/>
  <c r="R16" i="30"/>
  <c r="K17" i="30"/>
  <c r="L17" i="30"/>
  <c r="M17" i="30"/>
  <c r="N17" i="30"/>
  <c r="O17" i="30"/>
  <c r="P17" i="30"/>
  <c r="Q17" i="30"/>
  <c r="R17" i="30"/>
  <c r="K18" i="30"/>
  <c r="L18" i="30"/>
  <c r="M18" i="30"/>
  <c r="N18" i="30"/>
  <c r="O18" i="30"/>
  <c r="P18" i="30"/>
  <c r="Q18" i="30"/>
  <c r="R18" i="30"/>
  <c r="K19" i="30"/>
  <c r="L19" i="30"/>
  <c r="M19" i="30"/>
  <c r="N19" i="30"/>
  <c r="O19" i="30"/>
  <c r="P19" i="30"/>
  <c r="Q19" i="30"/>
  <c r="R19" i="30"/>
  <c r="K20" i="30"/>
  <c r="L20" i="30"/>
  <c r="M20" i="30"/>
  <c r="N20" i="30"/>
  <c r="O20" i="30"/>
  <c r="P20" i="30"/>
  <c r="Q20" i="30"/>
  <c r="R20" i="30"/>
  <c r="K21" i="30"/>
  <c r="L21" i="30"/>
  <c r="M21" i="30"/>
  <c r="N21" i="30"/>
  <c r="O21" i="30"/>
  <c r="P21" i="30"/>
  <c r="Q21" i="30"/>
  <c r="R21" i="30"/>
  <c r="K22" i="30"/>
  <c r="L22" i="30"/>
  <c r="M22" i="30"/>
  <c r="N22" i="30"/>
  <c r="O22" i="30"/>
  <c r="P22" i="30"/>
  <c r="Q22" i="30"/>
  <c r="R22" i="30"/>
  <c r="K23" i="30"/>
  <c r="L23" i="30"/>
  <c r="M23" i="30"/>
  <c r="N23" i="30"/>
  <c r="O23" i="30"/>
  <c r="P23" i="30"/>
  <c r="Q23" i="30"/>
  <c r="R23" i="30"/>
  <c r="K24" i="30"/>
  <c r="L24" i="30"/>
  <c r="M24" i="30"/>
  <c r="N24" i="30"/>
  <c r="O24" i="30"/>
  <c r="P24" i="30"/>
  <c r="Q24" i="30"/>
  <c r="R24" i="30"/>
  <c r="K25" i="30"/>
  <c r="L25" i="30"/>
  <c r="M25" i="30"/>
  <c r="N25" i="30"/>
  <c r="O25" i="30"/>
  <c r="P25" i="30"/>
  <c r="Q25" i="30"/>
  <c r="R25" i="30"/>
  <c r="K26" i="30"/>
  <c r="L26" i="30"/>
  <c r="M26" i="30"/>
  <c r="N26" i="30"/>
  <c r="O26" i="30"/>
  <c r="P26" i="30"/>
  <c r="Q26" i="30"/>
  <c r="R26" i="30"/>
  <c r="K27" i="30"/>
  <c r="L27" i="30"/>
  <c r="M27" i="30"/>
  <c r="N27" i="30"/>
  <c r="O27" i="30"/>
  <c r="P27" i="30"/>
  <c r="Q27" i="30"/>
  <c r="R27" i="30"/>
  <c r="K28" i="30"/>
  <c r="L28" i="30"/>
  <c r="M28" i="30"/>
  <c r="N28" i="30"/>
  <c r="O28" i="30"/>
  <c r="P28" i="30"/>
  <c r="Q28" i="30"/>
  <c r="R28" i="30"/>
  <c r="K29" i="30"/>
  <c r="L29" i="30"/>
  <c r="M29" i="30"/>
  <c r="N29" i="30"/>
  <c r="O29" i="30"/>
  <c r="P29" i="30"/>
  <c r="Q29" i="30"/>
  <c r="R29" i="30"/>
  <c r="K30" i="30"/>
  <c r="L30" i="30"/>
  <c r="M30" i="30"/>
  <c r="N30" i="30"/>
  <c r="O30" i="30"/>
  <c r="P30" i="30"/>
  <c r="Q30" i="30"/>
  <c r="R30" i="30"/>
  <c r="K31" i="30"/>
  <c r="L31" i="30"/>
  <c r="M31" i="30"/>
  <c r="N31" i="30"/>
  <c r="O31" i="30"/>
  <c r="P31" i="30"/>
  <c r="Q31" i="30"/>
  <c r="R31" i="30"/>
  <c r="K32" i="30"/>
  <c r="L32" i="30"/>
  <c r="M32" i="30"/>
  <c r="N32" i="30"/>
  <c r="O32" i="30"/>
  <c r="P32" i="30"/>
  <c r="Q32" i="30"/>
  <c r="R32" i="30"/>
  <c r="K33" i="30"/>
  <c r="L33" i="30"/>
  <c r="M33" i="30"/>
  <c r="N33" i="30"/>
  <c r="O33" i="30"/>
  <c r="P33" i="30"/>
  <c r="Q33" i="30"/>
  <c r="R33" i="30"/>
  <c r="K34" i="30"/>
  <c r="L34" i="30"/>
  <c r="M34" i="30"/>
  <c r="N34" i="30"/>
  <c r="O34" i="30"/>
  <c r="P34" i="30"/>
  <c r="Q34" i="30"/>
  <c r="R34" i="30"/>
  <c r="K35" i="30"/>
  <c r="L35" i="30"/>
  <c r="M35" i="30"/>
  <c r="N35" i="30"/>
  <c r="O35" i="30"/>
  <c r="P35" i="30"/>
  <c r="Q35" i="30"/>
  <c r="R35" i="30"/>
  <c r="K36" i="30"/>
  <c r="L36" i="30"/>
  <c r="M36" i="30"/>
  <c r="N36" i="30"/>
  <c r="O36" i="30"/>
  <c r="P36" i="30"/>
  <c r="Q36" i="30"/>
  <c r="R36" i="30"/>
  <c r="K37" i="30"/>
  <c r="L37" i="30"/>
  <c r="M37" i="30"/>
  <c r="N37" i="30"/>
  <c r="O37" i="30"/>
  <c r="P37" i="30"/>
  <c r="Q37" i="30"/>
  <c r="R37" i="30"/>
  <c r="K38" i="30"/>
  <c r="L38" i="30"/>
  <c r="M38" i="30"/>
  <c r="N38" i="30"/>
  <c r="O38" i="30"/>
  <c r="P38" i="30"/>
  <c r="Q38" i="30"/>
  <c r="R38" i="30"/>
  <c r="K39" i="30"/>
  <c r="L39" i="30"/>
  <c r="M39" i="30"/>
  <c r="N39" i="30"/>
  <c r="O39" i="30"/>
  <c r="P39" i="30"/>
  <c r="Q39" i="30"/>
  <c r="R39" i="30"/>
  <c r="L5" i="30"/>
  <c r="M5" i="30"/>
  <c r="N5" i="30"/>
  <c r="O5" i="30"/>
  <c r="P5" i="30"/>
  <c r="Q5" i="30"/>
  <c r="T5" i="30"/>
  <c r="U5" i="30"/>
  <c r="V5" i="30"/>
  <c r="W5" i="30"/>
  <c r="X5" i="30"/>
  <c r="Y5" i="30"/>
  <c r="K5" i="30"/>
  <c r="R5" i="30"/>
  <c r="C6" i="30"/>
  <c r="D6" i="30"/>
  <c r="E6" i="30"/>
  <c r="F6" i="30"/>
  <c r="G6" i="30"/>
  <c r="H6" i="30"/>
  <c r="I6" i="30"/>
  <c r="J6" i="30"/>
  <c r="C7" i="30"/>
  <c r="D7" i="30"/>
  <c r="E7" i="30"/>
  <c r="F7" i="30"/>
  <c r="G7" i="30"/>
  <c r="H7" i="30"/>
  <c r="I7" i="30"/>
  <c r="J7" i="30"/>
  <c r="C8" i="30"/>
  <c r="D8" i="30"/>
  <c r="E8" i="30"/>
  <c r="F8" i="30"/>
  <c r="G8" i="30"/>
  <c r="H8" i="30"/>
  <c r="I8" i="30"/>
  <c r="J8" i="30"/>
  <c r="C9" i="30"/>
  <c r="D9" i="30"/>
  <c r="E9" i="30"/>
  <c r="F9" i="30"/>
  <c r="G9" i="30"/>
  <c r="H9" i="30"/>
  <c r="I9" i="30"/>
  <c r="J9" i="30"/>
  <c r="C10" i="30"/>
  <c r="D10" i="30"/>
  <c r="E10" i="30"/>
  <c r="F10" i="30"/>
  <c r="G10" i="30"/>
  <c r="H10" i="30"/>
  <c r="I10" i="30"/>
  <c r="J10" i="30"/>
  <c r="C11" i="30"/>
  <c r="D11" i="30"/>
  <c r="E11" i="30"/>
  <c r="F11" i="30"/>
  <c r="G11" i="30"/>
  <c r="H11" i="30"/>
  <c r="I11" i="30"/>
  <c r="J11" i="30"/>
  <c r="C12" i="30"/>
  <c r="D12" i="30"/>
  <c r="E12" i="30"/>
  <c r="F12" i="30"/>
  <c r="G12" i="30"/>
  <c r="H12" i="30"/>
  <c r="I12" i="30"/>
  <c r="J12" i="30"/>
  <c r="C13" i="30"/>
  <c r="D13" i="30"/>
  <c r="E13" i="30"/>
  <c r="F13" i="30"/>
  <c r="G13" i="30"/>
  <c r="H13" i="30"/>
  <c r="I13" i="30"/>
  <c r="J13" i="30"/>
  <c r="C14" i="30"/>
  <c r="D14" i="30"/>
  <c r="E14" i="30"/>
  <c r="F14" i="30"/>
  <c r="G14" i="30"/>
  <c r="H14" i="30"/>
  <c r="I14" i="30"/>
  <c r="J14" i="30"/>
  <c r="C15" i="30"/>
  <c r="D15" i="30"/>
  <c r="E15" i="30"/>
  <c r="F15" i="30"/>
  <c r="G15" i="30"/>
  <c r="H15" i="30"/>
  <c r="I15" i="30"/>
  <c r="J15" i="30"/>
  <c r="C16" i="30"/>
  <c r="D16" i="30"/>
  <c r="E16" i="30"/>
  <c r="F16" i="30"/>
  <c r="G16" i="30"/>
  <c r="H16" i="30"/>
  <c r="I16" i="30"/>
  <c r="J16" i="30"/>
  <c r="C17" i="30"/>
  <c r="D17" i="30"/>
  <c r="E17" i="30"/>
  <c r="F17" i="30"/>
  <c r="G17" i="30"/>
  <c r="H17" i="30"/>
  <c r="I17" i="30"/>
  <c r="J17" i="30"/>
  <c r="C18" i="30"/>
  <c r="D18" i="30"/>
  <c r="E18" i="30"/>
  <c r="F18" i="30"/>
  <c r="G18" i="30"/>
  <c r="H18" i="30"/>
  <c r="I18" i="30"/>
  <c r="J18" i="30"/>
  <c r="C19" i="30"/>
  <c r="D19" i="30"/>
  <c r="E19" i="30"/>
  <c r="F19" i="30"/>
  <c r="G19" i="30"/>
  <c r="H19" i="30"/>
  <c r="I19" i="30"/>
  <c r="J19" i="30"/>
  <c r="C20" i="30"/>
  <c r="D20" i="30"/>
  <c r="E20" i="30"/>
  <c r="F20" i="30"/>
  <c r="G20" i="30"/>
  <c r="H20" i="30"/>
  <c r="I20" i="30"/>
  <c r="J20" i="30"/>
  <c r="C21" i="30"/>
  <c r="D21" i="30"/>
  <c r="E21" i="30"/>
  <c r="F21" i="30"/>
  <c r="G21" i="30"/>
  <c r="H21" i="30"/>
  <c r="I21" i="30"/>
  <c r="J21" i="30"/>
  <c r="C22" i="30"/>
  <c r="D22" i="30"/>
  <c r="E22" i="30"/>
  <c r="F22" i="30"/>
  <c r="G22" i="30"/>
  <c r="H22" i="30"/>
  <c r="I22" i="30"/>
  <c r="J22" i="30"/>
  <c r="C23" i="30"/>
  <c r="D23" i="30"/>
  <c r="E23" i="30"/>
  <c r="F23" i="30"/>
  <c r="G23" i="30"/>
  <c r="H23" i="30"/>
  <c r="I23" i="30"/>
  <c r="J23" i="30"/>
  <c r="C24" i="30"/>
  <c r="D24" i="30"/>
  <c r="E24" i="30"/>
  <c r="F24" i="30"/>
  <c r="G24" i="30"/>
  <c r="H24" i="30"/>
  <c r="I24" i="30"/>
  <c r="J24" i="30"/>
  <c r="C25" i="30"/>
  <c r="D25" i="30"/>
  <c r="E25" i="30"/>
  <c r="F25" i="30"/>
  <c r="G25" i="30"/>
  <c r="H25" i="30"/>
  <c r="I25" i="30"/>
  <c r="J25" i="30"/>
  <c r="C26" i="30"/>
  <c r="D26" i="30"/>
  <c r="E26" i="30"/>
  <c r="F26" i="30"/>
  <c r="G26" i="30"/>
  <c r="H26" i="30"/>
  <c r="I26" i="30"/>
  <c r="J26" i="30"/>
  <c r="C27" i="30"/>
  <c r="D27" i="30"/>
  <c r="E27" i="30"/>
  <c r="F27" i="30"/>
  <c r="G27" i="30"/>
  <c r="H27" i="30"/>
  <c r="I27" i="30"/>
  <c r="J27" i="30"/>
  <c r="C28" i="30"/>
  <c r="D28" i="30"/>
  <c r="E28" i="30"/>
  <c r="F28" i="30"/>
  <c r="G28" i="30"/>
  <c r="H28" i="30"/>
  <c r="I28" i="30"/>
  <c r="J28" i="30"/>
  <c r="C29" i="30"/>
  <c r="D29" i="30"/>
  <c r="E29" i="30"/>
  <c r="F29" i="30"/>
  <c r="G29" i="30"/>
  <c r="H29" i="30"/>
  <c r="I29" i="30"/>
  <c r="J29" i="30"/>
  <c r="C30" i="30"/>
  <c r="D30" i="30"/>
  <c r="E30" i="30"/>
  <c r="F30" i="30"/>
  <c r="G30" i="30"/>
  <c r="H30" i="30"/>
  <c r="I30" i="30"/>
  <c r="J30" i="30"/>
  <c r="C31" i="30"/>
  <c r="D31" i="30"/>
  <c r="E31" i="30"/>
  <c r="F31" i="30"/>
  <c r="G31" i="30"/>
  <c r="H31" i="30"/>
  <c r="I31" i="30"/>
  <c r="J31" i="30"/>
  <c r="C32" i="30"/>
  <c r="D32" i="30"/>
  <c r="E32" i="30"/>
  <c r="F32" i="30"/>
  <c r="G32" i="30"/>
  <c r="H32" i="30"/>
  <c r="I32" i="30"/>
  <c r="J32" i="30"/>
  <c r="C33" i="30"/>
  <c r="D33" i="30"/>
  <c r="E33" i="30"/>
  <c r="F33" i="30"/>
  <c r="G33" i="30"/>
  <c r="H33" i="30"/>
  <c r="I33" i="30"/>
  <c r="J33" i="30"/>
  <c r="C34" i="30"/>
  <c r="D34" i="30"/>
  <c r="E34" i="30"/>
  <c r="F34" i="30"/>
  <c r="G34" i="30"/>
  <c r="H34" i="30"/>
  <c r="I34" i="30"/>
  <c r="J34" i="30"/>
  <c r="C35" i="30"/>
  <c r="D35" i="30"/>
  <c r="E35" i="30"/>
  <c r="F35" i="30"/>
  <c r="G35" i="30"/>
  <c r="H35" i="30"/>
  <c r="I35" i="30"/>
  <c r="J35" i="30"/>
  <c r="C36" i="30"/>
  <c r="D36" i="30"/>
  <c r="E36" i="30"/>
  <c r="F36" i="30"/>
  <c r="G36" i="30"/>
  <c r="H36" i="30"/>
  <c r="I36" i="30"/>
  <c r="J36" i="30"/>
  <c r="C37" i="30"/>
  <c r="D37" i="30"/>
  <c r="E37" i="30"/>
  <c r="F37" i="30"/>
  <c r="G37" i="30"/>
  <c r="H37" i="30"/>
  <c r="I37" i="30"/>
  <c r="J37" i="30"/>
  <c r="C38" i="30"/>
  <c r="D38" i="30"/>
  <c r="E38" i="30"/>
  <c r="F38" i="30"/>
  <c r="G38" i="30"/>
  <c r="H38" i="30"/>
  <c r="I38" i="30"/>
  <c r="J38" i="30"/>
  <c r="C39" i="30"/>
  <c r="D39" i="30"/>
  <c r="E39" i="30"/>
  <c r="F39" i="30"/>
  <c r="G39" i="30"/>
  <c r="H39" i="30"/>
  <c r="I39" i="30"/>
  <c r="J39" i="30"/>
  <c r="J5" i="30"/>
  <c r="D5" i="30"/>
  <c r="E5" i="30"/>
  <c r="F5" i="30"/>
  <c r="G5" i="30"/>
  <c r="H5" i="30"/>
  <c r="I5" i="30"/>
  <c r="C5" i="30"/>
  <c r="C5" i="43"/>
  <c r="C6" i="43"/>
  <c r="D6" i="43"/>
  <c r="E6" i="43"/>
  <c r="F6" i="43"/>
  <c r="G6" i="43"/>
  <c r="H6" i="43"/>
  <c r="I6" i="43"/>
  <c r="J6" i="43"/>
  <c r="C7" i="43"/>
  <c r="D7" i="43"/>
  <c r="E7" i="43"/>
  <c r="F7" i="43"/>
  <c r="G7" i="43"/>
  <c r="H7" i="43"/>
  <c r="I7" i="43"/>
  <c r="J7" i="43"/>
  <c r="C8" i="43"/>
  <c r="D8" i="43"/>
  <c r="E8" i="43"/>
  <c r="F8" i="43"/>
  <c r="G8" i="43"/>
  <c r="H8" i="43"/>
  <c r="I8" i="43"/>
  <c r="J8" i="43"/>
  <c r="C9" i="43"/>
  <c r="D9" i="43"/>
  <c r="E9" i="43"/>
  <c r="F9" i="43"/>
  <c r="G9" i="43"/>
  <c r="H9" i="43"/>
  <c r="I9" i="43"/>
  <c r="J9" i="43"/>
  <c r="C10" i="43"/>
  <c r="D10" i="43"/>
  <c r="E10" i="43"/>
  <c r="F10" i="43"/>
  <c r="G10" i="43"/>
  <c r="H10" i="43"/>
  <c r="I10" i="43"/>
  <c r="J10" i="43"/>
  <c r="C11" i="43"/>
  <c r="D11" i="43"/>
  <c r="E11" i="43"/>
  <c r="F11" i="43"/>
  <c r="G11" i="43"/>
  <c r="H11" i="43"/>
  <c r="I11" i="43"/>
  <c r="J11" i="43"/>
  <c r="C12" i="43"/>
  <c r="D12" i="43"/>
  <c r="E12" i="43"/>
  <c r="F12" i="43"/>
  <c r="G12" i="43"/>
  <c r="H12" i="43"/>
  <c r="I12" i="43"/>
  <c r="J12" i="43"/>
  <c r="C13" i="43"/>
  <c r="D13" i="43"/>
  <c r="E13" i="43"/>
  <c r="F13" i="43"/>
  <c r="G13" i="43"/>
  <c r="H13" i="43"/>
  <c r="I13" i="43"/>
  <c r="J13" i="43"/>
  <c r="C14" i="43"/>
  <c r="D14" i="43"/>
  <c r="E14" i="43"/>
  <c r="F14" i="43"/>
  <c r="G14" i="43"/>
  <c r="H14" i="43"/>
  <c r="I14" i="43"/>
  <c r="J14" i="43"/>
  <c r="C15" i="43"/>
  <c r="D15" i="43"/>
  <c r="E15" i="43"/>
  <c r="F15" i="43"/>
  <c r="G15" i="43"/>
  <c r="H15" i="43"/>
  <c r="I15" i="43"/>
  <c r="J15" i="43"/>
  <c r="C16" i="43"/>
  <c r="D16" i="43"/>
  <c r="E16" i="43"/>
  <c r="F16" i="43"/>
  <c r="G16" i="43"/>
  <c r="H16" i="43"/>
  <c r="I16" i="43"/>
  <c r="J16" i="43"/>
  <c r="C17" i="43"/>
  <c r="D17" i="43"/>
  <c r="E17" i="43"/>
  <c r="F17" i="43"/>
  <c r="G17" i="43"/>
  <c r="H17" i="43"/>
  <c r="I17" i="43"/>
  <c r="J17" i="43"/>
  <c r="C18" i="43"/>
  <c r="D18" i="43"/>
  <c r="E18" i="43"/>
  <c r="F18" i="43"/>
  <c r="G18" i="43"/>
  <c r="H18" i="43"/>
  <c r="I18" i="43"/>
  <c r="J18" i="43"/>
  <c r="C19" i="43"/>
  <c r="D19" i="43"/>
  <c r="E19" i="43"/>
  <c r="F19" i="43"/>
  <c r="G19" i="43"/>
  <c r="H19" i="43"/>
  <c r="I19" i="43"/>
  <c r="J19" i="43"/>
  <c r="C20" i="43"/>
  <c r="D20" i="43"/>
  <c r="E20" i="43"/>
  <c r="F20" i="43"/>
  <c r="G20" i="43"/>
  <c r="H20" i="43"/>
  <c r="I20" i="43"/>
  <c r="J20" i="43"/>
  <c r="C21" i="43"/>
  <c r="D21" i="43"/>
  <c r="E21" i="43"/>
  <c r="F21" i="43"/>
  <c r="G21" i="43"/>
  <c r="H21" i="43"/>
  <c r="I21" i="43"/>
  <c r="J21" i="43"/>
  <c r="C22" i="43"/>
  <c r="D22" i="43"/>
  <c r="E22" i="43"/>
  <c r="F22" i="43"/>
  <c r="G22" i="43"/>
  <c r="H22" i="43"/>
  <c r="I22" i="43"/>
  <c r="J22" i="43"/>
  <c r="C23" i="43"/>
  <c r="D23" i="43"/>
  <c r="E23" i="43"/>
  <c r="F23" i="43"/>
  <c r="G23" i="43"/>
  <c r="H23" i="43"/>
  <c r="I23" i="43"/>
  <c r="J23" i="43"/>
  <c r="C24" i="43"/>
  <c r="D24" i="43"/>
  <c r="E24" i="43"/>
  <c r="F24" i="43"/>
  <c r="G24" i="43"/>
  <c r="H24" i="43"/>
  <c r="I24" i="43"/>
  <c r="J24" i="43"/>
  <c r="C25" i="43"/>
  <c r="D25" i="43"/>
  <c r="E25" i="43"/>
  <c r="F25" i="43"/>
  <c r="G25" i="43"/>
  <c r="H25" i="43"/>
  <c r="I25" i="43"/>
  <c r="J25" i="43"/>
  <c r="C26" i="43"/>
  <c r="D26" i="43"/>
  <c r="E26" i="43"/>
  <c r="F26" i="43"/>
  <c r="G26" i="43"/>
  <c r="H26" i="43"/>
  <c r="I26" i="43"/>
  <c r="J26" i="43"/>
  <c r="C27" i="43"/>
  <c r="D27" i="43"/>
  <c r="E27" i="43"/>
  <c r="F27" i="43"/>
  <c r="G27" i="43"/>
  <c r="H27" i="43"/>
  <c r="I27" i="43"/>
  <c r="J27" i="43"/>
  <c r="C28" i="43"/>
  <c r="D28" i="43"/>
  <c r="E28" i="43"/>
  <c r="F28" i="43"/>
  <c r="G28" i="43"/>
  <c r="H28" i="43"/>
  <c r="I28" i="43"/>
  <c r="J28" i="43"/>
  <c r="C29" i="43"/>
  <c r="D29" i="43"/>
  <c r="E29" i="43"/>
  <c r="F29" i="43"/>
  <c r="G29" i="43"/>
  <c r="H29" i="43"/>
  <c r="I29" i="43"/>
  <c r="J29" i="43"/>
  <c r="C30" i="43"/>
  <c r="D30" i="43"/>
  <c r="E30" i="43"/>
  <c r="F30" i="43"/>
  <c r="G30" i="43"/>
  <c r="H30" i="43"/>
  <c r="I30" i="43"/>
  <c r="J30" i="43"/>
  <c r="C31" i="43"/>
  <c r="D31" i="43"/>
  <c r="E31" i="43"/>
  <c r="F31" i="43"/>
  <c r="G31" i="43"/>
  <c r="H31" i="43"/>
  <c r="I31" i="43"/>
  <c r="J31" i="43"/>
  <c r="C32" i="43"/>
  <c r="D32" i="43"/>
  <c r="E32" i="43"/>
  <c r="F32" i="43"/>
  <c r="G32" i="43"/>
  <c r="H32" i="43"/>
  <c r="I32" i="43"/>
  <c r="J32" i="43"/>
  <c r="C33" i="43"/>
  <c r="D33" i="43"/>
  <c r="E33" i="43"/>
  <c r="F33" i="43"/>
  <c r="G33" i="43"/>
  <c r="H33" i="43"/>
  <c r="I33" i="43"/>
  <c r="J33" i="43"/>
  <c r="C34" i="43"/>
  <c r="D34" i="43"/>
  <c r="E34" i="43"/>
  <c r="F34" i="43"/>
  <c r="G34" i="43"/>
  <c r="H34" i="43"/>
  <c r="I34" i="43"/>
  <c r="J34" i="43"/>
  <c r="C35" i="43"/>
  <c r="D35" i="43"/>
  <c r="E35" i="43"/>
  <c r="F35" i="43"/>
  <c r="G35" i="43"/>
  <c r="H35" i="43"/>
  <c r="I35" i="43"/>
  <c r="J35" i="43"/>
  <c r="C36" i="43"/>
  <c r="D36" i="43"/>
  <c r="E36" i="43"/>
  <c r="F36" i="43"/>
  <c r="G36" i="43"/>
  <c r="H36" i="43"/>
  <c r="I36" i="43"/>
  <c r="J36" i="43"/>
  <c r="C37" i="43"/>
  <c r="D37" i="43"/>
  <c r="E37" i="43"/>
  <c r="F37" i="43"/>
  <c r="G37" i="43"/>
  <c r="H37" i="43"/>
  <c r="I37" i="43"/>
  <c r="J37" i="43"/>
  <c r="C38" i="43"/>
  <c r="D38" i="43"/>
  <c r="E38" i="43"/>
  <c r="F38" i="43"/>
  <c r="G38" i="43"/>
  <c r="H38" i="43"/>
  <c r="I38" i="43"/>
  <c r="J38" i="43"/>
  <c r="C39" i="43"/>
  <c r="D39" i="43"/>
  <c r="E39" i="43"/>
  <c r="F39" i="43"/>
  <c r="G39" i="43"/>
  <c r="H39" i="43"/>
  <c r="I39" i="43"/>
  <c r="J39" i="43"/>
  <c r="J5" i="43"/>
  <c r="D5" i="43"/>
  <c r="E5" i="43"/>
  <c r="F5" i="43"/>
  <c r="G5" i="43"/>
  <c r="H5" i="43"/>
  <c r="I5" i="43"/>
  <c r="G20" i="2" l="1"/>
  <c r="M13" i="2"/>
  <c r="E5" i="2"/>
  <c r="I24" i="2" l="1"/>
  <c r="L23" i="2"/>
  <c r="G21" i="2"/>
  <c r="M26" i="2"/>
  <c r="L18" i="2"/>
  <c r="K26" i="2"/>
  <c r="K22" i="2"/>
  <c r="K17" i="2"/>
  <c r="I25" i="2"/>
  <c r="H21" i="2"/>
  <c r="G17" i="2"/>
  <c r="L25" i="2"/>
  <c r="M22" i="2"/>
  <c r="K19" i="2"/>
  <c r="L15" i="2"/>
  <c r="K27" i="2"/>
  <c r="J26" i="2"/>
  <c r="M24" i="2"/>
  <c r="K23" i="2"/>
  <c r="I22" i="2"/>
  <c r="I20" i="2"/>
  <c r="K18" i="2"/>
  <c r="M16" i="2"/>
  <c r="L14" i="2"/>
  <c r="J27" i="2"/>
  <c r="M25" i="2"/>
  <c r="K24" i="2"/>
  <c r="J23" i="2"/>
  <c r="L21" i="2"/>
  <c r="M19" i="2"/>
  <c r="G18" i="2"/>
  <c r="H16" i="2"/>
  <c r="K14" i="2"/>
  <c r="K15" i="2"/>
  <c r="H27" i="2"/>
  <c r="G26" i="2"/>
  <c r="H25" i="2"/>
  <c r="H24" i="2"/>
  <c r="G23" i="2"/>
  <c r="G22" i="2"/>
  <c r="M20" i="2"/>
  <c r="H19" i="2"/>
  <c r="M17" i="2"/>
  <c r="J16" i="2"/>
  <c r="G15" i="2"/>
  <c r="H13" i="2"/>
  <c r="K9" i="2"/>
  <c r="M9" i="2"/>
  <c r="I9" i="2"/>
  <c r="J9" i="2"/>
  <c r="L9" i="2"/>
  <c r="H9" i="2"/>
  <c r="L27" i="2"/>
  <c r="G27" i="2"/>
  <c r="I26" i="2"/>
  <c r="J25" i="2"/>
  <c r="L24" i="2"/>
  <c r="G24" i="2"/>
  <c r="H23" i="2"/>
  <c r="J22" i="2"/>
  <c r="K21" i="2"/>
  <c r="J20" i="2"/>
  <c r="I19" i="2"/>
  <c r="J18" i="2"/>
  <c r="I17" i="2"/>
  <c r="I16" i="2"/>
  <c r="I15" i="2"/>
  <c r="H14" i="2"/>
  <c r="G12" i="2"/>
  <c r="G10" i="2"/>
  <c r="K10" i="2"/>
  <c r="H10" i="2"/>
  <c r="L10" i="2"/>
  <c r="I10" i="2"/>
  <c r="M10" i="2"/>
  <c r="J10" i="2"/>
  <c r="M27" i="2"/>
  <c r="I27" i="2"/>
  <c r="L26" i="2"/>
  <c r="H26" i="2"/>
  <c r="K25" i="2"/>
  <c r="G25" i="2"/>
  <c r="J24" i="2"/>
  <c r="M23" i="2"/>
  <c r="I23" i="2"/>
  <c r="L22" i="2"/>
  <c r="H22" i="2"/>
  <c r="J21" i="2"/>
  <c r="K20" i="2"/>
  <c r="L19" i="2"/>
  <c r="G19" i="2"/>
  <c r="H18" i="2"/>
  <c r="J17" i="2"/>
  <c r="L16" i="2"/>
  <c r="M15" i="2"/>
  <c r="H15" i="2"/>
  <c r="J14" i="2"/>
  <c r="J12" i="2"/>
  <c r="I13" i="2"/>
  <c r="L12" i="2"/>
  <c r="F12" i="2"/>
  <c r="L13" i="2"/>
  <c r="F13" i="2"/>
  <c r="I12" i="2"/>
  <c r="M12" i="2"/>
  <c r="H12" i="2"/>
  <c r="M21" i="2"/>
  <c r="I21" i="2"/>
  <c r="L20" i="2"/>
  <c r="H20" i="2"/>
  <c r="J19" i="2"/>
  <c r="M18" i="2"/>
  <c r="I18" i="2"/>
  <c r="L17" i="2"/>
  <c r="H17" i="2"/>
  <c r="K16" i="2"/>
  <c r="G16" i="2"/>
  <c r="J15" i="2"/>
  <c r="M14" i="2"/>
  <c r="I14" i="2"/>
  <c r="K13" i="2"/>
  <c r="G13" i="2"/>
  <c r="K12" i="2"/>
  <c r="L11" i="2"/>
  <c r="H11" i="2"/>
  <c r="J11" i="2"/>
  <c r="K11" i="2"/>
  <c r="M11" i="2"/>
  <c r="I11" i="2"/>
  <c r="G14" i="2"/>
  <c r="G11" i="2"/>
</calcChain>
</file>

<file path=xl/sharedStrings.xml><?xml version="1.0" encoding="utf-8"?>
<sst xmlns="http://schemas.openxmlformats.org/spreadsheetml/2006/main" count="6532" uniqueCount="265">
  <si>
    <t>Biological Sciences</t>
  </si>
  <si>
    <t>Chemistry</t>
  </si>
  <si>
    <t>Physics</t>
  </si>
  <si>
    <t>Other Science</t>
  </si>
  <si>
    <t>Mathematics</t>
  </si>
  <si>
    <t>Further Mathematics</t>
  </si>
  <si>
    <t>Design and Technology</t>
  </si>
  <si>
    <t>Computer Studies</t>
  </si>
  <si>
    <t>ICT</t>
  </si>
  <si>
    <t>Home Economics</t>
  </si>
  <si>
    <t>Accounting and Finance</t>
  </si>
  <si>
    <t>Business Studies</t>
  </si>
  <si>
    <t>Economics</t>
  </si>
  <si>
    <t>Geography</t>
  </si>
  <si>
    <t>Government and Politics</t>
  </si>
  <si>
    <t>History</t>
  </si>
  <si>
    <t>Law</t>
  </si>
  <si>
    <t>Psychology</t>
  </si>
  <si>
    <t>Sociology</t>
  </si>
  <si>
    <t>Other social studies</t>
  </si>
  <si>
    <t>Art and Design</t>
  </si>
  <si>
    <t>Drama</t>
  </si>
  <si>
    <t>English</t>
  </si>
  <si>
    <t>Other Communication Studies</t>
  </si>
  <si>
    <t>French</t>
  </si>
  <si>
    <t>German</t>
  </si>
  <si>
    <t>Spanish</t>
  </si>
  <si>
    <t>Other modern languages</t>
  </si>
  <si>
    <t>Classical Studies</t>
  </si>
  <si>
    <t>Religious Studies</t>
  </si>
  <si>
    <t>Music</t>
  </si>
  <si>
    <t>Physical Education</t>
  </si>
  <si>
    <t>General Studies</t>
  </si>
  <si>
    <t>A</t>
  </si>
  <si>
    <t>B</t>
  </si>
  <si>
    <t>C</t>
  </si>
  <si>
    <t>D</t>
  </si>
  <si>
    <t>E</t>
  </si>
  <si>
    <t>other</t>
  </si>
  <si>
    <t>Males</t>
  </si>
  <si>
    <t>Females</t>
  </si>
  <si>
    <t>total entries</t>
  </si>
  <si>
    <t>Male</t>
  </si>
  <si>
    <t>Female</t>
  </si>
  <si>
    <t>Male and Female</t>
  </si>
  <si>
    <t>total passes</t>
  </si>
  <si>
    <t>All subjects</t>
  </si>
  <si>
    <t>A-E</t>
  </si>
  <si>
    <t>Males and females</t>
  </si>
  <si>
    <t>Percentage achieving grade</t>
  </si>
  <si>
    <t>-</t>
  </si>
  <si>
    <t>Media/Film/TV Studies</t>
  </si>
  <si>
    <t>Subject Group</t>
  </si>
  <si>
    <t>Academic year ending</t>
  </si>
  <si>
    <t>Total</t>
  </si>
  <si>
    <t>Other</t>
  </si>
  <si>
    <t>Total Entries</t>
  </si>
  <si>
    <t>Total Passes</t>
  </si>
  <si>
    <t>Entries</t>
  </si>
  <si>
    <t>Grade</t>
  </si>
  <si>
    <t>D (or A/GNVQ distinction)</t>
  </si>
  <si>
    <t>Media/Film/Television Studies</t>
  </si>
  <si>
    <t>subtotal</t>
  </si>
  <si>
    <t>All Subjects</t>
  </si>
  <si>
    <t xml:space="preserve"> </t>
  </si>
  <si>
    <t>GENDER</t>
  </si>
  <si>
    <t>M</t>
  </si>
  <si>
    <t>F</t>
  </si>
  <si>
    <t>GRADE</t>
  </si>
  <si>
    <t>*</t>
  </si>
  <si>
    <t>2_A-E</t>
  </si>
  <si>
    <t>Count</t>
  </si>
  <si>
    <t>NEW_MAJ</t>
  </si>
  <si>
    <t>Other Social Studies</t>
  </si>
  <si>
    <t>Other Modern Languages</t>
  </si>
  <si>
    <t>A_E</t>
  </si>
  <si>
    <t>Error</t>
  </si>
  <si>
    <t>SPSS output 2011</t>
  </si>
  <si>
    <t>x</t>
  </si>
  <si>
    <t>X</t>
  </si>
  <si>
    <t>GRADE_OTHERS</t>
  </si>
  <si>
    <t>Q</t>
  </si>
  <si>
    <t>U</t>
  </si>
  <si>
    <t>1_OTH</t>
  </si>
  <si>
    <t>March 2012 post errata figures</t>
  </si>
  <si>
    <t>Coverage: England</t>
  </si>
  <si>
    <t>into below cells (note gender order and cells required)</t>
  </si>
  <si>
    <t>POST ERRATA</t>
  </si>
  <si>
    <t>Copy data from Table 2 SPSS output</t>
  </si>
  <si>
    <t>Copy data from Table 3 SPSS output</t>
  </si>
  <si>
    <t>A*</t>
  </si>
  <si>
    <t>Number of entries</t>
  </si>
  <si>
    <t>Subjects</t>
  </si>
  <si>
    <t>grade_AStar</t>
  </si>
  <si>
    <t>grade_A</t>
  </si>
  <si>
    <t>grade_B</t>
  </si>
  <si>
    <t>grade_C</t>
  </si>
  <si>
    <t>grade_D</t>
  </si>
  <si>
    <t>grade_E</t>
  </si>
  <si>
    <t>grade_AStarE</t>
  </si>
  <si>
    <t>NULL</t>
  </si>
  <si>
    <t>01_Biological Sciences</t>
  </si>
  <si>
    <t>02_Chemistry</t>
  </si>
  <si>
    <t>03_Physics</t>
  </si>
  <si>
    <t>04_Other_Sciences</t>
  </si>
  <si>
    <t>05_Maths</t>
  </si>
  <si>
    <t>06_Further_Maths</t>
  </si>
  <si>
    <t>07_Design&amp;Technology</t>
  </si>
  <si>
    <t>08_Computer Studies</t>
  </si>
  <si>
    <t>09_ICT</t>
  </si>
  <si>
    <t>10_Home Economics</t>
  </si>
  <si>
    <t>11_Account&amp;Finance</t>
  </si>
  <si>
    <t>12_Business_Studies</t>
  </si>
  <si>
    <t>13_Economics</t>
  </si>
  <si>
    <t>14_Geography</t>
  </si>
  <si>
    <t>15_Government&amp;Politics</t>
  </si>
  <si>
    <t>16_History</t>
  </si>
  <si>
    <t>17_Law</t>
  </si>
  <si>
    <t>18_Psychology</t>
  </si>
  <si>
    <t>19_Sociology</t>
  </si>
  <si>
    <t>20_Other_Social_Studies</t>
  </si>
  <si>
    <t>21_Art&amp;Design</t>
  </si>
  <si>
    <t>22_Drama</t>
  </si>
  <si>
    <t>23_English</t>
  </si>
  <si>
    <t>24_Media_Film_TV</t>
  </si>
  <si>
    <t>25_Other_Comm_Studies</t>
  </si>
  <si>
    <t>26_French</t>
  </si>
  <si>
    <t>27_German</t>
  </si>
  <si>
    <t>28_Spanish</t>
  </si>
  <si>
    <t>29_Other_Modern_Languages</t>
  </si>
  <si>
    <t>30_Classical_Studies</t>
  </si>
  <si>
    <t>31_Religious_Studies</t>
  </si>
  <si>
    <t>32_Music</t>
  </si>
  <si>
    <t>33_Physical_Education</t>
  </si>
  <si>
    <t>34_General_Studies</t>
  </si>
  <si>
    <t>2013 POST ERRATA Scroll down to row 41</t>
  </si>
  <si>
    <r>
      <t xml:space="preserve">Paste SQL output into cell A84. </t>
    </r>
    <r>
      <rPr>
        <sz val="11"/>
        <color rgb="FF0070C0"/>
        <rFont val="Arial"/>
        <family val="2"/>
      </rPr>
      <t>Check output against table 2, 2m and 2f</t>
    </r>
  </si>
  <si>
    <t>Then copy and paste the SQL output into the purple table immediately below. Note paste NULL (ie totals) rows separately, as they are in different positions in SQL output and purple table.</t>
  </si>
  <si>
    <r>
      <t xml:space="preserve">Paste SQL output into cell A84. </t>
    </r>
    <r>
      <rPr>
        <sz val="11"/>
        <color rgb="FF0070C0"/>
        <rFont val="Arial"/>
        <family val="2"/>
      </rPr>
      <t>Check output against table 3, 3m and 3f</t>
    </r>
  </si>
  <si>
    <t>grade_AE</t>
  </si>
  <si>
    <t>A*-E</t>
  </si>
  <si>
    <t>Total (males and females)</t>
  </si>
  <si>
    <t>Notes:</t>
  </si>
  <si>
    <t>Percentages are rounded to one decimal place and therefore may not sum to totals.</t>
  </si>
  <si>
    <t>Where qualifications taken by a student are in the same subject area and similar in content ‘discounting’ rules have been applied to avoid double counting qualifications.</t>
  </si>
  <si>
    <t>Refer to 'Quality and Methodology Information' document.</t>
  </si>
  <si>
    <t>Source: 16-18 attainment data</t>
  </si>
  <si>
    <t>National tables</t>
  </si>
  <si>
    <t>Title</t>
  </si>
  <si>
    <t>A level results by subject, grade and gender</t>
  </si>
  <si>
    <t>AS level results by subject, grade and gender</t>
  </si>
  <si>
    <t>A level and AS level subjects</t>
  </si>
  <si>
    <t>Subjects included</t>
  </si>
  <si>
    <t>Biology</t>
  </si>
  <si>
    <t xml:space="preserve">Human Biology </t>
  </si>
  <si>
    <t>Electronics</t>
  </si>
  <si>
    <t>Environmental Science</t>
  </si>
  <si>
    <t>Geology</t>
  </si>
  <si>
    <t>Science</t>
  </si>
  <si>
    <t>Science and Technology in Society</t>
  </si>
  <si>
    <t>Science for Public Understanding</t>
  </si>
  <si>
    <t>Pure Mathematics</t>
  </si>
  <si>
    <t>Use of Mathematics</t>
  </si>
  <si>
    <t>Mechanics</t>
  </si>
  <si>
    <t>Statistics</t>
  </si>
  <si>
    <t>Textiles Product Design</t>
  </si>
  <si>
    <t>Systems &amp; Control</t>
  </si>
  <si>
    <t>Product Design</t>
  </si>
  <si>
    <t>Computing</t>
  </si>
  <si>
    <t>Software Systems Development</t>
  </si>
  <si>
    <t>Nutrition and Food Science</t>
  </si>
  <si>
    <t>Accounting</t>
  </si>
  <si>
    <t>Business</t>
  </si>
  <si>
    <t>Global Development</t>
  </si>
  <si>
    <t>Government &amp; Politics</t>
  </si>
  <si>
    <t>Political Studies</t>
  </si>
  <si>
    <t>Ancient History</t>
  </si>
  <si>
    <t>Economic and Social History</t>
  </si>
  <si>
    <t>Archaeology</t>
  </si>
  <si>
    <t>Citizenship Studies</t>
  </si>
  <si>
    <t>European Studies</t>
  </si>
  <si>
    <t>Humanities</t>
  </si>
  <si>
    <t>Philosophy</t>
  </si>
  <si>
    <t>3D Design</t>
  </si>
  <si>
    <t>Critical Studies</t>
  </si>
  <si>
    <t>Fine Art</t>
  </si>
  <si>
    <t>Graphic Design</t>
  </si>
  <si>
    <t>History of Art</t>
  </si>
  <si>
    <t>Photography</t>
  </si>
  <si>
    <t>Textiles</t>
  </si>
  <si>
    <t>Drama &amp; Theatre Studies</t>
  </si>
  <si>
    <t>English Language</t>
  </si>
  <si>
    <t>English Literature</t>
  </si>
  <si>
    <t>English Language &amp; Literature</t>
  </si>
  <si>
    <t>Communication and Culture</t>
  </si>
  <si>
    <t>Communication Studies</t>
  </si>
  <si>
    <t>Film Studies</t>
  </si>
  <si>
    <t>Media Studies</t>
  </si>
  <si>
    <t>Moving Image Arts</t>
  </si>
  <si>
    <t>Performance Studies</t>
  </si>
  <si>
    <t>Performing Arts</t>
  </si>
  <si>
    <t>Creative Writing</t>
  </si>
  <si>
    <t>Arabic</t>
  </si>
  <si>
    <t>Bengali</t>
  </si>
  <si>
    <t>Chinese</t>
  </si>
  <si>
    <t>Cymraeg Iaith Gyntaf</t>
  </si>
  <si>
    <t>Dutch</t>
  </si>
  <si>
    <t>Greek</t>
  </si>
  <si>
    <t>Gujarati</t>
  </si>
  <si>
    <t>Irish</t>
  </si>
  <si>
    <t>Italian</t>
  </si>
  <si>
    <t>Japanese</t>
  </si>
  <si>
    <t>Modern Hebrew</t>
  </si>
  <si>
    <t>Panjabi</t>
  </si>
  <si>
    <t>Persian</t>
  </si>
  <si>
    <t>Polish</t>
  </si>
  <si>
    <t>Portuguese</t>
  </si>
  <si>
    <t>Russian</t>
  </si>
  <si>
    <t>Turkish</t>
  </si>
  <si>
    <t>Urdu</t>
  </si>
  <si>
    <t>Welsh Second Language</t>
  </si>
  <si>
    <t>Welsh: First Language</t>
  </si>
  <si>
    <t>Biblical Hebrew</t>
  </si>
  <si>
    <t>Classical Arabic</t>
  </si>
  <si>
    <t>Classical Civilisation</t>
  </si>
  <si>
    <t>Classics</t>
  </si>
  <si>
    <t>Latin</t>
  </si>
  <si>
    <t>Sanskrit</t>
  </si>
  <si>
    <t>Music Technology</t>
  </si>
  <si>
    <t>Dance</t>
  </si>
  <si>
    <t>Critical Thinking</t>
  </si>
  <si>
    <r>
      <rPr>
        <sz val="12"/>
        <rFont val="Arial"/>
        <family val="2"/>
      </rPr>
      <t xml:space="preserve">The full statistical first release is available at  </t>
    </r>
    <r>
      <rPr>
        <u/>
        <sz val="12"/>
        <color theme="10"/>
        <rFont val="Arial"/>
        <family val="2"/>
      </rPr>
      <t>GOV.UK</t>
    </r>
  </si>
  <si>
    <r>
      <t>ICT</t>
    </r>
    <r>
      <rPr>
        <vertAlign val="superscript"/>
        <sz val="11"/>
        <rFont val="Arial"/>
        <family val="2"/>
      </rPr>
      <t>1</t>
    </r>
  </si>
  <si>
    <t>Enquiries</t>
  </si>
  <si>
    <t>Media</t>
  </si>
  <si>
    <t>Non-media</t>
  </si>
  <si>
    <t xml:space="preserve">Attainment.STATISTICS@education.gsi.gov.uk  </t>
  </si>
  <si>
    <r>
      <t>Table 14: A level results</t>
    </r>
    <r>
      <rPr>
        <b/>
        <vertAlign val="superscript"/>
        <sz val="12"/>
        <rFont val="Arial"/>
        <family val="2"/>
      </rPr>
      <t>1</t>
    </r>
    <r>
      <rPr>
        <b/>
        <sz val="12"/>
        <rFont val="Arial"/>
        <family val="2"/>
      </rPr>
      <t xml:space="preserve"> by subject, grade and gender</t>
    </r>
  </si>
  <si>
    <r>
      <t>Table 15: AS level results</t>
    </r>
    <r>
      <rPr>
        <b/>
        <vertAlign val="superscript"/>
        <sz val="12"/>
        <rFont val="Arial"/>
        <family val="2"/>
      </rPr>
      <t xml:space="preserve"> 1 </t>
    </r>
    <r>
      <rPr>
        <b/>
        <sz val="12"/>
        <rFont val="Arial"/>
        <family val="2"/>
      </rPr>
      <t>by subject, grade and gender</t>
    </r>
  </si>
  <si>
    <t>08_Computing</t>
  </si>
  <si>
    <t>List of A and AS level subjects</t>
  </si>
  <si>
    <t>Table number</t>
  </si>
  <si>
    <t xml:space="preserve">School Performance Data Unit, Education Data Division, Department for Education, Sanctuary Buildings, 20 Great Smith St, London SW1P 3BT  </t>
  </si>
  <si>
    <t>Subject group</t>
  </si>
  <si>
    <t>A level and AS level examination results time series</t>
  </si>
  <si>
    <t>A* grade at A level has been awarded since the 2009/10 academic year.</t>
  </si>
  <si>
    <t>AS levels were introduced in the 2000/01 academic year.</t>
  </si>
  <si>
    <t>Anthropology</t>
  </si>
  <si>
    <t>ICT: Information, Communication and Technology</t>
  </si>
  <si>
    <t>x indicates figure has been suppressed where underlying numbers are small (ie, 1 or 2) or where secondary suppression has been applied.</t>
  </si>
  <si>
    <t>1. Information, Communication and Technology</t>
  </si>
  <si>
    <t>This table provides information for the subject groups shown in tables 14 and 15</t>
  </si>
  <si>
    <t>1. Covers examination results of students aged 16, 17 or 18 at the start of the academic year, ie 31 August.</t>
  </si>
  <si>
    <t>2014 POST ERRATA: Scroll down to row 41</t>
  </si>
  <si>
    <t>A level and other level 3 results (provisional): 2014/15</t>
  </si>
  <si>
    <t>Press Office News Desk, Department for Education, Sanctuary Buildings, 20 Great Smith St, London SW1P 3BT. Telephone: 020 7925 6789</t>
  </si>
  <si>
    <t>Years: 1995/96 to 2014/15</t>
  </si>
  <si>
    <r>
      <t xml:space="preserve">2015 </t>
    </r>
    <r>
      <rPr>
        <vertAlign val="superscript"/>
        <sz val="12"/>
        <rFont val="Arial"/>
        <family val="2"/>
      </rPr>
      <t>2</t>
    </r>
  </si>
  <si>
    <t>2. 2015 figures are based on provisional data. Figures for all other years are final.</t>
  </si>
  <si>
    <t>2015 PROVISIONAL: Scroll down to row 41</t>
  </si>
  <si>
    <t>Years: 2000/01 to 2014/15</t>
  </si>
  <si>
    <r>
      <t>2015</t>
    </r>
    <r>
      <rPr>
        <vertAlign val="superscript"/>
        <sz val="12"/>
        <rFont val="Arial"/>
        <family val="2"/>
      </rPr>
      <t xml:space="preserve"> 2</t>
    </r>
  </si>
  <si>
    <t>Secondary suppression has been applied since 2014.</t>
  </si>
  <si>
    <t>NOTE: CHECK SUPPRESSION IS CONSISTENT WITH TABLES 3, 3M AND 3F.</t>
  </si>
  <si>
    <t>NOTE: CHECK SUPPRESSION IS CONSISTENT WITH TABLES 2, 2M AND 2F.</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</si>
</sst>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
    <numFmt numFmtId="165" formatCode="0.0"/>
    <numFmt numFmtId="166" formatCode="#,##0.0"/>
    <numFmt numFmtId="167" formatCode="General_)"/>
  </numFmts>
  <fonts count="47" x14ac:knownFonts="1">
    <font>
      <sz val="10"/>
      <name val="Arial"/>
    </font>
    <font>
      <sz val="11"/>
      <color theme="1"/>
      <name val="Calibri"/>
      <family val="2"/>
      <scheme val="minor"/>
    </font>
    <font>
      <sz val="10"/>
      <name val="Arial"/>
      <family val="2"/>
    </font>
    <font>
      <sz val="8"/>
      <name val="Arial"/>
      <family val="2"/>
    </font>
    <font>
      <sz val="12"/>
      <name val="Arial"/>
      <family val="2"/>
    </font>
    <font>
      <sz val="8"/>
      <name val="Arial"/>
      <family val="2"/>
    </font>
    <font>
      <sz val="8"/>
      <color indexed="72"/>
      <name val="MS Sans Serif"/>
      <family val="2"/>
    </font>
    <font>
      <sz val="10"/>
      <name val="Courier"/>
      <family val="3"/>
    </font>
    <font>
      <sz val="10"/>
      <color indexed="10"/>
      <name val="Arial"/>
      <family val="2"/>
    </font>
    <font>
      <sz val="8"/>
      <color indexed="0"/>
      <name val="Arial"/>
      <family val="2"/>
    </font>
    <font>
      <sz val="8"/>
      <color indexed="72"/>
      <name val="Arial"/>
      <family val="2"/>
    </font>
    <font>
      <sz val="8"/>
      <color indexed="12"/>
      <name val="Arial"/>
      <family val="2"/>
    </font>
    <font>
      <sz val="8"/>
      <color indexed="8"/>
      <name val="Arial"/>
      <family val="2"/>
    </font>
    <font>
      <b/>
      <sz val="8"/>
      <color rgb="FFFF0000"/>
      <name val="Arial"/>
      <family val="2"/>
    </font>
    <font>
      <sz val="10"/>
      <name val="Arial"/>
      <family val="2"/>
    </font>
    <font>
      <b/>
      <sz val="8"/>
      <name val="Arial"/>
      <family val="2"/>
    </font>
    <font>
      <i/>
      <sz val="8"/>
      <name val="Arial"/>
      <family val="2"/>
    </font>
    <font>
      <sz val="8"/>
      <color rgb="FF0070C0"/>
      <name val="Arial"/>
      <family val="2"/>
    </font>
    <font>
      <sz val="8"/>
      <color rgb="FF7030A0"/>
      <name val="Arial"/>
      <family val="2"/>
    </font>
    <font>
      <sz val="8"/>
      <color rgb="FFFF0000"/>
      <name val="Arial"/>
      <family val="2"/>
    </font>
    <font>
      <b/>
      <sz val="8"/>
      <color rgb="FF7030A0"/>
      <name val="Arial"/>
      <family val="2"/>
    </font>
    <font>
      <b/>
      <sz val="8"/>
      <color indexed="8"/>
      <name val="Arial"/>
      <family val="2"/>
    </font>
    <font>
      <b/>
      <sz val="12"/>
      <name val="Arial"/>
      <family val="2"/>
    </font>
    <font>
      <b/>
      <vertAlign val="superscript"/>
      <sz val="12"/>
      <name val="Arial"/>
      <family val="2"/>
    </font>
    <font>
      <sz val="8"/>
      <color indexed="8"/>
      <name val="MS Sans Serif"/>
      <family val="2"/>
    </font>
    <font>
      <vertAlign val="superscript"/>
      <sz val="12"/>
      <name val="Arial"/>
      <family val="2"/>
    </font>
    <font>
      <b/>
      <sz val="11"/>
      <color rgb="FF0070C0"/>
      <name val="Arial"/>
      <family val="2"/>
    </font>
    <font>
      <b/>
      <sz val="12"/>
      <color rgb="FF0070C0"/>
      <name val="Arial"/>
      <family val="2"/>
    </font>
    <font>
      <sz val="10"/>
      <color rgb="FF7030A0"/>
      <name val="Arial"/>
      <family val="2"/>
    </font>
    <font>
      <sz val="10"/>
      <color rgb="FF0070C0"/>
      <name val="Arial"/>
      <family val="2"/>
    </font>
    <font>
      <sz val="11"/>
      <color rgb="FF0070C0"/>
      <name val="Arial"/>
      <family val="2"/>
    </font>
    <font>
      <b/>
      <sz val="10"/>
      <color rgb="FF0070C0"/>
      <name val="Arial"/>
      <family val="2"/>
    </font>
    <font>
      <u/>
      <sz val="10"/>
      <color theme="10"/>
      <name val="Arial"/>
      <family val="2"/>
    </font>
    <font>
      <sz val="12"/>
      <color theme="1"/>
      <name val="Arial"/>
      <family val="2"/>
    </font>
    <font>
      <b/>
      <sz val="12"/>
      <color theme="1"/>
      <name val="Arial"/>
      <family val="2"/>
    </font>
    <font>
      <u/>
      <sz val="12"/>
      <color theme="10"/>
      <name val="Arial"/>
      <family val="2"/>
    </font>
    <font>
      <b/>
      <sz val="11"/>
      <name val="Arial"/>
      <family val="2"/>
    </font>
    <font>
      <sz val="11"/>
      <name val="Arial"/>
      <family val="2"/>
    </font>
    <font>
      <vertAlign val="superscript"/>
      <sz val="11"/>
      <name val="Arial"/>
      <family val="2"/>
    </font>
    <font>
      <b/>
      <sz val="11"/>
      <color theme="1"/>
      <name val="Arial"/>
      <family val="2"/>
    </font>
    <font>
      <sz val="11"/>
      <color theme="1"/>
      <name val="Arial"/>
      <family val="2"/>
    </font>
    <font>
      <u/>
      <sz val="11"/>
      <color theme="10"/>
      <name val="Arial"/>
      <family val="2"/>
    </font>
    <font>
      <sz val="12"/>
      <color rgb="FFFF0000"/>
      <name val="Arial"/>
      <family val="2"/>
    </font>
    <font>
      <sz val="10"/>
      <color rgb="FFFF0000"/>
      <name val="Arial"/>
      <family val="2"/>
    </font>
    <font>
      <sz val="10"/>
      <color theme="0"/>
      <name val="Arial"/>
      <family val="2"/>
    </font>
    <font>
      <sz val="12"/>
      <color theme="0"/>
      <name val="Arial"/>
      <family val="2"/>
    </font>
    <font>
      <b/>
      <sz val="10"/>
      <color rgb="FFFF0000"/>
      <name val="Arial"/>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25">
    <border>
      <left/>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s>
  <cellStyleXfs count="12">
    <xf numFmtId="0" fontId="0" fillId="0" borderId="0"/>
    <xf numFmtId="0" fontId="6" fillId="0" borderId="0" applyAlignment="0">
      <alignment vertical="top" wrapText="1"/>
      <protection locked="0"/>
    </xf>
    <xf numFmtId="0" fontId="6" fillId="0" borderId="0" applyAlignment="0">
      <alignment vertical="top" wrapText="1"/>
      <protection locked="0"/>
    </xf>
    <xf numFmtId="0" fontId="2" fillId="0" borderId="0"/>
    <xf numFmtId="0" fontId="6" fillId="0" borderId="0" applyAlignment="0">
      <alignment vertical="top" wrapText="1"/>
      <protection locked="0"/>
    </xf>
    <xf numFmtId="0" fontId="6" fillId="0" borderId="0" applyAlignment="0">
      <alignment vertical="top" wrapText="1"/>
      <protection locked="0"/>
    </xf>
    <xf numFmtId="167" fontId="7" fillId="0" borderId="0"/>
    <xf numFmtId="0" fontId="14" fillId="0" borderId="0"/>
    <xf numFmtId="0" fontId="14" fillId="0" borderId="0"/>
    <xf numFmtId="0" fontId="2" fillId="0" borderId="0"/>
    <xf numFmtId="0" fontId="1" fillId="0" borderId="0"/>
    <xf numFmtId="0" fontId="32" fillId="0" borderId="0" applyNumberFormat="0" applyFill="0" applyBorder="0" applyAlignment="0" applyProtection="0"/>
  </cellStyleXfs>
  <cellXfs count="250">
    <xf numFmtId="0" fontId="0" fillId="0" borderId="0" xfId="0"/>
    <xf numFmtId="0" fontId="0" fillId="0" borderId="0" xfId="0" applyProtection="1">
      <protection hidden="1"/>
    </xf>
    <xf numFmtId="0" fontId="9" fillId="2" borderId="0" xfId="0" applyFont="1" applyFill="1" applyAlignment="1" applyProtection="1">
      <alignment horizontal="right" vertical="top"/>
      <protection locked="0"/>
    </xf>
    <xf numFmtId="0" fontId="10" fillId="2" borderId="0" xfId="4" applyFont="1" applyFill="1" applyAlignment="1">
      <alignment horizontal="right" vertical="top" wrapText="1"/>
      <protection locked="0"/>
    </xf>
    <xf numFmtId="165" fontId="9" fillId="2" borderId="0" xfId="0" applyNumberFormat="1" applyFont="1" applyFill="1" applyAlignment="1" applyProtection="1">
      <alignment horizontal="right"/>
      <protection hidden="1"/>
    </xf>
    <xf numFmtId="3" fontId="5" fillId="2" borderId="0" xfId="0" applyNumberFormat="1" applyFont="1" applyFill="1" applyAlignment="1">
      <alignment horizontal="right"/>
    </xf>
    <xf numFmtId="166" fontId="5" fillId="2" borderId="0" xfId="0" applyNumberFormat="1" applyFont="1" applyFill="1" applyAlignment="1">
      <alignment horizontal="right"/>
    </xf>
    <xf numFmtId="0" fontId="5" fillId="2" borderId="0" xfId="0" applyFont="1" applyFill="1" applyAlignment="1">
      <alignment horizontal="right"/>
    </xf>
    <xf numFmtId="165" fontId="5" fillId="2" borderId="0" xfId="0" applyNumberFormat="1" applyFont="1" applyFill="1" applyAlignment="1">
      <alignment horizontal="right"/>
    </xf>
    <xf numFmtId="164" fontId="5" fillId="2" borderId="0" xfId="0" applyNumberFormat="1" applyFont="1" applyFill="1" applyAlignment="1">
      <alignment horizontal="right"/>
    </xf>
    <xf numFmtId="0" fontId="9" fillId="2" borderId="0" xfId="0" applyFont="1" applyFill="1" applyAlignment="1" applyProtection="1">
      <alignment horizontal="right"/>
      <protection hidden="1"/>
    </xf>
    <xf numFmtId="0" fontId="5" fillId="2" borderId="0" xfId="0" applyFont="1" applyFill="1" applyAlignment="1" applyProtection="1">
      <alignment horizontal="right"/>
      <protection hidden="1"/>
    </xf>
    <xf numFmtId="3" fontId="5" fillId="2" borderId="0" xfId="0" applyNumberFormat="1" applyFont="1" applyFill="1" applyAlignment="1" applyProtection="1">
      <alignment horizontal="right"/>
      <protection hidden="1"/>
    </xf>
    <xf numFmtId="1" fontId="9" fillId="2" borderId="0" xfId="0" applyNumberFormat="1" applyFont="1" applyFill="1" applyAlignment="1" applyProtection="1">
      <alignment horizontal="right"/>
      <protection hidden="1"/>
    </xf>
    <xf numFmtId="165" fontId="5" fillId="2" borderId="0" xfId="0" applyNumberFormat="1" applyFont="1" applyFill="1" applyAlignment="1" applyProtection="1">
      <alignment horizontal="right"/>
      <protection hidden="1"/>
    </xf>
    <xf numFmtId="1" fontId="5" fillId="2" borderId="0" xfId="0" applyNumberFormat="1" applyFont="1" applyFill="1" applyAlignment="1">
      <alignment horizontal="right"/>
    </xf>
    <xf numFmtId="164" fontId="9" fillId="2" borderId="0" xfId="5" applyNumberFormat="1" applyFont="1" applyFill="1" applyAlignment="1">
      <alignment horizontal="right" vertical="top"/>
      <protection locked="0"/>
    </xf>
    <xf numFmtId="167" fontId="5" fillId="2" borderId="0" xfId="6" applyNumberFormat="1" applyFont="1" applyFill="1" applyAlignment="1" applyProtection="1">
      <alignment horizontal="right" vertical="center"/>
    </xf>
    <xf numFmtId="167" fontId="5" fillId="2" borderId="0" xfId="6" applyNumberFormat="1" applyFont="1" applyFill="1" applyBorder="1" applyAlignment="1" applyProtection="1">
      <alignment horizontal="right" vertical="center"/>
    </xf>
    <xf numFmtId="2" fontId="10" fillId="2" borderId="0" xfId="4" applyNumberFormat="1" applyFont="1" applyFill="1" applyAlignment="1">
      <alignment horizontal="right" vertical="top" wrapText="1"/>
      <protection locked="0"/>
    </xf>
    <xf numFmtId="0" fontId="9" fillId="2" borderId="0" xfId="0" applyFont="1" applyFill="1" applyAlignment="1">
      <alignment horizontal="right"/>
    </xf>
    <xf numFmtId="1" fontId="9" fillId="2" borderId="0" xfId="5" applyNumberFormat="1" applyFont="1" applyFill="1" applyAlignment="1">
      <alignment horizontal="right" vertical="top"/>
      <protection locked="0"/>
    </xf>
    <xf numFmtId="165" fontId="9" fillId="2" borderId="0" xfId="4" applyNumberFormat="1" applyFont="1" applyFill="1" applyAlignment="1">
      <alignment horizontal="right" vertical="top"/>
      <protection locked="0"/>
    </xf>
    <xf numFmtId="1" fontId="9" fillId="2" borderId="0" xfId="4" applyNumberFormat="1" applyFont="1" applyFill="1" applyAlignment="1">
      <alignment horizontal="right" vertical="top"/>
      <protection locked="0"/>
    </xf>
    <xf numFmtId="1" fontId="10" fillId="2" borderId="0" xfId="4" applyNumberFormat="1" applyFont="1" applyFill="1" applyAlignment="1">
      <alignment horizontal="right" vertical="top" wrapText="1"/>
      <protection locked="0"/>
    </xf>
    <xf numFmtId="1" fontId="5" fillId="0" borderId="0" xfId="0" applyNumberFormat="1" applyFont="1" applyFill="1" applyAlignment="1">
      <alignment horizontal="right"/>
    </xf>
    <xf numFmtId="1" fontId="9" fillId="0" borderId="0" xfId="0" applyNumberFormat="1" applyFont="1" applyFill="1" applyAlignment="1" applyProtection="1">
      <alignment horizontal="right" vertical="top"/>
      <protection locked="0"/>
    </xf>
    <xf numFmtId="1" fontId="10" fillId="0" borderId="0" xfId="4" applyNumberFormat="1" applyFont="1" applyFill="1" applyAlignment="1">
      <alignment horizontal="right" vertical="top" wrapText="1"/>
      <protection locked="0"/>
    </xf>
    <xf numFmtId="1" fontId="9" fillId="0" borderId="0" xfId="4" applyNumberFormat="1" applyFont="1" applyFill="1" applyAlignment="1">
      <alignment horizontal="right" vertical="top"/>
      <protection locked="0"/>
    </xf>
    <xf numFmtId="0" fontId="5" fillId="2" borderId="0" xfId="0" applyFont="1" applyFill="1" applyAlignment="1" applyProtection="1">
      <alignment horizontal="right" vertical="center" wrapText="1"/>
      <protection hidden="1"/>
    </xf>
    <xf numFmtId="0" fontId="0" fillId="0" borderId="0" xfId="0" applyAlignment="1">
      <alignment horizontal="right"/>
    </xf>
    <xf numFmtId="0" fontId="5" fillId="0" borderId="0" xfId="0" applyFont="1" applyAlignment="1">
      <alignment horizontal="right"/>
    </xf>
    <xf numFmtId="1" fontId="9" fillId="2" borderId="0" xfId="0" applyNumberFormat="1" applyFont="1" applyFill="1" applyAlignment="1" applyProtection="1">
      <alignment horizontal="right" vertical="top"/>
      <protection locked="0"/>
    </xf>
    <xf numFmtId="0" fontId="5" fillId="2" borderId="0" xfId="0" applyFont="1" applyFill="1" applyBorder="1" applyAlignment="1">
      <alignment horizontal="right"/>
    </xf>
    <xf numFmtId="0" fontId="5" fillId="2" borderId="0" xfId="0" applyFont="1" applyFill="1" applyAlignment="1" applyProtection="1">
      <alignment horizontal="right" vertical="top"/>
      <protection hidden="1"/>
    </xf>
    <xf numFmtId="3" fontId="5" fillId="2" borderId="0" xfId="0" applyNumberFormat="1" applyFont="1" applyFill="1" applyAlignment="1" applyProtection="1">
      <alignment horizontal="right" vertical="top"/>
      <protection hidden="1"/>
    </xf>
    <xf numFmtId="166" fontId="5" fillId="2" borderId="0" xfId="0" applyNumberFormat="1" applyFont="1" applyFill="1" applyAlignment="1" applyProtection="1">
      <alignment horizontal="right" vertical="top"/>
      <protection hidden="1"/>
    </xf>
    <xf numFmtId="166" fontId="5" fillId="2" borderId="0" xfId="0" applyNumberFormat="1" applyFont="1" applyFill="1" applyAlignment="1" applyProtection="1">
      <alignment horizontal="right"/>
      <protection hidden="1"/>
    </xf>
    <xf numFmtId="165" fontId="9" fillId="2" borderId="0" xfId="0" quotePrefix="1" applyNumberFormat="1" applyFont="1" applyFill="1" applyAlignment="1" applyProtection="1">
      <alignment horizontal="right"/>
      <protection hidden="1"/>
    </xf>
    <xf numFmtId="1" fontId="9" fillId="2" borderId="0" xfId="2" applyNumberFormat="1" applyFont="1" applyFill="1" applyAlignment="1">
      <alignment horizontal="right" vertical="top"/>
      <protection locked="0"/>
    </xf>
    <xf numFmtId="1" fontId="9" fillId="2" borderId="0" xfId="1" applyNumberFormat="1" applyFont="1" applyFill="1" applyAlignment="1">
      <alignment horizontal="right" vertical="top"/>
      <protection locked="0"/>
    </xf>
    <xf numFmtId="0" fontId="11" fillId="2" borderId="0" xfId="0" applyFont="1" applyFill="1" applyAlignment="1">
      <alignment horizontal="left"/>
    </xf>
    <xf numFmtId="0" fontId="11" fillId="2" borderId="0" xfId="0" applyFont="1" applyFill="1" applyAlignment="1">
      <alignment horizontal="right"/>
    </xf>
    <xf numFmtId="0" fontId="11" fillId="2" borderId="0" xfId="0" applyFont="1" applyFill="1" applyAlignment="1" applyProtection="1">
      <alignment horizontal="right" vertical="top"/>
      <protection locked="0"/>
    </xf>
    <xf numFmtId="165" fontId="11" fillId="2" borderId="0" xfId="0" applyNumberFormat="1" applyFont="1" applyFill="1" applyAlignment="1" applyProtection="1">
      <alignment horizontal="right"/>
      <protection hidden="1"/>
    </xf>
    <xf numFmtId="3" fontId="11" fillId="2" borderId="0" xfId="0" applyNumberFormat="1" applyFont="1" applyFill="1" applyAlignment="1">
      <alignment horizontal="right"/>
    </xf>
    <xf numFmtId="166" fontId="11" fillId="2" borderId="0" xfId="0" applyNumberFormat="1" applyFont="1" applyFill="1" applyAlignment="1">
      <alignment horizontal="right"/>
    </xf>
    <xf numFmtId="0" fontId="11" fillId="2" borderId="0" xfId="0" applyFont="1" applyFill="1" applyAlignment="1" applyProtection="1">
      <alignment horizontal="right"/>
      <protection hidden="1"/>
    </xf>
    <xf numFmtId="3" fontId="11" fillId="2" borderId="0" xfId="0" applyNumberFormat="1" applyFont="1" applyFill="1" applyAlignment="1" applyProtection="1">
      <alignment horizontal="right"/>
      <protection hidden="1"/>
    </xf>
    <xf numFmtId="0" fontId="12" fillId="2" borderId="0" xfId="0" applyFont="1" applyFill="1" applyAlignment="1">
      <alignment horizontal="left"/>
    </xf>
    <xf numFmtId="0" fontId="12" fillId="2" borderId="0" xfId="0" applyFont="1" applyFill="1" applyAlignment="1" applyProtection="1">
      <alignment horizontal="right"/>
      <protection hidden="1"/>
    </xf>
    <xf numFmtId="0" fontId="12" fillId="2" borderId="0" xfId="0" applyFont="1" applyFill="1" applyAlignment="1">
      <alignment horizontal="right"/>
    </xf>
    <xf numFmtId="3" fontId="12" fillId="2" borderId="0" xfId="0" applyNumberFormat="1" applyFont="1" applyFill="1" applyAlignment="1" applyProtection="1">
      <alignment horizontal="right"/>
      <protection hidden="1"/>
    </xf>
    <xf numFmtId="165" fontId="12" fillId="2" borderId="0" xfId="0" applyNumberFormat="1" applyFont="1" applyFill="1" applyAlignment="1" applyProtection="1">
      <alignment horizontal="right"/>
      <protection hidden="1"/>
    </xf>
    <xf numFmtId="3" fontId="12" fillId="2" borderId="0" xfId="0" applyNumberFormat="1" applyFont="1" applyFill="1" applyAlignment="1">
      <alignment horizontal="right"/>
    </xf>
    <xf numFmtId="0" fontId="11" fillId="2" borderId="0" xfId="0" applyFont="1" applyFill="1"/>
    <xf numFmtId="0" fontId="12" fillId="2" borderId="0" xfId="0" applyFont="1" applyFill="1" applyAlignment="1" applyProtection="1">
      <alignment horizontal="right" vertical="top"/>
      <protection locked="0"/>
    </xf>
    <xf numFmtId="0" fontId="12" fillId="2" borderId="0" xfId="4" applyFont="1" applyFill="1" applyAlignment="1">
      <alignment horizontal="right" vertical="top" wrapText="1"/>
      <protection locked="0"/>
    </xf>
    <xf numFmtId="167" fontId="12" fillId="2" borderId="0" xfId="6" applyNumberFormat="1" applyFont="1" applyFill="1" applyAlignment="1" applyProtection="1">
      <alignment horizontal="right" vertical="center"/>
    </xf>
    <xf numFmtId="166" fontId="12" fillId="2" borderId="0" xfId="0" applyNumberFormat="1" applyFont="1" applyFill="1" applyAlignment="1">
      <alignment horizontal="right"/>
    </xf>
    <xf numFmtId="167" fontId="12" fillId="2" borderId="0" xfId="6" applyNumberFormat="1" applyFont="1" applyFill="1" applyBorder="1" applyAlignment="1" applyProtection="1">
      <alignment horizontal="right" vertical="center"/>
    </xf>
    <xf numFmtId="0" fontId="12" fillId="2" borderId="0" xfId="0" applyFont="1" applyFill="1" applyBorder="1" applyAlignment="1">
      <alignment horizontal="right"/>
    </xf>
    <xf numFmtId="0" fontId="12" fillId="0" borderId="0" xfId="0" applyFont="1"/>
    <xf numFmtId="165" fontId="13" fillId="2" borderId="0" xfId="0" applyNumberFormat="1" applyFont="1" applyFill="1" applyAlignment="1" applyProtection="1">
      <alignment horizontal="left" vertical="top"/>
      <protection hidden="1"/>
    </xf>
    <xf numFmtId="165" fontId="13" fillId="2" borderId="0" xfId="0" applyNumberFormat="1" applyFont="1" applyFill="1" applyAlignment="1" applyProtection="1">
      <alignment horizontal="left"/>
      <protection hidden="1"/>
    </xf>
    <xf numFmtId="0" fontId="3" fillId="2" borderId="0" xfId="0" applyFont="1" applyFill="1" applyAlignment="1">
      <alignment horizontal="right"/>
    </xf>
    <xf numFmtId="3" fontId="3" fillId="2" borderId="0" xfId="0" applyNumberFormat="1" applyFont="1" applyFill="1" applyAlignment="1">
      <alignment horizontal="right"/>
    </xf>
    <xf numFmtId="0" fontId="3" fillId="2" borderId="0" xfId="0" applyFont="1" applyFill="1" applyAlignment="1" applyProtection="1">
      <alignment horizontal="right"/>
      <protection hidden="1"/>
    </xf>
    <xf numFmtId="3" fontId="3" fillId="2" borderId="0" xfId="0" applyNumberFormat="1" applyFont="1" applyFill="1" applyAlignment="1" applyProtection="1">
      <alignment horizontal="right"/>
      <protection hidden="1"/>
    </xf>
    <xf numFmtId="0" fontId="17" fillId="2" borderId="0" xfId="0" applyFont="1" applyFill="1" applyAlignment="1" applyProtection="1">
      <alignment horizontal="right"/>
      <protection hidden="1"/>
    </xf>
    <xf numFmtId="0" fontId="17" fillId="2" borderId="0" xfId="0" applyFont="1" applyFill="1" applyAlignment="1">
      <alignment horizontal="right"/>
    </xf>
    <xf numFmtId="0" fontId="17" fillId="2" borderId="0" xfId="0" applyFont="1" applyFill="1" applyAlignment="1">
      <alignment vertical="top"/>
    </xf>
    <xf numFmtId="0" fontId="17" fillId="2" borderId="0" xfId="0" applyFont="1" applyFill="1"/>
    <xf numFmtId="0" fontId="18" fillId="2" borderId="0" xfId="0" applyFont="1" applyFill="1" applyAlignment="1">
      <alignment horizontal="right"/>
    </xf>
    <xf numFmtId="0" fontId="18" fillId="2" borderId="0" xfId="0" applyFont="1" applyFill="1" applyAlignment="1" applyProtection="1">
      <alignment horizontal="right"/>
      <protection hidden="1"/>
    </xf>
    <xf numFmtId="3" fontId="18" fillId="2" borderId="0" xfId="0" applyNumberFormat="1" applyFont="1" applyFill="1" applyAlignment="1">
      <alignment horizontal="right"/>
    </xf>
    <xf numFmtId="166" fontId="18" fillId="2" borderId="0" xfId="0" applyNumberFormat="1" applyFont="1" applyFill="1" applyAlignment="1">
      <alignment horizontal="right"/>
    </xf>
    <xf numFmtId="0" fontId="19" fillId="2" borderId="0" xfId="0" applyFont="1" applyFill="1" applyAlignment="1" applyProtection="1">
      <alignment horizontal="right"/>
      <protection hidden="1"/>
    </xf>
    <xf numFmtId="0" fontId="19" fillId="2" borderId="0" xfId="0" applyFont="1" applyFill="1" applyAlignment="1">
      <alignment horizontal="right"/>
    </xf>
    <xf numFmtId="3" fontId="19" fillId="2" borderId="0" xfId="0" applyNumberFormat="1" applyFont="1" applyFill="1" applyAlignment="1">
      <alignment horizontal="right"/>
    </xf>
    <xf numFmtId="165" fontId="19" fillId="2" borderId="0" xfId="0" applyNumberFormat="1" applyFont="1" applyFill="1" applyAlignment="1" applyProtection="1">
      <alignment horizontal="right"/>
      <protection hidden="1"/>
    </xf>
    <xf numFmtId="0" fontId="19" fillId="0" borderId="0" xfId="0" applyFont="1"/>
    <xf numFmtId="166" fontId="19" fillId="2" borderId="0" xfId="0" applyNumberFormat="1" applyFont="1" applyFill="1" applyAlignment="1">
      <alignment horizontal="right"/>
    </xf>
    <xf numFmtId="0" fontId="15" fillId="2" borderId="0" xfId="0" applyFont="1" applyFill="1" applyAlignment="1">
      <alignment horizontal="left"/>
    </xf>
    <xf numFmtId="0" fontId="20" fillId="2" borderId="0" xfId="0" applyFont="1" applyFill="1" applyAlignment="1">
      <alignment horizontal="right"/>
    </xf>
    <xf numFmtId="165" fontId="17" fillId="2" borderId="0" xfId="0" applyNumberFormat="1" applyFont="1" applyFill="1" applyAlignment="1" applyProtection="1">
      <alignment horizontal="right"/>
      <protection hidden="1"/>
    </xf>
    <xf numFmtId="165" fontId="3" fillId="2" borderId="0" xfId="0" applyNumberFormat="1" applyFont="1" applyFill="1" applyAlignment="1" applyProtection="1">
      <alignment horizontal="right"/>
      <protection hidden="1"/>
    </xf>
    <xf numFmtId="165" fontId="3" fillId="2" borderId="0" xfId="0" applyNumberFormat="1" applyFont="1" applyFill="1" applyAlignment="1">
      <alignment horizontal="right"/>
    </xf>
    <xf numFmtId="165" fontId="17" fillId="2" borderId="0" xfId="0" applyNumberFormat="1" applyFont="1" applyFill="1" applyAlignment="1">
      <alignment horizontal="right"/>
    </xf>
    <xf numFmtId="165" fontId="19" fillId="2" borderId="0" xfId="0" applyNumberFormat="1" applyFont="1" applyFill="1" applyAlignment="1">
      <alignment horizontal="right"/>
    </xf>
    <xf numFmtId="165" fontId="19" fillId="0" borderId="0" xfId="0" applyNumberFormat="1" applyFont="1"/>
    <xf numFmtId="165" fontId="17" fillId="2" borderId="0" xfId="0" applyNumberFormat="1" applyFont="1" applyFill="1"/>
    <xf numFmtId="165" fontId="18" fillId="2" borderId="0" xfId="0" applyNumberFormat="1" applyFont="1" applyFill="1" applyAlignment="1">
      <alignment horizontal="right"/>
    </xf>
    <xf numFmtId="165" fontId="18" fillId="2" borderId="0" xfId="0" applyNumberFormat="1" applyFont="1" applyFill="1" applyAlignment="1" applyProtection="1">
      <alignment horizontal="right"/>
      <protection hidden="1"/>
    </xf>
    <xf numFmtId="0" fontId="21" fillId="2" borderId="0" xfId="0" applyFont="1" applyFill="1" applyAlignment="1">
      <alignment horizontal="left"/>
    </xf>
    <xf numFmtId="165" fontId="12" fillId="2" borderId="0" xfId="0" applyNumberFormat="1" applyFont="1" applyFill="1" applyAlignment="1">
      <alignment horizontal="right"/>
    </xf>
    <xf numFmtId="1" fontId="18" fillId="2" borderId="0" xfId="0" applyNumberFormat="1" applyFont="1" applyFill="1" applyAlignment="1" applyProtection="1">
      <alignment horizontal="right"/>
      <protection hidden="1"/>
    </xf>
    <xf numFmtId="0" fontId="3" fillId="2" borderId="0" xfId="0" applyFont="1" applyFill="1" applyAlignment="1" applyProtection="1">
      <alignment horizontal="right" vertical="top"/>
      <protection locked="0"/>
    </xf>
    <xf numFmtId="0" fontId="3" fillId="2" borderId="0" xfId="4" applyFont="1" applyFill="1" applyAlignment="1">
      <alignment horizontal="right" vertical="top" wrapText="1"/>
      <protection locked="0"/>
    </xf>
    <xf numFmtId="167" fontId="3" fillId="2" borderId="0" xfId="6" applyNumberFormat="1" applyFont="1" applyFill="1" applyAlignment="1" applyProtection="1">
      <alignment horizontal="right" vertical="center"/>
    </xf>
    <xf numFmtId="167" fontId="3" fillId="2" borderId="0" xfId="6" applyNumberFormat="1" applyFont="1" applyFill="1" applyBorder="1" applyAlignment="1" applyProtection="1">
      <alignment horizontal="right" vertical="center"/>
    </xf>
    <xf numFmtId="0" fontId="3" fillId="2" borderId="0" xfId="0" applyFont="1" applyFill="1" applyBorder="1" applyAlignment="1">
      <alignment horizontal="right"/>
    </xf>
    <xf numFmtId="0" fontId="3" fillId="0" borderId="0" xfId="0" applyFont="1"/>
    <xf numFmtId="0" fontId="3" fillId="0" borderId="0" xfId="0" applyFont="1" applyFill="1"/>
    <xf numFmtId="0" fontId="13" fillId="2" borderId="0" xfId="0" applyFont="1" applyFill="1" applyAlignment="1">
      <alignment horizontal="right"/>
    </xf>
    <xf numFmtId="0" fontId="18" fillId="2" borderId="0" xfId="0" applyFont="1" applyFill="1" applyAlignment="1" applyProtection="1">
      <alignment horizontal="right" vertical="top"/>
      <protection locked="0"/>
    </xf>
    <xf numFmtId="0" fontId="18" fillId="2" borderId="0" xfId="4" applyFont="1" applyFill="1" applyAlignment="1">
      <alignment horizontal="right" vertical="top" wrapText="1"/>
      <protection locked="0"/>
    </xf>
    <xf numFmtId="167" fontId="18" fillId="2" borderId="0" xfId="6" applyNumberFormat="1" applyFont="1" applyFill="1" applyAlignment="1" applyProtection="1">
      <alignment horizontal="right" vertical="center"/>
    </xf>
    <xf numFmtId="167" fontId="18" fillId="2" borderId="0" xfId="6" applyNumberFormat="1" applyFont="1" applyFill="1" applyBorder="1" applyAlignment="1" applyProtection="1">
      <alignment horizontal="right" vertical="center"/>
    </xf>
    <xf numFmtId="0" fontId="19" fillId="2" borderId="0" xfId="0" applyFont="1" applyFill="1" applyAlignment="1" applyProtection="1">
      <alignment horizontal="right" vertical="top"/>
      <protection locked="0"/>
    </xf>
    <xf numFmtId="0" fontId="19" fillId="2" borderId="0" xfId="4" applyFont="1" applyFill="1" applyAlignment="1">
      <alignment horizontal="right" vertical="top" wrapText="1"/>
      <protection locked="0"/>
    </xf>
    <xf numFmtId="167" fontId="19" fillId="2" borderId="0" xfId="6" applyNumberFormat="1" applyFont="1" applyFill="1" applyAlignment="1" applyProtection="1">
      <alignment horizontal="right" vertical="center"/>
    </xf>
    <xf numFmtId="167" fontId="19" fillId="2" borderId="0" xfId="6" applyNumberFormat="1" applyFont="1" applyFill="1" applyBorder="1" applyAlignment="1" applyProtection="1">
      <alignment horizontal="right" vertical="center"/>
    </xf>
    <xf numFmtId="165" fontId="18" fillId="2" borderId="0" xfId="4" applyNumberFormat="1" applyFont="1" applyFill="1" applyAlignment="1">
      <alignment horizontal="right" vertical="top"/>
      <protection locked="0"/>
    </xf>
    <xf numFmtId="1" fontId="18" fillId="2" borderId="0" xfId="4" applyNumberFormat="1" applyFont="1" applyFill="1" applyAlignment="1">
      <alignment horizontal="right" vertical="top"/>
      <protection locked="0"/>
    </xf>
    <xf numFmtId="1" fontId="18" fillId="2" borderId="0" xfId="4" applyNumberFormat="1" applyFont="1" applyFill="1" applyAlignment="1">
      <alignment horizontal="right" vertical="top" wrapText="1"/>
      <protection locked="0"/>
    </xf>
    <xf numFmtId="165" fontId="19" fillId="2" borderId="0" xfId="4" applyNumberFormat="1" applyFont="1" applyFill="1" applyAlignment="1">
      <alignment horizontal="right" vertical="top"/>
      <protection locked="0"/>
    </xf>
    <xf numFmtId="1" fontId="18" fillId="2" borderId="0" xfId="0" applyNumberFormat="1" applyFont="1" applyFill="1" applyAlignment="1">
      <alignment horizontal="right"/>
    </xf>
    <xf numFmtId="0" fontId="18" fillId="2" borderId="0" xfId="0" applyFont="1" applyFill="1" applyAlignment="1" applyProtection="1">
      <alignment horizontal="right" vertical="center" wrapText="1"/>
      <protection hidden="1"/>
    </xf>
    <xf numFmtId="0" fontId="19" fillId="2" borderId="0" xfId="0" applyFont="1" applyFill="1" applyAlignment="1" applyProtection="1">
      <alignment horizontal="right" vertical="center" wrapText="1"/>
      <protection hidden="1"/>
    </xf>
    <xf numFmtId="1" fontId="5" fillId="2" borderId="0" xfId="0" applyNumberFormat="1" applyFont="1" applyFill="1" applyAlignment="1" applyProtection="1">
      <alignment horizontal="right"/>
      <protection hidden="1"/>
    </xf>
    <xf numFmtId="165" fontId="18" fillId="2" borderId="0" xfId="0" quotePrefix="1" applyNumberFormat="1" applyFont="1" applyFill="1" applyAlignment="1" applyProtection="1">
      <alignment horizontal="right"/>
      <protection hidden="1"/>
    </xf>
    <xf numFmtId="0" fontId="4" fillId="0" borderId="0" xfId="0" applyFont="1"/>
    <xf numFmtId="0" fontId="27" fillId="2" borderId="0" xfId="0" applyFont="1" applyFill="1" applyAlignment="1">
      <alignment horizontal="left"/>
    </xf>
    <xf numFmtId="0" fontId="18" fillId="2" borderId="0" xfId="0" applyFont="1" applyFill="1" applyAlignment="1">
      <alignment vertical="top"/>
    </xf>
    <xf numFmtId="0" fontId="28" fillId="0" borderId="0" xfId="0" applyFont="1"/>
    <xf numFmtId="165" fontId="20" fillId="2" borderId="0" xfId="0" applyNumberFormat="1" applyFont="1" applyFill="1" applyAlignment="1" applyProtection="1">
      <alignment horizontal="left"/>
      <protection hidden="1"/>
    </xf>
    <xf numFmtId="0" fontId="18" fillId="0" borderId="0" xfId="0" applyFont="1"/>
    <xf numFmtId="0" fontId="29" fillId="0" borderId="0" xfId="0" applyFont="1"/>
    <xf numFmtId="0" fontId="17" fillId="2" borderId="0" xfId="0" applyFont="1" applyFill="1" applyAlignment="1" applyProtection="1">
      <alignment horizontal="right" vertical="top"/>
      <protection hidden="1"/>
    </xf>
    <xf numFmtId="165" fontId="26" fillId="2" borderId="0" xfId="0" applyNumberFormat="1" applyFont="1" applyFill="1" applyAlignment="1" applyProtection="1">
      <alignment horizontal="left" vertical="top"/>
      <protection hidden="1"/>
    </xf>
    <xf numFmtId="3" fontId="17" fillId="2" borderId="0" xfId="0" applyNumberFormat="1" applyFont="1" applyFill="1" applyAlignment="1">
      <alignment horizontal="right"/>
    </xf>
    <xf numFmtId="165" fontId="31" fillId="2" borderId="0" xfId="0" applyNumberFormat="1" applyFont="1" applyFill="1" applyAlignment="1" applyProtection="1">
      <alignment horizontal="left"/>
      <protection hidden="1"/>
    </xf>
    <xf numFmtId="0" fontId="18" fillId="0" borderId="0" xfId="0" applyFont="1" applyAlignment="1">
      <alignment horizontal="right"/>
    </xf>
    <xf numFmtId="0" fontId="28" fillId="0" borderId="0" xfId="0" applyFont="1" applyAlignment="1">
      <alignment horizontal="right"/>
    </xf>
    <xf numFmtId="0" fontId="22" fillId="0" borderId="0" xfId="0" applyFont="1"/>
    <xf numFmtId="0" fontId="33" fillId="0" borderId="0" xfId="10" applyFont="1"/>
    <xf numFmtId="0" fontId="34" fillId="0" borderId="0" xfId="10" applyFont="1" applyAlignment="1">
      <alignment horizontal="left"/>
    </xf>
    <xf numFmtId="0" fontId="33" fillId="0" borderId="0" xfId="10" applyFont="1" applyFill="1" applyBorder="1" applyAlignment="1">
      <alignment horizontal="left" vertical="center"/>
    </xf>
    <xf numFmtId="0" fontId="35" fillId="0" borderId="0" xfId="11" applyFont="1" applyAlignment="1">
      <alignment vertical="center"/>
    </xf>
    <xf numFmtId="0" fontId="37" fillId="0" borderId="0" xfId="0" applyFont="1"/>
    <xf numFmtId="0" fontId="36" fillId="0" borderId="2" xfId="0" applyFont="1" applyBorder="1"/>
    <xf numFmtId="0" fontId="36" fillId="0" borderId="2" xfId="0" applyFont="1" applyBorder="1" applyAlignment="1">
      <alignment horizontal="left" vertical="top"/>
    </xf>
    <xf numFmtId="0" fontId="37" fillId="0" borderId="20" xfId="0" applyFont="1" applyBorder="1"/>
    <xf numFmtId="0" fontId="37" fillId="0" borderId="2" xfId="0" applyFont="1" applyBorder="1"/>
    <xf numFmtId="0" fontId="37" fillId="0" borderId="21" xfId="0" applyFont="1" applyBorder="1"/>
    <xf numFmtId="0" fontId="37" fillId="0" borderId="1" xfId="0" applyFont="1" applyBorder="1"/>
    <xf numFmtId="0" fontId="37" fillId="0" borderId="13" xfId="0" applyFont="1" applyBorder="1"/>
    <xf numFmtId="0" fontId="37" fillId="0" borderId="22" xfId="0" applyFont="1" applyBorder="1"/>
    <xf numFmtId="0" fontId="37" fillId="0" borderId="11" xfId="0" applyFont="1" applyBorder="1"/>
    <xf numFmtId="0" fontId="37" fillId="0" borderId="13" xfId="0" applyFont="1" applyBorder="1" applyAlignment="1">
      <alignment horizontal="left"/>
    </xf>
    <xf numFmtId="0" fontId="4" fillId="0" borderId="23" xfId="0" applyFont="1" applyBorder="1"/>
    <xf numFmtId="0" fontId="0" fillId="0" borderId="23" xfId="0" applyBorder="1"/>
    <xf numFmtId="0" fontId="37" fillId="0" borderId="0" xfId="0" applyFont="1" applyBorder="1" applyAlignment="1">
      <alignment horizontal="left" vertical="top"/>
    </xf>
    <xf numFmtId="165" fontId="3" fillId="4" borderId="0" xfId="0" applyNumberFormat="1" applyFont="1" applyFill="1" applyAlignment="1">
      <alignment horizontal="right"/>
    </xf>
    <xf numFmtId="0" fontId="3" fillId="3" borderId="0" xfId="3" applyFont="1" applyFill="1" applyAlignment="1" applyProtection="1"/>
    <xf numFmtId="0" fontId="12" fillId="2" borderId="0" xfId="3" applyFont="1" applyFill="1" applyAlignment="1" applyProtection="1"/>
    <xf numFmtId="0" fontId="3" fillId="3" borderId="0" xfId="3" quotePrefix="1" applyFont="1" applyFill="1" applyAlignment="1" applyProtection="1"/>
    <xf numFmtId="0" fontId="12" fillId="3" borderId="0" xfId="7" applyFont="1" applyFill="1" applyAlignment="1" applyProtection="1"/>
    <xf numFmtId="0" fontId="36" fillId="0" borderId="0" xfId="0" applyFont="1"/>
    <xf numFmtId="0" fontId="4" fillId="0" borderId="0" xfId="0" applyFont="1" applyProtection="1">
      <protection hidden="1"/>
    </xf>
    <xf numFmtId="0" fontId="0" fillId="0" borderId="4" xfId="0" applyBorder="1" applyProtection="1">
      <protection hidden="1"/>
    </xf>
    <xf numFmtId="3" fontId="0" fillId="0" borderId="0" xfId="0" applyNumberFormat="1" applyBorder="1" applyProtection="1">
      <protection hidden="1"/>
    </xf>
    <xf numFmtId="0" fontId="0" fillId="0" borderId="0" xfId="0" applyBorder="1" applyProtection="1">
      <protection hidden="1"/>
    </xf>
    <xf numFmtId="0" fontId="16" fillId="3" borderId="0" xfId="7" applyFont="1" applyFill="1" applyAlignment="1" applyProtection="1">
      <alignment horizontal="right"/>
      <protection hidden="1"/>
    </xf>
    <xf numFmtId="0" fontId="3" fillId="0" borderId="0" xfId="0" applyFont="1" applyProtection="1">
      <protection hidden="1"/>
    </xf>
    <xf numFmtId="0" fontId="3" fillId="0" borderId="0" xfId="8" applyFont="1" applyProtection="1">
      <protection hidden="1"/>
    </xf>
    <xf numFmtId="0" fontId="12" fillId="2" borderId="0" xfId="3" applyFont="1" applyFill="1" applyAlignment="1" applyProtection="1">
      <protection hidden="1"/>
    </xf>
    <xf numFmtId="0" fontId="3" fillId="3" borderId="0" xfId="3" quotePrefix="1" applyFont="1" applyFill="1" applyAlignment="1" applyProtection="1">
      <protection hidden="1"/>
    </xf>
    <xf numFmtId="0" fontId="15" fillId="0" borderId="0" xfId="8" applyFont="1" applyProtection="1">
      <protection hidden="1"/>
    </xf>
    <xf numFmtId="0" fontId="3" fillId="3" borderId="0" xfId="3" applyFont="1" applyFill="1" applyAlignment="1" applyProtection="1">
      <protection hidden="1"/>
    </xf>
    <xf numFmtId="0" fontId="3" fillId="0" borderId="0" xfId="0" applyFont="1" applyAlignment="1" applyProtection="1">
      <alignment vertical="top" wrapText="1"/>
      <protection hidden="1"/>
    </xf>
    <xf numFmtId="0" fontId="12" fillId="3" borderId="0" xfId="7" applyFont="1" applyFill="1" applyAlignment="1" applyProtection="1">
      <protection hidden="1"/>
    </xf>
    <xf numFmtId="0" fontId="3" fillId="0" borderId="0" xfId="0" applyFont="1" applyAlignment="1" applyProtection="1">
      <protection hidden="1"/>
    </xf>
    <xf numFmtId="0" fontId="8" fillId="0" borderId="0" xfId="0" applyFont="1" applyProtection="1">
      <protection hidden="1"/>
    </xf>
    <xf numFmtId="0" fontId="22" fillId="2" borderId="0" xfId="3" applyFont="1" applyFill="1" applyAlignment="1" applyProtection="1"/>
    <xf numFmtId="0" fontId="22" fillId="2" borderId="0" xfId="3" applyFont="1" applyFill="1" applyAlignment="1" applyProtection="1">
      <alignment wrapText="1"/>
    </xf>
    <xf numFmtId="0" fontId="12" fillId="3" borderId="0" xfId="3" applyFont="1" applyFill="1" applyAlignment="1" applyProtection="1">
      <alignment horizontal="left"/>
    </xf>
    <xf numFmtId="0" fontId="3" fillId="2" borderId="0" xfId="7" applyFont="1" applyFill="1" applyProtection="1"/>
    <xf numFmtId="0" fontId="12" fillId="3" borderId="0" xfId="0" applyFont="1" applyFill="1" applyAlignment="1" applyProtection="1"/>
    <xf numFmtId="0" fontId="3" fillId="0" borderId="0" xfId="0" applyFont="1" applyAlignment="1" applyProtection="1">
      <alignment vertical="top"/>
    </xf>
    <xf numFmtId="0" fontId="4" fillId="0" borderId="0" xfId="0" applyFont="1" applyBorder="1"/>
    <xf numFmtId="0" fontId="0" fillId="0" borderId="0" xfId="0" applyBorder="1"/>
    <xf numFmtId="0" fontId="34" fillId="0" borderId="0" xfId="10" applyFont="1" applyAlignment="1">
      <alignment horizontal="left" vertical="top"/>
    </xf>
    <xf numFmtId="0" fontId="4" fillId="2" borderId="0" xfId="4" applyFont="1" applyFill="1" applyBorder="1" applyAlignment="1" applyProtection="1">
      <alignment vertical="top"/>
    </xf>
    <xf numFmtId="0" fontId="0" fillId="0" borderId="0" xfId="0" applyAlignment="1">
      <alignment vertical="top"/>
    </xf>
    <xf numFmtId="0" fontId="33" fillId="0" borderId="2" xfId="10" applyFont="1" applyBorder="1" applyAlignment="1">
      <alignment horizontal="left" vertical="top"/>
    </xf>
    <xf numFmtId="0" fontId="33" fillId="0" borderId="2" xfId="10" applyFont="1" applyBorder="1" applyAlignment="1">
      <alignment vertical="top"/>
    </xf>
    <xf numFmtId="0" fontId="35" fillId="0" borderId="2" xfId="11" applyFont="1" applyBorder="1" applyAlignment="1">
      <alignment vertical="top"/>
    </xf>
    <xf numFmtId="0" fontId="1" fillId="0" borderId="0" xfId="10" applyAlignment="1">
      <alignment horizontal="left" vertical="top"/>
    </xf>
    <xf numFmtId="0" fontId="39" fillId="0" borderId="24" xfId="10" applyFont="1" applyBorder="1" applyAlignment="1">
      <alignment horizontal="left" vertical="top"/>
    </xf>
    <xf numFmtId="0" fontId="40" fillId="0" borderId="0" xfId="10" applyFont="1" applyBorder="1" applyAlignment="1">
      <alignment horizontal="left" vertical="top"/>
    </xf>
    <xf numFmtId="0" fontId="1" fillId="0" borderId="0" xfId="10" applyBorder="1" applyAlignment="1">
      <alignment horizontal="left" vertical="top"/>
    </xf>
    <xf numFmtId="0" fontId="40" fillId="0" borderId="23" xfId="10" applyFont="1" applyBorder="1" applyAlignment="1">
      <alignment horizontal="left" vertical="top"/>
    </xf>
    <xf numFmtId="0" fontId="41" fillId="0" borderId="23" xfId="11" applyFont="1" applyBorder="1" applyAlignment="1">
      <alignment horizontal="left" vertical="top" wrapText="1"/>
    </xf>
    <xf numFmtId="0" fontId="1" fillId="0" borderId="23" xfId="10" applyBorder="1" applyAlignment="1">
      <alignment horizontal="left" vertical="top"/>
    </xf>
    <xf numFmtId="0" fontId="42" fillId="0" borderId="0" xfId="0" applyFont="1" applyProtection="1">
      <protection locked="0" hidden="1"/>
    </xf>
    <xf numFmtId="0" fontId="43" fillId="0" borderId="0" xfId="0" applyFont="1" applyProtection="1">
      <protection hidden="1"/>
    </xf>
    <xf numFmtId="0" fontId="2" fillId="0" borderId="0" xfId="0" applyFont="1" applyProtection="1">
      <protection hidden="1"/>
    </xf>
    <xf numFmtId="0" fontId="12" fillId="3" borderId="0" xfId="0" applyFont="1" applyFill="1" applyAlignment="1" applyProtection="1">
      <alignment horizontal="left" wrapText="1"/>
      <protection hidden="1"/>
    </xf>
    <xf numFmtId="0" fontId="44" fillId="0" borderId="0" xfId="0" applyFont="1" applyProtection="1">
      <protection hidden="1"/>
    </xf>
    <xf numFmtId="0" fontId="45" fillId="0" borderId="0" xfId="0" applyFont="1" applyProtection="1">
      <protection locked="0" hidden="1"/>
    </xf>
    <xf numFmtId="0" fontId="24" fillId="3" borderId="0" xfId="9" applyFont="1" applyFill="1" applyAlignment="1" applyProtection="1">
      <protection hidden="1"/>
    </xf>
    <xf numFmtId="0" fontId="44" fillId="0" borderId="0" xfId="0" applyFont="1" applyProtection="1">
      <protection locked="0" hidden="1"/>
    </xf>
    <xf numFmtId="0" fontId="3" fillId="0" borderId="0" xfId="0" applyFont="1" applyAlignment="1" applyProtection="1">
      <alignment vertical="top"/>
      <protection hidden="1"/>
    </xf>
    <xf numFmtId="0" fontId="3" fillId="2" borderId="0" xfId="3" applyFont="1" applyFill="1" applyProtection="1"/>
    <xf numFmtId="0" fontId="46" fillId="0" borderId="0" xfId="0" applyFont="1"/>
    <xf numFmtId="0" fontId="4" fillId="0" borderId="19" xfId="0" applyFont="1" applyBorder="1" applyAlignment="1" applyProtection="1">
      <alignment vertical="center" wrapText="1"/>
      <protection hidden="1"/>
    </xf>
    <xf numFmtId="0" fontId="4" fillId="0" borderId="3" xfId="0" applyFont="1" applyBorder="1" applyAlignment="1" applyProtection="1">
      <alignment horizontal="center" vertical="center" wrapText="1"/>
      <protection hidden="1"/>
    </xf>
    <xf numFmtId="0" fontId="4" fillId="0" borderId="2" xfId="0" applyFont="1" applyBorder="1" applyAlignment="1" applyProtection="1">
      <alignment horizontal="center" vertical="center"/>
      <protection hidden="1"/>
    </xf>
    <xf numFmtId="0" fontId="4" fillId="0" borderId="5" xfId="0" applyFont="1" applyBorder="1" applyAlignment="1" applyProtection="1">
      <alignment horizontal="center" vertical="center" wrapText="1"/>
      <protection hidden="1"/>
    </xf>
    <xf numFmtId="165" fontId="4" fillId="0" borderId="1" xfId="0" applyNumberFormat="1" applyFont="1" applyBorder="1" applyAlignment="1" applyProtection="1">
      <alignment horizontal="center" vertical="center"/>
      <protection hidden="1"/>
    </xf>
    <xf numFmtId="3" fontId="4" fillId="0" borderId="4" xfId="0" applyNumberFormat="1" applyFont="1" applyBorder="1" applyAlignment="1" applyProtection="1">
      <alignment horizontal="right" vertical="center"/>
      <protection hidden="1"/>
    </xf>
    <xf numFmtId="0" fontId="4" fillId="0" borderId="5" xfId="0" applyFont="1" applyBorder="1" applyAlignment="1" applyProtection="1">
      <alignment horizontal="center"/>
      <protection hidden="1"/>
    </xf>
    <xf numFmtId="0" fontId="4" fillId="0" borderId="6" xfId="0" applyFont="1" applyBorder="1" applyAlignment="1" applyProtection="1">
      <alignment horizontal="center"/>
      <protection hidden="1"/>
    </xf>
    <xf numFmtId="165" fontId="4" fillId="0" borderId="7" xfId="0" applyNumberFormat="1" applyFont="1" applyBorder="1" applyAlignment="1" applyProtection="1">
      <alignment horizontal="center" vertical="center"/>
      <protection hidden="1"/>
    </xf>
    <xf numFmtId="3" fontId="4" fillId="0" borderId="8" xfId="0" applyNumberFormat="1" applyFont="1" applyBorder="1" applyAlignment="1" applyProtection="1">
      <alignment horizontal="right" vertical="center"/>
      <protection hidden="1"/>
    </xf>
    <xf numFmtId="0" fontId="12" fillId="3" borderId="0" xfId="3" applyFont="1" applyFill="1" applyAlignment="1" applyProtection="1">
      <alignment horizontal="left"/>
      <protection hidden="1"/>
    </xf>
    <xf numFmtId="0" fontId="3" fillId="2" borderId="0" xfId="7" applyFont="1" applyFill="1" applyProtection="1">
      <protection hidden="1"/>
    </xf>
    <xf numFmtId="0" fontId="12" fillId="3" borderId="0" xfId="0" applyFont="1" applyFill="1" applyAlignment="1" applyProtection="1">
      <protection hidden="1"/>
    </xf>
    <xf numFmtId="165" fontId="3" fillId="0" borderId="0" xfId="0" applyNumberFormat="1" applyFont="1" applyBorder="1" applyAlignment="1" applyProtection="1">
      <alignment horizontal="center"/>
    </xf>
    <xf numFmtId="0" fontId="0" fillId="0" borderId="0" xfId="0" applyProtection="1"/>
    <xf numFmtId="0" fontId="16" fillId="3" borderId="0" xfId="7" applyFont="1" applyFill="1" applyAlignment="1" applyProtection="1">
      <alignment horizontal="right"/>
    </xf>
    <xf numFmtId="0" fontId="3" fillId="0" borderId="0" xfId="0" applyFont="1" applyProtection="1"/>
    <xf numFmtId="0" fontId="24" fillId="3" borderId="0" xfId="9" applyFont="1" applyFill="1" applyAlignment="1" applyProtection="1"/>
    <xf numFmtId="0" fontId="3" fillId="0" borderId="0" xfId="8" applyFont="1" applyProtection="1"/>
    <xf numFmtId="0" fontId="15" fillId="0" borderId="0" xfId="8" applyFont="1" applyProtection="1"/>
    <xf numFmtId="0" fontId="3" fillId="0" borderId="0" xfId="0" applyFont="1" applyAlignment="1" applyProtection="1">
      <alignment vertical="top" wrapText="1"/>
    </xf>
    <xf numFmtId="0" fontId="3" fillId="0" borderId="0" xfId="0" applyFont="1" applyAlignment="1" applyProtection="1"/>
    <xf numFmtId="165" fontId="4" fillId="0" borderId="1" xfId="0" applyNumberFormat="1" applyFont="1" applyBorder="1" applyAlignment="1" applyProtection="1">
      <alignment horizontal="center"/>
      <protection hidden="1"/>
    </xf>
    <xf numFmtId="3" fontId="4" fillId="0" borderId="4" xfId="0" applyNumberFormat="1" applyFont="1" applyBorder="1" applyProtection="1">
      <protection hidden="1"/>
    </xf>
    <xf numFmtId="0" fontId="4" fillId="0" borderId="9" xfId="0" applyFont="1" applyBorder="1" applyAlignment="1" applyProtection="1">
      <alignment horizontal="center" vertical="center" wrapText="1"/>
      <protection hidden="1"/>
    </xf>
    <xf numFmtId="165" fontId="4" fillId="0" borderId="10" xfId="0" applyNumberFormat="1" applyFont="1" applyBorder="1" applyAlignment="1" applyProtection="1">
      <alignment horizontal="center"/>
      <protection hidden="1"/>
    </xf>
    <xf numFmtId="0" fontId="4" fillId="0" borderId="9" xfId="0" applyFont="1" applyBorder="1" applyAlignment="1" applyProtection="1">
      <alignment horizontal="center"/>
      <protection hidden="1"/>
    </xf>
    <xf numFmtId="165" fontId="4" fillId="0" borderId="7" xfId="0" applyNumberFormat="1" applyFont="1" applyBorder="1" applyAlignment="1" applyProtection="1">
      <alignment horizontal="center"/>
      <protection hidden="1"/>
    </xf>
    <xf numFmtId="3" fontId="4" fillId="0" borderId="8" xfId="0" applyNumberFormat="1" applyFont="1" applyBorder="1" applyProtection="1">
      <protection hidden="1"/>
    </xf>
    <xf numFmtId="0" fontId="35" fillId="0" borderId="11" xfId="11" applyFont="1" applyBorder="1" applyAlignment="1">
      <alignment vertical="top"/>
    </xf>
    <xf numFmtId="0" fontId="35" fillId="0" borderId="13" xfId="11" applyFont="1" applyBorder="1" applyAlignment="1">
      <alignment vertical="top"/>
    </xf>
    <xf numFmtId="0" fontId="37" fillId="0" borderId="0" xfId="0" applyFont="1" applyBorder="1" applyAlignment="1">
      <alignment horizontal="left" vertical="top" wrapText="1"/>
    </xf>
    <xf numFmtId="0" fontId="22" fillId="2" borderId="0" xfId="7" applyFont="1" applyFill="1" applyAlignment="1" applyProtection="1"/>
    <xf numFmtId="0" fontId="4" fillId="2" borderId="0" xfId="0" applyFont="1" applyFill="1" applyAlignment="1" applyProtection="1"/>
    <xf numFmtId="0" fontId="4" fillId="0" borderId="11" xfId="0" applyFont="1" applyBorder="1" applyAlignment="1" applyProtection="1">
      <alignment horizontal="center" vertical="center" wrapText="1"/>
      <protection hidden="1"/>
    </xf>
    <xf numFmtId="0" fontId="4" fillId="0" borderId="12" xfId="0" applyFont="1" applyBorder="1" applyAlignment="1" applyProtection="1">
      <alignment horizontal="center" vertical="center" wrapText="1"/>
      <protection hidden="1"/>
    </xf>
    <xf numFmtId="0" fontId="4" fillId="0" borderId="13" xfId="0" applyFont="1" applyBorder="1" applyAlignment="1" applyProtection="1">
      <alignment horizontal="center" vertical="center" wrapText="1"/>
      <protection hidden="1"/>
    </xf>
    <xf numFmtId="3" fontId="4" fillId="3" borderId="15" xfId="6" applyNumberFormat="1" applyFont="1" applyFill="1" applyBorder="1" applyAlignment="1" applyProtection="1">
      <alignment horizontal="center" vertical="center" wrapText="1"/>
      <protection hidden="1"/>
    </xf>
    <xf numFmtId="3" fontId="4" fillId="3" borderId="16" xfId="6" applyNumberFormat="1" applyFont="1" applyFill="1" applyBorder="1" applyAlignment="1" applyProtection="1">
      <alignment horizontal="center" vertical="center" wrapText="1"/>
      <protection hidden="1"/>
    </xf>
    <xf numFmtId="0" fontId="4" fillId="0" borderId="14"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hidden="1"/>
    </xf>
    <xf numFmtId="0" fontId="4" fillId="0" borderId="17" xfId="0" applyFont="1" applyBorder="1" applyAlignment="1" applyProtection="1">
      <alignment horizontal="center" vertical="center" wrapText="1"/>
      <protection hidden="1"/>
    </xf>
    <xf numFmtId="0" fontId="4" fillId="0" borderId="18" xfId="0" applyFont="1" applyBorder="1" applyAlignment="1" applyProtection="1">
      <alignment horizontal="center" vertical="center" wrapText="1"/>
      <protection hidden="1"/>
    </xf>
  </cellXfs>
  <cellStyles count="12">
    <cellStyle name="Hyperlink" xfId="11" builtinId="8"/>
    <cellStyle name="Normal" xfId="0" builtinId="0"/>
    <cellStyle name="Normal 2" xfId="8"/>
    <cellStyle name="Normal 3" xfId="10"/>
    <cellStyle name="Normal_2002_AS" xfId="1"/>
    <cellStyle name="Normal_GCEAS_2001" xfId="2"/>
    <cellStyle name="Normal_SFR02_Finaltables" xfId="3"/>
    <cellStyle name="Normal_SkeletonTables11_12 draft0.1" xfId="9"/>
    <cellStyle name="Normal_table1_MN" xfId="7"/>
    <cellStyle name="Normal_table5" xfId="4"/>
    <cellStyle name="Normal_TABLE5_GCEAS" xfId="5"/>
    <cellStyle name="Normal_TABLE7" xfId="6"/>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ctrlProps/ctrlProp1.xml><?xml version="1.0" encoding="utf-8"?>
<formControlPr xmlns="http://schemas.microsoft.com/office/spreadsheetml/2009/9/main" objectType="List" dx="16" fmlaLink="$D$4" fmlaRange="subjects" sel="35" val="0"/>
</file>

<file path=xl/ctrlProps/ctrlProp2.xml><?xml version="1.0" encoding="utf-8"?>
<formControlPr xmlns="http://schemas.microsoft.com/office/spreadsheetml/2009/9/main" objectType="List" dx="16" fmlaLink="$D$5" fmlaRange="'Dropdown selection'!$D$1:$D$3" noThreeD="1" sel="3" val="0"/>
</file>

<file path=xl/ctrlProps/ctrlProp3.xml><?xml version="1.0" encoding="utf-8"?>
<formControlPr xmlns="http://schemas.microsoft.com/office/spreadsheetml/2009/9/main" objectType="List" dx="16" fmlaLink="'Table 15'!$J$4" fmlaRange="'Dropdown selection'!$B$2:$B$36" noThreeD="1" sel="35" val="0"/>
</file>

<file path=xl/ctrlProps/ctrlProp4.xml><?xml version="1.0" encoding="utf-8"?>
<formControlPr xmlns="http://schemas.microsoft.com/office/spreadsheetml/2009/9/main" objectType="List" dx="16" fmlaLink="$L$4" fmlaRange="'Dropdown selection'!$D$1:$D$3" noThreeD="1" sel="3"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552450</xdr:colOff>
      <xdr:row>0</xdr:row>
      <xdr:rowOff>152400</xdr:rowOff>
    </xdr:from>
    <xdr:to>
      <xdr:col>4</xdr:col>
      <xdr:colOff>692723</xdr:colOff>
      <xdr:row>4</xdr:row>
      <xdr:rowOff>152466</xdr:rowOff>
    </xdr:to>
    <xdr:pic>
      <xdr:nvPicPr>
        <xdr:cNvPr id="3" name="Picture 2"/>
        <xdr:cNvPicPr>
          <a:picLocks noChangeAspect="1"/>
        </xdr:cNvPicPr>
      </xdr:nvPicPr>
      <xdr:blipFill>
        <a:blip xmlns:r="http://schemas.openxmlformats.org/officeDocument/2006/relationships" r:embed="rId1"/>
        <a:stretch>
          <a:fillRect/>
        </a:stretch>
      </xdr:blipFill>
      <xdr:spPr>
        <a:xfrm>
          <a:off x="5114925" y="152400"/>
          <a:ext cx="749873" cy="762066"/>
        </a:xfrm>
        <a:prstGeom prst="rect">
          <a:avLst/>
        </a:prstGeom>
      </xdr:spPr>
    </xdr:pic>
    <xdr:clientData/>
  </xdr:twoCellAnchor>
  <xdr:twoCellAnchor editAs="oneCell">
    <xdr:from>
      <xdr:col>1</xdr:col>
      <xdr:colOff>0</xdr:colOff>
      <xdr:row>0</xdr:row>
      <xdr:rowOff>114300</xdr:rowOff>
    </xdr:from>
    <xdr:to>
      <xdr:col>2</xdr:col>
      <xdr:colOff>268713</xdr:colOff>
      <xdr:row>4</xdr:row>
      <xdr:rowOff>163138</xdr:rowOff>
    </xdr:to>
    <xdr:pic>
      <xdr:nvPicPr>
        <xdr:cNvPr id="6" name="Picture 5"/>
        <xdr:cNvPicPr>
          <a:picLocks noChangeAspect="1"/>
        </xdr:cNvPicPr>
      </xdr:nvPicPr>
      <xdr:blipFill>
        <a:blip xmlns:r="http://schemas.openxmlformats.org/officeDocument/2006/relationships" r:embed="rId2"/>
        <a:stretch>
          <a:fillRect/>
        </a:stretch>
      </xdr:blipFill>
      <xdr:spPr>
        <a:xfrm>
          <a:off x="381000" y="114300"/>
          <a:ext cx="1249788" cy="8108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257175</xdr:colOff>
          <xdr:row>3</xdr:row>
          <xdr:rowOff>123825</xdr:rowOff>
        </xdr:from>
        <xdr:to>
          <xdr:col>3</xdr:col>
          <xdr:colOff>285750</xdr:colOff>
          <xdr:row>25</xdr:row>
          <xdr:rowOff>76200</xdr:rowOff>
        </xdr:to>
        <xdr:sp macro="" textlink="">
          <xdr:nvSpPr>
            <xdr:cNvPr id="10246" name="List Box 6" hidden="1">
              <a:extLst>
                <a:ext uri="{63B3BB69-23CF-44E3-9099-C40C66FF867C}">
                  <a14:compatExt spid="_x0000_s102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23</xdr:row>
          <xdr:rowOff>123825</xdr:rowOff>
        </xdr:from>
        <xdr:to>
          <xdr:col>3</xdr:col>
          <xdr:colOff>1466850</xdr:colOff>
          <xdr:row>25</xdr:row>
          <xdr:rowOff>171450</xdr:rowOff>
        </xdr:to>
        <xdr:sp macro="" textlink="">
          <xdr:nvSpPr>
            <xdr:cNvPr id="10248" name="List Box 8" hidden="1">
              <a:extLst>
                <a:ext uri="{63B3BB69-23CF-44E3-9099-C40C66FF867C}">
                  <a14:compatExt spid="_x0000_s1024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3</xdr:row>
          <xdr:rowOff>123825</xdr:rowOff>
        </xdr:from>
        <xdr:to>
          <xdr:col>2</xdr:col>
          <xdr:colOff>390525</xdr:colOff>
          <xdr:row>26</xdr:row>
          <xdr:rowOff>85725</xdr:rowOff>
        </xdr:to>
        <xdr:sp macro="" textlink="">
          <xdr:nvSpPr>
            <xdr:cNvPr id="15363" name="List Box 3" hidden="1">
              <a:extLst>
                <a:ext uri="{63B3BB69-23CF-44E3-9099-C40C66FF867C}">
                  <a14:compatExt spid="_x0000_s15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447675</xdr:colOff>
          <xdr:row>18</xdr:row>
          <xdr:rowOff>114300</xdr:rowOff>
        </xdr:from>
        <xdr:to>
          <xdr:col>3</xdr:col>
          <xdr:colOff>1038225</xdr:colOff>
          <xdr:row>21</xdr:row>
          <xdr:rowOff>0</xdr:rowOff>
        </xdr:to>
        <xdr:sp macro="" textlink="">
          <xdr:nvSpPr>
            <xdr:cNvPr id="15368" name="List Box 8" hidden="1">
              <a:extLst>
                <a:ext uri="{63B3BB69-23CF-44E3-9099-C40C66FF867C}">
                  <a14:compatExt spid="_x0000_s1536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Attainment.STATISTICS@education.gsi.gov.uk" TargetMode="External"/><Relationship Id="rId1" Type="http://schemas.openxmlformats.org/officeDocument/2006/relationships/hyperlink" Target="https://www.gov.uk/government/collections/statistics-attainment-at-19-year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B5:E24"/>
  <sheetViews>
    <sheetView showGridLines="0" tabSelected="1" workbookViewId="0">
      <selection activeCell="B7" sqref="B7"/>
    </sheetView>
  </sheetViews>
  <sheetFormatPr defaultRowHeight="15" x14ac:dyDescent="0.2"/>
  <cols>
    <col min="1" max="1" width="1.7109375" customWidth="1"/>
    <col min="2" max="2" width="14.7109375" style="122" customWidth="1"/>
    <col min="3" max="3" width="48" style="122" customWidth="1"/>
    <col min="5" max="5" width="10.85546875" customWidth="1"/>
  </cols>
  <sheetData>
    <row r="5" spans="2:5" x14ac:dyDescent="0.2">
      <c r="B5" s="151"/>
      <c r="C5" s="151"/>
      <c r="D5" s="152"/>
      <c r="E5" s="152"/>
    </row>
    <row r="6" spans="2:5" x14ac:dyDescent="0.2">
      <c r="B6" s="181"/>
      <c r="C6" s="181"/>
      <c r="D6" s="182"/>
      <c r="E6" s="182"/>
    </row>
    <row r="7" spans="2:5" ht="15.75" x14ac:dyDescent="0.25">
      <c r="B7" s="183" t="s">
        <v>254</v>
      </c>
      <c r="C7" s="135"/>
    </row>
    <row r="8" spans="2:5" x14ac:dyDescent="0.2">
      <c r="B8" s="184" t="s">
        <v>85</v>
      </c>
      <c r="C8" s="136"/>
    </row>
    <row r="9" spans="2:5" ht="15.75" x14ac:dyDescent="0.25">
      <c r="B9" s="137"/>
      <c r="C9" s="136"/>
    </row>
    <row r="10" spans="2:5" x14ac:dyDescent="0.2">
      <c r="B10" s="139" t="s">
        <v>231</v>
      </c>
      <c r="C10" s="136"/>
    </row>
    <row r="11" spans="2:5" x14ac:dyDescent="0.2">
      <c r="B11" s="139"/>
      <c r="C11" s="136"/>
    </row>
    <row r="12" spans="2:5" ht="15.75" x14ac:dyDescent="0.25">
      <c r="B12" s="137" t="s">
        <v>147</v>
      </c>
      <c r="C12" s="136"/>
    </row>
    <row r="13" spans="2:5" x14ac:dyDescent="0.2">
      <c r="B13" s="138" t="s">
        <v>244</v>
      </c>
      <c r="C13" s="136"/>
    </row>
    <row r="14" spans="2:5" ht="15.75" x14ac:dyDescent="0.25">
      <c r="B14" s="137"/>
      <c r="C14" s="136"/>
    </row>
    <row r="15" spans="2:5" s="185" customFormat="1" x14ac:dyDescent="0.2">
      <c r="B15" s="236" t="s">
        <v>240</v>
      </c>
      <c r="C15" s="237"/>
    </row>
    <row r="17" spans="2:5" s="185" customFormat="1" x14ac:dyDescent="0.2">
      <c r="B17" s="186" t="s">
        <v>241</v>
      </c>
      <c r="C17" s="187" t="s">
        <v>148</v>
      </c>
    </row>
    <row r="18" spans="2:5" s="185" customFormat="1" x14ac:dyDescent="0.2">
      <c r="B18" s="186">
        <v>14</v>
      </c>
      <c r="C18" s="188" t="s">
        <v>149</v>
      </c>
    </row>
    <row r="19" spans="2:5" s="185" customFormat="1" x14ac:dyDescent="0.2">
      <c r="B19" s="186">
        <v>15</v>
      </c>
      <c r="C19" s="188" t="s">
        <v>150</v>
      </c>
    </row>
    <row r="20" spans="2:5" x14ac:dyDescent="0.2">
      <c r="C20" s="151"/>
      <c r="D20" s="152"/>
      <c r="E20" s="152"/>
    </row>
    <row r="21" spans="2:5" s="189" customFormat="1" x14ac:dyDescent="0.2">
      <c r="B21" s="190" t="s">
        <v>233</v>
      </c>
      <c r="C21" s="191"/>
      <c r="D21" s="192"/>
    </row>
    <row r="22" spans="2:5" s="189" customFormat="1" ht="45" customHeight="1" x14ac:dyDescent="0.2">
      <c r="B22" s="191" t="s">
        <v>234</v>
      </c>
      <c r="C22" s="238" t="s">
        <v>255</v>
      </c>
      <c r="D22" s="238"/>
      <c r="E22" s="238"/>
    </row>
    <row r="23" spans="2:5" s="189" customFormat="1" ht="30" customHeight="1" x14ac:dyDescent="0.2">
      <c r="B23" s="153" t="s">
        <v>235</v>
      </c>
      <c r="C23" s="238" t="s">
        <v>242</v>
      </c>
      <c r="D23" s="238"/>
      <c r="E23" s="238"/>
    </row>
    <row r="24" spans="2:5" s="189" customFormat="1" x14ac:dyDescent="0.2">
      <c r="B24" s="193"/>
      <c r="C24" s="194" t="s">
        <v>236</v>
      </c>
      <c r="D24" s="195"/>
      <c r="E24" s="195"/>
    </row>
  </sheetData>
  <mergeCells count="3">
    <mergeCell ref="B15:C15"/>
    <mergeCell ref="C22:E22"/>
    <mergeCell ref="C23:E23"/>
  </mergeCells>
  <hyperlinks>
    <hyperlink ref="B15:C15" location="'List of A and AS level subjects'!A1" display="List of A and AS level subjects"/>
    <hyperlink ref="C18" location="'Table 14'!A1" display="A level results by subject, grade and gender"/>
    <hyperlink ref="C19" location="'Table 15'!A1" display="AS level results by subject, grade and gender"/>
    <hyperlink ref="B10" r:id="rId1" display="https://www.gov.uk/government/collections/statistics-attainment-at-19-years"/>
    <hyperlink ref="C24" r:id="rId2" display="mailto:Attainment.STATISTICS@education.gsi.gov.u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B1:C108"/>
  <sheetViews>
    <sheetView showGridLines="0" zoomScaleNormal="100" workbookViewId="0">
      <selection activeCell="B1" sqref="B1"/>
    </sheetView>
  </sheetViews>
  <sheetFormatPr defaultRowHeight="14.25" x14ac:dyDescent="0.2"/>
  <cols>
    <col min="1" max="1" width="1.7109375" customWidth="1"/>
    <col min="2" max="2" width="30.7109375" style="140" customWidth="1"/>
    <col min="3" max="3" width="35" style="140" customWidth="1"/>
  </cols>
  <sheetData>
    <row r="1" spans="2:3" ht="15" x14ac:dyDescent="0.25">
      <c r="B1" s="159" t="s">
        <v>151</v>
      </c>
    </row>
    <row r="2" spans="2:3" x14ac:dyDescent="0.2">
      <c r="B2" s="140" t="s">
        <v>251</v>
      </c>
    </row>
    <row r="4" spans="2:3" ht="15" x14ac:dyDescent="0.25">
      <c r="B4" s="141" t="s">
        <v>243</v>
      </c>
      <c r="C4" s="142" t="s">
        <v>152</v>
      </c>
    </row>
    <row r="5" spans="2:3" x14ac:dyDescent="0.2">
      <c r="B5" s="143" t="s">
        <v>0</v>
      </c>
      <c r="C5" s="144" t="s">
        <v>153</v>
      </c>
    </row>
    <row r="6" spans="2:3" x14ac:dyDescent="0.2">
      <c r="B6" s="145"/>
      <c r="C6" s="144" t="s">
        <v>154</v>
      </c>
    </row>
    <row r="7" spans="2:3" x14ac:dyDescent="0.2">
      <c r="B7" s="144" t="s">
        <v>1</v>
      </c>
      <c r="C7" s="144" t="s">
        <v>1</v>
      </c>
    </row>
    <row r="8" spans="2:3" x14ac:dyDescent="0.2">
      <c r="B8" s="144" t="s">
        <v>2</v>
      </c>
      <c r="C8" s="144" t="s">
        <v>2</v>
      </c>
    </row>
    <row r="9" spans="2:3" x14ac:dyDescent="0.2">
      <c r="B9" s="143" t="s">
        <v>3</v>
      </c>
      <c r="C9" s="144" t="s">
        <v>155</v>
      </c>
    </row>
    <row r="10" spans="2:3" x14ac:dyDescent="0.2">
      <c r="B10" s="146"/>
      <c r="C10" s="144" t="s">
        <v>156</v>
      </c>
    </row>
    <row r="11" spans="2:3" x14ac:dyDescent="0.2">
      <c r="B11" s="146"/>
      <c r="C11" s="144" t="s">
        <v>157</v>
      </c>
    </row>
    <row r="12" spans="2:3" x14ac:dyDescent="0.2">
      <c r="B12" s="146"/>
      <c r="C12" s="144" t="s">
        <v>158</v>
      </c>
    </row>
    <row r="13" spans="2:3" x14ac:dyDescent="0.2">
      <c r="B13" s="146"/>
      <c r="C13" s="144" t="s">
        <v>159</v>
      </c>
    </row>
    <row r="14" spans="2:3" x14ac:dyDescent="0.2">
      <c r="B14" s="145"/>
      <c r="C14" s="144" t="s">
        <v>160</v>
      </c>
    </row>
    <row r="15" spans="2:3" x14ac:dyDescent="0.2">
      <c r="B15" s="143" t="s">
        <v>4</v>
      </c>
      <c r="C15" s="144" t="s">
        <v>4</v>
      </c>
    </row>
    <row r="16" spans="2:3" x14ac:dyDescent="0.2">
      <c r="B16" s="146"/>
      <c r="C16" s="144" t="s">
        <v>161</v>
      </c>
    </row>
    <row r="17" spans="2:3" x14ac:dyDescent="0.2">
      <c r="B17" s="146"/>
      <c r="C17" s="144" t="s">
        <v>162</v>
      </c>
    </row>
    <row r="18" spans="2:3" x14ac:dyDescent="0.2">
      <c r="B18" s="146"/>
      <c r="C18" s="144" t="s">
        <v>163</v>
      </c>
    </row>
    <row r="19" spans="2:3" x14ac:dyDescent="0.2">
      <c r="B19" s="145"/>
      <c r="C19" s="144" t="s">
        <v>164</v>
      </c>
    </row>
    <row r="20" spans="2:3" x14ac:dyDescent="0.2">
      <c r="B20" s="144" t="s">
        <v>5</v>
      </c>
      <c r="C20" s="144" t="s">
        <v>5</v>
      </c>
    </row>
    <row r="21" spans="2:3" x14ac:dyDescent="0.2">
      <c r="B21" s="143" t="s">
        <v>6</v>
      </c>
      <c r="C21" s="147" t="s">
        <v>165</v>
      </c>
    </row>
    <row r="22" spans="2:3" x14ac:dyDescent="0.2">
      <c r="B22" s="146"/>
      <c r="C22" s="148" t="s">
        <v>166</v>
      </c>
    </row>
    <row r="23" spans="2:3" x14ac:dyDescent="0.2">
      <c r="B23" s="145"/>
      <c r="C23" s="147" t="s">
        <v>167</v>
      </c>
    </row>
    <row r="24" spans="2:3" x14ac:dyDescent="0.2">
      <c r="B24" s="146" t="s">
        <v>168</v>
      </c>
      <c r="C24" s="144" t="s">
        <v>168</v>
      </c>
    </row>
    <row r="25" spans="2:3" x14ac:dyDescent="0.2">
      <c r="B25" s="145"/>
      <c r="C25" s="144" t="s">
        <v>169</v>
      </c>
    </row>
    <row r="26" spans="2:3" ht="16.5" x14ac:dyDescent="0.2">
      <c r="B26" s="144" t="s">
        <v>232</v>
      </c>
      <c r="C26" s="144" t="s">
        <v>8</v>
      </c>
    </row>
    <row r="27" spans="2:3" x14ac:dyDescent="0.2">
      <c r="B27" s="143" t="s">
        <v>9</v>
      </c>
      <c r="C27" s="144" t="s">
        <v>9</v>
      </c>
    </row>
    <row r="28" spans="2:3" x14ac:dyDescent="0.2">
      <c r="B28" s="145"/>
      <c r="C28" s="144" t="s">
        <v>170</v>
      </c>
    </row>
    <row r="29" spans="2:3" x14ac:dyDescent="0.2">
      <c r="B29" s="144" t="s">
        <v>10</v>
      </c>
      <c r="C29" s="144" t="s">
        <v>171</v>
      </c>
    </row>
    <row r="30" spans="2:3" x14ac:dyDescent="0.2">
      <c r="B30" s="144" t="s">
        <v>11</v>
      </c>
      <c r="C30" s="144" t="s">
        <v>172</v>
      </c>
    </row>
    <row r="31" spans="2:3" x14ac:dyDescent="0.2">
      <c r="B31" s="144" t="s">
        <v>12</v>
      </c>
      <c r="C31" s="144" t="s">
        <v>12</v>
      </c>
    </row>
    <row r="32" spans="2:3" x14ac:dyDescent="0.2">
      <c r="B32" s="143" t="s">
        <v>13</v>
      </c>
      <c r="C32" s="144" t="s">
        <v>13</v>
      </c>
    </row>
    <row r="33" spans="2:3" x14ac:dyDescent="0.2">
      <c r="B33" s="145"/>
      <c r="C33" s="144" t="s">
        <v>173</v>
      </c>
    </row>
    <row r="34" spans="2:3" x14ac:dyDescent="0.2">
      <c r="B34" s="143" t="s">
        <v>14</v>
      </c>
      <c r="C34" s="144" t="s">
        <v>174</v>
      </c>
    </row>
    <row r="35" spans="2:3" x14ac:dyDescent="0.2">
      <c r="B35" s="145"/>
      <c r="C35" s="144" t="s">
        <v>175</v>
      </c>
    </row>
    <row r="36" spans="2:3" x14ac:dyDescent="0.2">
      <c r="B36" s="143" t="s">
        <v>15</v>
      </c>
      <c r="C36" s="144" t="s">
        <v>15</v>
      </c>
    </row>
    <row r="37" spans="2:3" x14ac:dyDescent="0.2">
      <c r="B37" s="146"/>
      <c r="C37" s="144" t="s">
        <v>176</v>
      </c>
    </row>
    <row r="38" spans="2:3" x14ac:dyDescent="0.2">
      <c r="B38" s="145"/>
      <c r="C38" s="144" t="s">
        <v>177</v>
      </c>
    </row>
    <row r="39" spans="2:3" x14ac:dyDescent="0.2">
      <c r="B39" s="144" t="s">
        <v>16</v>
      </c>
      <c r="C39" s="144" t="s">
        <v>16</v>
      </c>
    </row>
    <row r="40" spans="2:3" x14ac:dyDescent="0.2">
      <c r="B40" s="149" t="s">
        <v>17</v>
      </c>
      <c r="C40" s="144" t="s">
        <v>17</v>
      </c>
    </row>
    <row r="41" spans="2:3" x14ac:dyDescent="0.2">
      <c r="B41" s="149" t="s">
        <v>18</v>
      </c>
      <c r="C41" s="144" t="s">
        <v>18</v>
      </c>
    </row>
    <row r="42" spans="2:3" x14ac:dyDescent="0.2">
      <c r="B42" s="143" t="s">
        <v>19</v>
      </c>
      <c r="C42" s="144" t="s">
        <v>247</v>
      </c>
    </row>
    <row r="43" spans="2:3" x14ac:dyDescent="0.2">
      <c r="B43" s="146"/>
      <c r="C43" s="144" t="s">
        <v>178</v>
      </c>
    </row>
    <row r="44" spans="2:3" x14ac:dyDescent="0.2">
      <c r="B44" s="146"/>
      <c r="C44" s="144" t="s">
        <v>179</v>
      </c>
    </row>
    <row r="45" spans="2:3" x14ac:dyDescent="0.2">
      <c r="B45" s="146"/>
      <c r="C45" s="144" t="s">
        <v>180</v>
      </c>
    </row>
    <row r="46" spans="2:3" x14ac:dyDescent="0.2">
      <c r="B46" s="146"/>
      <c r="C46" s="144" t="s">
        <v>181</v>
      </c>
    </row>
    <row r="47" spans="2:3" x14ac:dyDescent="0.2">
      <c r="B47" s="145"/>
      <c r="C47" s="144" t="s">
        <v>182</v>
      </c>
    </row>
    <row r="48" spans="2:3" x14ac:dyDescent="0.2">
      <c r="B48" s="143" t="s">
        <v>20</v>
      </c>
      <c r="C48" s="144" t="s">
        <v>20</v>
      </c>
    </row>
    <row r="49" spans="2:3" x14ac:dyDescent="0.2">
      <c r="B49" s="146"/>
      <c r="C49" s="144" t="s">
        <v>183</v>
      </c>
    </row>
    <row r="50" spans="2:3" x14ac:dyDescent="0.2">
      <c r="B50" s="146"/>
      <c r="C50" s="144" t="s">
        <v>184</v>
      </c>
    </row>
    <row r="51" spans="2:3" x14ac:dyDescent="0.2">
      <c r="B51" s="146"/>
      <c r="C51" s="144" t="s">
        <v>185</v>
      </c>
    </row>
    <row r="52" spans="2:3" x14ac:dyDescent="0.2">
      <c r="B52" s="146"/>
      <c r="C52" s="144" t="s">
        <v>186</v>
      </c>
    </row>
    <row r="53" spans="2:3" x14ac:dyDescent="0.2">
      <c r="B53" s="146"/>
      <c r="C53" s="144" t="s">
        <v>187</v>
      </c>
    </row>
    <row r="54" spans="2:3" x14ac:dyDescent="0.2">
      <c r="B54" s="146"/>
      <c r="C54" s="144" t="s">
        <v>188</v>
      </c>
    </row>
    <row r="55" spans="2:3" x14ac:dyDescent="0.2">
      <c r="B55" s="146"/>
      <c r="C55" s="144" t="s">
        <v>189</v>
      </c>
    </row>
    <row r="56" spans="2:3" x14ac:dyDescent="0.2">
      <c r="B56" s="145"/>
      <c r="C56" s="144" t="s">
        <v>183</v>
      </c>
    </row>
    <row r="57" spans="2:3" x14ac:dyDescent="0.2">
      <c r="B57" s="144" t="s">
        <v>21</v>
      </c>
      <c r="C57" s="144" t="s">
        <v>190</v>
      </c>
    </row>
    <row r="58" spans="2:3" x14ac:dyDescent="0.2">
      <c r="B58" s="143" t="s">
        <v>22</v>
      </c>
      <c r="C58" s="144" t="s">
        <v>191</v>
      </c>
    </row>
    <row r="59" spans="2:3" x14ac:dyDescent="0.2">
      <c r="B59" s="146"/>
      <c r="C59" s="144" t="s">
        <v>192</v>
      </c>
    </row>
    <row r="60" spans="2:3" x14ac:dyDescent="0.2">
      <c r="B60" s="145"/>
      <c r="C60" s="144" t="s">
        <v>193</v>
      </c>
    </row>
    <row r="61" spans="2:3" x14ac:dyDescent="0.2">
      <c r="B61" s="143" t="s">
        <v>61</v>
      </c>
      <c r="C61" s="144" t="s">
        <v>194</v>
      </c>
    </row>
    <row r="62" spans="2:3" x14ac:dyDescent="0.2">
      <c r="B62" s="146"/>
      <c r="C62" s="144" t="s">
        <v>195</v>
      </c>
    </row>
    <row r="63" spans="2:3" x14ac:dyDescent="0.2">
      <c r="B63" s="146"/>
      <c r="C63" s="144" t="s">
        <v>196</v>
      </c>
    </row>
    <row r="64" spans="2:3" x14ac:dyDescent="0.2">
      <c r="B64" s="146"/>
      <c r="C64" s="144" t="s">
        <v>197</v>
      </c>
    </row>
    <row r="65" spans="2:3" x14ac:dyDescent="0.2">
      <c r="B65" s="146"/>
      <c r="C65" s="144" t="s">
        <v>198</v>
      </c>
    </row>
    <row r="66" spans="2:3" x14ac:dyDescent="0.2">
      <c r="B66" s="146"/>
      <c r="C66" s="144" t="s">
        <v>199</v>
      </c>
    </row>
    <row r="67" spans="2:3" x14ac:dyDescent="0.2">
      <c r="B67" s="145"/>
      <c r="C67" s="144" t="s">
        <v>200</v>
      </c>
    </row>
    <row r="68" spans="2:3" x14ac:dyDescent="0.2">
      <c r="B68" s="144" t="s">
        <v>23</v>
      </c>
      <c r="C68" s="144" t="s">
        <v>201</v>
      </c>
    </row>
    <row r="69" spans="2:3" x14ac:dyDescent="0.2">
      <c r="B69" s="144" t="s">
        <v>24</v>
      </c>
      <c r="C69" s="144" t="s">
        <v>24</v>
      </c>
    </row>
    <row r="70" spans="2:3" x14ac:dyDescent="0.2">
      <c r="B70" s="144" t="s">
        <v>25</v>
      </c>
      <c r="C70" s="144" t="s">
        <v>25</v>
      </c>
    </row>
    <row r="71" spans="2:3" x14ac:dyDescent="0.2">
      <c r="B71" s="143" t="s">
        <v>26</v>
      </c>
      <c r="C71" s="144" t="s">
        <v>26</v>
      </c>
    </row>
    <row r="72" spans="2:3" x14ac:dyDescent="0.2">
      <c r="B72" s="143" t="s">
        <v>27</v>
      </c>
      <c r="C72" s="147" t="s">
        <v>202</v>
      </c>
    </row>
    <row r="73" spans="2:3" x14ac:dyDescent="0.2">
      <c r="B73" s="146"/>
      <c r="C73" s="147" t="s">
        <v>203</v>
      </c>
    </row>
    <row r="74" spans="2:3" x14ac:dyDescent="0.2">
      <c r="B74" s="146"/>
      <c r="C74" s="150" t="s">
        <v>204</v>
      </c>
    </row>
    <row r="75" spans="2:3" x14ac:dyDescent="0.2">
      <c r="B75" s="146"/>
      <c r="C75" s="147" t="s">
        <v>205</v>
      </c>
    </row>
    <row r="76" spans="2:3" x14ac:dyDescent="0.2">
      <c r="B76" s="146"/>
      <c r="C76" s="147" t="s">
        <v>206</v>
      </c>
    </row>
    <row r="77" spans="2:3" x14ac:dyDescent="0.2">
      <c r="B77" s="146"/>
      <c r="C77" s="147" t="s">
        <v>207</v>
      </c>
    </row>
    <row r="78" spans="2:3" x14ac:dyDescent="0.2">
      <c r="B78" s="146"/>
      <c r="C78" s="147" t="s">
        <v>208</v>
      </c>
    </row>
    <row r="79" spans="2:3" x14ac:dyDescent="0.2">
      <c r="B79" s="146"/>
      <c r="C79" s="147" t="s">
        <v>209</v>
      </c>
    </row>
    <row r="80" spans="2:3" x14ac:dyDescent="0.2">
      <c r="B80" s="146"/>
      <c r="C80" s="150" t="s">
        <v>210</v>
      </c>
    </row>
    <row r="81" spans="2:3" x14ac:dyDescent="0.2">
      <c r="B81" s="146"/>
      <c r="C81" s="147" t="s">
        <v>211</v>
      </c>
    </row>
    <row r="82" spans="2:3" x14ac:dyDescent="0.2">
      <c r="B82" s="146"/>
      <c r="C82" s="147" t="s">
        <v>212</v>
      </c>
    </row>
    <row r="83" spans="2:3" x14ac:dyDescent="0.2">
      <c r="B83" s="146"/>
      <c r="C83" s="147" t="s">
        <v>213</v>
      </c>
    </row>
    <row r="84" spans="2:3" x14ac:dyDescent="0.2">
      <c r="B84" s="146"/>
      <c r="C84" s="147" t="s">
        <v>214</v>
      </c>
    </row>
    <row r="85" spans="2:3" x14ac:dyDescent="0.2">
      <c r="B85" s="146"/>
      <c r="C85" s="150" t="s">
        <v>215</v>
      </c>
    </row>
    <row r="86" spans="2:3" x14ac:dyDescent="0.2">
      <c r="B86" s="146"/>
      <c r="C86" s="147" t="s">
        <v>216</v>
      </c>
    </row>
    <row r="87" spans="2:3" x14ac:dyDescent="0.2">
      <c r="B87" s="146"/>
      <c r="C87" s="150" t="s">
        <v>217</v>
      </c>
    </row>
    <row r="88" spans="2:3" x14ac:dyDescent="0.2">
      <c r="B88" s="146"/>
      <c r="C88" s="147" t="s">
        <v>218</v>
      </c>
    </row>
    <row r="89" spans="2:3" x14ac:dyDescent="0.2">
      <c r="B89" s="146"/>
      <c r="C89" s="147" t="s">
        <v>219</v>
      </c>
    </row>
    <row r="90" spans="2:3" x14ac:dyDescent="0.2">
      <c r="B90" s="146"/>
      <c r="C90" s="147" t="s">
        <v>220</v>
      </c>
    </row>
    <row r="91" spans="2:3" x14ac:dyDescent="0.2">
      <c r="B91" s="145"/>
      <c r="C91" s="147" t="s">
        <v>221</v>
      </c>
    </row>
    <row r="92" spans="2:3" x14ac:dyDescent="0.2">
      <c r="B92" s="143" t="s">
        <v>28</v>
      </c>
      <c r="C92" s="147" t="s">
        <v>176</v>
      </c>
    </row>
    <row r="93" spans="2:3" x14ac:dyDescent="0.2">
      <c r="B93" s="146"/>
      <c r="C93" s="147" t="s">
        <v>222</v>
      </c>
    </row>
    <row r="94" spans="2:3" x14ac:dyDescent="0.2">
      <c r="B94" s="146"/>
      <c r="C94" s="147" t="s">
        <v>223</v>
      </c>
    </row>
    <row r="95" spans="2:3" x14ac:dyDescent="0.2">
      <c r="B95" s="146"/>
      <c r="C95" s="147" t="s">
        <v>224</v>
      </c>
    </row>
    <row r="96" spans="2:3" x14ac:dyDescent="0.2">
      <c r="B96" s="146"/>
      <c r="C96" s="147" t="s">
        <v>225</v>
      </c>
    </row>
    <row r="97" spans="2:3" x14ac:dyDescent="0.2">
      <c r="B97" s="146"/>
      <c r="C97" s="147" t="s">
        <v>207</v>
      </c>
    </row>
    <row r="98" spans="2:3" x14ac:dyDescent="0.2">
      <c r="B98" s="146"/>
      <c r="C98" s="147" t="s">
        <v>226</v>
      </c>
    </row>
    <row r="99" spans="2:3" x14ac:dyDescent="0.2">
      <c r="B99" s="145"/>
      <c r="C99" s="147" t="s">
        <v>227</v>
      </c>
    </row>
    <row r="100" spans="2:3" x14ac:dyDescent="0.2">
      <c r="B100" s="144" t="s">
        <v>29</v>
      </c>
      <c r="C100" s="144" t="s">
        <v>29</v>
      </c>
    </row>
    <row r="101" spans="2:3" x14ac:dyDescent="0.2">
      <c r="B101" s="143" t="s">
        <v>30</v>
      </c>
      <c r="C101" s="147" t="s">
        <v>30</v>
      </c>
    </row>
    <row r="102" spans="2:3" x14ac:dyDescent="0.2">
      <c r="B102" s="145"/>
      <c r="C102" s="147" t="s">
        <v>228</v>
      </c>
    </row>
    <row r="103" spans="2:3" x14ac:dyDescent="0.2">
      <c r="B103" s="143" t="s">
        <v>31</v>
      </c>
      <c r="C103" s="144" t="s">
        <v>31</v>
      </c>
    </row>
    <row r="104" spans="2:3" x14ac:dyDescent="0.2">
      <c r="B104" s="145"/>
      <c r="C104" s="144" t="s">
        <v>229</v>
      </c>
    </row>
    <row r="105" spans="2:3" x14ac:dyDescent="0.2">
      <c r="B105" s="143" t="s">
        <v>32</v>
      </c>
      <c r="C105" s="144" t="s">
        <v>32</v>
      </c>
    </row>
    <row r="106" spans="2:3" x14ac:dyDescent="0.2">
      <c r="B106" s="145"/>
      <c r="C106" s="144" t="s">
        <v>230</v>
      </c>
    </row>
    <row r="107" spans="2:3" ht="12.75" customHeight="1" x14ac:dyDescent="0.2"/>
    <row r="108" spans="2:3" x14ac:dyDescent="0.2">
      <c r="B108" s="102" t="s">
        <v>250</v>
      </c>
    </row>
  </sheetData>
  <pageMargins left="0.7" right="0.7" top="0.75" bottom="0.75" header="0.3" footer="0.3"/>
  <pageSetup paperSize="9" fitToHeight="0" orientation="portrait" r:id="rId1"/>
  <rowBreaks count="2" manualBreakCount="2">
    <brk id="52" max="3" man="1"/>
    <brk id="91" max="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D1:O50"/>
  <sheetViews>
    <sheetView showGridLines="0" zoomScaleNormal="100" workbookViewId="0">
      <selection activeCell="E1" sqref="E1"/>
    </sheetView>
  </sheetViews>
  <sheetFormatPr defaultColWidth="9.140625" defaultRowHeight="12.75" x14ac:dyDescent="0.2"/>
  <cols>
    <col min="1" max="1" width="5.7109375" style="1" customWidth="1"/>
    <col min="2" max="3" width="9.140625" style="1"/>
    <col min="4" max="4" width="26.28515625" style="1" customWidth="1"/>
    <col min="5" max="5" width="16.85546875" style="1" customWidth="1"/>
    <col min="6" max="12" width="9.28515625" style="1" customWidth="1"/>
    <col min="13" max="13" width="11.7109375" style="1" customWidth="1"/>
    <col min="14" max="16384" width="9.140625" style="1"/>
  </cols>
  <sheetData>
    <row r="1" spans="4:15" ht="18.75" x14ac:dyDescent="0.25">
      <c r="E1" s="175" t="s">
        <v>237</v>
      </c>
      <c r="F1" s="175"/>
      <c r="G1" s="175"/>
      <c r="H1" s="175"/>
      <c r="I1" s="175"/>
      <c r="J1" s="160"/>
      <c r="K1" s="160"/>
      <c r="L1" s="160"/>
      <c r="M1" s="160"/>
    </row>
    <row r="2" spans="4:15" ht="15.75" x14ac:dyDescent="0.25">
      <c r="E2" s="239" t="s">
        <v>256</v>
      </c>
      <c r="F2" s="240"/>
      <c r="G2" s="240"/>
      <c r="H2" s="240"/>
      <c r="I2" s="240"/>
      <c r="J2" s="160"/>
      <c r="K2" s="160"/>
      <c r="L2" s="160"/>
      <c r="M2" s="160"/>
    </row>
    <row r="3" spans="4:15" ht="15.75" x14ac:dyDescent="0.25">
      <c r="E3" s="239" t="s">
        <v>85</v>
      </c>
      <c r="F3" s="240"/>
      <c r="G3" s="240"/>
      <c r="H3" s="240"/>
      <c r="I3" s="176"/>
      <c r="J3" s="160"/>
      <c r="K3" s="160"/>
      <c r="L3" s="160"/>
      <c r="M3" s="160"/>
    </row>
    <row r="4" spans="4:15" ht="12.75" customHeight="1" thickBot="1" x14ac:dyDescent="0.25">
      <c r="D4" s="203">
        <v>35</v>
      </c>
      <c r="E4" s="201" t="str">
        <f>VLOOKUP(D4,'Dropdown selection'!A2:B36,2,FALSE)</f>
        <v>All subjects</v>
      </c>
      <c r="F4" s="201" t="str">
        <f>VLOOKUP(D5,'Dropdown selection'!$C$1:$D$3,2,FALSE)</f>
        <v>Males and females</v>
      </c>
      <c r="G4" s="201"/>
      <c r="H4" s="201">
        <f>IF(selectedsex="Males",2,IF(selectedsex="Females",9,16))</f>
        <v>16</v>
      </c>
      <c r="I4" s="201">
        <f>IF(selectedsex="Males",2,IF(selectedsex="Females",10,18))</f>
        <v>18</v>
      </c>
      <c r="J4" s="201"/>
      <c r="K4" s="201">
        <v>6</v>
      </c>
      <c r="L4" s="201"/>
      <c r="M4" s="201"/>
    </row>
    <row r="5" spans="4:15" ht="15" customHeight="1" x14ac:dyDescent="0.2">
      <c r="D5" s="203">
        <v>3</v>
      </c>
      <c r="E5" s="246" t="str">
        <f>selectedsubject</f>
        <v>All subjects</v>
      </c>
      <c r="F5" s="248" t="str">
        <f>VLOOKUP(D5,'Dropdown selection'!C1:D3,2,FALSE)</f>
        <v>Males and females</v>
      </c>
      <c r="G5" s="249"/>
      <c r="H5" s="249"/>
      <c r="I5" s="249"/>
      <c r="J5" s="249"/>
      <c r="K5" s="249"/>
      <c r="L5" s="249"/>
      <c r="M5" s="207"/>
    </row>
    <row r="6" spans="4:15" ht="15" customHeight="1" x14ac:dyDescent="0.2">
      <c r="E6" s="247"/>
      <c r="F6" s="241" t="s">
        <v>49</v>
      </c>
      <c r="G6" s="242"/>
      <c r="H6" s="242"/>
      <c r="I6" s="242"/>
      <c r="J6" s="242"/>
      <c r="K6" s="242"/>
      <c r="L6" s="243"/>
      <c r="M6" s="244" t="s">
        <v>91</v>
      </c>
    </row>
    <row r="7" spans="4:15" ht="31.5" customHeight="1" x14ac:dyDescent="0.2">
      <c r="E7" s="208" t="s">
        <v>53</v>
      </c>
      <c r="F7" s="209" t="s">
        <v>90</v>
      </c>
      <c r="G7" s="209" t="s">
        <v>33</v>
      </c>
      <c r="H7" s="209" t="s">
        <v>34</v>
      </c>
      <c r="I7" s="209" t="s">
        <v>35</v>
      </c>
      <c r="J7" s="209" t="s">
        <v>36</v>
      </c>
      <c r="K7" s="209" t="s">
        <v>37</v>
      </c>
      <c r="L7" s="209" t="s">
        <v>140</v>
      </c>
      <c r="M7" s="245"/>
    </row>
    <row r="8" spans="4:15" ht="15" customHeight="1" x14ac:dyDescent="0.2">
      <c r="E8" s="210" t="s">
        <v>257</v>
      </c>
      <c r="F8" s="211">
        <f>VLOOKUP(selectedsubject,'2015 data'!$B$5:$Z$39,$I$4+0,FALSE)</f>
        <v>8.5</v>
      </c>
      <c r="G8" s="211">
        <f>VLOOKUP(selectedsubject,'2015 data'!$B$5:$Z$39,$I$4+1,FALSE)</f>
        <v>17.899999999999999</v>
      </c>
      <c r="H8" s="211">
        <f>VLOOKUP(selectedsubject,'2015 data'!$B$5:$Z$39,$I$4+2,FALSE)</f>
        <v>26.8</v>
      </c>
      <c r="I8" s="211">
        <f>VLOOKUP(selectedsubject,'2015 data'!$B$5:$Z$39,$I$4+3,FALSE)</f>
        <v>24.6</v>
      </c>
      <c r="J8" s="211">
        <f>VLOOKUP(selectedsubject,'2015 data'!$B$5:$Z$39,$I$4+4,FALSE)</f>
        <v>14.8</v>
      </c>
      <c r="K8" s="211">
        <f>VLOOKUP(selectedsubject,'2015 data'!$B$5:$Z$39,$I$4+5,FALSE)</f>
        <v>6.1</v>
      </c>
      <c r="L8" s="211">
        <f>VLOOKUP(selectedsubject,'2015 data'!$B$5:$Z$39,$I$4+6,FALSE)</f>
        <v>98.7</v>
      </c>
      <c r="M8" s="212">
        <f>VLOOKUP(selectedsubject,'2015 data'!$B$5:$Z$39,$I$4+7,FALSE)</f>
        <v>758768</v>
      </c>
    </row>
    <row r="9" spans="4:15" ht="15" customHeight="1" x14ac:dyDescent="0.2">
      <c r="E9" s="210">
        <v>2014</v>
      </c>
      <c r="F9" s="211">
        <f>VLOOKUP(selectedsubject,'2014 data'!$B$5:$Z$39,$I$4+0,FALSE)</f>
        <v>8.6</v>
      </c>
      <c r="G9" s="211">
        <f>VLOOKUP(selectedsubject,'2014 data'!$B$5:$Z$39,$I$4+1,FALSE)</f>
        <v>18.100000000000001</v>
      </c>
      <c r="H9" s="211">
        <f>VLOOKUP(selectedsubject,'2014 data'!$B$5:$Z$39,$I$4+2,FALSE)</f>
        <v>26.3</v>
      </c>
      <c r="I9" s="211">
        <f>VLOOKUP(selectedsubject,'2014 data'!$B$5:$Z$39,$I$4+3,FALSE)</f>
        <v>24.2</v>
      </c>
      <c r="J9" s="211">
        <f>VLOOKUP(selectedsubject,'2014 data'!$B$5:$Z$39,$I$4+4,FALSE)</f>
        <v>14.9</v>
      </c>
      <c r="K9" s="211">
        <f>VLOOKUP(selectedsubject,'2014 data'!$B$5:$Z$39,$I$4+5,FALSE)</f>
        <v>6.5</v>
      </c>
      <c r="L9" s="211">
        <f>VLOOKUP(selectedsubject,'2014 data'!$B$5:$Z$39,$I$4+6,FALSE)</f>
        <v>98.6</v>
      </c>
      <c r="M9" s="212">
        <f>VLOOKUP(selectedsubject,'2014 data'!$B$5:$Z$39,$I$4+7,FALSE)</f>
        <v>742147</v>
      </c>
    </row>
    <row r="10" spans="4:15" ht="15" customHeight="1" x14ac:dyDescent="0.2">
      <c r="E10" s="210">
        <v>2013</v>
      </c>
      <c r="F10" s="211">
        <f>VLOOKUP(selectedsubject,'2013 data'!$B$5:$Z$39,$I$4+0,FALSE)</f>
        <v>7.9</v>
      </c>
      <c r="G10" s="211">
        <f>VLOOKUP(selectedsubject,'2013 data'!$B$5:$Z$39,$I$4+1,FALSE)</f>
        <v>18.899999999999999</v>
      </c>
      <c r="H10" s="211">
        <f>VLOOKUP(selectedsubject,'2013 data'!$B$5:$Z$39,$I$4+2,FALSE)</f>
        <v>26.5</v>
      </c>
      <c r="I10" s="211">
        <f>VLOOKUP(selectedsubject,'2013 data'!$B$5:$Z$39,$I$4+3,FALSE)</f>
        <v>24.3</v>
      </c>
      <c r="J10" s="211">
        <f>VLOOKUP(selectedsubject,'2013 data'!$B$5:$Z$39,$I$4+4,FALSE)</f>
        <v>14.9</v>
      </c>
      <c r="K10" s="211">
        <f>VLOOKUP(selectedsubject,'2013 data'!$B$5:$Z$39,$I$4+5,FALSE)</f>
        <v>6.2</v>
      </c>
      <c r="L10" s="211">
        <f>VLOOKUP(selectedsubject,'2013 data'!$B$5:$Z$39,$I$4+6,FALSE)</f>
        <v>98.7</v>
      </c>
      <c r="M10" s="212">
        <f>VLOOKUP(selectedsubject,'2013 data'!$B$5:$Z$39,$I$4+7,FALSE)</f>
        <v>773645</v>
      </c>
    </row>
    <row r="11" spans="4:15" ht="15" customHeight="1" x14ac:dyDescent="0.2">
      <c r="E11" s="210">
        <v>2012</v>
      </c>
      <c r="F11" s="211">
        <f>VLOOKUP(selectedsubject,'2012 data'!$B$5:$Z$39,$I$4+0,FALSE)</f>
        <v>8.1999999999999993</v>
      </c>
      <c r="G11" s="211">
        <f>VLOOKUP(selectedsubject,'2012 data'!$B$5:$Z$39,$I$4+1,FALSE)</f>
        <v>18.8</v>
      </c>
      <c r="H11" s="211">
        <f>VLOOKUP(selectedsubject,'2012 data'!$B$5:$Z$39,$I$4+2,FALSE)</f>
        <v>25.9</v>
      </c>
      <c r="I11" s="211">
        <f>VLOOKUP(selectedsubject,'2012 data'!$B$5:$Z$39,$I$4+3,FALSE)</f>
        <v>24</v>
      </c>
      <c r="J11" s="211">
        <f>VLOOKUP(selectedsubject,'2012 data'!$B$5:$Z$39,$I$4+4,FALSE)</f>
        <v>15.1</v>
      </c>
      <c r="K11" s="211">
        <f>VLOOKUP(selectedsubject,'2012 data'!$B$5:$Z$39,$I$4+5,FALSE)</f>
        <v>6.5</v>
      </c>
      <c r="L11" s="211">
        <f>VLOOKUP(selectedsubject,'2012 data'!$B$5:$Z$39,$I$4+6,FALSE)</f>
        <v>98.6</v>
      </c>
      <c r="M11" s="212">
        <f>VLOOKUP(selectedsubject,'2012 data'!$B$5:$Z$39,$I$4+7,FALSE)</f>
        <v>779479</v>
      </c>
    </row>
    <row r="12" spans="4:15" ht="15" customHeight="1" x14ac:dyDescent="0.2">
      <c r="D12" s="161"/>
      <c r="E12" s="210">
        <v>2011</v>
      </c>
      <c r="F12" s="211">
        <f>VLOOKUP(selectedsubject,'2011 data'!$B$5:$Z$39,$I$4+0,FALSE)</f>
        <v>8.4</v>
      </c>
      <c r="G12" s="211">
        <f>VLOOKUP(selectedsubject,'2011 data'!$B$5:$Z$39,$I$4+1,FALSE)</f>
        <v>18.8</v>
      </c>
      <c r="H12" s="211">
        <f>VLOOKUP(selectedsubject,'2011 data'!$B$5:$Z$39,$I$4+2,FALSE)</f>
        <v>25.6</v>
      </c>
      <c r="I12" s="211">
        <f>VLOOKUP(selectedsubject,'2011 data'!$B$5:$Z$39,$I$4+3,FALSE)</f>
        <v>23.8</v>
      </c>
      <c r="J12" s="211">
        <f>VLOOKUP(selectedsubject,'2011 data'!$B$5:$Z$39,$I$4+4,FALSE)</f>
        <v>15.2</v>
      </c>
      <c r="K12" s="211">
        <f>VLOOKUP(selectedsubject,'2011 data'!$B$5:$Z$39,$I$4+5,FALSE)</f>
        <v>6.7</v>
      </c>
      <c r="L12" s="211">
        <f>VLOOKUP(selectedsubject,'2011 data'!$B$5:$Z$39,$I$4+6,FALSE)</f>
        <v>98.5</v>
      </c>
      <c r="M12" s="212">
        <f>VLOOKUP(selectedsubject,'2011 data'!$B$5:$Z$39,$I$4+7,FALSE)</f>
        <v>782771</v>
      </c>
    </row>
    <row r="13" spans="4:15" ht="15" customHeight="1" x14ac:dyDescent="0.2">
      <c r="E13" s="210">
        <v>2010</v>
      </c>
      <c r="F13" s="211">
        <f>VLOOKUP(selectedsubject,'2010 data'!$B$5:$Z$39,$I$4+0,FALSE)</f>
        <v>8</v>
      </c>
      <c r="G13" s="211">
        <f>VLOOKUP(selectedsubject,'2010 data'!$B$5:$Z$39,$I$4+1,FALSE)</f>
        <v>18.899999999999999</v>
      </c>
      <c r="H13" s="211">
        <f>VLOOKUP(selectedsubject,'2010 data'!$B$5:$Z$39,$I$4+2,FALSE)</f>
        <v>25.2</v>
      </c>
      <c r="I13" s="211">
        <f>VLOOKUP(selectedsubject,'2010 data'!$B$5:$Z$39,$I$4+3,FALSE)</f>
        <v>23.5</v>
      </c>
      <c r="J13" s="211">
        <f>VLOOKUP(selectedsubject,'2010 data'!$B$5:$Z$39,$I$4+4,FALSE)</f>
        <v>15.5</v>
      </c>
      <c r="K13" s="211">
        <f>VLOOKUP(selectedsubject,'2010 data'!$B$5:$Z$39,$I$4+5,FALSE)</f>
        <v>7.1</v>
      </c>
      <c r="L13" s="211">
        <f>VLOOKUP(selectedsubject,'2010 data'!$B$5:$Z$39,$I$4+6,FALSE)</f>
        <v>98.3</v>
      </c>
      <c r="M13" s="212">
        <f>VLOOKUP(selectedsubject,'2010 data'!$B$5:$Z$39,$I$4+7,FALSE)</f>
        <v>783347</v>
      </c>
    </row>
    <row r="14" spans="4:15" ht="15" customHeight="1" x14ac:dyDescent="0.2">
      <c r="E14" s="210">
        <v>2009</v>
      </c>
      <c r="F14" s="211" t="s">
        <v>50</v>
      </c>
      <c r="G14" s="211">
        <f>VLOOKUP(selectedsubject,'2009 data'!$B$5:$W$39,$H$4+0,FALSE)</f>
        <v>26.8</v>
      </c>
      <c r="H14" s="211">
        <f>VLOOKUP(selectedsubject,'2009 data'!$B$5:$W$39,$H$4+1,FALSE)</f>
        <v>25.1</v>
      </c>
      <c r="I14" s="211">
        <f>VLOOKUP(selectedsubject,'2009 data'!$B$5:$W$39,$H$4+2,FALSE)</f>
        <v>23.2</v>
      </c>
      <c r="J14" s="211">
        <f>VLOOKUP(selectedsubject,'2009 data'!$B$5:$W$39,$H$4+3,FALSE)</f>
        <v>15.5</v>
      </c>
      <c r="K14" s="211">
        <f>VLOOKUP(selectedsubject,'2009 data'!$B$5:$W$39,$H$4+4,FALSE)</f>
        <v>7.4</v>
      </c>
      <c r="L14" s="211">
        <f>VLOOKUP(selectedsubject,'2009 data'!$B$5:$W$39,$H$4+5,FALSE)</f>
        <v>98.1</v>
      </c>
      <c r="M14" s="212">
        <f>VLOOKUP(selectedsubject,'2009 data'!$B$5:$W$39,$H$4+6,FALSE)</f>
        <v>757696</v>
      </c>
      <c r="O14" s="162"/>
    </row>
    <row r="15" spans="4:15" ht="15" customHeight="1" x14ac:dyDescent="0.2">
      <c r="E15" s="210">
        <v>2008</v>
      </c>
      <c r="F15" s="211" t="s">
        <v>50</v>
      </c>
      <c r="G15" s="211">
        <f>VLOOKUP(selectedsubject,'2008 data'!$B$5:$W$39,$H$4+0,FALSE)</f>
        <v>25.9</v>
      </c>
      <c r="H15" s="211">
        <f>VLOOKUP(selectedsubject,'2008 data'!$B$5:$W$39,$H$4+1,FALSE)</f>
        <v>24.7</v>
      </c>
      <c r="I15" s="211">
        <f>VLOOKUP(selectedsubject,'2008 data'!$B$5:$W$39,$H$4+2,FALSE)</f>
        <v>23.3</v>
      </c>
      <c r="J15" s="211">
        <f>VLOOKUP(selectedsubject,'2008 data'!$B$5:$W$39,$H$4+3,FALSE)</f>
        <v>16</v>
      </c>
      <c r="K15" s="211">
        <f>VLOOKUP(selectedsubject,'2008 data'!$B$5:$W$39,$H$4+4,FALSE)</f>
        <v>7.9</v>
      </c>
      <c r="L15" s="211">
        <f>VLOOKUP(selectedsubject,'2008 data'!$B$5:$W$39,$H$4+5,FALSE)</f>
        <v>97.8</v>
      </c>
      <c r="M15" s="212">
        <f>VLOOKUP(selectedsubject,'2008 data'!$B$5:$W$39,$H$4+6,FALSE)</f>
        <v>741356</v>
      </c>
      <c r="O15" s="162"/>
    </row>
    <row r="16" spans="4:15" ht="15" customHeight="1" x14ac:dyDescent="0.2">
      <c r="E16" s="210">
        <v>2007</v>
      </c>
      <c r="F16" s="211" t="s">
        <v>50</v>
      </c>
      <c r="G16" s="211">
        <f>VLOOKUP(selectedsubject,data2007,$H$4+0,FALSE)</f>
        <v>25.3</v>
      </c>
      <c r="H16" s="211">
        <f>VLOOKUP(selectedsubject,data2007,$H$4+1,FALSE)</f>
        <v>24.2</v>
      </c>
      <c r="I16" s="211">
        <f>VLOOKUP(selectedsubject,data2007,$H$4+2,FALSE)</f>
        <v>23.1</v>
      </c>
      <c r="J16" s="211">
        <f>VLOOKUP(selectedsubject,data2007,$H$4+3,FALSE)</f>
        <v>16.399999999999999</v>
      </c>
      <c r="K16" s="211">
        <f>VLOOKUP(selectedsubject,data2007,$H$4+4,FALSE)</f>
        <v>8.4</v>
      </c>
      <c r="L16" s="211">
        <f>VLOOKUP(selectedsubject,data2007,$H$4+5,FALSE)</f>
        <v>97.4</v>
      </c>
      <c r="M16" s="212">
        <f>VLOOKUP(selectedsubject,data2007,$H$4+6,FALSE)</f>
        <v>718756</v>
      </c>
      <c r="O16" s="162"/>
    </row>
    <row r="17" spans="5:15" ht="15" customHeight="1" x14ac:dyDescent="0.2">
      <c r="E17" s="213">
        <v>2006</v>
      </c>
      <c r="F17" s="211" t="s">
        <v>50</v>
      </c>
      <c r="G17" s="211">
        <f>VLOOKUP(selectedsubject,data2006_new,$H$4+0,FALSE)</f>
        <v>24</v>
      </c>
      <c r="H17" s="211">
        <f>VLOOKUP(selectedsubject,data2006_new,$H$4+1,FALSE)</f>
        <v>23.8</v>
      </c>
      <c r="I17" s="211">
        <f>VLOOKUP(selectedsubject,data2006_new,$H$4+2,FALSE)</f>
        <v>23.4</v>
      </c>
      <c r="J17" s="211">
        <f>VLOOKUP(selectedsubject,data2006_new,$H$4+3,FALSE)</f>
        <v>17</v>
      </c>
      <c r="K17" s="211">
        <f>VLOOKUP(selectedsubject,data2006_new,$H$4+4,FALSE)</f>
        <v>9</v>
      </c>
      <c r="L17" s="211">
        <f>VLOOKUP(selectedsubject,data2006_new,$H$4+5,FALSE)</f>
        <v>97.2</v>
      </c>
      <c r="M17" s="212">
        <f>VLOOKUP(selectedsubject,data2006_new,$H$4+6,FALSE)</f>
        <v>715203</v>
      </c>
      <c r="O17" s="162"/>
    </row>
    <row r="18" spans="5:15" ht="15" customHeight="1" x14ac:dyDescent="0.2">
      <c r="E18" s="213">
        <v>2005</v>
      </c>
      <c r="F18" s="211" t="s">
        <v>50</v>
      </c>
      <c r="G18" s="211">
        <f>VLOOKUP(selectedsubject,data2005_new,$H$4+0,FALSE)</f>
        <v>22.7</v>
      </c>
      <c r="H18" s="211">
        <f>VLOOKUP(selectedsubject,data2005_new,$H$4+1,FALSE)</f>
        <v>23.6</v>
      </c>
      <c r="I18" s="211">
        <f>VLOOKUP(selectedsubject,data2005_new,$H$4+2,FALSE)</f>
        <v>23.5</v>
      </c>
      <c r="J18" s="211">
        <f>VLOOKUP(selectedsubject,data2005_new,$H$4+3,FALSE)</f>
        <v>17.600000000000001</v>
      </c>
      <c r="K18" s="211">
        <f>VLOOKUP(selectedsubject,data2005_new,$H$4+4,FALSE)</f>
        <v>9.5</v>
      </c>
      <c r="L18" s="211">
        <f>VLOOKUP(selectedsubject,data2005_new,$H$4+5,FALSE)</f>
        <v>96.8</v>
      </c>
      <c r="M18" s="212">
        <f>VLOOKUP(selectedsubject,data2005_new,$H$4+6,FALSE)</f>
        <v>691371</v>
      </c>
      <c r="O18" s="162"/>
    </row>
    <row r="19" spans="5:15" ht="15" customHeight="1" x14ac:dyDescent="0.2">
      <c r="E19" s="213">
        <v>2004</v>
      </c>
      <c r="F19" s="211" t="s">
        <v>50</v>
      </c>
      <c r="G19" s="211">
        <f>VLOOKUP(selectedsubject,data2004_new,$H$4+0,FALSE)</f>
        <v>22.3</v>
      </c>
      <c r="H19" s="211">
        <f>VLOOKUP(selectedsubject,data2004_new,$H$4+1,FALSE)</f>
        <v>23.2</v>
      </c>
      <c r="I19" s="211">
        <f>VLOOKUP(selectedsubject,data2004_new,$H$4+2,FALSE)</f>
        <v>23.4</v>
      </c>
      <c r="J19" s="211">
        <f>VLOOKUP(selectedsubject,data2004_new,$H$4+3,FALSE)</f>
        <v>17.899999999999999</v>
      </c>
      <c r="K19" s="211">
        <f>VLOOKUP(selectedsubject,data2004_new,$H$4+4,FALSE)</f>
        <v>9.8000000000000007</v>
      </c>
      <c r="L19" s="211">
        <f>VLOOKUP(selectedsubject,data2004_new,$H$4+5,FALSE)</f>
        <v>96.6</v>
      </c>
      <c r="M19" s="212">
        <f>VLOOKUP(selectedsubject,data2004_new,$H$4+6,FALSE)</f>
        <v>675924</v>
      </c>
      <c r="O19" s="162"/>
    </row>
    <row r="20" spans="5:15" ht="15" customHeight="1" x14ac:dyDescent="0.2">
      <c r="E20" s="213">
        <v>2003</v>
      </c>
      <c r="F20" s="211" t="s">
        <v>50</v>
      </c>
      <c r="G20" s="211">
        <f>VLOOKUP(selectedsubject,data2003_new,$H$4+0,FALSE)</f>
        <v>21.5</v>
      </c>
      <c r="H20" s="211">
        <f>VLOOKUP(selectedsubject,data2003_new,$H$4+1,FALSE)</f>
        <v>22.7</v>
      </c>
      <c r="I20" s="211">
        <f>VLOOKUP(selectedsubject,data2003_new,$H$4+2,FALSE)</f>
        <v>23.2</v>
      </c>
      <c r="J20" s="211">
        <f>VLOOKUP(selectedsubject,data2003_new,$H$4+3,FALSE)</f>
        <v>18.3</v>
      </c>
      <c r="K20" s="211">
        <f>VLOOKUP(selectedsubject,data2003_new,$H$4+4,FALSE)</f>
        <v>10.4</v>
      </c>
      <c r="L20" s="211">
        <f>VLOOKUP(selectedsubject,data2003_new,$H$4+5,FALSE)</f>
        <v>96.1</v>
      </c>
      <c r="M20" s="212">
        <f>VLOOKUP(selectedsubject,data2003_new,$H$4+6,FALSE)</f>
        <v>662670</v>
      </c>
      <c r="O20" s="162"/>
    </row>
    <row r="21" spans="5:15" ht="15" customHeight="1" x14ac:dyDescent="0.2">
      <c r="E21" s="213">
        <v>2002</v>
      </c>
      <c r="F21" s="211" t="s">
        <v>50</v>
      </c>
      <c r="G21" s="211">
        <f>VLOOKUP(selectedsubject,data2002_new,$H$4+0,FALSE)</f>
        <v>20.5</v>
      </c>
      <c r="H21" s="211">
        <f>VLOOKUP(selectedsubject,data2002_new,$H$4+1,FALSE)</f>
        <v>21.8</v>
      </c>
      <c r="I21" s="211">
        <f>VLOOKUP(selectedsubject,data2002_new,$H$4+2,FALSE)</f>
        <v>22.8</v>
      </c>
      <c r="J21" s="211">
        <f>VLOOKUP(selectedsubject,data2002_new,$H$4+3,FALSE)</f>
        <v>18.5</v>
      </c>
      <c r="K21" s="211">
        <f>VLOOKUP(selectedsubject,data2002_new,$H$4+4,FALSE)</f>
        <v>11.1</v>
      </c>
      <c r="L21" s="211">
        <f>VLOOKUP(selectedsubject,data2002_new,$H$4+5,FALSE)</f>
        <v>94.8</v>
      </c>
      <c r="M21" s="212">
        <f>VLOOKUP(selectedsubject,data2002_new,$H$4+6,FALSE)</f>
        <v>645033</v>
      </c>
      <c r="O21" s="162"/>
    </row>
    <row r="22" spans="5:15" ht="15" customHeight="1" x14ac:dyDescent="0.2">
      <c r="E22" s="213">
        <v>2001</v>
      </c>
      <c r="F22" s="211" t="s">
        <v>50</v>
      </c>
      <c r="G22" s="211">
        <f>VLOOKUP(selectedsubject,data2001_new,$H$4+0,FALSE)</f>
        <v>18.7</v>
      </c>
      <c r="H22" s="211">
        <f>VLOOKUP(selectedsubject,data2001_new,$H$4+1,FALSE)</f>
        <v>19.3</v>
      </c>
      <c r="I22" s="211">
        <f>VLOOKUP(selectedsubject,data2001_new,$H$4+2,FALSE)</f>
        <v>21.6</v>
      </c>
      <c r="J22" s="211">
        <f>VLOOKUP(selectedsubject,data2001_new,$H$4+3,FALSE)</f>
        <v>18.2</v>
      </c>
      <c r="K22" s="211">
        <f>VLOOKUP(selectedsubject,data2001_new,$H$4+4,FALSE)</f>
        <v>12.2</v>
      </c>
      <c r="L22" s="211">
        <f>VLOOKUP(selectedsubject,data2001_new,$H$4+5,FALSE)</f>
        <v>90</v>
      </c>
      <c r="M22" s="212">
        <f>VLOOKUP(selectedsubject,data2001_new,$H$4+6,FALSE)</f>
        <v>681553</v>
      </c>
      <c r="O22" s="162"/>
    </row>
    <row r="23" spans="5:15" ht="15" customHeight="1" x14ac:dyDescent="0.2">
      <c r="E23" s="213">
        <v>2000</v>
      </c>
      <c r="F23" s="211" t="s">
        <v>50</v>
      </c>
      <c r="G23" s="211">
        <f>VLOOKUP(selectedsubject,data2000_new,$H$4+0,FALSE)</f>
        <v>18</v>
      </c>
      <c r="H23" s="211">
        <f>VLOOKUP(selectedsubject,data2000_new,$H$4+1,FALSE)</f>
        <v>19.100000000000001</v>
      </c>
      <c r="I23" s="211">
        <f>VLOOKUP(selectedsubject,data2000_new,$H$4+2,FALSE)</f>
        <v>21.4</v>
      </c>
      <c r="J23" s="211">
        <f>VLOOKUP(selectedsubject,data2000_new,$H$4+3,FALSE)</f>
        <v>18.600000000000001</v>
      </c>
      <c r="K23" s="211">
        <f>VLOOKUP(selectedsubject,data2000_new,$H$4+4,FALSE)</f>
        <v>12.5</v>
      </c>
      <c r="L23" s="211">
        <f>VLOOKUP(selectedsubject,data2000_new,$H$4+5,FALSE)</f>
        <v>89.5</v>
      </c>
      <c r="M23" s="212">
        <f>VLOOKUP(selectedsubject,data2000_new,$H$4+6,FALSE)</f>
        <v>672362</v>
      </c>
      <c r="O23" s="162"/>
    </row>
    <row r="24" spans="5:15" ht="15" customHeight="1" x14ac:dyDescent="0.2">
      <c r="E24" s="213">
        <v>1999</v>
      </c>
      <c r="F24" s="211" t="s">
        <v>50</v>
      </c>
      <c r="G24" s="211">
        <f>VLOOKUP(selectedsubject,data1999_new,$H$4+0,FALSE)</f>
        <v>17.7</v>
      </c>
      <c r="H24" s="211">
        <f>VLOOKUP(selectedsubject,data1999_new,$H$4+1,FALSE)</f>
        <v>19.100000000000001</v>
      </c>
      <c r="I24" s="211">
        <f>VLOOKUP(selectedsubject,data1999_new,$H$4+2,FALSE)</f>
        <v>21.2</v>
      </c>
      <c r="J24" s="211">
        <f>VLOOKUP(selectedsubject,data1999_new,$H$4+3,FALSE)</f>
        <v>18.399999999999999</v>
      </c>
      <c r="K24" s="211">
        <f>VLOOKUP(selectedsubject,data1999_new,$H$4+4,FALSE)</f>
        <v>12.7</v>
      </c>
      <c r="L24" s="211">
        <f>VLOOKUP(selectedsubject,data1999_new,$H$4+5,FALSE)</f>
        <v>89</v>
      </c>
      <c r="M24" s="212">
        <f>VLOOKUP(selectedsubject,data1999_new,$H$4+6,FALSE)</f>
        <v>680048</v>
      </c>
      <c r="O24" s="162"/>
    </row>
    <row r="25" spans="5:15" ht="15" customHeight="1" x14ac:dyDescent="0.2">
      <c r="E25" s="213">
        <v>1998</v>
      </c>
      <c r="F25" s="211" t="s">
        <v>50</v>
      </c>
      <c r="G25" s="211">
        <f>VLOOKUP(selectedsubject,data1998_new,$H$4+0,FALSE)</f>
        <v>17.100000000000001</v>
      </c>
      <c r="H25" s="211">
        <f>VLOOKUP(selectedsubject,data1998_new,$H$4+1,FALSE)</f>
        <v>18.899999999999999</v>
      </c>
      <c r="I25" s="211">
        <f>VLOOKUP(selectedsubject,data1998_new,$H$4+2,FALSE)</f>
        <v>20.9</v>
      </c>
      <c r="J25" s="211">
        <f>VLOOKUP(selectedsubject,data1998_new,$H$4+3,FALSE)</f>
        <v>18.399999999999999</v>
      </c>
      <c r="K25" s="211">
        <f>VLOOKUP(selectedsubject,data1998_new,$H$4+4,FALSE)</f>
        <v>13</v>
      </c>
      <c r="L25" s="211">
        <f>VLOOKUP(selectedsubject,data1998_new,$H$4+5,FALSE)</f>
        <v>88.3</v>
      </c>
      <c r="M25" s="212">
        <f>VLOOKUP(selectedsubject,data1998_new,$H$4+6,FALSE)</f>
        <v>681082</v>
      </c>
      <c r="O25" s="162"/>
    </row>
    <row r="26" spans="5:15" ht="15" customHeight="1" x14ac:dyDescent="0.2">
      <c r="E26" s="213">
        <v>1997</v>
      </c>
      <c r="F26" s="211" t="s">
        <v>50</v>
      </c>
      <c r="G26" s="211">
        <f>VLOOKUP(selectedsubject,data1997_new,$H$4+0,FALSE)</f>
        <v>16.100000000000001</v>
      </c>
      <c r="H26" s="211">
        <f>VLOOKUP(selectedsubject,data1997_new,$H$4+1,FALSE)</f>
        <v>18.899999999999999</v>
      </c>
      <c r="I26" s="211">
        <f>VLOOKUP(selectedsubject,data1997_new,$H$4+2,FALSE)</f>
        <v>20.3</v>
      </c>
      <c r="J26" s="211">
        <f>VLOOKUP(selectedsubject,data1997_new,$H$4+3,FALSE)</f>
        <v>18.5</v>
      </c>
      <c r="K26" s="211">
        <f>VLOOKUP(selectedsubject,data1997_new,$H$4+4,FALSE)</f>
        <v>13.3</v>
      </c>
      <c r="L26" s="211">
        <f>VLOOKUP(selectedsubject,data1997_new,$H$4+5,FALSE)</f>
        <v>87.2</v>
      </c>
      <c r="M26" s="212">
        <f>VLOOKUP(selectedsubject,data1997_new,$H$4+6,FALSE)</f>
        <v>662163</v>
      </c>
      <c r="O26" s="163"/>
    </row>
    <row r="27" spans="5:15" ht="12.75" customHeight="1" thickBot="1" x14ac:dyDescent="0.25">
      <c r="E27" s="214">
        <v>1996</v>
      </c>
      <c r="F27" s="215" t="s">
        <v>50</v>
      </c>
      <c r="G27" s="215">
        <f>VLOOKUP(selectedsubject,data1996_new,$H$4+0,FALSE)</f>
        <v>16.2</v>
      </c>
      <c r="H27" s="215">
        <f>VLOOKUP(selectedsubject,data1996_new,$H$4+1,FALSE)</f>
        <v>18</v>
      </c>
      <c r="I27" s="215">
        <f>VLOOKUP(selectedsubject,data1996_new,$H$4+2,FALSE)</f>
        <v>19.7</v>
      </c>
      <c r="J27" s="215">
        <f>VLOOKUP(selectedsubject,data1996_new,$H$4+3,FALSE)</f>
        <v>18.100000000000001</v>
      </c>
      <c r="K27" s="215">
        <f>VLOOKUP(selectedsubject,data1996_new,$H$4+4,FALSE)</f>
        <v>13.6</v>
      </c>
      <c r="L27" s="215">
        <f>VLOOKUP(selectedsubject,data1996_new,$H$4+5,FALSE)</f>
        <v>85.6</v>
      </c>
      <c r="M27" s="216">
        <f>VLOOKUP(selectedsubject,data1996_new,$H$4+6,FALSE)</f>
        <v>620164</v>
      </c>
      <c r="O27" s="163"/>
    </row>
    <row r="28" spans="5:15" ht="12.75" customHeight="1" x14ac:dyDescent="0.2">
      <c r="E28" s="220"/>
      <c r="F28" s="220"/>
      <c r="G28" s="220"/>
      <c r="H28" s="220"/>
      <c r="I28" s="220"/>
      <c r="J28" s="220"/>
      <c r="K28" s="220"/>
      <c r="L28" s="221"/>
      <c r="M28" s="222" t="s">
        <v>146</v>
      </c>
    </row>
    <row r="29" spans="5:15" ht="12.75" customHeight="1" x14ac:dyDescent="0.2">
      <c r="E29" s="220"/>
      <c r="F29" s="220"/>
      <c r="G29" s="220"/>
      <c r="H29" s="220"/>
      <c r="I29" s="220"/>
      <c r="J29" s="220"/>
      <c r="K29" s="220"/>
      <c r="L29" s="222"/>
      <c r="M29" s="223"/>
    </row>
    <row r="30" spans="5:15" ht="12.75" customHeight="1" x14ac:dyDescent="0.2">
      <c r="E30" s="177" t="s">
        <v>252</v>
      </c>
      <c r="F30" s="224"/>
      <c r="G30" s="224"/>
      <c r="H30" s="224"/>
      <c r="I30" s="224"/>
      <c r="J30" s="224"/>
      <c r="K30" s="225"/>
      <c r="L30" s="225"/>
      <c r="M30" s="225"/>
    </row>
    <row r="31" spans="5:15" ht="12.75" customHeight="1" x14ac:dyDescent="0.2">
      <c r="E31" s="178" t="s">
        <v>258</v>
      </c>
      <c r="F31" s="223"/>
      <c r="G31" s="225"/>
      <c r="H31" s="225"/>
      <c r="I31" s="225"/>
      <c r="J31" s="225"/>
      <c r="K31" s="225"/>
      <c r="L31" s="225"/>
      <c r="M31" s="225"/>
    </row>
    <row r="32" spans="5:15" ht="12.75" customHeight="1" x14ac:dyDescent="0.2">
      <c r="E32" s="205"/>
      <c r="F32" s="223"/>
      <c r="G32" s="225"/>
      <c r="H32" s="225"/>
      <c r="I32" s="225"/>
      <c r="J32" s="225"/>
      <c r="K32" s="225"/>
      <c r="L32" s="225"/>
      <c r="M32" s="225"/>
    </row>
    <row r="33" spans="5:14" ht="12.75" customHeight="1" x14ac:dyDescent="0.2">
      <c r="E33" s="156" t="s">
        <v>142</v>
      </c>
      <c r="F33" s="223"/>
      <c r="G33" s="225"/>
      <c r="H33" s="225"/>
      <c r="I33" s="225"/>
      <c r="J33" s="225"/>
      <c r="K33" s="225"/>
      <c r="L33" s="225"/>
      <c r="M33" s="225"/>
    </row>
    <row r="34" spans="5:14" ht="12.75" customHeight="1" x14ac:dyDescent="0.2">
      <c r="E34" s="157" t="s">
        <v>249</v>
      </c>
      <c r="F34" s="223"/>
      <c r="G34" s="226"/>
      <c r="H34" s="225"/>
      <c r="I34" s="225"/>
      <c r="J34" s="225"/>
      <c r="K34" s="225"/>
      <c r="L34" s="225"/>
      <c r="M34" s="225"/>
    </row>
    <row r="35" spans="5:14" ht="12.75" customHeight="1" x14ac:dyDescent="0.2">
      <c r="E35" s="157" t="s">
        <v>262</v>
      </c>
      <c r="F35" s="223"/>
      <c r="G35" s="226"/>
      <c r="H35" s="225"/>
      <c r="I35" s="225"/>
      <c r="J35" s="225"/>
      <c r="K35" s="225"/>
      <c r="L35" s="225"/>
      <c r="M35" s="225"/>
    </row>
    <row r="36" spans="5:14" ht="12.75" customHeight="1" x14ac:dyDescent="0.2">
      <c r="E36" s="155" t="s">
        <v>143</v>
      </c>
      <c r="F36" s="227"/>
      <c r="G36" s="227"/>
      <c r="H36" s="227"/>
      <c r="I36" s="227"/>
      <c r="J36" s="227"/>
      <c r="K36" s="227"/>
      <c r="L36" s="227"/>
      <c r="M36" s="227"/>
    </row>
    <row r="37" spans="5:14" ht="12.75" customHeight="1" x14ac:dyDescent="0.2">
      <c r="E37" s="155" t="s">
        <v>248</v>
      </c>
      <c r="F37" s="227"/>
      <c r="G37" s="227"/>
      <c r="H37" s="227"/>
      <c r="I37" s="227"/>
      <c r="J37" s="227"/>
      <c r="K37" s="227"/>
      <c r="L37" s="227"/>
      <c r="M37" s="227"/>
    </row>
    <row r="38" spans="5:14" ht="12.75" customHeight="1" x14ac:dyDescent="0.2">
      <c r="E38" s="155" t="s">
        <v>245</v>
      </c>
      <c r="F38" s="227"/>
      <c r="G38" s="227"/>
      <c r="H38" s="227"/>
      <c r="I38" s="227"/>
      <c r="J38" s="227"/>
      <c r="K38" s="227"/>
      <c r="L38" s="227"/>
      <c r="M38" s="227"/>
    </row>
    <row r="39" spans="5:14" ht="12.75" customHeight="1" x14ac:dyDescent="0.2">
      <c r="E39" s="179" t="s">
        <v>144</v>
      </c>
      <c r="F39" s="227"/>
      <c r="G39" s="227"/>
      <c r="H39" s="227"/>
      <c r="I39" s="227"/>
      <c r="J39" s="227"/>
      <c r="K39" s="227"/>
      <c r="L39" s="227"/>
      <c r="M39" s="227"/>
    </row>
    <row r="40" spans="5:14" x14ac:dyDescent="0.2">
      <c r="E40" s="158" t="s">
        <v>145</v>
      </c>
      <c r="F40" s="228"/>
      <c r="G40" s="228"/>
      <c r="H40" s="228"/>
      <c r="I40" s="228"/>
      <c r="J40" s="228"/>
      <c r="K40" s="228"/>
      <c r="L40" s="228"/>
      <c r="M40" s="228"/>
    </row>
    <row r="41" spans="5:14" x14ac:dyDescent="0.2">
      <c r="F41" s="174"/>
    </row>
    <row r="42" spans="5:14" x14ac:dyDescent="0.2">
      <c r="E42" s="167"/>
      <c r="F42" s="165"/>
      <c r="G42" s="166"/>
      <c r="H42" s="166"/>
      <c r="I42" s="166"/>
      <c r="J42" s="166"/>
      <c r="K42" s="166"/>
      <c r="L42" s="166"/>
      <c r="M42" s="166"/>
    </row>
    <row r="43" spans="5:14" x14ac:dyDescent="0.2">
      <c r="E43" s="168"/>
      <c r="F43" s="165"/>
      <c r="G43" s="169"/>
      <c r="H43" s="166"/>
      <c r="I43" s="166"/>
      <c r="J43" s="166"/>
      <c r="K43" s="166"/>
      <c r="L43" s="166"/>
      <c r="M43" s="166"/>
    </row>
    <row r="44" spans="5:14" x14ac:dyDescent="0.2">
      <c r="E44" s="168"/>
      <c r="F44" s="165"/>
      <c r="G44" s="169"/>
      <c r="H44" s="166"/>
      <c r="I44" s="166"/>
      <c r="J44" s="166"/>
      <c r="K44" s="166"/>
      <c r="L44" s="166"/>
      <c r="M44" s="166"/>
    </row>
    <row r="45" spans="5:14" x14ac:dyDescent="0.2">
      <c r="E45" s="170"/>
      <c r="F45" s="171"/>
      <c r="G45" s="171"/>
      <c r="H45" s="171"/>
      <c r="I45" s="171"/>
      <c r="J45" s="171"/>
      <c r="K45" s="171"/>
      <c r="L45" s="171"/>
      <c r="M45" s="171"/>
    </row>
    <row r="46" spans="5:14" x14ac:dyDescent="0.2">
      <c r="E46" s="170"/>
      <c r="F46" s="171"/>
      <c r="G46" s="171"/>
      <c r="H46" s="171"/>
      <c r="I46" s="171"/>
      <c r="J46" s="171"/>
      <c r="K46" s="171"/>
      <c r="L46" s="171"/>
      <c r="M46" s="171"/>
    </row>
    <row r="47" spans="5:14" x14ac:dyDescent="0.2">
      <c r="E47" s="170"/>
      <c r="F47" s="171"/>
      <c r="G47" s="171"/>
      <c r="H47" s="171"/>
      <c r="I47" s="171"/>
      <c r="J47" s="171"/>
      <c r="K47" s="171"/>
      <c r="L47" s="171"/>
      <c r="M47" s="171"/>
      <c r="N47" s="199"/>
    </row>
    <row r="48" spans="5:14" x14ac:dyDescent="0.2">
      <c r="E48" s="199"/>
      <c r="F48" s="199"/>
      <c r="G48" s="199"/>
      <c r="H48" s="199"/>
      <c r="I48" s="199"/>
      <c r="J48" s="199"/>
      <c r="K48" s="199"/>
      <c r="L48" s="199"/>
      <c r="M48" s="199"/>
      <c r="N48" s="199"/>
    </row>
    <row r="49" spans="5:13" x14ac:dyDescent="0.2">
      <c r="E49" s="199"/>
      <c r="F49" s="199"/>
      <c r="G49" s="199"/>
      <c r="H49" s="199"/>
      <c r="I49" s="199"/>
      <c r="J49" s="199"/>
      <c r="K49" s="199"/>
      <c r="L49" s="199"/>
      <c r="M49" s="199"/>
    </row>
    <row r="50" spans="5:13" x14ac:dyDescent="0.2">
      <c r="E50" s="172"/>
      <c r="F50" s="174"/>
    </row>
  </sheetData>
  <sheetProtection password="C5A0" sheet="1" objects="1" scenarios="1"/>
  <mergeCells count="6">
    <mergeCell ref="E2:I2"/>
    <mergeCell ref="E3:H3"/>
    <mergeCell ref="F6:L6"/>
    <mergeCell ref="M6:M7"/>
    <mergeCell ref="E5:E6"/>
    <mergeCell ref="F5:L5"/>
  </mergeCells>
  <phoneticPr fontId="3" type="noConversion"/>
  <pageMargins left="0.75" right="0.75" top="1" bottom="1" header="0.5" footer="0.5"/>
  <pageSetup paperSize="9" scale="7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6" r:id="rId4" name="List Box 6">
              <controlPr defaultSize="0" autoLine="0" autoPict="0" macro="[0]!ListBox6_Change">
                <anchor moveWithCells="1">
                  <from>
                    <xdr:col>0</xdr:col>
                    <xdr:colOff>257175</xdr:colOff>
                    <xdr:row>3</xdr:row>
                    <xdr:rowOff>123825</xdr:rowOff>
                  </from>
                  <to>
                    <xdr:col>3</xdr:col>
                    <xdr:colOff>285750</xdr:colOff>
                    <xdr:row>25</xdr:row>
                    <xdr:rowOff>76200</xdr:rowOff>
                  </to>
                </anchor>
              </controlPr>
            </control>
          </mc:Choice>
        </mc:AlternateContent>
        <mc:AlternateContent xmlns:mc="http://schemas.openxmlformats.org/markup-compatibility/2006">
          <mc:Choice Requires="x14">
            <control shapeId="10248" r:id="rId5" name="List Box 8">
              <controlPr defaultSize="0" autoLine="0" autoPict="0">
                <anchor moveWithCells="1">
                  <from>
                    <xdr:col>3</xdr:col>
                    <xdr:colOff>409575</xdr:colOff>
                    <xdr:row>23</xdr:row>
                    <xdr:rowOff>123825</xdr:rowOff>
                  </from>
                  <to>
                    <xdr:col>3</xdr:col>
                    <xdr:colOff>1466850</xdr:colOff>
                    <xdr:row>25</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Z36"/>
  <sheetViews>
    <sheetView showGridLines="0" zoomScaleNormal="100" workbookViewId="0">
      <selection activeCell="E1" sqref="E1"/>
    </sheetView>
  </sheetViews>
  <sheetFormatPr defaultColWidth="9.140625" defaultRowHeight="12.75" x14ac:dyDescent="0.2"/>
  <cols>
    <col min="1" max="1" width="9.140625" style="1"/>
    <col min="2" max="2" width="11.5703125" style="1" customWidth="1"/>
    <col min="3" max="3" width="8.7109375" style="1" customWidth="1"/>
    <col min="4" max="4" width="18.85546875" style="1" customWidth="1"/>
    <col min="5" max="5" width="16.7109375" style="1" customWidth="1"/>
    <col min="6" max="6" width="13" style="1" customWidth="1"/>
    <col min="7" max="11" width="9.28515625" style="1" customWidth="1"/>
    <col min="12" max="12" width="12.7109375" style="1" customWidth="1"/>
    <col min="13" max="16384" width="9.140625" style="1"/>
  </cols>
  <sheetData>
    <row r="1" spans="1:14" ht="18.75" x14ac:dyDescent="0.25">
      <c r="A1" s="197"/>
      <c r="E1" s="175" t="s">
        <v>238</v>
      </c>
      <c r="F1" s="175"/>
      <c r="G1" s="175"/>
      <c r="H1" s="175"/>
      <c r="I1" s="175"/>
      <c r="J1" s="160"/>
      <c r="K1" s="160"/>
      <c r="L1" s="160"/>
    </row>
    <row r="2" spans="1:14" ht="15.75" x14ac:dyDescent="0.25">
      <c r="E2" s="239" t="s">
        <v>260</v>
      </c>
      <c r="F2" s="240"/>
      <c r="G2" s="240"/>
      <c r="H2" s="240"/>
      <c r="I2" s="240"/>
      <c r="J2" s="160"/>
      <c r="K2" s="160"/>
      <c r="L2" s="160"/>
    </row>
    <row r="3" spans="1:14" ht="15.75" x14ac:dyDescent="0.25">
      <c r="E3" s="239" t="s">
        <v>85</v>
      </c>
      <c r="F3" s="240"/>
      <c r="G3" s="240"/>
      <c r="H3" s="240"/>
      <c r="I3" s="176"/>
      <c r="J3" s="160"/>
      <c r="K3" s="160"/>
      <c r="L3" s="201" t="str">
        <f>VLOOKUP(L4,'Dropdown selection'!C1:D3,2,FALSE)</f>
        <v>Males and females</v>
      </c>
      <c r="M3" s="200"/>
    </row>
    <row r="4" spans="1:14" s="197" customFormat="1" ht="13.5" customHeight="1" thickBot="1" x14ac:dyDescent="0.25">
      <c r="E4" s="196"/>
      <c r="F4" s="196"/>
      <c r="G4" s="201">
        <f>IF(F5="Males",2,IF(F5="Females",9,16))</f>
        <v>16</v>
      </c>
      <c r="H4" s="201"/>
      <c r="I4" s="201"/>
      <c r="J4" s="201">
        <v>35</v>
      </c>
      <c r="K4" s="196"/>
      <c r="L4" s="201">
        <v>3</v>
      </c>
      <c r="M4" s="200"/>
    </row>
    <row r="5" spans="1:14" ht="15" customHeight="1" x14ac:dyDescent="0.2">
      <c r="E5" s="246" t="str">
        <f>VLOOKUP(J4,'Dropdown selection'!A2:B36,2,FALSE)</f>
        <v>All subjects</v>
      </c>
      <c r="F5" s="248" t="str">
        <f>L3</f>
        <v>Males and females</v>
      </c>
      <c r="G5" s="249"/>
      <c r="H5" s="249"/>
      <c r="I5" s="249"/>
      <c r="J5" s="249"/>
      <c r="K5" s="249"/>
      <c r="L5" s="207"/>
    </row>
    <row r="6" spans="1:14" ht="15" customHeight="1" x14ac:dyDescent="0.2">
      <c r="E6" s="247"/>
      <c r="F6" s="241" t="s">
        <v>49</v>
      </c>
      <c r="G6" s="242"/>
      <c r="H6" s="242"/>
      <c r="I6" s="242"/>
      <c r="J6" s="242"/>
      <c r="K6" s="243"/>
      <c r="L6" s="244" t="s">
        <v>91</v>
      </c>
    </row>
    <row r="7" spans="1:14" ht="30" customHeight="1" x14ac:dyDescent="0.2">
      <c r="E7" s="208" t="s">
        <v>53</v>
      </c>
      <c r="F7" s="209" t="s">
        <v>33</v>
      </c>
      <c r="G7" s="209" t="s">
        <v>34</v>
      </c>
      <c r="H7" s="209" t="s">
        <v>35</v>
      </c>
      <c r="I7" s="209" t="s">
        <v>36</v>
      </c>
      <c r="J7" s="209" t="s">
        <v>37</v>
      </c>
      <c r="K7" s="209" t="s">
        <v>47</v>
      </c>
      <c r="L7" s="245"/>
    </row>
    <row r="8" spans="1:14" ht="15" customHeight="1" x14ac:dyDescent="0.2">
      <c r="E8" s="210" t="s">
        <v>261</v>
      </c>
      <c r="F8" s="229">
        <f>VLOOKUP(SelectedsubjectAS,'2015AS'!$B$5:$W$39,$G$4+0,FALSE)</f>
        <v>17.399999999999999</v>
      </c>
      <c r="G8" s="229">
        <f>VLOOKUP(SelectedsubjectAS,'2015AS'!$B$5:$W$39,$G$4+1,FALSE)</f>
        <v>19.3</v>
      </c>
      <c r="H8" s="229">
        <f>VLOOKUP(SelectedsubjectAS,'2015AS'!$B$5:$W$39,$G$4+2,FALSE)</f>
        <v>21.5</v>
      </c>
      <c r="I8" s="229">
        <f>VLOOKUP(SelectedsubjectAS,'2015AS'!$B$5:$W$39,$G$4+3,FALSE)</f>
        <v>17.3</v>
      </c>
      <c r="J8" s="229">
        <f>VLOOKUP(SelectedsubjectAS,'2015AS'!$B$5:$W$39,$G$4+4,FALSE)</f>
        <v>12</v>
      </c>
      <c r="K8" s="229">
        <f>VLOOKUP(SelectedsubjectAS,'2015AS'!$B$5:$W$39,$G$4+5,FALSE)</f>
        <v>87.5</v>
      </c>
      <c r="L8" s="230">
        <f>VLOOKUP(SelectedsubjectAS,'2015AS'!$B$5:$W$39,$G$4+6,FALSE)</f>
        <v>1086702</v>
      </c>
    </row>
    <row r="9" spans="1:14" ht="15" customHeight="1" x14ac:dyDescent="0.2">
      <c r="E9" s="210">
        <v>2014</v>
      </c>
      <c r="F9" s="229">
        <f>VLOOKUP(SelectedsubjectAS,'2014AS'!$B$5:$W$39,$G$4+0,FALSE)</f>
        <v>17.2</v>
      </c>
      <c r="G9" s="229">
        <f>VLOOKUP(SelectedsubjectAS,'2014AS'!$B$5:$W$39,$G$4+1,FALSE)</f>
        <v>19</v>
      </c>
      <c r="H9" s="229">
        <f>VLOOKUP(SelectedsubjectAS,'2014AS'!$B$5:$W$39,$G$4+2,FALSE)</f>
        <v>21.2</v>
      </c>
      <c r="I9" s="229">
        <f>VLOOKUP(SelectedsubjectAS,'2014AS'!$B$5:$W$39,$G$4+3,FALSE)</f>
        <v>17.5</v>
      </c>
      <c r="J9" s="229">
        <f>VLOOKUP(SelectedsubjectAS,'2014AS'!$B$5:$W$39,$G$4+4,FALSE)</f>
        <v>12.1</v>
      </c>
      <c r="K9" s="229">
        <f>VLOOKUP(SelectedsubjectAS,'2014AS'!$B$5:$W$39,$G$4+5,FALSE)</f>
        <v>87</v>
      </c>
      <c r="L9" s="230">
        <f>VLOOKUP(SelectedsubjectAS,'2014AS'!$B$5:$W$39,$G$4+6,FALSE)</f>
        <v>1131917</v>
      </c>
    </row>
    <row r="10" spans="1:14" ht="15" customHeight="1" x14ac:dyDescent="0.2">
      <c r="E10" s="210">
        <v>2013</v>
      </c>
      <c r="F10" s="229">
        <f>VLOOKUP(SelectedsubjectAS,'2013AS'!$B$5:$W$39,$G$4+0,FALSE)</f>
        <v>17</v>
      </c>
      <c r="G10" s="229">
        <f>VLOOKUP(SelectedsubjectAS,'2013AS'!$B$5:$W$39,$G$4+1,FALSE)</f>
        <v>18.899999999999999</v>
      </c>
      <c r="H10" s="229">
        <f>VLOOKUP(SelectedsubjectAS,'2013AS'!$B$5:$W$39,$G$4+2,FALSE)</f>
        <v>21</v>
      </c>
      <c r="I10" s="229">
        <f>VLOOKUP(SelectedsubjectAS,'2013AS'!$B$5:$W$39,$G$4+3,FALSE)</f>
        <v>17.5</v>
      </c>
      <c r="J10" s="229">
        <f>VLOOKUP(SelectedsubjectAS,'2013AS'!$B$5:$W$39,$G$4+4,FALSE)</f>
        <v>12.3</v>
      </c>
      <c r="K10" s="229">
        <f>VLOOKUP(SelectedsubjectAS,'2013AS'!$B$5:$W$39,$G$4+5,FALSE)</f>
        <v>86.7</v>
      </c>
      <c r="L10" s="230">
        <f>VLOOKUP(SelectedsubjectAS,'2013AS'!$B$5:$W$39,$G$4+6,FALSE)</f>
        <v>1128322</v>
      </c>
    </row>
    <row r="11" spans="1:14" ht="15" customHeight="1" x14ac:dyDescent="0.2">
      <c r="E11" s="210">
        <v>2012</v>
      </c>
      <c r="F11" s="229">
        <f>VLOOKUP(SelectedsubjectAS,'2012AS'!$B$7:$W$41,$G$4+0,FALSE)</f>
        <v>16.899999999999999</v>
      </c>
      <c r="G11" s="229">
        <f>VLOOKUP(SelectedsubjectAS,'2012AS'!$B$7:$W$41,$G$4+1,FALSE)</f>
        <v>18.899999999999999</v>
      </c>
      <c r="H11" s="229">
        <f>VLOOKUP(SelectedsubjectAS,'2012AS'!$B$7:$W$41,$G$4+2,FALSE)</f>
        <v>21</v>
      </c>
      <c r="I11" s="229">
        <f>VLOOKUP(SelectedsubjectAS,'2012AS'!$B$7:$W$41,$G$4+3,FALSE)</f>
        <v>17.600000000000001</v>
      </c>
      <c r="J11" s="229">
        <f>VLOOKUP(SelectedsubjectAS,'2012AS'!$B$7:$W$41,$G$4+4,FALSE)</f>
        <v>12.4</v>
      </c>
      <c r="K11" s="229">
        <f>VLOOKUP(SelectedsubjectAS,'2012AS'!$B$7:$W$41,$G$4+5,FALSE)</f>
        <v>86.8</v>
      </c>
      <c r="L11" s="230">
        <f>VLOOKUP(SelectedsubjectAS,'2012AS'!$B$7:$W$41,$G$4+6,FALSE)</f>
        <v>1131886</v>
      </c>
    </row>
    <row r="12" spans="1:14" ht="15" customHeight="1" x14ac:dyDescent="0.2">
      <c r="E12" s="231">
        <v>2011</v>
      </c>
      <c r="F12" s="232">
        <f>VLOOKUP(SelectedsubjectAS,data2011AS,$G$4+0,FALSE)</f>
        <v>16.100000000000001</v>
      </c>
      <c r="G12" s="229">
        <f>VLOOKUP(SelectedsubjectAS,data2011AS,$G$4+1,FALSE)</f>
        <v>18.100000000000001</v>
      </c>
      <c r="H12" s="229">
        <f>VLOOKUP(SelectedsubjectAS,data2011AS,$G$4+2,FALSE)</f>
        <v>20.8</v>
      </c>
      <c r="I12" s="229">
        <f>VLOOKUP(SelectedsubjectAS,data2011AS,$G$4+3,FALSE)</f>
        <v>18.100000000000001</v>
      </c>
      <c r="J12" s="229">
        <f>VLOOKUP(SelectedsubjectAS,data2011AS,$G$4+4,FALSE)</f>
        <v>13.3</v>
      </c>
      <c r="K12" s="229">
        <f>VLOOKUP(SelectedsubjectAS,data2011AS,$G$4+5,FALSE)</f>
        <v>86.4</v>
      </c>
      <c r="L12" s="230">
        <f>VLOOKUP(SelectedsubjectAS,data2011AS,$G$4+6,FALSE)</f>
        <v>1181498</v>
      </c>
    </row>
    <row r="13" spans="1:14" ht="15" customHeight="1" x14ac:dyDescent="0.2">
      <c r="E13" s="231">
        <v>2010</v>
      </c>
      <c r="F13" s="232">
        <f>VLOOKUP(SelectedsubjectAS,data2010AS,$G$4+0,FALSE)</f>
        <v>15.8</v>
      </c>
      <c r="G13" s="229">
        <f>VLOOKUP(SelectedsubjectAS,data2010AS,$G$4+1,FALSE)</f>
        <v>17.8</v>
      </c>
      <c r="H13" s="229">
        <f>VLOOKUP(SelectedsubjectAS,data2010AS,$G$4+2,FALSE)</f>
        <v>20.7</v>
      </c>
      <c r="I13" s="229">
        <f>VLOOKUP(SelectedsubjectAS,data2010AS,$G$4+3,FALSE)</f>
        <v>18.3</v>
      </c>
      <c r="J13" s="229">
        <f>VLOOKUP(SelectedsubjectAS,data2010AS,$G$4+4,FALSE)</f>
        <v>13.7</v>
      </c>
      <c r="K13" s="229">
        <f>VLOOKUP(SelectedsubjectAS,data2010AS,$G$4+5,FALSE)</f>
        <v>86.3</v>
      </c>
      <c r="L13" s="230">
        <f>VLOOKUP(SelectedsubjectAS,data2010AS,$G$4+6,FALSE)</f>
        <v>973589</v>
      </c>
    </row>
    <row r="14" spans="1:14" ht="15" customHeight="1" x14ac:dyDescent="0.2">
      <c r="E14" s="233">
        <v>2009</v>
      </c>
      <c r="F14" s="232">
        <f>VLOOKUP(SelectedsubjectAS,data2009AS,$G$4+0,FALSE)</f>
        <v>16</v>
      </c>
      <c r="G14" s="229">
        <f>VLOOKUP(SelectedsubjectAS,data2009AS,$G$4+1,FALSE)</f>
        <v>17.399999999999999</v>
      </c>
      <c r="H14" s="229">
        <f>VLOOKUP(SelectedsubjectAS,data2009AS,$G$4+2,FALSE)</f>
        <v>20.399999999999999</v>
      </c>
      <c r="I14" s="229">
        <f>VLOOKUP(SelectedsubjectAS,data2009AS,$G$4+3,FALSE)</f>
        <v>18.3</v>
      </c>
      <c r="J14" s="229">
        <f>VLOOKUP(SelectedsubjectAS,data2009AS,$G$4+4,FALSE)</f>
        <v>13.9</v>
      </c>
      <c r="K14" s="229">
        <f>VLOOKUP(SelectedsubjectAS,data2009AS,$G$4+5,FALSE)</f>
        <v>86</v>
      </c>
      <c r="L14" s="230">
        <f>VLOOKUP(SelectedsubjectAS,data2009AS,$G$4+6,FALSE)</f>
        <v>966857</v>
      </c>
    </row>
    <row r="15" spans="1:14" ht="15" customHeight="1" x14ac:dyDescent="0.2">
      <c r="E15" s="233">
        <v>2008</v>
      </c>
      <c r="F15" s="232">
        <f>VLOOKUP(SelectedsubjectAS,data2008AS,$G$4+0,FALSE)</f>
        <v>15.7</v>
      </c>
      <c r="G15" s="229">
        <f>VLOOKUP(SelectedsubjectAS,data2008AS,$G$4+1,FALSE)</f>
        <v>17.8</v>
      </c>
      <c r="H15" s="229">
        <f>VLOOKUP(SelectedsubjectAS,data2008AS,$G$4+2,FALSE)</f>
        <v>20.6</v>
      </c>
      <c r="I15" s="229">
        <f>VLOOKUP(SelectedsubjectAS,data2008AS,$G$4+3,FALSE)</f>
        <v>18.399999999999999</v>
      </c>
      <c r="J15" s="229">
        <f>VLOOKUP(SelectedsubjectAS,data2008AS,$G$4+4,FALSE)</f>
        <v>13.8</v>
      </c>
      <c r="K15" s="229">
        <f>VLOOKUP(SelectedsubjectAS,data2008AS,$G$4+5,FALSE)</f>
        <v>86.3</v>
      </c>
      <c r="L15" s="230">
        <f>VLOOKUP(SelectedsubjectAS,data2008AS,$G$4+6,FALSE)</f>
        <v>937337</v>
      </c>
    </row>
    <row r="16" spans="1:14" ht="15" customHeight="1" x14ac:dyDescent="0.2">
      <c r="E16" s="233">
        <v>2007</v>
      </c>
      <c r="F16" s="232">
        <f>VLOOKUP(SelectedsubjectAS,data2007AS,$G$4+0,FALSE)</f>
        <v>15.8</v>
      </c>
      <c r="G16" s="229">
        <f>VLOOKUP(SelectedsubjectAS,data2007AS,$G$4+1,FALSE)</f>
        <v>17.600000000000001</v>
      </c>
      <c r="H16" s="229">
        <f>VLOOKUP(SelectedsubjectAS,data2007AS,$G$4+2,FALSE)</f>
        <v>20.2</v>
      </c>
      <c r="I16" s="229">
        <f>VLOOKUP(SelectedsubjectAS,data2007AS,$G$4+3,FALSE)</f>
        <v>18.3</v>
      </c>
      <c r="J16" s="229">
        <f>VLOOKUP(SelectedsubjectAS,data2007AS,$G$4+4,FALSE)</f>
        <v>14</v>
      </c>
      <c r="K16" s="229">
        <f>VLOOKUP(SelectedsubjectAS,data2007AS,$G$4+5,FALSE)</f>
        <v>85.9</v>
      </c>
      <c r="L16" s="230">
        <f>VLOOKUP(SelectedsubjectAS,data2007AS,$G$4+6,FALSE)</f>
        <v>943877</v>
      </c>
      <c r="N16" s="162"/>
    </row>
    <row r="17" spans="5:26" ht="15" customHeight="1" x14ac:dyDescent="0.2">
      <c r="E17" s="233">
        <v>2006</v>
      </c>
      <c r="F17" s="232">
        <f>VLOOKUP(SelectedsubjectAS,data2006as,$G$4+0,FALSE)</f>
        <v>15.9</v>
      </c>
      <c r="G17" s="229">
        <f>VLOOKUP(SelectedsubjectAS,data2006as,$G$4+1,FALSE)</f>
        <v>17.399999999999999</v>
      </c>
      <c r="H17" s="229">
        <f>VLOOKUP(SelectedsubjectAS,data2006as,$G$4+2,FALSE)</f>
        <v>20.2</v>
      </c>
      <c r="I17" s="229">
        <f>VLOOKUP(SelectedsubjectAS,data2006as,$G$4+3,FALSE)</f>
        <v>18.3</v>
      </c>
      <c r="J17" s="229">
        <f>VLOOKUP(SelectedsubjectAS,data2006as,$G$4+4,FALSE)</f>
        <v>14.1</v>
      </c>
      <c r="K17" s="229">
        <f>VLOOKUP(SelectedsubjectAS,data2006as,$G$4+5,FALSE)</f>
        <v>85.8</v>
      </c>
      <c r="L17" s="230">
        <f>VLOOKUP(SelectedsubjectAS,data2006as,$G$4+6,FALSE)</f>
        <v>919764</v>
      </c>
      <c r="N17" s="162"/>
    </row>
    <row r="18" spans="5:26" ht="15" customHeight="1" x14ac:dyDescent="0.2">
      <c r="E18" s="213">
        <v>2005</v>
      </c>
      <c r="F18" s="229">
        <f>VLOOKUP(SelectedsubjectAS,data2005as,$G$4+0,FALSE)</f>
        <v>15.3</v>
      </c>
      <c r="G18" s="229">
        <f>VLOOKUP(SelectedsubjectAS,data2005as,$G$4+1,FALSE)</f>
        <v>17.3</v>
      </c>
      <c r="H18" s="229">
        <f>VLOOKUP(SelectedsubjectAS,data2005as,$G$4+2,FALSE)</f>
        <v>20.2</v>
      </c>
      <c r="I18" s="229">
        <f>VLOOKUP(SelectedsubjectAS,data2005as,$G$4+3,FALSE)</f>
        <v>18.3</v>
      </c>
      <c r="J18" s="229">
        <f>VLOOKUP(SelectedsubjectAS,data2005as,$G$4+4,FALSE)</f>
        <v>14.1</v>
      </c>
      <c r="K18" s="229">
        <f>VLOOKUP(SelectedsubjectAS,data2005as,$G$4+5,FALSE)</f>
        <v>85.3</v>
      </c>
      <c r="L18" s="230">
        <f>VLOOKUP(SelectedsubjectAS,data2005as,$G$4+6,FALSE)</f>
        <v>907029</v>
      </c>
      <c r="N18" s="162"/>
    </row>
    <row r="19" spans="5:26" ht="15" customHeight="1" x14ac:dyDescent="0.2">
      <c r="E19" s="213">
        <v>2004</v>
      </c>
      <c r="F19" s="229">
        <f>VLOOKUP(SelectedsubjectAS,data2004as,$G$4+0,FALSE)</f>
        <v>15</v>
      </c>
      <c r="G19" s="229">
        <f>VLOOKUP(SelectedsubjectAS,data2004as,$G$4+1,FALSE)</f>
        <v>17</v>
      </c>
      <c r="H19" s="229">
        <f>VLOOKUP(SelectedsubjectAS,data2004as,$G$4+2,FALSE)</f>
        <v>20</v>
      </c>
      <c r="I19" s="229">
        <f>VLOOKUP(SelectedsubjectAS,data2004as,$G$4+3,FALSE)</f>
        <v>18.5</v>
      </c>
      <c r="J19" s="229">
        <f>VLOOKUP(SelectedsubjectAS,data2004as,$G$4+4,FALSE)</f>
        <v>14.2</v>
      </c>
      <c r="K19" s="229">
        <f>VLOOKUP(SelectedsubjectAS,data2004as,$G$4+5,FALSE)</f>
        <v>84.8</v>
      </c>
      <c r="L19" s="230">
        <f>VLOOKUP(SelectedsubjectAS,data2004as,$G$4+6,FALSE)</f>
        <v>878794</v>
      </c>
      <c r="N19" s="162"/>
    </row>
    <row r="20" spans="5:26" ht="15" customHeight="1" x14ac:dyDescent="0.2">
      <c r="E20" s="213">
        <v>2003</v>
      </c>
      <c r="F20" s="229">
        <f>VLOOKUP(SelectedsubjectAS,data2003as,$G$4+0,FALSE)</f>
        <v>15.1</v>
      </c>
      <c r="G20" s="229">
        <f>VLOOKUP(SelectedsubjectAS,data2003as,$G$4+1,FALSE)</f>
        <v>16.7</v>
      </c>
      <c r="H20" s="229">
        <f>VLOOKUP(SelectedsubjectAS,data2003as,$G$4+2,FALSE)</f>
        <v>19.7</v>
      </c>
      <c r="I20" s="229">
        <f>VLOOKUP(SelectedsubjectAS,data2003as,$G$4+3,FALSE)</f>
        <v>18.399999999999999</v>
      </c>
      <c r="J20" s="229">
        <f>VLOOKUP(SelectedsubjectAS,data2003as,$G$4+4,FALSE)</f>
        <v>14.5</v>
      </c>
      <c r="K20" s="229">
        <f>VLOOKUP(SelectedsubjectAS,data2003as,$G$4+5,FALSE)</f>
        <v>84.3</v>
      </c>
      <c r="L20" s="230">
        <f>VLOOKUP(SelectedsubjectAS,data2003as,$G$4+6,FALSE)</f>
        <v>879858</v>
      </c>
      <c r="N20" s="162"/>
    </row>
    <row r="21" spans="5:26" ht="15" customHeight="1" x14ac:dyDescent="0.2">
      <c r="E21" s="213">
        <v>2002</v>
      </c>
      <c r="F21" s="229">
        <f>VLOOKUP(SelectedsubjectAS,data2002as,$G$4+0,FALSE)</f>
        <v>16</v>
      </c>
      <c r="G21" s="229">
        <f>VLOOKUP(SelectedsubjectAS,data2002as,$G$4+1,FALSE)</f>
        <v>17</v>
      </c>
      <c r="H21" s="229">
        <f>VLOOKUP(SelectedsubjectAS,data2002as,$G$4+2,FALSE)</f>
        <v>19.8</v>
      </c>
      <c r="I21" s="229">
        <f>VLOOKUP(SelectedsubjectAS,data2002as,$G$4+3,FALSE)</f>
        <v>18.100000000000001</v>
      </c>
      <c r="J21" s="229">
        <f>VLOOKUP(SelectedsubjectAS,data2002as,$G$4+4,FALSE)</f>
        <v>13.7</v>
      </c>
      <c r="K21" s="229">
        <f>VLOOKUP(SelectedsubjectAS,data2002as,$G$4+5,FALSE)</f>
        <v>84.5</v>
      </c>
      <c r="L21" s="230">
        <f>VLOOKUP(SelectedsubjectAS,data2002as,$G$4+6,FALSE)</f>
        <v>839141</v>
      </c>
      <c r="N21" s="162"/>
    </row>
    <row r="22" spans="5:26" ht="12.75" customHeight="1" thickBot="1" x14ac:dyDescent="0.25">
      <c r="E22" s="214">
        <v>2001</v>
      </c>
      <c r="F22" s="234">
        <f>VLOOKUP(SelectedsubjectAS,data2001as,$G$4+0,FALSE)</f>
        <v>15.9</v>
      </c>
      <c r="G22" s="234">
        <f>VLOOKUP(SelectedsubjectAS,data2001as,$G$4+1,FALSE)</f>
        <v>17.399999999999999</v>
      </c>
      <c r="H22" s="234">
        <f>VLOOKUP(SelectedsubjectAS,data2001as,$G$4+2,FALSE)</f>
        <v>20.100000000000001</v>
      </c>
      <c r="I22" s="234">
        <f>VLOOKUP(SelectedsubjectAS,data2001as,$G$4+3,FALSE)</f>
        <v>18</v>
      </c>
      <c r="J22" s="234">
        <f>VLOOKUP(SelectedsubjectAS,data2001as,$G$4+4,FALSE)</f>
        <v>13.3</v>
      </c>
      <c r="K22" s="234">
        <f>VLOOKUP(SelectedsubjectAS,data2001as,$G$4+5,FALSE)</f>
        <v>84.7</v>
      </c>
      <c r="L22" s="235">
        <f>VLOOKUP(SelectedsubjectAS,data2001as,$G$4+6,FALSE)</f>
        <v>772359</v>
      </c>
      <c r="N22" s="162"/>
    </row>
    <row r="23" spans="5:26" ht="12.75" customHeight="1" x14ac:dyDescent="0.2">
      <c r="E23" s="223"/>
      <c r="F23" s="223"/>
      <c r="G23" s="223"/>
      <c r="H23" s="223"/>
      <c r="I23" s="223"/>
      <c r="J23" s="223"/>
      <c r="K23" s="221"/>
      <c r="L23" s="222" t="s">
        <v>146</v>
      </c>
      <c r="M23" s="225"/>
      <c r="N23" s="162"/>
    </row>
    <row r="24" spans="5:26" ht="12.75" customHeight="1" x14ac:dyDescent="0.2">
      <c r="E24" s="177" t="s">
        <v>252</v>
      </c>
      <c r="F24" s="223"/>
      <c r="G24" s="223"/>
      <c r="H24" s="223"/>
      <c r="I24" s="223"/>
      <c r="J24" s="223"/>
      <c r="K24" s="222"/>
      <c r="L24" s="223"/>
      <c r="M24" s="225"/>
      <c r="N24" s="162"/>
      <c r="Q24" s="217"/>
      <c r="R24" s="165"/>
      <c r="S24" s="165"/>
      <c r="T24" s="165"/>
      <c r="U24" s="165"/>
      <c r="V24" s="165"/>
      <c r="W24" s="164"/>
      <c r="X24" s="165"/>
      <c r="Y24" s="166"/>
      <c r="Z24" s="162"/>
    </row>
    <row r="25" spans="5:26" ht="12.75" customHeight="1" x14ac:dyDescent="0.2">
      <c r="E25" s="178" t="s">
        <v>258</v>
      </c>
      <c r="F25" s="224"/>
      <c r="G25" s="224"/>
      <c r="H25" s="224"/>
      <c r="I25" s="224"/>
      <c r="J25" s="224"/>
      <c r="K25" s="225"/>
      <c r="L25" s="225"/>
      <c r="M25" s="180"/>
      <c r="N25" s="162"/>
      <c r="Q25" s="218"/>
      <c r="R25" s="202"/>
      <c r="S25" s="202"/>
      <c r="T25" s="202"/>
      <c r="U25" s="202"/>
      <c r="V25" s="202"/>
      <c r="W25" s="166"/>
      <c r="X25" s="166"/>
      <c r="Y25" s="204"/>
      <c r="Z25" s="162"/>
    </row>
    <row r="26" spans="5:26" ht="12.75" customHeight="1" x14ac:dyDescent="0.2">
      <c r="E26" s="180"/>
      <c r="F26" s="180"/>
      <c r="G26" s="180"/>
      <c r="H26" s="180"/>
      <c r="I26" s="180"/>
      <c r="J26" s="180"/>
      <c r="K26" s="180"/>
      <c r="L26" s="180"/>
      <c r="M26" s="180"/>
      <c r="N26" s="162"/>
      <c r="Q26" s="204"/>
      <c r="R26" s="204"/>
      <c r="S26" s="204"/>
      <c r="T26" s="204"/>
      <c r="U26" s="204"/>
      <c r="V26" s="204"/>
      <c r="W26" s="204"/>
      <c r="X26" s="204"/>
      <c r="Y26" s="204"/>
      <c r="Z26" s="162"/>
    </row>
    <row r="27" spans="5:26" ht="12.75" customHeight="1" x14ac:dyDescent="0.2">
      <c r="E27" s="156" t="s">
        <v>142</v>
      </c>
      <c r="F27" s="180"/>
      <c r="G27" s="180"/>
      <c r="H27" s="180"/>
      <c r="I27" s="180"/>
      <c r="J27" s="180"/>
      <c r="K27" s="180"/>
      <c r="L27" s="180"/>
      <c r="M27" s="228"/>
      <c r="N27" s="163"/>
      <c r="Q27" s="167"/>
      <c r="R27" s="204"/>
      <c r="S27" s="204"/>
      <c r="T27" s="204"/>
      <c r="U27" s="204"/>
      <c r="V27" s="204"/>
      <c r="W27" s="204"/>
      <c r="X27" s="204"/>
      <c r="Y27" s="173"/>
      <c r="Z27" s="163"/>
    </row>
    <row r="28" spans="5:26" ht="12.75" customHeight="1" x14ac:dyDescent="0.2">
      <c r="E28" s="157" t="s">
        <v>249</v>
      </c>
      <c r="F28" s="228"/>
      <c r="G28" s="228"/>
      <c r="H28" s="228"/>
      <c r="I28" s="228"/>
      <c r="J28" s="228"/>
      <c r="K28" s="228"/>
      <c r="L28" s="228"/>
      <c r="M28" s="221"/>
      <c r="N28" s="163"/>
      <c r="Q28" s="168"/>
      <c r="R28" s="173"/>
      <c r="S28" s="173"/>
      <c r="T28" s="173"/>
      <c r="U28" s="173"/>
      <c r="V28" s="173"/>
      <c r="W28" s="173"/>
      <c r="X28" s="173"/>
      <c r="Z28" s="163"/>
    </row>
    <row r="29" spans="5:26" ht="12.75" customHeight="1" x14ac:dyDescent="0.2">
      <c r="E29" s="157" t="s">
        <v>262</v>
      </c>
      <c r="F29" s="221"/>
      <c r="G29" s="221"/>
      <c r="H29" s="221"/>
      <c r="I29" s="221"/>
      <c r="J29" s="221"/>
      <c r="K29" s="221"/>
      <c r="L29" s="221"/>
      <c r="M29" s="221"/>
      <c r="N29" s="163"/>
      <c r="Q29" s="168"/>
      <c r="Z29" s="163"/>
    </row>
    <row r="30" spans="5:26" ht="12.75" customHeight="1" x14ac:dyDescent="0.2">
      <c r="E30" s="155" t="s">
        <v>143</v>
      </c>
      <c r="F30" s="221"/>
      <c r="G30" s="221"/>
      <c r="H30" s="221"/>
      <c r="I30" s="221"/>
      <c r="J30" s="221"/>
      <c r="K30" s="221"/>
      <c r="L30" s="221"/>
      <c r="M30" s="221"/>
      <c r="N30" s="163"/>
      <c r="Q30" s="170"/>
      <c r="Z30" s="163"/>
    </row>
    <row r="31" spans="5:26" ht="12.75" customHeight="1" x14ac:dyDescent="0.2">
      <c r="E31" s="155" t="s">
        <v>248</v>
      </c>
      <c r="F31" s="221"/>
      <c r="G31" s="221"/>
      <c r="H31" s="221"/>
      <c r="I31" s="221"/>
      <c r="J31" s="221"/>
      <c r="K31" s="221"/>
      <c r="L31" s="221"/>
      <c r="M31" s="221"/>
      <c r="N31" s="163"/>
      <c r="Q31" s="170"/>
      <c r="Z31" s="163"/>
    </row>
    <row r="32" spans="5:26" ht="12.75" customHeight="1" x14ac:dyDescent="0.2">
      <c r="E32" s="155" t="s">
        <v>246</v>
      </c>
      <c r="F32" s="221"/>
      <c r="G32" s="221"/>
      <c r="H32" s="221"/>
      <c r="I32" s="221"/>
      <c r="J32" s="221"/>
      <c r="K32" s="221"/>
      <c r="L32" s="221"/>
      <c r="M32" s="221"/>
      <c r="Q32" s="170"/>
    </row>
    <row r="33" spans="5:17" ht="12.75" customHeight="1" x14ac:dyDescent="0.2">
      <c r="E33" s="179" t="s">
        <v>144</v>
      </c>
      <c r="F33" s="221"/>
      <c r="G33" s="221"/>
      <c r="H33" s="221"/>
      <c r="I33" s="221"/>
      <c r="J33" s="221"/>
      <c r="K33" s="221"/>
      <c r="L33" s="221"/>
      <c r="M33" s="221"/>
      <c r="Q33" s="219"/>
    </row>
    <row r="34" spans="5:17" ht="12.75" customHeight="1" x14ac:dyDescent="0.2">
      <c r="E34" s="158" t="s">
        <v>145</v>
      </c>
      <c r="F34" s="221"/>
      <c r="G34" s="221"/>
      <c r="H34" s="221"/>
      <c r="I34" s="221"/>
      <c r="J34" s="221"/>
      <c r="K34" s="221"/>
      <c r="L34" s="221"/>
      <c r="M34" s="221"/>
      <c r="Q34" s="172"/>
    </row>
    <row r="35" spans="5:17" ht="12.75" customHeight="1" x14ac:dyDescent="0.2"/>
    <row r="36" spans="5:17" ht="12.75" customHeight="1" x14ac:dyDescent="0.2"/>
  </sheetData>
  <sheetProtection password="C5A0" sheet="1" objects="1" scenarios="1"/>
  <mergeCells count="6">
    <mergeCell ref="E2:I2"/>
    <mergeCell ref="E3:H3"/>
    <mergeCell ref="F6:K6"/>
    <mergeCell ref="L6:L7"/>
    <mergeCell ref="E5:E6"/>
    <mergeCell ref="F5:K5"/>
  </mergeCells>
  <phoneticPr fontId="3" type="noConversion"/>
  <pageMargins left="0.75" right="0.75" top="1" bottom="1" header="0.5" footer="0.5"/>
  <pageSetup paperSize="9" scale="7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3" r:id="rId4" name="List Box 3">
              <controlPr defaultSize="0" autoLine="0" autoPict="0">
                <anchor moveWithCells="1">
                  <from>
                    <xdr:col>0</xdr:col>
                    <xdr:colOff>95250</xdr:colOff>
                    <xdr:row>3</xdr:row>
                    <xdr:rowOff>123825</xdr:rowOff>
                  </from>
                  <to>
                    <xdr:col>2</xdr:col>
                    <xdr:colOff>390525</xdr:colOff>
                    <xdr:row>26</xdr:row>
                    <xdr:rowOff>85725</xdr:rowOff>
                  </to>
                </anchor>
              </controlPr>
            </control>
          </mc:Choice>
        </mc:AlternateContent>
        <mc:AlternateContent xmlns:mc="http://schemas.openxmlformats.org/markup-compatibility/2006">
          <mc:Choice Requires="x14">
            <control shapeId="15368" r:id="rId5" name="List Box 8">
              <controlPr defaultSize="0" autoLine="0" autoPict="0">
                <anchor moveWithCells="1">
                  <from>
                    <xdr:col>2</xdr:col>
                    <xdr:colOff>447675</xdr:colOff>
                    <xdr:row>18</xdr:row>
                    <xdr:rowOff>114300</xdr:rowOff>
                  </from>
                  <to>
                    <xdr:col>3</xdr:col>
                    <xdr:colOff>1038225</xdr:colOff>
                    <xdr:row>21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BS111"/>
  <sheetViews>
    <sheetView topLeftCell="A28" workbookViewId="0">
      <selection activeCell="A2" sqref="A2"/>
    </sheetView>
  </sheetViews>
  <sheetFormatPr defaultColWidth="9.140625" defaultRowHeight="11.25" x14ac:dyDescent="0.2"/>
  <cols>
    <col min="1" max="16384" width="9.140625" style="11"/>
  </cols>
  <sheetData>
    <row r="3" spans="2:26" ht="11.25" customHeight="1" x14ac:dyDescent="0.2">
      <c r="C3" s="29" t="s">
        <v>39</v>
      </c>
      <c r="D3" s="29"/>
      <c r="E3" s="29"/>
      <c r="F3" s="29"/>
      <c r="G3" s="29"/>
      <c r="H3" s="29"/>
      <c r="I3" s="29" t="s">
        <v>40</v>
      </c>
      <c r="J3" s="29"/>
      <c r="K3" s="29"/>
      <c r="L3" s="29"/>
      <c r="M3" s="29"/>
      <c r="N3" s="29"/>
      <c r="O3" s="29" t="s">
        <v>54</v>
      </c>
      <c r="P3" s="29"/>
      <c r="Q3" s="29"/>
      <c r="R3" s="29"/>
      <c r="S3" s="29"/>
      <c r="T3" s="29"/>
      <c r="U3" s="29" t="s">
        <v>41</v>
      </c>
      <c r="V3" s="29"/>
      <c r="W3" s="29"/>
      <c r="X3" s="29" t="s">
        <v>45</v>
      </c>
      <c r="Y3" s="29"/>
      <c r="Z3" s="29"/>
    </row>
    <row r="4" spans="2:26" x14ac:dyDescent="0.2">
      <c r="C4" s="11" t="s">
        <v>33</v>
      </c>
      <c r="D4" s="11" t="s">
        <v>34</v>
      </c>
      <c r="E4" s="11" t="s">
        <v>35</v>
      </c>
      <c r="F4" s="11" t="s">
        <v>36</v>
      </c>
      <c r="G4" s="11" t="s">
        <v>37</v>
      </c>
      <c r="H4" s="11" t="s">
        <v>38</v>
      </c>
      <c r="I4" s="11" t="s">
        <v>33</v>
      </c>
      <c r="J4" s="11" t="s">
        <v>34</v>
      </c>
      <c r="K4" s="11" t="s">
        <v>35</v>
      </c>
      <c r="L4" s="11" t="s">
        <v>36</v>
      </c>
      <c r="M4" s="11" t="s">
        <v>37</v>
      </c>
      <c r="N4" s="11" t="s">
        <v>38</v>
      </c>
      <c r="O4" s="11" t="s">
        <v>33</v>
      </c>
      <c r="P4" s="11" t="s">
        <v>34</v>
      </c>
      <c r="Q4" s="11" t="s">
        <v>35</v>
      </c>
      <c r="R4" s="11" t="s">
        <v>36</v>
      </c>
      <c r="S4" s="11" t="s">
        <v>37</v>
      </c>
      <c r="T4" s="11" t="s">
        <v>38</v>
      </c>
      <c r="U4" s="11" t="s">
        <v>42</v>
      </c>
      <c r="V4" s="11" t="s">
        <v>43</v>
      </c>
      <c r="W4" s="11" t="s">
        <v>44</v>
      </c>
      <c r="X4" s="11" t="s">
        <v>42</v>
      </c>
      <c r="Y4" s="11" t="s">
        <v>43</v>
      </c>
      <c r="Z4" s="11" t="s">
        <v>44</v>
      </c>
    </row>
    <row r="5" spans="2:26" x14ac:dyDescent="0.2">
      <c r="B5" s="10" t="s">
        <v>0</v>
      </c>
      <c r="C5" s="10">
        <v>2260</v>
      </c>
      <c r="D5" s="10">
        <v>3179</v>
      </c>
      <c r="E5" s="10">
        <v>3344</v>
      </c>
      <c r="F5" s="10">
        <v>3296</v>
      </c>
      <c r="G5" s="10">
        <v>2750</v>
      </c>
      <c r="H5" s="10">
        <v>2926</v>
      </c>
      <c r="I5" s="10">
        <v>3739</v>
      </c>
      <c r="J5" s="10">
        <v>5097</v>
      </c>
      <c r="K5" s="10">
        <v>4997</v>
      </c>
      <c r="L5" s="10">
        <v>4446</v>
      </c>
      <c r="M5" s="10">
        <v>3661</v>
      </c>
      <c r="N5" s="10">
        <v>3703</v>
      </c>
      <c r="O5" s="10">
        <v>5999</v>
      </c>
      <c r="P5" s="10">
        <v>8276</v>
      </c>
      <c r="Q5" s="10">
        <v>8341</v>
      </c>
      <c r="R5" s="10">
        <v>7742</v>
      </c>
      <c r="S5" s="10">
        <v>6411</v>
      </c>
      <c r="T5" s="10">
        <v>6629</v>
      </c>
      <c r="U5" s="11">
        <v>17755</v>
      </c>
      <c r="V5" s="11">
        <v>25643</v>
      </c>
      <c r="W5" s="11">
        <v>43398</v>
      </c>
      <c r="X5" s="11">
        <v>14829</v>
      </c>
      <c r="Y5" s="11">
        <v>21940</v>
      </c>
      <c r="Z5" s="11">
        <v>36769</v>
      </c>
    </row>
    <row r="6" spans="2:26" x14ac:dyDescent="0.2">
      <c r="B6" s="10" t="s">
        <v>1</v>
      </c>
      <c r="C6" s="10">
        <v>3915</v>
      </c>
      <c r="D6" s="10">
        <v>4032</v>
      </c>
      <c r="E6" s="10">
        <v>3522</v>
      </c>
      <c r="F6" s="10">
        <v>2897</v>
      </c>
      <c r="G6" s="10">
        <v>2372</v>
      </c>
      <c r="H6" s="10">
        <v>2812</v>
      </c>
      <c r="I6" s="10">
        <v>3123</v>
      </c>
      <c r="J6" s="10">
        <v>3246</v>
      </c>
      <c r="K6" s="10">
        <v>2892</v>
      </c>
      <c r="L6" s="10">
        <v>2261</v>
      </c>
      <c r="M6" s="10">
        <v>1704</v>
      </c>
      <c r="N6" s="10">
        <v>1901</v>
      </c>
      <c r="O6" s="10">
        <v>7038</v>
      </c>
      <c r="P6" s="10">
        <v>7278</v>
      </c>
      <c r="Q6" s="10">
        <v>6414</v>
      </c>
      <c r="R6" s="10">
        <v>5158</v>
      </c>
      <c r="S6" s="10">
        <v>4076</v>
      </c>
      <c r="T6" s="10">
        <v>4713</v>
      </c>
      <c r="U6" s="11">
        <v>19550</v>
      </c>
      <c r="V6" s="11">
        <v>15127</v>
      </c>
      <c r="W6" s="11">
        <v>34677</v>
      </c>
      <c r="X6" s="11">
        <v>16738</v>
      </c>
      <c r="Y6" s="11">
        <v>13226</v>
      </c>
      <c r="Z6" s="11">
        <v>29964</v>
      </c>
    </row>
    <row r="7" spans="2:26" x14ac:dyDescent="0.2">
      <c r="B7" s="10" t="s">
        <v>2</v>
      </c>
      <c r="C7" s="10">
        <v>4626</v>
      </c>
      <c r="D7" s="10">
        <v>4157</v>
      </c>
      <c r="E7" s="10">
        <v>3988</v>
      </c>
      <c r="F7" s="10">
        <v>3560</v>
      </c>
      <c r="G7" s="10">
        <v>2977</v>
      </c>
      <c r="H7" s="10">
        <v>3135</v>
      </c>
      <c r="I7" s="10">
        <v>1262</v>
      </c>
      <c r="J7" s="10">
        <v>1291</v>
      </c>
      <c r="K7" s="10">
        <v>1102</v>
      </c>
      <c r="L7" s="10">
        <v>869</v>
      </c>
      <c r="M7" s="10">
        <v>674</v>
      </c>
      <c r="N7" s="10">
        <v>759</v>
      </c>
      <c r="O7" s="10">
        <v>5888</v>
      </c>
      <c r="P7" s="10">
        <v>5448</v>
      </c>
      <c r="Q7" s="10">
        <v>5090</v>
      </c>
      <c r="R7" s="10">
        <v>4429</v>
      </c>
      <c r="S7" s="10">
        <v>3651</v>
      </c>
      <c r="T7" s="10">
        <v>3894</v>
      </c>
      <c r="U7" s="11">
        <v>22443</v>
      </c>
      <c r="V7" s="11">
        <v>5957</v>
      </c>
      <c r="W7" s="11">
        <v>28400</v>
      </c>
      <c r="X7" s="11">
        <v>19308</v>
      </c>
      <c r="Y7" s="11">
        <v>5198</v>
      </c>
      <c r="Z7" s="11">
        <v>24506</v>
      </c>
    </row>
    <row r="8" spans="2:26" x14ac:dyDescent="0.2">
      <c r="B8" s="10" t="s">
        <v>3</v>
      </c>
      <c r="C8" s="10">
        <v>276</v>
      </c>
      <c r="D8" s="10">
        <v>373</v>
      </c>
      <c r="E8" s="10">
        <v>521</v>
      </c>
      <c r="F8" s="10">
        <v>554</v>
      </c>
      <c r="G8" s="10">
        <v>453</v>
      </c>
      <c r="H8" s="10">
        <v>480</v>
      </c>
      <c r="I8" s="10">
        <v>152</v>
      </c>
      <c r="J8" s="10">
        <v>248</v>
      </c>
      <c r="K8" s="10">
        <v>331</v>
      </c>
      <c r="L8" s="10">
        <v>331</v>
      </c>
      <c r="M8" s="10">
        <v>247</v>
      </c>
      <c r="N8" s="10">
        <v>228</v>
      </c>
      <c r="O8" s="10">
        <v>428</v>
      </c>
      <c r="P8" s="10">
        <v>621</v>
      </c>
      <c r="Q8" s="10">
        <v>852</v>
      </c>
      <c r="R8" s="10">
        <v>885</v>
      </c>
      <c r="S8" s="10">
        <v>700</v>
      </c>
      <c r="T8" s="10">
        <v>708</v>
      </c>
      <c r="U8" s="11">
        <v>2657</v>
      </c>
      <c r="V8" s="11">
        <v>1537</v>
      </c>
      <c r="W8" s="11">
        <v>4194</v>
      </c>
      <c r="X8" s="11">
        <v>2177</v>
      </c>
      <c r="Y8" s="11">
        <v>1309</v>
      </c>
      <c r="Z8" s="11">
        <v>3486</v>
      </c>
    </row>
    <row r="9" spans="2:26" x14ac:dyDescent="0.2">
      <c r="B9" s="10" t="s">
        <v>4</v>
      </c>
      <c r="C9" s="10">
        <v>8847</v>
      </c>
      <c r="D9" s="10">
        <v>6446</v>
      </c>
      <c r="E9" s="10">
        <v>5939</v>
      </c>
      <c r="F9" s="10">
        <v>5071</v>
      </c>
      <c r="G9" s="10">
        <v>4055</v>
      </c>
      <c r="H9" s="10">
        <v>4649</v>
      </c>
      <c r="I9" s="10">
        <v>4819</v>
      </c>
      <c r="J9" s="10">
        <v>4018</v>
      </c>
      <c r="K9" s="10">
        <v>3408</v>
      </c>
      <c r="L9" s="10">
        <v>2808</v>
      </c>
      <c r="M9" s="10">
        <v>2044</v>
      </c>
      <c r="N9" s="10">
        <v>2021</v>
      </c>
      <c r="O9" s="10">
        <v>13666</v>
      </c>
      <c r="P9" s="10">
        <v>10464</v>
      </c>
      <c r="Q9" s="10">
        <v>9347</v>
      </c>
      <c r="R9" s="10">
        <v>7879</v>
      </c>
      <c r="S9" s="10">
        <v>6099</v>
      </c>
      <c r="T9" s="10">
        <v>6670</v>
      </c>
      <c r="U9" s="11">
        <v>35007</v>
      </c>
      <c r="V9" s="11">
        <v>19118</v>
      </c>
      <c r="W9" s="11">
        <v>54125</v>
      </c>
      <c r="X9" s="11">
        <v>30358</v>
      </c>
      <c r="Y9" s="11">
        <v>17097</v>
      </c>
      <c r="Z9" s="11">
        <v>47455</v>
      </c>
    </row>
    <row r="10" spans="2:26" x14ac:dyDescent="0.2">
      <c r="B10" s="10" t="s">
        <v>5</v>
      </c>
      <c r="C10" s="10">
        <v>1689</v>
      </c>
      <c r="D10" s="10">
        <v>764</v>
      </c>
      <c r="E10" s="10">
        <v>484</v>
      </c>
      <c r="F10" s="10">
        <v>337</v>
      </c>
      <c r="G10" s="10">
        <v>211</v>
      </c>
      <c r="H10" s="10">
        <v>197</v>
      </c>
      <c r="I10" s="10">
        <v>575</v>
      </c>
      <c r="J10" s="10">
        <v>262</v>
      </c>
      <c r="K10" s="10">
        <v>182</v>
      </c>
      <c r="L10" s="10">
        <v>100</v>
      </c>
      <c r="M10" s="10">
        <v>62</v>
      </c>
      <c r="N10" s="10">
        <v>50</v>
      </c>
      <c r="O10" s="10">
        <v>2264</v>
      </c>
      <c r="P10" s="10">
        <v>1026</v>
      </c>
      <c r="Q10" s="10">
        <v>666</v>
      </c>
      <c r="R10" s="10">
        <v>437</v>
      </c>
      <c r="S10" s="10">
        <v>273</v>
      </c>
      <c r="T10" s="10">
        <v>247</v>
      </c>
      <c r="U10" s="11">
        <v>3682</v>
      </c>
      <c r="V10" s="11">
        <v>1231</v>
      </c>
      <c r="W10" s="11">
        <v>4913</v>
      </c>
      <c r="X10" s="11">
        <v>3485</v>
      </c>
      <c r="Y10" s="11">
        <v>1181</v>
      </c>
      <c r="Z10" s="11">
        <v>4666</v>
      </c>
    </row>
    <row r="11" spans="2:26" x14ac:dyDescent="0.2">
      <c r="B11" s="10" t="s">
        <v>6</v>
      </c>
      <c r="C11" s="10">
        <v>846</v>
      </c>
      <c r="D11" s="10">
        <v>964</v>
      </c>
      <c r="E11" s="10">
        <v>1668</v>
      </c>
      <c r="F11" s="10">
        <v>1632</v>
      </c>
      <c r="G11" s="10">
        <v>1085</v>
      </c>
      <c r="H11" s="10">
        <v>994</v>
      </c>
      <c r="I11" s="10">
        <v>270</v>
      </c>
      <c r="J11" s="10">
        <v>314</v>
      </c>
      <c r="K11" s="10">
        <v>450</v>
      </c>
      <c r="L11" s="10">
        <v>388</v>
      </c>
      <c r="M11" s="10">
        <v>236</v>
      </c>
      <c r="N11" s="10">
        <v>139</v>
      </c>
      <c r="O11" s="10">
        <v>1116</v>
      </c>
      <c r="P11" s="10">
        <v>1278</v>
      </c>
      <c r="Q11" s="10">
        <v>2118</v>
      </c>
      <c r="R11" s="10">
        <v>2020</v>
      </c>
      <c r="S11" s="10">
        <v>1321</v>
      </c>
      <c r="T11" s="10">
        <v>1133</v>
      </c>
      <c r="U11" s="11">
        <v>7189</v>
      </c>
      <c r="V11" s="11">
        <v>1797</v>
      </c>
      <c r="W11" s="11">
        <v>8986</v>
      </c>
      <c r="X11" s="11">
        <v>6195</v>
      </c>
      <c r="Y11" s="11">
        <v>1658</v>
      </c>
      <c r="Z11" s="11">
        <v>7853</v>
      </c>
    </row>
    <row r="12" spans="2:26" x14ac:dyDescent="0.2">
      <c r="B12" s="10" t="s">
        <v>168</v>
      </c>
      <c r="C12" s="10">
        <v>821</v>
      </c>
      <c r="D12" s="10">
        <v>896</v>
      </c>
      <c r="E12" s="10">
        <v>1289</v>
      </c>
      <c r="F12" s="10">
        <v>1328</v>
      </c>
      <c r="G12" s="10">
        <v>1193</v>
      </c>
      <c r="H12" s="10">
        <v>1757</v>
      </c>
      <c r="I12" s="10">
        <v>70</v>
      </c>
      <c r="J12" s="10">
        <v>148</v>
      </c>
      <c r="K12" s="10">
        <v>191</v>
      </c>
      <c r="L12" s="10">
        <v>272</v>
      </c>
      <c r="M12" s="10">
        <v>250</v>
      </c>
      <c r="N12" s="10">
        <v>335</v>
      </c>
      <c r="O12" s="10">
        <v>891</v>
      </c>
      <c r="P12" s="10">
        <v>1044</v>
      </c>
      <c r="Q12" s="10">
        <v>1480</v>
      </c>
      <c r="R12" s="10">
        <v>1600</v>
      </c>
      <c r="S12" s="10">
        <v>1443</v>
      </c>
      <c r="T12" s="10">
        <v>2092</v>
      </c>
      <c r="U12" s="11">
        <v>7284</v>
      </c>
      <c r="V12" s="11">
        <v>1266</v>
      </c>
      <c r="W12" s="11">
        <v>8550</v>
      </c>
      <c r="X12" s="11">
        <v>5527</v>
      </c>
      <c r="Y12" s="11">
        <v>931</v>
      </c>
      <c r="Z12" s="11">
        <v>6458</v>
      </c>
    </row>
    <row r="13" spans="2:26" x14ac:dyDescent="0.2">
      <c r="B13" s="10" t="s">
        <v>8</v>
      </c>
      <c r="C13" s="10">
        <v>0</v>
      </c>
      <c r="D13" s="10">
        <v>0</v>
      </c>
      <c r="E13" s="10">
        <v>0</v>
      </c>
      <c r="F13" s="10">
        <v>0</v>
      </c>
      <c r="G13" s="10">
        <v>0</v>
      </c>
      <c r="H13" s="10">
        <v>0</v>
      </c>
      <c r="I13" s="10">
        <v>0</v>
      </c>
      <c r="J13" s="10">
        <v>0</v>
      </c>
      <c r="K13" s="10">
        <v>0</v>
      </c>
      <c r="L13" s="10">
        <v>0</v>
      </c>
      <c r="M13" s="10">
        <v>0</v>
      </c>
      <c r="N13" s="10">
        <v>0</v>
      </c>
      <c r="O13" s="10">
        <v>0</v>
      </c>
      <c r="P13" s="10">
        <v>0</v>
      </c>
      <c r="Q13" s="10">
        <v>0</v>
      </c>
      <c r="R13" s="10">
        <v>0</v>
      </c>
      <c r="S13" s="10">
        <v>0</v>
      </c>
      <c r="T13" s="10">
        <v>0</v>
      </c>
      <c r="U13" s="11">
        <v>0</v>
      </c>
      <c r="V13" s="11">
        <v>0</v>
      </c>
      <c r="W13" s="11">
        <v>0</v>
      </c>
      <c r="X13" s="11">
        <v>0</v>
      </c>
      <c r="Y13" s="11">
        <v>0</v>
      </c>
      <c r="Z13" s="11">
        <v>0</v>
      </c>
    </row>
    <row r="14" spans="2:26" x14ac:dyDescent="0.2">
      <c r="B14" s="10" t="s">
        <v>9</v>
      </c>
      <c r="C14" s="10">
        <v>7</v>
      </c>
      <c r="D14" s="10">
        <v>12</v>
      </c>
      <c r="E14" s="10">
        <v>23</v>
      </c>
      <c r="F14" s="10">
        <v>18</v>
      </c>
      <c r="G14" s="10">
        <v>27</v>
      </c>
      <c r="H14" s="10">
        <v>31</v>
      </c>
      <c r="I14" s="10">
        <v>237</v>
      </c>
      <c r="J14" s="10">
        <v>307</v>
      </c>
      <c r="K14" s="10">
        <v>399</v>
      </c>
      <c r="L14" s="10">
        <v>394</v>
      </c>
      <c r="M14" s="10">
        <v>278</v>
      </c>
      <c r="N14" s="10">
        <v>290</v>
      </c>
      <c r="O14" s="10">
        <v>244</v>
      </c>
      <c r="P14" s="10">
        <v>319</v>
      </c>
      <c r="Q14" s="10">
        <v>422</v>
      </c>
      <c r="R14" s="10">
        <v>412</v>
      </c>
      <c r="S14" s="10">
        <v>305</v>
      </c>
      <c r="T14" s="10">
        <v>321</v>
      </c>
      <c r="U14" s="11">
        <v>118</v>
      </c>
      <c r="V14" s="11">
        <v>1905</v>
      </c>
      <c r="W14" s="11">
        <v>2023</v>
      </c>
      <c r="X14" s="11">
        <v>87</v>
      </c>
      <c r="Y14" s="11">
        <v>1615</v>
      </c>
      <c r="Z14" s="11">
        <v>1702</v>
      </c>
    </row>
    <row r="15" spans="2:26" x14ac:dyDescent="0.2">
      <c r="B15" s="10" t="s">
        <v>10</v>
      </c>
      <c r="C15" s="10">
        <v>120</v>
      </c>
      <c r="D15" s="10">
        <v>197</v>
      </c>
      <c r="E15" s="10">
        <v>144</v>
      </c>
      <c r="F15" s="10">
        <v>176</v>
      </c>
      <c r="G15" s="10">
        <v>143</v>
      </c>
      <c r="H15" s="10">
        <v>476</v>
      </c>
      <c r="I15" s="10">
        <v>72</v>
      </c>
      <c r="J15" s="10">
        <v>116</v>
      </c>
      <c r="K15" s="10">
        <v>94</v>
      </c>
      <c r="L15" s="10">
        <v>106</v>
      </c>
      <c r="M15" s="10">
        <v>105</v>
      </c>
      <c r="N15" s="10">
        <v>293</v>
      </c>
      <c r="O15" s="10">
        <v>192</v>
      </c>
      <c r="P15" s="10">
        <v>313</v>
      </c>
      <c r="Q15" s="10">
        <v>238</v>
      </c>
      <c r="R15" s="10">
        <v>282</v>
      </c>
      <c r="S15" s="10">
        <v>248</v>
      </c>
      <c r="T15" s="10">
        <v>769</v>
      </c>
      <c r="U15" s="11">
        <v>1256</v>
      </c>
      <c r="V15" s="11">
        <v>786</v>
      </c>
      <c r="W15" s="11">
        <v>2042</v>
      </c>
      <c r="X15" s="11">
        <v>780</v>
      </c>
      <c r="Y15" s="11">
        <v>493</v>
      </c>
      <c r="Z15" s="11">
        <v>1273</v>
      </c>
    </row>
    <row r="16" spans="2:26" x14ac:dyDescent="0.2">
      <c r="B16" s="10" t="s">
        <v>11</v>
      </c>
      <c r="C16" s="10">
        <v>1000</v>
      </c>
      <c r="D16" s="10">
        <v>2102</v>
      </c>
      <c r="E16" s="10">
        <v>2922</v>
      </c>
      <c r="F16" s="10">
        <v>2847</v>
      </c>
      <c r="G16" s="10">
        <v>2159</v>
      </c>
      <c r="H16" s="10">
        <v>2246</v>
      </c>
      <c r="I16" s="10">
        <v>860</v>
      </c>
      <c r="J16" s="10">
        <v>1805</v>
      </c>
      <c r="K16" s="10">
        <v>2454</v>
      </c>
      <c r="L16" s="10">
        <v>2390</v>
      </c>
      <c r="M16" s="10">
        <v>1842</v>
      </c>
      <c r="N16" s="10">
        <v>2094</v>
      </c>
      <c r="O16" s="10">
        <v>1860</v>
      </c>
      <c r="P16" s="10">
        <v>3907</v>
      </c>
      <c r="Q16" s="10">
        <v>5376</v>
      </c>
      <c r="R16" s="10">
        <v>5237</v>
      </c>
      <c r="S16" s="10">
        <v>4001</v>
      </c>
      <c r="T16" s="10">
        <v>4340</v>
      </c>
      <c r="U16" s="11">
        <v>13276</v>
      </c>
      <c r="V16" s="11">
        <v>11445</v>
      </c>
      <c r="W16" s="11">
        <v>24721</v>
      </c>
      <c r="X16" s="11">
        <v>11030</v>
      </c>
      <c r="Y16" s="11">
        <v>9351</v>
      </c>
      <c r="Z16" s="11">
        <v>20381</v>
      </c>
    </row>
    <row r="17" spans="2:26" x14ac:dyDescent="0.2">
      <c r="B17" s="10" t="s">
        <v>12</v>
      </c>
      <c r="C17" s="10">
        <v>2249</v>
      </c>
      <c r="D17" s="10">
        <v>2221</v>
      </c>
      <c r="E17" s="10">
        <v>2457</v>
      </c>
      <c r="F17" s="10">
        <v>2376</v>
      </c>
      <c r="G17" s="10">
        <v>1967</v>
      </c>
      <c r="H17" s="10">
        <v>2411</v>
      </c>
      <c r="I17" s="10">
        <v>1015</v>
      </c>
      <c r="J17" s="10">
        <v>1091</v>
      </c>
      <c r="K17" s="10">
        <v>1277</v>
      </c>
      <c r="L17" s="10">
        <v>1219</v>
      </c>
      <c r="M17" s="10">
        <v>1059</v>
      </c>
      <c r="N17" s="10">
        <v>1409</v>
      </c>
      <c r="O17" s="10">
        <v>3264</v>
      </c>
      <c r="P17" s="10">
        <v>3312</v>
      </c>
      <c r="Q17" s="10">
        <v>3734</v>
      </c>
      <c r="R17" s="10">
        <v>3595</v>
      </c>
      <c r="S17" s="10">
        <v>3026</v>
      </c>
      <c r="T17" s="10">
        <v>3820</v>
      </c>
      <c r="U17" s="11">
        <v>13681</v>
      </c>
      <c r="V17" s="11">
        <v>7070</v>
      </c>
      <c r="W17" s="11">
        <v>20751</v>
      </c>
      <c r="X17" s="11">
        <v>11270</v>
      </c>
      <c r="Y17" s="11">
        <v>5661</v>
      </c>
      <c r="Z17" s="11">
        <v>16931</v>
      </c>
    </row>
    <row r="18" spans="2:26" x14ac:dyDescent="0.2">
      <c r="B18" s="10" t="s">
        <v>13</v>
      </c>
      <c r="C18" s="10">
        <v>2509</v>
      </c>
      <c r="D18" s="10">
        <v>3347</v>
      </c>
      <c r="E18" s="10">
        <v>3902</v>
      </c>
      <c r="F18" s="10">
        <v>3998</v>
      </c>
      <c r="G18" s="10">
        <v>3011</v>
      </c>
      <c r="H18" s="10">
        <v>3731</v>
      </c>
      <c r="I18" s="10">
        <v>2682</v>
      </c>
      <c r="J18" s="10">
        <v>3221</v>
      </c>
      <c r="K18" s="10">
        <v>3058</v>
      </c>
      <c r="L18" s="10">
        <v>2911</v>
      </c>
      <c r="M18" s="10">
        <v>2121</v>
      </c>
      <c r="N18" s="10">
        <v>2671</v>
      </c>
      <c r="O18" s="10">
        <v>5191</v>
      </c>
      <c r="P18" s="10">
        <v>6568</v>
      </c>
      <c r="Q18" s="10">
        <v>6960</v>
      </c>
      <c r="R18" s="10">
        <v>6909</v>
      </c>
      <c r="S18" s="10">
        <v>5132</v>
      </c>
      <c r="T18" s="10">
        <v>6402</v>
      </c>
      <c r="U18" s="11">
        <v>20498</v>
      </c>
      <c r="V18" s="11">
        <v>16664</v>
      </c>
      <c r="W18" s="11">
        <v>37162</v>
      </c>
      <c r="X18" s="11">
        <v>16767</v>
      </c>
      <c r="Y18" s="11">
        <v>13993</v>
      </c>
      <c r="Z18" s="11">
        <v>30760</v>
      </c>
    </row>
    <row r="19" spans="2:26" x14ac:dyDescent="0.2">
      <c r="B19" s="10" t="s">
        <v>14</v>
      </c>
      <c r="C19" s="10">
        <v>767</v>
      </c>
      <c r="D19" s="10">
        <v>1092</v>
      </c>
      <c r="E19" s="10">
        <v>1019</v>
      </c>
      <c r="F19" s="10">
        <v>921</v>
      </c>
      <c r="G19" s="10">
        <v>647</v>
      </c>
      <c r="H19" s="10">
        <v>645</v>
      </c>
      <c r="I19" s="10">
        <v>585</v>
      </c>
      <c r="J19" s="10">
        <v>783</v>
      </c>
      <c r="K19" s="10">
        <v>715</v>
      </c>
      <c r="L19" s="10">
        <v>611</v>
      </c>
      <c r="M19" s="10">
        <v>439</v>
      </c>
      <c r="N19" s="10">
        <v>447</v>
      </c>
      <c r="O19" s="10">
        <v>1352</v>
      </c>
      <c r="P19" s="10">
        <v>1875</v>
      </c>
      <c r="Q19" s="10">
        <v>1734</v>
      </c>
      <c r="R19" s="10">
        <v>1532</v>
      </c>
      <c r="S19" s="10">
        <v>1086</v>
      </c>
      <c r="T19" s="10">
        <v>1092</v>
      </c>
      <c r="U19" s="11">
        <v>5091</v>
      </c>
      <c r="V19" s="11">
        <v>3580</v>
      </c>
      <c r="W19" s="11">
        <v>8671</v>
      </c>
      <c r="X19" s="11">
        <v>4446</v>
      </c>
      <c r="Y19" s="11">
        <v>3133</v>
      </c>
      <c r="Z19" s="11">
        <v>7579</v>
      </c>
    </row>
    <row r="20" spans="2:26" x14ac:dyDescent="0.2">
      <c r="B20" s="10" t="s">
        <v>15</v>
      </c>
      <c r="C20" s="10">
        <v>2469</v>
      </c>
      <c r="D20" s="10">
        <v>2853</v>
      </c>
      <c r="E20" s="10">
        <v>3462</v>
      </c>
      <c r="F20" s="10">
        <v>3143</v>
      </c>
      <c r="G20" s="10">
        <v>2227</v>
      </c>
      <c r="H20" s="10">
        <v>2165</v>
      </c>
      <c r="I20" s="10">
        <v>2979</v>
      </c>
      <c r="J20" s="10">
        <v>3375</v>
      </c>
      <c r="K20" s="10">
        <v>4069</v>
      </c>
      <c r="L20" s="10">
        <v>3777</v>
      </c>
      <c r="M20" s="10">
        <v>2839</v>
      </c>
      <c r="N20" s="10">
        <v>2936</v>
      </c>
      <c r="O20" s="10">
        <v>5448</v>
      </c>
      <c r="P20" s="10">
        <v>6228</v>
      </c>
      <c r="Q20" s="10">
        <v>7531</v>
      </c>
      <c r="R20" s="10">
        <v>6920</v>
      </c>
      <c r="S20" s="10">
        <v>5066</v>
      </c>
      <c r="T20" s="10">
        <v>5101</v>
      </c>
      <c r="U20" s="11">
        <v>16319</v>
      </c>
      <c r="V20" s="11">
        <v>19975</v>
      </c>
      <c r="W20" s="11">
        <v>36294</v>
      </c>
      <c r="X20" s="11">
        <v>14154</v>
      </c>
      <c r="Y20" s="11">
        <v>17039</v>
      </c>
      <c r="Z20" s="11">
        <v>31193</v>
      </c>
    </row>
    <row r="21" spans="2:26" x14ac:dyDescent="0.2">
      <c r="B21" s="10" t="s">
        <v>16</v>
      </c>
      <c r="C21" s="10">
        <v>267</v>
      </c>
      <c r="D21" s="10">
        <v>329</v>
      </c>
      <c r="E21" s="10">
        <v>400</v>
      </c>
      <c r="F21" s="10">
        <v>509</v>
      </c>
      <c r="G21" s="10">
        <v>447</v>
      </c>
      <c r="H21" s="10">
        <v>947</v>
      </c>
      <c r="I21" s="10">
        <v>477</v>
      </c>
      <c r="J21" s="10">
        <v>495</v>
      </c>
      <c r="K21" s="10">
        <v>686</v>
      </c>
      <c r="L21" s="10">
        <v>723</v>
      </c>
      <c r="M21" s="10">
        <v>608</v>
      </c>
      <c r="N21" s="10">
        <v>1129</v>
      </c>
      <c r="O21" s="10">
        <v>744</v>
      </c>
      <c r="P21" s="10">
        <v>824</v>
      </c>
      <c r="Q21" s="10">
        <v>1086</v>
      </c>
      <c r="R21" s="10">
        <v>1232</v>
      </c>
      <c r="S21" s="10">
        <v>1055</v>
      </c>
      <c r="T21" s="10">
        <v>2076</v>
      </c>
      <c r="U21" s="11">
        <v>2899</v>
      </c>
      <c r="V21" s="11">
        <v>4118</v>
      </c>
      <c r="W21" s="11">
        <v>7017</v>
      </c>
      <c r="X21" s="11">
        <v>1952</v>
      </c>
      <c r="Y21" s="11">
        <v>2989</v>
      </c>
      <c r="Z21" s="11">
        <v>4941</v>
      </c>
    </row>
    <row r="22" spans="2:26" x14ac:dyDescent="0.2">
      <c r="B22" s="10" t="s">
        <v>17</v>
      </c>
      <c r="C22" s="10">
        <v>354</v>
      </c>
      <c r="D22" s="10">
        <v>600</v>
      </c>
      <c r="E22" s="10">
        <v>733</v>
      </c>
      <c r="F22" s="10">
        <v>729</v>
      </c>
      <c r="G22" s="10">
        <v>740</v>
      </c>
      <c r="H22" s="10">
        <v>1333</v>
      </c>
      <c r="I22" s="10">
        <v>1703</v>
      </c>
      <c r="J22" s="10">
        <v>2452</v>
      </c>
      <c r="K22" s="10">
        <v>2588</v>
      </c>
      <c r="L22" s="10">
        <v>2402</v>
      </c>
      <c r="M22" s="10">
        <v>1901</v>
      </c>
      <c r="N22" s="10">
        <v>2522</v>
      </c>
      <c r="O22" s="10">
        <v>2057</v>
      </c>
      <c r="P22" s="10">
        <v>3052</v>
      </c>
      <c r="Q22" s="10">
        <v>3321</v>
      </c>
      <c r="R22" s="10">
        <v>3131</v>
      </c>
      <c r="S22" s="10">
        <v>2641</v>
      </c>
      <c r="T22" s="10">
        <v>3855</v>
      </c>
      <c r="U22" s="11">
        <v>4489</v>
      </c>
      <c r="V22" s="11">
        <v>13568</v>
      </c>
      <c r="W22" s="11">
        <v>18057</v>
      </c>
      <c r="X22" s="11">
        <v>3156</v>
      </c>
      <c r="Y22" s="11">
        <v>11046</v>
      </c>
      <c r="Z22" s="11">
        <v>14202</v>
      </c>
    </row>
    <row r="23" spans="2:26" x14ac:dyDescent="0.2">
      <c r="B23" s="10" t="s">
        <v>18</v>
      </c>
      <c r="C23" s="10">
        <v>496</v>
      </c>
      <c r="D23" s="10">
        <v>727</v>
      </c>
      <c r="E23" s="10">
        <v>760</v>
      </c>
      <c r="F23" s="10">
        <v>904</v>
      </c>
      <c r="G23" s="10">
        <v>756</v>
      </c>
      <c r="H23" s="10">
        <v>1640</v>
      </c>
      <c r="I23" s="10">
        <v>1962</v>
      </c>
      <c r="J23" s="10">
        <v>2684</v>
      </c>
      <c r="K23" s="10">
        <v>2701</v>
      </c>
      <c r="L23" s="10">
        <v>2706</v>
      </c>
      <c r="M23" s="10">
        <v>2188</v>
      </c>
      <c r="N23" s="10">
        <v>3837</v>
      </c>
      <c r="O23" s="10">
        <v>2458</v>
      </c>
      <c r="P23" s="10">
        <v>3411</v>
      </c>
      <c r="Q23" s="10">
        <v>3461</v>
      </c>
      <c r="R23" s="10">
        <v>3610</v>
      </c>
      <c r="S23" s="10">
        <v>2944</v>
      </c>
      <c r="T23" s="10">
        <v>5477</v>
      </c>
      <c r="U23" s="11">
        <v>5283</v>
      </c>
      <c r="V23" s="11">
        <v>16078</v>
      </c>
      <c r="W23" s="11">
        <v>21361</v>
      </c>
      <c r="X23" s="11">
        <v>3643</v>
      </c>
      <c r="Y23" s="11">
        <v>12241</v>
      </c>
      <c r="Z23" s="11">
        <v>15884</v>
      </c>
    </row>
    <row r="24" spans="2:26" x14ac:dyDescent="0.2">
      <c r="B24" s="10" t="s">
        <v>19</v>
      </c>
      <c r="C24" s="10">
        <v>108</v>
      </c>
      <c r="D24" s="10">
        <v>158</v>
      </c>
      <c r="E24" s="10">
        <v>164</v>
      </c>
      <c r="F24" s="10">
        <v>148</v>
      </c>
      <c r="G24" s="10">
        <v>141</v>
      </c>
      <c r="H24" s="10">
        <v>216</v>
      </c>
      <c r="I24" s="10">
        <v>97</v>
      </c>
      <c r="J24" s="10">
        <v>133</v>
      </c>
      <c r="K24" s="10">
        <v>151</v>
      </c>
      <c r="L24" s="10">
        <v>145</v>
      </c>
      <c r="M24" s="10">
        <v>108</v>
      </c>
      <c r="N24" s="10">
        <v>214</v>
      </c>
      <c r="O24" s="10">
        <v>205</v>
      </c>
      <c r="P24" s="10">
        <v>291</v>
      </c>
      <c r="Q24" s="10">
        <v>315</v>
      </c>
      <c r="R24" s="10">
        <v>293</v>
      </c>
      <c r="S24" s="10">
        <v>249</v>
      </c>
      <c r="T24" s="10">
        <v>430</v>
      </c>
      <c r="U24" s="11">
        <v>935</v>
      </c>
      <c r="V24" s="11">
        <v>848</v>
      </c>
      <c r="W24" s="11">
        <v>1783</v>
      </c>
      <c r="X24" s="11">
        <v>719</v>
      </c>
      <c r="Y24" s="11">
        <v>634</v>
      </c>
      <c r="Z24" s="11">
        <v>1353</v>
      </c>
    </row>
    <row r="25" spans="2:26" x14ac:dyDescent="0.2">
      <c r="B25" s="10" t="s">
        <v>20</v>
      </c>
      <c r="C25" s="10">
        <v>2015</v>
      </c>
      <c r="D25" s="10">
        <v>2093</v>
      </c>
      <c r="E25" s="10">
        <v>2648</v>
      </c>
      <c r="F25" s="10">
        <v>2233</v>
      </c>
      <c r="G25" s="10">
        <v>1503</v>
      </c>
      <c r="H25" s="10">
        <v>1252</v>
      </c>
      <c r="I25" s="10">
        <v>3639</v>
      </c>
      <c r="J25" s="10">
        <v>3691</v>
      </c>
      <c r="K25" s="10">
        <v>4283</v>
      </c>
      <c r="L25" s="10">
        <v>3269</v>
      </c>
      <c r="M25" s="10">
        <v>1924</v>
      </c>
      <c r="N25" s="10">
        <v>1246</v>
      </c>
      <c r="O25" s="10">
        <v>5654</v>
      </c>
      <c r="P25" s="10">
        <v>5784</v>
      </c>
      <c r="Q25" s="10">
        <v>6931</v>
      </c>
      <c r="R25" s="10">
        <v>5502</v>
      </c>
      <c r="S25" s="10">
        <v>3427</v>
      </c>
      <c r="T25" s="10">
        <v>2498</v>
      </c>
      <c r="U25" s="11">
        <v>11744</v>
      </c>
      <c r="V25" s="11">
        <v>18052</v>
      </c>
      <c r="W25" s="11">
        <v>29796</v>
      </c>
      <c r="X25" s="11">
        <v>10492</v>
      </c>
      <c r="Y25" s="11">
        <v>16806</v>
      </c>
      <c r="Z25" s="11">
        <v>27298</v>
      </c>
    </row>
    <row r="26" spans="2:26" x14ac:dyDescent="0.2">
      <c r="B26" s="10" t="s">
        <v>21</v>
      </c>
      <c r="C26" s="10">
        <v>185</v>
      </c>
      <c r="D26" s="10">
        <v>270</v>
      </c>
      <c r="E26" s="10">
        <v>376</v>
      </c>
      <c r="F26" s="10">
        <v>405</v>
      </c>
      <c r="G26" s="10">
        <v>388</v>
      </c>
      <c r="H26" s="10">
        <v>453</v>
      </c>
      <c r="I26" s="10">
        <v>701</v>
      </c>
      <c r="J26" s="10">
        <v>933</v>
      </c>
      <c r="K26" s="10">
        <v>1213</v>
      </c>
      <c r="L26" s="10">
        <v>1187</v>
      </c>
      <c r="M26" s="10">
        <v>949</v>
      </c>
      <c r="N26" s="10">
        <v>837</v>
      </c>
      <c r="O26" s="10">
        <v>886</v>
      </c>
      <c r="P26" s="10">
        <v>1203</v>
      </c>
      <c r="Q26" s="10">
        <v>1589</v>
      </c>
      <c r="R26" s="10">
        <v>1592</v>
      </c>
      <c r="S26" s="10">
        <v>1337</v>
      </c>
      <c r="T26" s="10">
        <v>1290</v>
      </c>
      <c r="U26" s="11">
        <v>2077</v>
      </c>
      <c r="V26" s="11">
        <v>5820</v>
      </c>
      <c r="W26" s="11">
        <v>7897</v>
      </c>
      <c r="X26" s="11">
        <v>1624</v>
      </c>
      <c r="Y26" s="11">
        <v>4983</v>
      </c>
      <c r="Z26" s="11">
        <v>6607</v>
      </c>
    </row>
    <row r="27" spans="2:26" x14ac:dyDescent="0.2">
      <c r="B27" s="10" t="s">
        <v>22</v>
      </c>
      <c r="C27" s="10">
        <v>3492</v>
      </c>
      <c r="D27" s="10">
        <v>4524</v>
      </c>
      <c r="E27" s="10">
        <v>4690</v>
      </c>
      <c r="F27" s="10">
        <v>4386</v>
      </c>
      <c r="G27" s="10">
        <v>3081</v>
      </c>
      <c r="H27" s="10">
        <v>2256</v>
      </c>
      <c r="I27" s="10">
        <v>7224</v>
      </c>
      <c r="J27" s="10">
        <v>9699</v>
      </c>
      <c r="K27" s="10">
        <v>11249</v>
      </c>
      <c r="L27" s="10">
        <v>10724</v>
      </c>
      <c r="M27" s="10">
        <v>7062</v>
      </c>
      <c r="N27" s="10">
        <v>4157</v>
      </c>
      <c r="O27" s="10">
        <v>10716</v>
      </c>
      <c r="P27" s="10">
        <v>14223</v>
      </c>
      <c r="Q27" s="10">
        <v>15939</v>
      </c>
      <c r="R27" s="10">
        <v>15110</v>
      </c>
      <c r="S27" s="10">
        <v>10143</v>
      </c>
      <c r="T27" s="10">
        <v>6413</v>
      </c>
      <c r="U27" s="11">
        <v>22429</v>
      </c>
      <c r="V27" s="11">
        <v>50115</v>
      </c>
      <c r="W27" s="11">
        <v>72544</v>
      </c>
      <c r="X27" s="11">
        <v>20173</v>
      </c>
      <c r="Y27" s="11">
        <v>45958</v>
      </c>
      <c r="Z27" s="11">
        <v>66131</v>
      </c>
    </row>
    <row r="28" spans="2:26" x14ac:dyDescent="0.2">
      <c r="B28" s="10" t="s">
        <v>51</v>
      </c>
      <c r="C28" s="10">
        <v>286</v>
      </c>
      <c r="D28" s="10">
        <v>467</v>
      </c>
      <c r="E28" s="10">
        <v>894</v>
      </c>
      <c r="F28" s="10">
        <v>766</v>
      </c>
      <c r="G28" s="10">
        <v>367</v>
      </c>
      <c r="H28" s="10">
        <v>247</v>
      </c>
      <c r="I28" s="10">
        <v>380</v>
      </c>
      <c r="J28" s="10">
        <v>709</v>
      </c>
      <c r="K28" s="10">
        <v>1162</v>
      </c>
      <c r="L28" s="10">
        <v>920</v>
      </c>
      <c r="M28" s="10">
        <v>414</v>
      </c>
      <c r="N28" s="10">
        <v>229</v>
      </c>
      <c r="O28" s="10">
        <v>666</v>
      </c>
      <c r="P28" s="10">
        <v>1176</v>
      </c>
      <c r="Q28" s="10">
        <v>2056</v>
      </c>
      <c r="R28" s="10">
        <v>1686</v>
      </c>
      <c r="S28" s="10">
        <v>781</v>
      </c>
      <c r="T28" s="10">
        <v>476</v>
      </c>
      <c r="U28" s="11">
        <v>3027</v>
      </c>
      <c r="V28" s="11">
        <v>3814</v>
      </c>
      <c r="W28" s="11">
        <v>6841</v>
      </c>
      <c r="X28" s="11">
        <v>2780</v>
      </c>
      <c r="Y28" s="11">
        <v>3585</v>
      </c>
      <c r="Z28" s="11">
        <v>6365</v>
      </c>
    </row>
    <row r="29" spans="2:26" x14ac:dyDescent="0.2">
      <c r="B29" s="10" t="s">
        <v>23</v>
      </c>
      <c r="C29" s="10">
        <v>189</v>
      </c>
      <c r="D29" s="10">
        <v>317</v>
      </c>
      <c r="E29" s="10">
        <v>442</v>
      </c>
      <c r="F29" s="10">
        <v>416</v>
      </c>
      <c r="G29" s="10">
        <v>348</v>
      </c>
      <c r="H29" s="10">
        <v>629</v>
      </c>
      <c r="I29" s="10">
        <v>446</v>
      </c>
      <c r="J29" s="10">
        <v>890</v>
      </c>
      <c r="K29" s="10">
        <v>1123</v>
      </c>
      <c r="L29" s="10">
        <v>828</v>
      </c>
      <c r="M29" s="10">
        <v>537</v>
      </c>
      <c r="N29" s="10">
        <v>641</v>
      </c>
      <c r="O29" s="10">
        <v>635</v>
      </c>
      <c r="P29" s="10">
        <v>1207</v>
      </c>
      <c r="Q29" s="10">
        <v>1565</v>
      </c>
      <c r="R29" s="10">
        <v>1244</v>
      </c>
      <c r="S29" s="10">
        <v>885</v>
      </c>
      <c r="T29" s="10">
        <v>1270</v>
      </c>
      <c r="U29" s="11">
        <v>2341</v>
      </c>
      <c r="V29" s="11">
        <v>4465</v>
      </c>
      <c r="W29" s="11">
        <v>6806</v>
      </c>
      <c r="X29" s="11">
        <v>1712</v>
      </c>
      <c r="Y29" s="11">
        <v>3824</v>
      </c>
      <c r="Z29" s="11">
        <v>5536</v>
      </c>
    </row>
    <row r="30" spans="2:26" x14ac:dyDescent="0.2">
      <c r="B30" s="10" t="s">
        <v>24</v>
      </c>
      <c r="C30" s="10">
        <v>1509</v>
      </c>
      <c r="D30" s="10">
        <v>1237</v>
      </c>
      <c r="E30" s="10">
        <v>1389</v>
      </c>
      <c r="F30" s="10">
        <v>1181</v>
      </c>
      <c r="G30" s="10">
        <v>838</v>
      </c>
      <c r="H30" s="10">
        <v>705</v>
      </c>
      <c r="I30" s="10">
        <v>3169</v>
      </c>
      <c r="J30" s="10">
        <v>2759</v>
      </c>
      <c r="K30" s="10">
        <v>3165</v>
      </c>
      <c r="L30" s="10">
        <v>2707</v>
      </c>
      <c r="M30" s="10">
        <v>2065</v>
      </c>
      <c r="N30" s="10">
        <v>1994</v>
      </c>
      <c r="O30" s="10">
        <v>4678</v>
      </c>
      <c r="P30" s="10">
        <v>3996</v>
      </c>
      <c r="Q30" s="10">
        <v>4554</v>
      </c>
      <c r="R30" s="10">
        <v>3888</v>
      </c>
      <c r="S30" s="10">
        <v>2903</v>
      </c>
      <c r="T30" s="10">
        <v>2699</v>
      </c>
      <c r="U30" s="11">
        <v>6859</v>
      </c>
      <c r="V30" s="11">
        <v>15859</v>
      </c>
      <c r="W30" s="11">
        <v>22718</v>
      </c>
      <c r="X30" s="11">
        <v>6154</v>
      </c>
      <c r="Y30" s="11">
        <v>13865</v>
      </c>
      <c r="Z30" s="11">
        <v>20019</v>
      </c>
    </row>
    <row r="31" spans="2:26" x14ac:dyDescent="0.2">
      <c r="B31" s="10" t="s">
        <v>25</v>
      </c>
      <c r="C31" s="10">
        <v>741</v>
      </c>
      <c r="D31" s="10">
        <v>506</v>
      </c>
      <c r="E31" s="10">
        <v>516</v>
      </c>
      <c r="F31" s="10">
        <v>449</v>
      </c>
      <c r="G31" s="10">
        <v>339</v>
      </c>
      <c r="H31" s="10">
        <v>304</v>
      </c>
      <c r="I31" s="10">
        <v>1385</v>
      </c>
      <c r="J31" s="10">
        <v>1166</v>
      </c>
      <c r="K31" s="10">
        <v>1213</v>
      </c>
      <c r="L31" s="10">
        <v>1130</v>
      </c>
      <c r="M31" s="10">
        <v>843</v>
      </c>
      <c r="N31" s="10">
        <v>714</v>
      </c>
      <c r="O31" s="10">
        <v>2126</v>
      </c>
      <c r="P31" s="10">
        <v>1672</v>
      </c>
      <c r="Q31" s="10">
        <v>1729</v>
      </c>
      <c r="R31" s="10">
        <v>1579</v>
      </c>
      <c r="S31" s="10">
        <v>1182</v>
      </c>
      <c r="T31" s="10">
        <v>1018</v>
      </c>
      <c r="U31" s="11">
        <v>2855</v>
      </c>
      <c r="V31" s="11">
        <v>6451</v>
      </c>
      <c r="W31" s="11">
        <v>9306</v>
      </c>
      <c r="X31" s="11">
        <v>2551</v>
      </c>
      <c r="Y31" s="11">
        <v>5737</v>
      </c>
      <c r="Z31" s="11">
        <v>8288</v>
      </c>
    </row>
    <row r="32" spans="2:26" x14ac:dyDescent="0.2">
      <c r="B32" s="10" t="s">
        <v>26</v>
      </c>
      <c r="C32" s="10">
        <v>292</v>
      </c>
      <c r="D32" s="10">
        <v>260</v>
      </c>
      <c r="E32" s="10">
        <v>236</v>
      </c>
      <c r="F32" s="10">
        <v>161</v>
      </c>
      <c r="G32" s="10">
        <v>106</v>
      </c>
      <c r="H32" s="10">
        <v>114</v>
      </c>
      <c r="I32" s="10">
        <v>634</v>
      </c>
      <c r="J32" s="10">
        <v>605</v>
      </c>
      <c r="K32" s="10">
        <v>542</v>
      </c>
      <c r="L32" s="10">
        <v>465</v>
      </c>
      <c r="M32" s="10">
        <v>338</v>
      </c>
      <c r="N32" s="10">
        <v>342</v>
      </c>
      <c r="O32" s="10">
        <v>926</v>
      </c>
      <c r="P32" s="10">
        <v>865</v>
      </c>
      <c r="Q32" s="10">
        <v>778</v>
      </c>
      <c r="R32" s="10">
        <v>626</v>
      </c>
      <c r="S32" s="10">
        <v>444</v>
      </c>
      <c r="T32" s="10">
        <v>456</v>
      </c>
      <c r="U32" s="11">
        <v>1169</v>
      </c>
      <c r="V32" s="11">
        <v>2926</v>
      </c>
      <c r="W32" s="11">
        <v>4095</v>
      </c>
      <c r="X32" s="11">
        <v>1055</v>
      </c>
      <c r="Y32" s="11">
        <v>2584</v>
      </c>
      <c r="Z32" s="11">
        <v>3639</v>
      </c>
    </row>
    <row r="33" spans="1:71" x14ac:dyDescent="0.2">
      <c r="B33" s="10" t="s">
        <v>27</v>
      </c>
      <c r="C33" s="10">
        <v>415</v>
      </c>
      <c r="D33" s="10">
        <v>304</v>
      </c>
      <c r="E33" s="10">
        <v>235</v>
      </c>
      <c r="F33" s="10">
        <v>192</v>
      </c>
      <c r="G33" s="10">
        <v>142</v>
      </c>
      <c r="H33" s="10">
        <v>210</v>
      </c>
      <c r="I33" s="10">
        <v>549</v>
      </c>
      <c r="J33" s="10">
        <v>460</v>
      </c>
      <c r="K33" s="10">
        <v>395</v>
      </c>
      <c r="L33" s="10">
        <v>238</v>
      </c>
      <c r="M33" s="10">
        <v>141</v>
      </c>
      <c r="N33" s="10">
        <v>154</v>
      </c>
      <c r="O33" s="10">
        <v>964</v>
      </c>
      <c r="P33" s="10">
        <v>764</v>
      </c>
      <c r="Q33" s="10">
        <v>630</v>
      </c>
      <c r="R33" s="10">
        <v>430</v>
      </c>
      <c r="S33" s="10">
        <v>283</v>
      </c>
      <c r="T33" s="10">
        <v>364</v>
      </c>
      <c r="U33" s="11">
        <v>1498</v>
      </c>
      <c r="V33" s="11">
        <v>1937</v>
      </c>
      <c r="W33" s="11">
        <v>3435</v>
      </c>
      <c r="X33" s="11">
        <v>1288</v>
      </c>
      <c r="Y33" s="11">
        <v>1783</v>
      </c>
      <c r="Z33" s="11">
        <v>3071</v>
      </c>
    </row>
    <row r="34" spans="1:71" x14ac:dyDescent="0.2">
      <c r="B34" s="10" t="s">
        <v>28</v>
      </c>
      <c r="C34" s="10">
        <v>750</v>
      </c>
      <c r="D34" s="10">
        <v>565</v>
      </c>
      <c r="E34" s="10">
        <v>522</v>
      </c>
      <c r="F34" s="10">
        <v>424</v>
      </c>
      <c r="G34" s="10">
        <v>267</v>
      </c>
      <c r="H34" s="10">
        <v>242</v>
      </c>
      <c r="I34" s="10">
        <v>898</v>
      </c>
      <c r="J34" s="10">
        <v>811</v>
      </c>
      <c r="K34" s="10">
        <v>793</v>
      </c>
      <c r="L34" s="10">
        <v>575</v>
      </c>
      <c r="M34" s="10">
        <v>310</v>
      </c>
      <c r="N34" s="10">
        <v>252</v>
      </c>
      <c r="O34" s="10">
        <v>1648</v>
      </c>
      <c r="P34" s="10">
        <v>1376</v>
      </c>
      <c r="Q34" s="10">
        <v>1315</v>
      </c>
      <c r="R34" s="10">
        <v>999</v>
      </c>
      <c r="S34" s="10">
        <v>577</v>
      </c>
      <c r="T34" s="10">
        <v>494</v>
      </c>
      <c r="U34" s="11">
        <v>2770</v>
      </c>
      <c r="V34" s="11">
        <v>3639</v>
      </c>
      <c r="W34" s="11">
        <v>6409</v>
      </c>
      <c r="X34" s="11">
        <v>2528</v>
      </c>
      <c r="Y34" s="11">
        <v>3387</v>
      </c>
      <c r="Z34" s="11">
        <v>5915</v>
      </c>
    </row>
    <row r="35" spans="1:71" x14ac:dyDescent="0.2">
      <c r="B35" s="10" t="s">
        <v>29</v>
      </c>
      <c r="C35" s="10">
        <v>269</v>
      </c>
      <c r="D35" s="10">
        <v>359</v>
      </c>
      <c r="E35" s="10">
        <v>400</v>
      </c>
      <c r="F35" s="10">
        <v>357</v>
      </c>
      <c r="G35" s="10">
        <v>184</v>
      </c>
      <c r="H35" s="10">
        <v>178</v>
      </c>
      <c r="I35" s="10">
        <v>702</v>
      </c>
      <c r="J35" s="10">
        <v>988</v>
      </c>
      <c r="K35" s="10">
        <v>1206</v>
      </c>
      <c r="L35" s="10">
        <v>991</v>
      </c>
      <c r="M35" s="10">
        <v>616</v>
      </c>
      <c r="N35" s="10">
        <v>478</v>
      </c>
      <c r="O35" s="10">
        <v>971</v>
      </c>
      <c r="P35" s="10">
        <v>1347</v>
      </c>
      <c r="Q35" s="10">
        <v>1606</v>
      </c>
      <c r="R35" s="10">
        <v>1348</v>
      </c>
      <c r="S35" s="10">
        <v>800</v>
      </c>
      <c r="T35" s="10">
        <v>656</v>
      </c>
      <c r="U35" s="11">
        <v>1747</v>
      </c>
      <c r="V35" s="11">
        <v>4981</v>
      </c>
      <c r="W35" s="11">
        <v>6728</v>
      </c>
      <c r="X35" s="11">
        <v>1569</v>
      </c>
      <c r="Y35" s="11">
        <v>4503</v>
      </c>
      <c r="Z35" s="11">
        <v>6072</v>
      </c>
    </row>
    <row r="36" spans="1:71" x14ac:dyDescent="0.2">
      <c r="B36" s="10" t="s">
        <v>30</v>
      </c>
      <c r="C36" s="10">
        <v>455</v>
      </c>
      <c r="D36" s="10">
        <v>409</v>
      </c>
      <c r="E36" s="10">
        <v>443</v>
      </c>
      <c r="F36" s="10">
        <v>355</v>
      </c>
      <c r="G36" s="10">
        <v>221</v>
      </c>
      <c r="H36" s="10">
        <v>156</v>
      </c>
      <c r="I36" s="10">
        <v>638</v>
      </c>
      <c r="J36" s="10">
        <v>697</v>
      </c>
      <c r="K36" s="10">
        <v>803</v>
      </c>
      <c r="L36" s="10">
        <v>625</v>
      </c>
      <c r="M36" s="10">
        <v>369</v>
      </c>
      <c r="N36" s="10">
        <v>231</v>
      </c>
      <c r="O36" s="10">
        <v>1093</v>
      </c>
      <c r="P36" s="10">
        <v>1106</v>
      </c>
      <c r="Q36" s="10">
        <v>1246</v>
      </c>
      <c r="R36" s="10">
        <v>980</v>
      </c>
      <c r="S36" s="10">
        <v>590</v>
      </c>
      <c r="T36" s="10">
        <v>387</v>
      </c>
      <c r="U36" s="11">
        <v>2039</v>
      </c>
      <c r="V36" s="11">
        <v>3363</v>
      </c>
      <c r="W36" s="11">
        <v>5402</v>
      </c>
      <c r="X36" s="11">
        <v>1883</v>
      </c>
      <c r="Y36" s="11">
        <v>3132</v>
      </c>
      <c r="Z36" s="11">
        <v>5015</v>
      </c>
    </row>
    <row r="37" spans="1:71" x14ac:dyDescent="0.2">
      <c r="B37" s="10" t="s">
        <v>31</v>
      </c>
      <c r="C37" s="10">
        <v>293</v>
      </c>
      <c r="D37" s="10">
        <v>659</v>
      </c>
      <c r="E37" s="10">
        <v>1208</v>
      </c>
      <c r="F37" s="10">
        <v>1537</v>
      </c>
      <c r="G37" s="10">
        <v>1157</v>
      </c>
      <c r="H37" s="10">
        <v>657</v>
      </c>
      <c r="I37" s="10">
        <v>419</v>
      </c>
      <c r="J37" s="10">
        <v>602</v>
      </c>
      <c r="K37" s="10">
        <v>831</v>
      </c>
      <c r="L37" s="10">
        <v>752</v>
      </c>
      <c r="M37" s="10">
        <v>552</v>
      </c>
      <c r="N37" s="10">
        <v>375</v>
      </c>
      <c r="O37" s="10">
        <v>712</v>
      </c>
      <c r="P37" s="10">
        <v>1261</v>
      </c>
      <c r="Q37" s="10">
        <v>2039</v>
      </c>
      <c r="R37" s="10">
        <v>2289</v>
      </c>
      <c r="S37" s="10">
        <v>1709</v>
      </c>
      <c r="T37" s="10">
        <v>1032</v>
      </c>
      <c r="U37" s="11">
        <v>5511</v>
      </c>
      <c r="V37" s="11">
        <v>3531</v>
      </c>
      <c r="W37" s="11">
        <v>9042</v>
      </c>
      <c r="X37" s="11">
        <v>4854</v>
      </c>
      <c r="Y37" s="11">
        <v>3156</v>
      </c>
      <c r="Z37" s="11">
        <v>8010</v>
      </c>
    </row>
    <row r="38" spans="1:71" x14ac:dyDescent="0.2">
      <c r="B38" s="10" t="s">
        <v>32</v>
      </c>
      <c r="C38" s="10">
        <v>4682</v>
      </c>
      <c r="D38" s="10">
        <v>5229</v>
      </c>
      <c r="E38" s="10">
        <v>5926</v>
      </c>
      <c r="F38" s="10">
        <v>5868</v>
      </c>
      <c r="G38" s="10">
        <v>4419</v>
      </c>
      <c r="H38" s="10">
        <v>4570</v>
      </c>
      <c r="I38" s="10">
        <v>3956</v>
      </c>
      <c r="J38" s="10">
        <v>4799</v>
      </c>
      <c r="K38" s="10">
        <v>5909</v>
      </c>
      <c r="L38" s="10">
        <v>6104</v>
      </c>
      <c r="M38" s="10">
        <v>4888</v>
      </c>
      <c r="N38" s="10">
        <v>5670</v>
      </c>
      <c r="O38" s="10">
        <v>8638</v>
      </c>
      <c r="P38" s="10">
        <v>10028</v>
      </c>
      <c r="Q38" s="10">
        <v>11835</v>
      </c>
      <c r="R38" s="10">
        <v>11972</v>
      </c>
      <c r="S38" s="10">
        <v>9307</v>
      </c>
      <c r="T38" s="10">
        <v>10240</v>
      </c>
      <c r="U38" s="11">
        <v>30694</v>
      </c>
      <c r="V38" s="11">
        <v>31326</v>
      </c>
      <c r="W38" s="11">
        <v>62020</v>
      </c>
      <c r="X38" s="11">
        <v>26124</v>
      </c>
      <c r="Y38" s="11">
        <v>25656</v>
      </c>
      <c r="Z38" s="11">
        <v>51780</v>
      </c>
    </row>
    <row r="39" spans="1:71" x14ac:dyDescent="0.2">
      <c r="B39" s="10" t="s">
        <v>46</v>
      </c>
      <c r="C39" s="10">
        <v>49199</v>
      </c>
      <c r="D39" s="10">
        <v>51648</v>
      </c>
      <c r="E39" s="10">
        <v>56666</v>
      </c>
      <c r="F39" s="10">
        <v>53174</v>
      </c>
      <c r="G39" s="10">
        <v>40721</v>
      </c>
      <c r="H39" s="10">
        <v>44764</v>
      </c>
      <c r="I39" s="10">
        <v>51419</v>
      </c>
      <c r="J39" s="10">
        <v>59895</v>
      </c>
      <c r="K39" s="10">
        <v>65632</v>
      </c>
      <c r="L39" s="10">
        <v>59374</v>
      </c>
      <c r="M39" s="10">
        <v>43374</v>
      </c>
      <c r="N39" s="10">
        <v>44298</v>
      </c>
      <c r="O39" s="10">
        <v>100618</v>
      </c>
      <c r="P39" s="10">
        <v>111543</v>
      </c>
      <c r="Q39" s="10">
        <v>122298</v>
      </c>
      <c r="R39" s="10">
        <v>112548</v>
      </c>
      <c r="S39" s="10">
        <v>84095</v>
      </c>
      <c r="T39" s="10">
        <v>89062</v>
      </c>
      <c r="U39" s="11">
        <v>296172</v>
      </c>
      <c r="V39" s="11">
        <v>323992</v>
      </c>
      <c r="W39" s="11">
        <v>620164</v>
      </c>
      <c r="X39" s="11">
        <v>251408</v>
      </c>
      <c r="Y39" s="11">
        <v>279694</v>
      </c>
      <c r="Z39" s="11">
        <v>531102</v>
      </c>
      <c r="AA39" s="74"/>
      <c r="AB39" s="118"/>
      <c r="AC39" s="118"/>
      <c r="AD39" s="118"/>
      <c r="AE39" s="118"/>
      <c r="AF39" s="118"/>
      <c r="AG39" s="118"/>
      <c r="AH39" s="118"/>
      <c r="AI39" s="118"/>
      <c r="AJ39" s="118"/>
      <c r="AK39" s="118"/>
      <c r="AL39" s="118"/>
      <c r="AM39" s="118"/>
      <c r="AN39" s="118"/>
      <c r="AO39" s="118"/>
      <c r="AP39" s="118"/>
      <c r="AQ39" s="118"/>
      <c r="AR39" s="118"/>
      <c r="AS39" s="118"/>
      <c r="AT39" s="118"/>
      <c r="AU39" s="118"/>
      <c r="AV39" s="118"/>
      <c r="AX39" s="77"/>
      <c r="AY39" s="119"/>
      <c r="AZ39" s="119"/>
      <c r="BA39" s="119"/>
      <c r="BB39" s="119"/>
      <c r="BC39" s="119"/>
      <c r="BD39" s="119"/>
      <c r="BE39" s="119"/>
      <c r="BF39" s="119"/>
      <c r="BG39" s="119"/>
      <c r="BH39" s="119"/>
      <c r="BI39" s="119"/>
      <c r="BJ39" s="119"/>
      <c r="BK39" s="119"/>
      <c r="BL39" s="119"/>
      <c r="BM39" s="119"/>
      <c r="BN39" s="119"/>
      <c r="BO39" s="119"/>
      <c r="BP39" s="119"/>
      <c r="BQ39" s="119"/>
      <c r="BR39" s="119"/>
      <c r="BS39" s="119"/>
    </row>
    <row r="40" spans="1:71" x14ac:dyDescent="0.2">
      <c r="AA40" s="74"/>
      <c r="AB40" s="74"/>
      <c r="AC40" s="74"/>
      <c r="AD40" s="74"/>
      <c r="AE40" s="74"/>
      <c r="AF40" s="74"/>
      <c r="AG40" s="74"/>
      <c r="AH40" s="74"/>
      <c r="AI40" s="74"/>
      <c r="AJ40" s="74"/>
      <c r="AK40" s="74"/>
      <c r="AL40" s="74"/>
      <c r="AM40" s="74"/>
      <c r="AN40" s="74"/>
      <c r="AO40" s="74"/>
      <c r="AP40" s="74"/>
      <c r="AQ40" s="74"/>
      <c r="AR40" s="74"/>
      <c r="AS40" s="74"/>
      <c r="AT40" s="74"/>
      <c r="AU40" s="74"/>
      <c r="AV40" s="74"/>
      <c r="AX40" s="77"/>
      <c r="AY40" s="77"/>
      <c r="AZ40" s="77"/>
      <c r="BA40" s="77"/>
      <c r="BB40" s="77"/>
      <c r="BC40" s="77"/>
      <c r="BD40" s="77"/>
      <c r="BE40" s="77"/>
      <c r="BF40" s="77"/>
      <c r="BG40" s="77"/>
      <c r="BH40" s="77"/>
      <c r="BI40" s="77"/>
      <c r="BJ40" s="77"/>
      <c r="BK40" s="77"/>
      <c r="BL40" s="77"/>
      <c r="BM40" s="77"/>
      <c r="BN40" s="77"/>
      <c r="BO40" s="77"/>
      <c r="BP40" s="77"/>
      <c r="BQ40" s="77"/>
      <c r="BR40" s="77"/>
      <c r="BS40" s="77"/>
    </row>
    <row r="41" spans="1:71" x14ac:dyDescent="0.2">
      <c r="A41" s="14"/>
      <c r="B41" s="10" t="s">
        <v>0</v>
      </c>
      <c r="C41" s="4">
        <v>12.7</v>
      </c>
      <c r="D41" s="4">
        <v>17.899999999999999</v>
      </c>
      <c r="E41" s="4">
        <v>18.8</v>
      </c>
      <c r="F41" s="4">
        <v>18.600000000000001</v>
      </c>
      <c r="G41" s="4">
        <v>15.5</v>
      </c>
      <c r="H41" s="4">
        <v>83.5</v>
      </c>
      <c r="I41" s="13">
        <v>17755</v>
      </c>
      <c r="J41" s="4">
        <v>14.6</v>
      </c>
      <c r="K41" s="4">
        <v>19.899999999999999</v>
      </c>
      <c r="L41" s="4">
        <v>19.5</v>
      </c>
      <c r="M41" s="4">
        <v>17.3</v>
      </c>
      <c r="N41" s="4">
        <v>14.3</v>
      </c>
      <c r="O41" s="4">
        <v>85.6</v>
      </c>
      <c r="P41" s="13">
        <v>25643</v>
      </c>
      <c r="Q41" s="4">
        <v>13.8</v>
      </c>
      <c r="R41" s="4">
        <v>19.100000000000001</v>
      </c>
      <c r="S41" s="4">
        <v>19.2</v>
      </c>
      <c r="T41" s="4">
        <v>17.8</v>
      </c>
      <c r="U41" s="4">
        <v>14.8</v>
      </c>
      <c r="V41" s="4">
        <v>84.7</v>
      </c>
      <c r="W41" s="13">
        <v>43398</v>
      </c>
      <c r="X41" s="14"/>
      <c r="Y41" s="14"/>
      <c r="Z41" s="14"/>
      <c r="AA41" s="74"/>
      <c r="AB41" s="93"/>
      <c r="AC41" s="93"/>
      <c r="AD41" s="93"/>
      <c r="AE41" s="93"/>
      <c r="AF41" s="93"/>
      <c r="AG41" s="93"/>
      <c r="AH41" s="96"/>
      <c r="AI41" s="93"/>
      <c r="AJ41" s="93"/>
      <c r="AK41" s="93"/>
      <c r="AL41" s="93"/>
      <c r="AM41" s="93"/>
      <c r="AN41" s="93"/>
      <c r="AO41" s="96"/>
      <c r="AP41" s="93"/>
      <c r="AQ41" s="93"/>
      <c r="AR41" s="93"/>
      <c r="AS41" s="93"/>
      <c r="AT41" s="93"/>
      <c r="AU41" s="93"/>
      <c r="AV41" s="96"/>
      <c r="AX41" s="77"/>
      <c r="AY41" s="80"/>
      <c r="AZ41" s="80"/>
      <c r="BA41" s="80"/>
      <c r="BB41" s="80"/>
      <c r="BC41" s="80"/>
      <c r="BD41" s="80"/>
      <c r="BE41" s="80"/>
      <c r="BF41" s="80"/>
      <c r="BG41" s="80"/>
      <c r="BH41" s="80"/>
      <c r="BI41" s="80"/>
      <c r="BJ41" s="80"/>
      <c r="BK41" s="80"/>
      <c r="BL41" s="80"/>
      <c r="BM41" s="80"/>
      <c r="BN41" s="80"/>
      <c r="BO41" s="80"/>
      <c r="BP41" s="80"/>
      <c r="BQ41" s="80"/>
      <c r="BR41" s="80"/>
      <c r="BS41" s="80"/>
    </row>
    <row r="42" spans="1:71" x14ac:dyDescent="0.2">
      <c r="A42" s="14"/>
      <c r="B42" s="10" t="s">
        <v>1</v>
      </c>
      <c r="C42" s="4">
        <v>20</v>
      </c>
      <c r="D42" s="4">
        <v>20.6</v>
      </c>
      <c r="E42" s="4">
        <v>18</v>
      </c>
      <c r="F42" s="4">
        <v>14.8</v>
      </c>
      <c r="G42" s="4">
        <v>12.1</v>
      </c>
      <c r="H42" s="4">
        <v>85.6</v>
      </c>
      <c r="I42" s="13">
        <v>19550</v>
      </c>
      <c r="J42" s="4">
        <v>20.6</v>
      </c>
      <c r="K42" s="4">
        <v>21.5</v>
      </c>
      <c r="L42" s="4">
        <v>19.100000000000001</v>
      </c>
      <c r="M42" s="4">
        <v>14.9</v>
      </c>
      <c r="N42" s="4">
        <v>11.3</v>
      </c>
      <c r="O42" s="4">
        <v>87.4</v>
      </c>
      <c r="P42" s="13">
        <v>15127</v>
      </c>
      <c r="Q42" s="4">
        <v>20.3</v>
      </c>
      <c r="R42" s="4">
        <v>21</v>
      </c>
      <c r="S42" s="4">
        <v>18.5</v>
      </c>
      <c r="T42" s="4">
        <v>14.9</v>
      </c>
      <c r="U42" s="4">
        <v>11.8</v>
      </c>
      <c r="V42" s="4">
        <v>86.4</v>
      </c>
      <c r="W42" s="13">
        <v>34677</v>
      </c>
      <c r="X42" s="14"/>
      <c r="Y42" s="14"/>
      <c r="Z42" s="14"/>
      <c r="AA42" s="74"/>
      <c r="AB42" s="93"/>
      <c r="AC42" s="93"/>
      <c r="AD42" s="93"/>
      <c r="AE42" s="93"/>
      <c r="AF42" s="93"/>
      <c r="AG42" s="93"/>
      <c r="AH42" s="96"/>
      <c r="AI42" s="93"/>
      <c r="AJ42" s="93"/>
      <c r="AK42" s="93"/>
      <c r="AL42" s="93"/>
      <c r="AM42" s="93"/>
      <c r="AN42" s="93"/>
      <c r="AO42" s="96"/>
      <c r="AP42" s="93"/>
      <c r="AQ42" s="93"/>
      <c r="AR42" s="93"/>
      <c r="AS42" s="93"/>
      <c r="AT42" s="93"/>
      <c r="AU42" s="93"/>
      <c r="AV42" s="96"/>
      <c r="AX42" s="77"/>
      <c r="AY42" s="80"/>
      <c r="AZ42" s="80"/>
      <c r="BA42" s="80"/>
      <c r="BB42" s="80"/>
      <c r="BC42" s="80"/>
      <c r="BD42" s="80"/>
      <c r="BE42" s="80"/>
      <c r="BF42" s="80"/>
      <c r="BG42" s="80"/>
      <c r="BH42" s="80"/>
      <c r="BI42" s="80"/>
      <c r="BJ42" s="80"/>
      <c r="BK42" s="80"/>
      <c r="BL42" s="80"/>
      <c r="BM42" s="80"/>
      <c r="BN42" s="80"/>
      <c r="BO42" s="80"/>
      <c r="BP42" s="80"/>
      <c r="BQ42" s="80"/>
      <c r="BR42" s="80"/>
      <c r="BS42" s="80"/>
    </row>
    <row r="43" spans="1:71" x14ac:dyDescent="0.2">
      <c r="A43" s="14"/>
      <c r="B43" s="10" t="s">
        <v>2</v>
      </c>
      <c r="C43" s="4">
        <v>20.6</v>
      </c>
      <c r="D43" s="4">
        <v>18.5</v>
      </c>
      <c r="E43" s="4">
        <v>17.8</v>
      </c>
      <c r="F43" s="4">
        <v>15.9</v>
      </c>
      <c r="G43" s="4">
        <v>13.3</v>
      </c>
      <c r="H43" s="4">
        <v>86</v>
      </c>
      <c r="I43" s="13">
        <v>22443</v>
      </c>
      <c r="J43" s="4">
        <v>21.2</v>
      </c>
      <c r="K43" s="4">
        <v>21.7</v>
      </c>
      <c r="L43" s="4">
        <v>18.5</v>
      </c>
      <c r="M43" s="4">
        <v>14.6</v>
      </c>
      <c r="N43" s="4">
        <v>11.3</v>
      </c>
      <c r="O43" s="4">
        <v>87.3</v>
      </c>
      <c r="P43" s="13">
        <v>5957</v>
      </c>
      <c r="Q43" s="4">
        <v>20.7</v>
      </c>
      <c r="R43" s="4">
        <v>19.2</v>
      </c>
      <c r="S43" s="4">
        <v>17.899999999999999</v>
      </c>
      <c r="T43" s="4">
        <v>15.6</v>
      </c>
      <c r="U43" s="4">
        <v>12.9</v>
      </c>
      <c r="V43" s="4">
        <v>86.3</v>
      </c>
      <c r="W43" s="13">
        <v>28400</v>
      </c>
      <c r="X43" s="14"/>
      <c r="Y43" s="14"/>
      <c r="Z43" s="14"/>
      <c r="AA43" s="74"/>
      <c r="AB43" s="93"/>
      <c r="AC43" s="93"/>
      <c r="AD43" s="93"/>
      <c r="AE43" s="93"/>
      <c r="AF43" s="93"/>
      <c r="AG43" s="93"/>
      <c r="AH43" s="96"/>
      <c r="AI43" s="93"/>
      <c r="AJ43" s="93"/>
      <c r="AK43" s="93"/>
      <c r="AL43" s="93"/>
      <c r="AM43" s="93"/>
      <c r="AN43" s="93"/>
      <c r="AO43" s="96"/>
      <c r="AP43" s="93"/>
      <c r="AQ43" s="93"/>
      <c r="AR43" s="93"/>
      <c r="AS43" s="93"/>
      <c r="AT43" s="93"/>
      <c r="AU43" s="93"/>
      <c r="AV43" s="96"/>
      <c r="AX43" s="77"/>
      <c r="AY43" s="80"/>
      <c r="AZ43" s="80"/>
      <c r="BA43" s="80"/>
      <c r="BB43" s="80"/>
      <c r="BC43" s="80"/>
      <c r="BD43" s="80"/>
      <c r="BE43" s="80"/>
      <c r="BF43" s="80"/>
      <c r="BG43" s="80"/>
      <c r="BH43" s="80"/>
      <c r="BI43" s="80"/>
      <c r="BJ43" s="80"/>
      <c r="BK43" s="80"/>
      <c r="BL43" s="80"/>
      <c r="BM43" s="80"/>
      <c r="BN43" s="80"/>
      <c r="BO43" s="80"/>
      <c r="BP43" s="80"/>
      <c r="BQ43" s="80"/>
      <c r="BR43" s="80"/>
      <c r="BS43" s="80"/>
    </row>
    <row r="44" spans="1:71" x14ac:dyDescent="0.2">
      <c r="A44" s="14"/>
      <c r="B44" s="10" t="s">
        <v>3</v>
      </c>
      <c r="C44" s="4">
        <v>10.4</v>
      </c>
      <c r="D44" s="4">
        <v>14</v>
      </c>
      <c r="E44" s="4">
        <v>19.600000000000001</v>
      </c>
      <c r="F44" s="4">
        <v>20.9</v>
      </c>
      <c r="G44" s="4">
        <v>17</v>
      </c>
      <c r="H44" s="4">
        <v>81.900000000000006</v>
      </c>
      <c r="I44" s="13">
        <v>2657</v>
      </c>
      <c r="J44" s="4">
        <v>9.9</v>
      </c>
      <c r="K44" s="4">
        <v>16.100000000000001</v>
      </c>
      <c r="L44" s="4">
        <v>21.5</v>
      </c>
      <c r="M44" s="4">
        <v>21.5</v>
      </c>
      <c r="N44" s="4">
        <v>16.100000000000001</v>
      </c>
      <c r="O44" s="4">
        <v>85.2</v>
      </c>
      <c r="P44" s="13">
        <v>1537</v>
      </c>
      <c r="Q44" s="4">
        <v>10.199999999999999</v>
      </c>
      <c r="R44" s="4">
        <v>14.8</v>
      </c>
      <c r="S44" s="4">
        <v>20.3</v>
      </c>
      <c r="T44" s="4">
        <v>21.1</v>
      </c>
      <c r="U44" s="4">
        <v>16.7</v>
      </c>
      <c r="V44" s="4">
        <v>83.1</v>
      </c>
      <c r="W44" s="13">
        <v>4194</v>
      </c>
      <c r="X44" s="14"/>
      <c r="Y44" s="14"/>
      <c r="Z44" s="14"/>
      <c r="AA44" s="74"/>
      <c r="AB44" s="93"/>
      <c r="AC44" s="93"/>
      <c r="AD44" s="93"/>
      <c r="AE44" s="93"/>
      <c r="AF44" s="93"/>
      <c r="AG44" s="93"/>
      <c r="AH44" s="96"/>
      <c r="AI44" s="93"/>
      <c r="AJ44" s="93"/>
      <c r="AK44" s="93"/>
      <c r="AL44" s="93"/>
      <c r="AM44" s="93"/>
      <c r="AN44" s="93"/>
      <c r="AO44" s="96"/>
      <c r="AP44" s="93"/>
      <c r="AQ44" s="93"/>
      <c r="AR44" s="93"/>
      <c r="AS44" s="93"/>
      <c r="AT44" s="93"/>
      <c r="AU44" s="93"/>
      <c r="AV44" s="96"/>
      <c r="AX44" s="77"/>
      <c r="AY44" s="80"/>
      <c r="AZ44" s="80"/>
      <c r="BA44" s="80"/>
      <c r="BB44" s="80"/>
      <c r="BC44" s="80"/>
      <c r="BD44" s="80"/>
      <c r="BE44" s="80"/>
      <c r="BF44" s="80"/>
      <c r="BG44" s="80"/>
      <c r="BH44" s="80"/>
      <c r="BI44" s="80"/>
      <c r="BJ44" s="80"/>
      <c r="BK44" s="80"/>
      <c r="BL44" s="80"/>
      <c r="BM44" s="80"/>
      <c r="BN44" s="80"/>
      <c r="BO44" s="80"/>
      <c r="BP44" s="80"/>
      <c r="BQ44" s="80"/>
      <c r="BR44" s="80"/>
      <c r="BS44" s="80"/>
    </row>
    <row r="45" spans="1:71" x14ac:dyDescent="0.2">
      <c r="A45" s="14"/>
      <c r="B45" s="10" t="s">
        <v>4</v>
      </c>
      <c r="C45" s="4">
        <v>25.3</v>
      </c>
      <c r="D45" s="4">
        <v>18.399999999999999</v>
      </c>
      <c r="E45" s="4">
        <v>17</v>
      </c>
      <c r="F45" s="4">
        <v>14.5</v>
      </c>
      <c r="G45" s="4">
        <v>11.6</v>
      </c>
      <c r="H45" s="4">
        <v>86.7</v>
      </c>
      <c r="I45" s="13">
        <v>35007</v>
      </c>
      <c r="J45" s="4">
        <v>25.2</v>
      </c>
      <c r="K45" s="4">
        <v>21</v>
      </c>
      <c r="L45" s="4">
        <v>17.8</v>
      </c>
      <c r="M45" s="4">
        <v>14.7</v>
      </c>
      <c r="N45" s="4">
        <v>10.7</v>
      </c>
      <c r="O45" s="4">
        <v>89.4</v>
      </c>
      <c r="P45" s="13">
        <v>19118</v>
      </c>
      <c r="Q45" s="4">
        <v>25.2</v>
      </c>
      <c r="R45" s="4">
        <v>19.3</v>
      </c>
      <c r="S45" s="4">
        <v>17.3</v>
      </c>
      <c r="T45" s="4">
        <v>14.6</v>
      </c>
      <c r="U45" s="4">
        <v>11.3</v>
      </c>
      <c r="V45" s="4">
        <v>87.7</v>
      </c>
      <c r="W45" s="13">
        <v>54125</v>
      </c>
      <c r="X45" s="14"/>
      <c r="Y45" s="14"/>
      <c r="Z45" s="14"/>
      <c r="AA45" s="74"/>
      <c r="AB45" s="93"/>
      <c r="AC45" s="93"/>
      <c r="AD45" s="93"/>
      <c r="AE45" s="93"/>
      <c r="AF45" s="93"/>
      <c r="AG45" s="93"/>
      <c r="AH45" s="96"/>
      <c r="AI45" s="93"/>
      <c r="AJ45" s="93"/>
      <c r="AK45" s="93"/>
      <c r="AL45" s="93"/>
      <c r="AM45" s="93"/>
      <c r="AN45" s="93"/>
      <c r="AO45" s="96"/>
      <c r="AP45" s="93"/>
      <c r="AQ45" s="93"/>
      <c r="AR45" s="93"/>
      <c r="AS45" s="93"/>
      <c r="AT45" s="93"/>
      <c r="AU45" s="93"/>
      <c r="AV45" s="96"/>
      <c r="AX45" s="77"/>
      <c r="AY45" s="80"/>
      <c r="AZ45" s="80"/>
      <c r="BA45" s="80"/>
      <c r="BB45" s="80"/>
      <c r="BC45" s="80"/>
      <c r="BD45" s="80"/>
      <c r="BE45" s="80"/>
      <c r="BF45" s="80"/>
      <c r="BG45" s="80"/>
      <c r="BH45" s="80"/>
      <c r="BI45" s="80"/>
      <c r="BJ45" s="80"/>
      <c r="BK45" s="80"/>
      <c r="BL45" s="80"/>
      <c r="BM45" s="80"/>
      <c r="BN45" s="80"/>
      <c r="BO45" s="80"/>
      <c r="BP45" s="80"/>
      <c r="BQ45" s="80"/>
      <c r="BR45" s="80"/>
      <c r="BS45" s="80"/>
    </row>
    <row r="46" spans="1:71" x14ac:dyDescent="0.2">
      <c r="A46" s="14"/>
      <c r="B46" s="10" t="s">
        <v>5</v>
      </c>
      <c r="C46" s="4">
        <v>45.9</v>
      </c>
      <c r="D46" s="4">
        <v>20.7</v>
      </c>
      <c r="E46" s="4">
        <v>13.1</v>
      </c>
      <c r="F46" s="4">
        <v>9.1999999999999993</v>
      </c>
      <c r="G46" s="4">
        <v>5.7</v>
      </c>
      <c r="H46" s="4">
        <v>94.6</v>
      </c>
      <c r="I46" s="13">
        <v>3682</v>
      </c>
      <c r="J46" s="4">
        <v>46.7</v>
      </c>
      <c r="K46" s="4">
        <v>21.3</v>
      </c>
      <c r="L46" s="4">
        <v>14.8</v>
      </c>
      <c r="M46" s="4">
        <v>8.1</v>
      </c>
      <c r="N46" s="4">
        <v>5</v>
      </c>
      <c r="O46" s="4">
        <v>95.9</v>
      </c>
      <c r="P46" s="13">
        <v>1231</v>
      </c>
      <c r="Q46" s="4">
        <v>46.1</v>
      </c>
      <c r="R46" s="4">
        <v>20.9</v>
      </c>
      <c r="S46" s="4">
        <v>13.6</v>
      </c>
      <c r="T46" s="4">
        <v>8.9</v>
      </c>
      <c r="U46" s="4">
        <v>5.6</v>
      </c>
      <c r="V46" s="4">
        <v>95</v>
      </c>
      <c r="W46" s="13">
        <v>4913</v>
      </c>
      <c r="X46" s="14"/>
      <c r="Y46" s="14"/>
      <c r="Z46" s="14"/>
      <c r="AA46" s="74"/>
      <c r="AB46" s="93"/>
      <c r="AC46" s="93"/>
      <c r="AD46" s="93"/>
      <c r="AE46" s="93"/>
      <c r="AF46" s="93"/>
      <c r="AG46" s="93"/>
      <c r="AH46" s="96"/>
      <c r="AI46" s="93"/>
      <c r="AJ46" s="93"/>
      <c r="AK46" s="93"/>
      <c r="AL46" s="93"/>
      <c r="AM46" s="93"/>
      <c r="AN46" s="93"/>
      <c r="AO46" s="96"/>
      <c r="AP46" s="93"/>
      <c r="AQ46" s="93"/>
      <c r="AR46" s="93"/>
      <c r="AS46" s="93"/>
      <c r="AT46" s="93"/>
      <c r="AU46" s="93"/>
      <c r="AV46" s="96"/>
      <c r="AX46" s="77"/>
      <c r="AY46" s="80"/>
      <c r="AZ46" s="80"/>
      <c r="BA46" s="80"/>
      <c r="BB46" s="80"/>
      <c r="BC46" s="80"/>
      <c r="BD46" s="80"/>
      <c r="BE46" s="80"/>
      <c r="BF46" s="80"/>
      <c r="BG46" s="80"/>
      <c r="BH46" s="80"/>
      <c r="BI46" s="80"/>
      <c r="BJ46" s="80"/>
      <c r="BK46" s="80"/>
      <c r="BL46" s="80"/>
      <c r="BM46" s="80"/>
      <c r="BN46" s="80"/>
      <c r="BO46" s="80"/>
      <c r="BP46" s="80"/>
      <c r="BQ46" s="80"/>
      <c r="BR46" s="80"/>
      <c r="BS46" s="80"/>
    </row>
    <row r="47" spans="1:71" x14ac:dyDescent="0.2">
      <c r="A47" s="14"/>
      <c r="B47" s="10" t="s">
        <v>6</v>
      </c>
      <c r="C47" s="4">
        <v>11.8</v>
      </c>
      <c r="D47" s="4">
        <v>13.4</v>
      </c>
      <c r="E47" s="4">
        <v>23.2</v>
      </c>
      <c r="F47" s="4">
        <v>22.7</v>
      </c>
      <c r="G47" s="4">
        <v>15.1</v>
      </c>
      <c r="H47" s="4">
        <v>86.2</v>
      </c>
      <c r="I47" s="13">
        <v>7189</v>
      </c>
      <c r="J47" s="4">
        <v>15</v>
      </c>
      <c r="K47" s="4">
        <v>17.5</v>
      </c>
      <c r="L47" s="4">
        <v>25</v>
      </c>
      <c r="M47" s="4">
        <v>21.6</v>
      </c>
      <c r="N47" s="4">
        <v>13.1</v>
      </c>
      <c r="O47" s="4">
        <v>92.3</v>
      </c>
      <c r="P47" s="13">
        <v>1797</v>
      </c>
      <c r="Q47" s="4">
        <v>12.4</v>
      </c>
      <c r="R47" s="4">
        <v>14.2</v>
      </c>
      <c r="S47" s="4">
        <v>23.6</v>
      </c>
      <c r="T47" s="4">
        <v>22.5</v>
      </c>
      <c r="U47" s="4">
        <v>14.7</v>
      </c>
      <c r="V47" s="4">
        <v>87.4</v>
      </c>
      <c r="W47" s="13">
        <v>8986</v>
      </c>
      <c r="X47" s="14"/>
      <c r="Y47" s="14"/>
      <c r="Z47" s="14"/>
      <c r="AA47" s="74"/>
      <c r="AB47" s="93"/>
      <c r="AC47" s="93"/>
      <c r="AD47" s="93"/>
      <c r="AE47" s="93"/>
      <c r="AF47" s="93"/>
      <c r="AG47" s="93"/>
      <c r="AH47" s="96"/>
      <c r="AI47" s="93"/>
      <c r="AJ47" s="93"/>
      <c r="AK47" s="93"/>
      <c r="AL47" s="93"/>
      <c r="AM47" s="93"/>
      <c r="AN47" s="93"/>
      <c r="AO47" s="96"/>
      <c r="AP47" s="93"/>
      <c r="AQ47" s="93"/>
      <c r="AR47" s="93"/>
      <c r="AS47" s="93"/>
      <c r="AT47" s="93"/>
      <c r="AU47" s="93"/>
      <c r="AV47" s="96"/>
      <c r="AX47" s="77"/>
      <c r="AY47" s="80"/>
      <c r="AZ47" s="80"/>
      <c r="BA47" s="80"/>
      <c r="BB47" s="80"/>
      <c r="BC47" s="80"/>
      <c r="BD47" s="80"/>
      <c r="BE47" s="80"/>
      <c r="BF47" s="80"/>
      <c r="BG47" s="80"/>
      <c r="BH47" s="80"/>
      <c r="BI47" s="80"/>
      <c r="BJ47" s="80"/>
      <c r="BK47" s="80"/>
      <c r="BL47" s="80"/>
      <c r="BM47" s="80"/>
      <c r="BN47" s="80"/>
      <c r="BO47" s="80"/>
      <c r="BP47" s="80"/>
      <c r="BQ47" s="80"/>
      <c r="BR47" s="80"/>
      <c r="BS47" s="80"/>
    </row>
    <row r="48" spans="1:71" x14ac:dyDescent="0.2">
      <c r="A48" s="14"/>
      <c r="B48" s="10" t="s">
        <v>168</v>
      </c>
      <c r="C48" s="4">
        <v>11.3</v>
      </c>
      <c r="D48" s="4">
        <v>12.3</v>
      </c>
      <c r="E48" s="4">
        <v>17.7</v>
      </c>
      <c r="F48" s="4">
        <v>18.2</v>
      </c>
      <c r="G48" s="4">
        <v>16.399999999999999</v>
      </c>
      <c r="H48" s="4">
        <v>75.900000000000006</v>
      </c>
      <c r="I48" s="13">
        <v>7284</v>
      </c>
      <c r="J48" s="4">
        <v>5.5</v>
      </c>
      <c r="K48" s="4">
        <v>11.7</v>
      </c>
      <c r="L48" s="4">
        <v>15.1</v>
      </c>
      <c r="M48" s="4">
        <v>21.5</v>
      </c>
      <c r="N48" s="4">
        <v>19.7</v>
      </c>
      <c r="O48" s="4">
        <v>73.5</v>
      </c>
      <c r="P48" s="13">
        <v>1266</v>
      </c>
      <c r="Q48" s="4">
        <v>10.4</v>
      </c>
      <c r="R48" s="4">
        <v>12.2</v>
      </c>
      <c r="S48" s="4">
        <v>17.3</v>
      </c>
      <c r="T48" s="4">
        <v>18.7</v>
      </c>
      <c r="U48" s="4">
        <v>16.899999999999999</v>
      </c>
      <c r="V48" s="4">
        <v>75.5</v>
      </c>
      <c r="W48" s="13">
        <v>8550</v>
      </c>
      <c r="X48" s="14"/>
      <c r="Y48" s="14"/>
      <c r="Z48" s="14"/>
      <c r="AA48" s="74"/>
      <c r="AB48" s="93"/>
      <c r="AC48" s="93"/>
      <c r="AD48" s="93"/>
      <c r="AE48" s="93"/>
      <c r="AF48" s="93"/>
      <c r="AG48" s="93"/>
      <c r="AH48" s="96"/>
      <c r="AI48" s="93"/>
      <c r="AJ48" s="93"/>
      <c r="AK48" s="93"/>
      <c r="AL48" s="93"/>
      <c r="AM48" s="93"/>
      <c r="AN48" s="93"/>
      <c r="AO48" s="96"/>
      <c r="AP48" s="93"/>
      <c r="AQ48" s="93"/>
      <c r="AR48" s="93"/>
      <c r="AS48" s="93"/>
      <c r="AT48" s="93"/>
      <c r="AU48" s="93"/>
      <c r="AV48" s="96"/>
      <c r="AX48" s="77"/>
      <c r="AY48" s="80"/>
      <c r="AZ48" s="80"/>
      <c r="BA48" s="80"/>
      <c r="BB48" s="80"/>
      <c r="BC48" s="80"/>
      <c r="BD48" s="80"/>
      <c r="BE48" s="80"/>
      <c r="BF48" s="80"/>
      <c r="BG48" s="80"/>
      <c r="BH48" s="80"/>
      <c r="BI48" s="80"/>
      <c r="BJ48" s="80"/>
      <c r="BK48" s="80"/>
      <c r="BL48" s="80"/>
      <c r="BM48" s="80"/>
      <c r="BN48" s="80"/>
      <c r="BO48" s="80"/>
      <c r="BP48" s="80"/>
      <c r="BQ48" s="80"/>
      <c r="BR48" s="80"/>
      <c r="BS48" s="80"/>
    </row>
    <row r="49" spans="1:71" x14ac:dyDescent="0.2">
      <c r="A49" s="14"/>
      <c r="B49" s="10" t="s">
        <v>8</v>
      </c>
      <c r="C49" s="38">
        <v>0</v>
      </c>
      <c r="D49" s="38">
        <v>0</v>
      </c>
      <c r="E49" s="38">
        <v>0</v>
      </c>
      <c r="F49" s="38">
        <v>0</v>
      </c>
      <c r="G49" s="38">
        <v>0</v>
      </c>
      <c r="H49" s="38">
        <v>0</v>
      </c>
      <c r="I49" s="13">
        <v>0</v>
      </c>
      <c r="J49" s="38">
        <v>0</v>
      </c>
      <c r="K49" s="38">
        <v>0</v>
      </c>
      <c r="L49" s="38">
        <v>0</v>
      </c>
      <c r="M49" s="38">
        <v>0</v>
      </c>
      <c r="N49" s="38">
        <v>0</v>
      </c>
      <c r="O49" s="38">
        <v>0</v>
      </c>
      <c r="P49" s="13">
        <v>0</v>
      </c>
      <c r="Q49" s="38">
        <v>0</v>
      </c>
      <c r="R49" s="38">
        <v>0</v>
      </c>
      <c r="S49" s="38">
        <v>0</v>
      </c>
      <c r="T49" s="38">
        <v>0</v>
      </c>
      <c r="U49" s="38">
        <v>0</v>
      </c>
      <c r="V49" s="38">
        <v>0</v>
      </c>
      <c r="W49" s="13">
        <v>0</v>
      </c>
      <c r="X49" s="14"/>
      <c r="Y49" s="14"/>
      <c r="Z49" s="14"/>
      <c r="AA49" s="74"/>
      <c r="AB49" s="121"/>
      <c r="AC49" s="121"/>
      <c r="AD49" s="121"/>
      <c r="AE49" s="121"/>
      <c r="AF49" s="121"/>
      <c r="AG49" s="121"/>
      <c r="AH49" s="96"/>
      <c r="AI49" s="121"/>
      <c r="AJ49" s="121"/>
      <c r="AK49" s="121"/>
      <c r="AL49" s="121"/>
      <c r="AM49" s="121"/>
      <c r="AN49" s="121"/>
      <c r="AO49" s="96"/>
      <c r="AP49" s="121"/>
      <c r="AQ49" s="121"/>
      <c r="AR49" s="121"/>
      <c r="AS49" s="121"/>
      <c r="AT49" s="121"/>
      <c r="AU49" s="121"/>
      <c r="AV49" s="96"/>
      <c r="AX49" s="77"/>
      <c r="AY49" s="80"/>
      <c r="AZ49" s="80"/>
      <c r="BA49" s="80"/>
      <c r="BB49" s="80"/>
      <c r="BC49" s="80"/>
      <c r="BD49" s="80"/>
      <c r="BE49" s="80"/>
      <c r="BF49" s="80"/>
      <c r="BG49" s="80"/>
      <c r="BH49" s="80"/>
      <c r="BI49" s="80"/>
      <c r="BJ49" s="80"/>
      <c r="BK49" s="80"/>
      <c r="BL49" s="80"/>
      <c r="BM49" s="80"/>
      <c r="BN49" s="80"/>
      <c r="BO49" s="80"/>
      <c r="BP49" s="80"/>
      <c r="BQ49" s="80"/>
      <c r="BR49" s="80"/>
      <c r="BS49" s="80"/>
    </row>
    <row r="50" spans="1:71" x14ac:dyDescent="0.2">
      <c r="A50" s="14"/>
      <c r="B50" s="10" t="s">
        <v>9</v>
      </c>
      <c r="C50" s="4">
        <v>5.9</v>
      </c>
      <c r="D50" s="4">
        <v>10.199999999999999</v>
      </c>
      <c r="E50" s="4">
        <v>19.5</v>
      </c>
      <c r="F50" s="4">
        <v>15.3</v>
      </c>
      <c r="G50" s="4">
        <v>22.9</v>
      </c>
      <c r="H50" s="4">
        <v>73.7</v>
      </c>
      <c r="I50" s="13">
        <v>118</v>
      </c>
      <c r="J50" s="4">
        <v>12.4</v>
      </c>
      <c r="K50" s="4">
        <v>16.100000000000001</v>
      </c>
      <c r="L50" s="4">
        <v>20.9</v>
      </c>
      <c r="M50" s="4">
        <v>20.7</v>
      </c>
      <c r="N50" s="4">
        <v>14.6</v>
      </c>
      <c r="O50" s="4">
        <v>84.8</v>
      </c>
      <c r="P50" s="13">
        <v>1905</v>
      </c>
      <c r="Q50" s="4">
        <v>12.1</v>
      </c>
      <c r="R50" s="4">
        <v>15.8</v>
      </c>
      <c r="S50" s="4">
        <v>20.9</v>
      </c>
      <c r="T50" s="4">
        <v>20.399999999999999</v>
      </c>
      <c r="U50" s="4">
        <v>15.1</v>
      </c>
      <c r="V50" s="4">
        <v>84.1</v>
      </c>
      <c r="W50" s="13">
        <v>2023</v>
      </c>
      <c r="X50" s="14"/>
      <c r="Y50" s="14"/>
      <c r="Z50" s="14"/>
      <c r="AA50" s="74"/>
      <c r="AB50" s="93"/>
      <c r="AC50" s="93"/>
      <c r="AD50" s="93"/>
      <c r="AE50" s="93"/>
      <c r="AF50" s="93"/>
      <c r="AG50" s="93"/>
      <c r="AH50" s="96"/>
      <c r="AI50" s="93"/>
      <c r="AJ50" s="93"/>
      <c r="AK50" s="93"/>
      <c r="AL50" s="93"/>
      <c r="AM50" s="93"/>
      <c r="AN50" s="93"/>
      <c r="AO50" s="96"/>
      <c r="AP50" s="93"/>
      <c r="AQ50" s="93"/>
      <c r="AR50" s="93"/>
      <c r="AS50" s="93"/>
      <c r="AT50" s="93"/>
      <c r="AU50" s="93"/>
      <c r="AV50" s="96"/>
      <c r="AX50" s="77"/>
      <c r="AY50" s="80"/>
      <c r="AZ50" s="80"/>
      <c r="BA50" s="80"/>
      <c r="BB50" s="80"/>
      <c r="BC50" s="80"/>
      <c r="BD50" s="80"/>
      <c r="BE50" s="80"/>
      <c r="BF50" s="80"/>
      <c r="BG50" s="80"/>
      <c r="BH50" s="80"/>
      <c r="BI50" s="80"/>
      <c r="BJ50" s="80"/>
      <c r="BK50" s="80"/>
      <c r="BL50" s="80"/>
      <c r="BM50" s="80"/>
      <c r="BN50" s="80"/>
      <c r="BO50" s="80"/>
      <c r="BP50" s="80"/>
      <c r="BQ50" s="80"/>
      <c r="BR50" s="80"/>
      <c r="BS50" s="80"/>
    </row>
    <row r="51" spans="1:71" x14ac:dyDescent="0.2">
      <c r="A51" s="14"/>
      <c r="B51" s="10" t="s">
        <v>10</v>
      </c>
      <c r="C51" s="4">
        <v>9.6</v>
      </c>
      <c r="D51" s="4">
        <v>15.7</v>
      </c>
      <c r="E51" s="4">
        <v>11.5</v>
      </c>
      <c r="F51" s="4">
        <v>14</v>
      </c>
      <c r="G51" s="4">
        <v>11.4</v>
      </c>
      <c r="H51" s="4">
        <v>62.1</v>
      </c>
      <c r="I51" s="13">
        <v>1256</v>
      </c>
      <c r="J51" s="4">
        <v>9.1999999999999993</v>
      </c>
      <c r="K51" s="4">
        <v>14.8</v>
      </c>
      <c r="L51" s="4">
        <v>12</v>
      </c>
      <c r="M51" s="4">
        <v>13.5</v>
      </c>
      <c r="N51" s="4">
        <v>13.4</v>
      </c>
      <c r="O51" s="4">
        <v>62.7</v>
      </c>
      <c r="P51" s="13">
        <v>786</v>
      </c>
      <c r="Q51" s="4">
        <v>9.4</v>
      </c>
      <c r="R51" s="4">
        <v>15.3</v>
      </c>
      <c r="S51" s="4">
        <v>11.7</v>
      </c>
      <c r="T51" s="4">
        <v>13.8</v>
      </c>
      <c r="U51" s="4">
        <v>12.1</v>
      </c>
      <c r="V51" s="4">
        <v>62.3</v>
      </c>
      <c r="W51" s="13">
        <v>2042</v>
      </c>
      <c r="X51" s="14"/>
      <c r="Y51" s="14"/>
      <c r="Z51" s="14"/>
      <c r="AA51" s="74"/>
      <c r="AB51" s="93"/>
      <c r="AC51" s="93"/>
      <c r="AD51" s="93"/>
      <c r="AE51" s="93"/>
      <c r="AF51" s="93"/>
      <c r="AG51" s="93"/>
      <c r="AH51" s="96"/>
      <c r="AI51" s="93"/>
      <c r="AJ51" s="93"/>
      <c r="AK51" s="93"/>
      <c r="AL51" s="93"/>
      <c r="AM51" s="93"/>
      <c r="AN51" s="93"/>
      <c r="AO51" s="96"/>
      <c r="AP51" s="93"/>
      <c r="AQ51" s="93"/>
      <c r="AR51" s="93"/>
      <c r="AS51" s="93"/>
      <c r="AT51" s="93"/>
      <c r="AU51" s="93"/>
      <c r="AV51" s="96"/>
      <c r="AX51" s="77"/>
      <c r="AY51" s="80"/>
      <c r="AZ51" s="80"/>
      <c r="BA51" s="80"/>
      <c r="BB51" s="80"/>
      <c r="BC51" s="80"/>
      <c r="BD51" s="80"/>
      <c r="BE51" s="80"/>
      <c r="BF51" s="80"/>
      <c r="BG51" s="80"/>
      <c r="BH51" s="80"/>
      <c r="BI51" s="80"/>
      <c r="BJ51" s="80"/>
      <c r="BK51" s="80"/>
      <c r="BL51" s="80"/>
      <c r="BM51" s="80"/>
      <c r="BN51" s="80"/>
      <c r="BO51" s="80"/>
      <c r="BP51" s="80"/>
      <c r="BQ51" s="80"/>
      <c r="BR51" s="80"/>
      <c r="BS51" s="80"/>
    </row>
    <row r="52" spans="1:71" x14ac:dyDescent="0.2">
      <c r="A52" s="14"/>
      <c r="B52" s="10" t="s">
        <v>11</v>
      </c>
      <c r="C52" s="4">
        <v>7.5</v>
      </c>
      <c r="D52" s="4">
        <v>15.8</v>
      </c>
      <c r="E52" s="4">
        <v>22</v>
      </c>
      <c r="F52" s="4">
        <v>21.4</v>
      </c>
      <c r="G52" s="4">
        <v>16.3</v>
      </c>
      <c r="H52" s="4">
        <v>83.1</v>
      </c>
      <c r="I52" s="13">
        <v>13276</v>
      </c>
      <c r="J52" s="4">
        <v>7.5</v>
      </c>
      <c r="K52" s="4">
        <v>15.8</v>
      </c>
      <c r="L52" s="4">
        <v>21.4</v>
      </c>
      <c r="M52" s="4">
        <v>20.9</v>
      </c>
      <c r="N52" s="4">
        <v>16.100000000000001</v>
      </c>
      <c r="O52" s="4">
        <v>81.7</v>
      </c>
      <c r="P52" s="13">
        <v>11445</v>
      </c>
      <c r="Q52" s="4">
        <v>7.5</v>
      </c>
      <c r="R52" s="4">
        <v>15.8</v>
      </c>
      <c r="S52" s="4">
        <v>21.7</v>
      </c>
      <c r="T52" s="4">
        <v>21.2</v>
      </c>
      <c r="U52" s="4">
        <v>16.2</v>
      </c>
      <c r="V52" s="4">
        <v>82.4</v>
      </c>
      <c r="W52" s="13">
        <v>24721</v>
      </c>
      <c r="X52" s="14"/>
      <c r="Y52" s="14"/>
      <c r="Z52" s="14"/>
      <c r="AA52" s="74"/>
      <c r="AB52" s="93"/>
      <c r="AC52" s="93"/>
      <c r="AD52" s="93"/>
      <c r="AE52" s="93"/>
      <c r="AF52" s="93"/>
      <c r="AG52" s="93"/>
      <c r="AH52" s="96"/>
      <c r="AI52" s="93"/>
      <c r="AJ52" s="93"/>
      <c r="AK52" s="93"/>
      <c r="AL52" s="93"/>
      <c r="AM52" s="93"/>
      <c r="AN52" s="93"/>
      <c r="AO52" s="96"/>
      <c r="AP52" s="93"/>
      <c r="AQ52" s="93"/>
      <c r="AR52" s="93"/>
      <c r="AS52" s="93"/>
      <c r="AT52" s="93"/>
      <c r="AU52" s="93"/>
      <c r="AV52" s="96"/>
      <c r="AX52" s="77"/>
      <c r="AY52" s="80"/>
      <c r="AZ52" s="80"/>
      <c r="BA52" s="80"/>
      <c r="BB52" s="80"/>
      <c r="BC52" s="80"/>
      <c r="BD52" s="80"/>
      <c r="BE52" s="80"/>
      <c r="BF52" s="80"/>
      <c r="BG52" s="80"/>
      <c r="BH52" s="80"/>
      <c r="BI52" s="80"/>
      <c r="BJ52" s="80"/>
      <c r="BK52" s="80"/>
      <c r="BL52" s="80"/>
      <c r="BM52" s="80"/>
      <c r="BN52" s="80"/>
      <c r="BO52" s="80"/>
      <c r="BP52" s="80"/>
      <c r="BQ52" s="80"/>
      <c r="BR52" s="80"/>
      <c r="BS52" s="80"/>
    </row>
    <row r="53" spans="1:71" x14ac:dyDescent="0.2">
      <c r="A53" s="14"/>
      <c r="B53" s="10" t="s">
        <v>12</v>
      </c>
      <c r="C53" s="4">
        <v>16.399999999999999</v>
      </c>
      <c r="D53" s="4">
        <v>16.2</v>
      </c>
      <c r="E53" s="4">
        <v>18</v>
      </c>
      <c r="F53" s="4">
        <v>17.399999999999999</v>
      </c>
      <c r="G53" s="4">
        <v>14.4</v>
      </c>
      <c r="H53" s="4">
        <v>82.4</v>
      </c>
      <c r="I53" s="13">
        <v>13681</v>
      </c>
      <c r="J53" s="4">
        <v>14.4</v>
      </c>
      <c r="K53" s="4">
        <v>15.4</v>
      </c>
      <c r="L53" s="4">
        <v>18.100000000000001</v>
      </c>
      <c r="M53" s="4">
        <v>17.2</v>
      </c>
      <c r="N53" s="4">
        <v>15</v>
      </c>
      <c r="O53" s="4">
        <v>80.099999999999994</v>
      </c>
      <c r="P53" s="13">
        <v>7070</v>
      </c>
      <c r="Q53" s="4">
        <v>15.7</v>
      </c>
      <c r="R53" s="4">
        <v>16</v>
      </c>
      <c r="S53" s="4">
        <v>18</v>
      </c>
      <c r="T53" s="4">
        <v>17.3</v>
      </c>
      <c r="U53" s="4">
        <v>14.6</v>
      </c>
      <c r="V53" s="4">
        <v>81.599999999999994</v>
      </c>
      <c r="W53" s="13">
        <v>20751</v>
      </c>
      <c r="X53" s="14"/>
      <c r="Y53" s="14"/>
      <c r="Z53" s="14"/>
      <c r="AA53" s="74"/>
      <c r="AB53" s="93"/>
      <c r="AC53" s="93"/>
      <c r="AD53" s="93"/>
      <c r="AE53" s="93"/>
      <c r="AF53" s="93"/>
      <c r="AG53" s="93"/>
      <c r="AH53" s="96"/>
      <c r="AI53" s="93"/>
      <c r="AJ53" s="93"/>
      <c r="AK53" s="93"/>
      <c r="AL53" s="93"/>
      <c r="AM53" s="93"/>
      <c r="AN53" s="93"/>
      <c r="AO53" s="96"/>
      <c r="AP53" s="93"/>
      <c r="AQ53" s="93"/>
      <c r="AR53" s="93"/>
      <c r="AS53" s="93"/>
      <c r="AT53" s="93"/>
      <c r="AU53" s="93"/>
      <c r="AV53" s="96"/>
      <c r="AX53" s="77"/>
      <c r="AY53" s="80"/>
      <c r="AZ53" s="80"/>
      <c r="BA53" s="80"/>
      <c r="BB53" s="80"/>
      <c r="BC53" s="80"/>
      <c r="BD53" s="80"/>
      <c r="BE53" s="80"/>
      <c r="BF53" s="80"/>
      <c r="BG53" s="80"/>
      <c r="BH53" s="80"/>
      <c r="BI53" s="80"/>
      <c r="BJ53" s="80"/>
      <c r="BK53" s="80"/>
      <c r="BL53" s="80"/>
      <c r="BM53" s="80"/>
      <c r="BN53" s="80"/>
      <c r="BO53" s="80"/>
      <c r="BP53" s="80"/>
      <c r="BQ53" s="80"/>
      <c r="BR53" s="80"/>
      <c r="BS53" s="80"/>
    </row>
    <row r="54" spans="1:71" x14ac:dyDescent="0.2">
      <c r="A54" s="14"/>
      <c r="B54" s="10" t="s">
        <v>13</v>
      </c>
      <c r="C54" s="4">
        <v>12.2</v>
      </c>
      <c r="D54" s="4">
        <v>16.3</v>
      </c>
      <c r="E54" s="4">
        <v>19</v>
      </c>
      <c r="F54" s="4">
        <v>19.5</v>
      </c>
      <c r="G54" s="4">
        <v>14.7</v>
      </c>
      <c r="H54" s="4">
        <v>81.8</v>
      </c>
      <c r="I54" s="13">
        <v>20498</v>
      </c>
      <c r="J54" s="4">
        <v>16.100000000000001</v>
      </c>
      <c r="K54" s="4">
        <v>19.3</v>
      </c>
      <c r="L54" s="4">
        <v>18.399999999999999</v>
      </c>
      <c r="M54" s="4">
        <v>17.5</v>
      </c>
      <c r="N54" s="4">
        <v>12.7</v>
      </c>
      <c r="O54" s="4">
        <v>84</v>
      </c>
      <c r="P54" s="13">
        <v>16664</v>
      </c>
      <c r="Q54" s="4">
        <v>14</v>
      </c>
      <c r="R54" s="4">
        <v>17.7</v>
      </c>
      <c r="S54" s="4">
        <v>18.7</v>
      </c>
      <c r="T54" s="4">
        <v>18.600000000000001</v>
      </c>
      <c r="U54" s="4">
        <v>13.8</v>
      </c>
      <c r="V54" s="4">
        <v>82.8</v>
      </c>
      <c r="W54" s="13">
        <v>37162</v>
      </c>
      <c r="X54" s="14"/>
      <c r="Y54" s="14"/>
      <c r="Z54" s="14"/>
      <c r="AA54" s="74"/>
      <c r="AB54" s="93"/>
      <c r="AC54" s="93"/>
      <c r="AD54" s="93"/>
      <c r="AE54" s="93"/>
      <c r="AF54" s="93"/>
      <c r="AG54" s="93"/>
      <c r="AH54" s="96"/>
      <c r="AI54" s="93"/>
      <c r="AJ54" s="93"/>
      <c r="AK54" s="93"/>
      <c r="AL54" s="93"/>
      <c r="AM54" s="93"/>
      <c r="AN54" s="93"/>
      <c r="AO54" s="96"/>
      <c r="AP54" s="93"/>
      <c r="AQ54" s="93"/>
      <c r="AR54" s="93"/>
      <c r="AS54" s="93"/>
      <c r="AT54" s="93"/>
      <c r="AU54" s="93"/>
      <c r="AV54" s="96"/>
      <c r="AX54" s="77"/>
      <c r="AY54" s="80"/>
      <c r="AZ54" s="80"/>
      <c r="BA54" s="80"/>
      <c r="BB54" s="80"/>
      <c r="BC54" s="80"/>
      <c r="BD54" s="80"/>
      <c r="BE54" s="80"/>
      <c r="BF54" s="80"/>
      <c r="BG54" s="80"/>
      <c r="BH54" s="80"/>
      <c r="BI54" s="80"/>
      <c r="BJ54" s="80"/>
      <c r="BK54" s="80"/>
      <c r="BL54" s="80"/>
      <c r="BM54" s="80"/>
      <c r="BN54" s="80"/>
      <c r="BO54" s="80"/>
      <c r="BP54" s="80"/>
      <c r="BQ54" s="80"/>
      <c r="BR54" s="80"/>
      <c r="BS54" s="80"/>
    </row>
    <row r="55" spans="1:71" x14ac:dyDescent="0.2">
      <c r="A55" s="14"/>
      <c r="B55" s="10" t="s">
        <v>14</v>
      </c>
      <c r="C55" s="4">
        <v>15.1</v>
      </c>
      <c r="D55" s="4">
        <v>21.4</v>
      </c>
      <c r="E55" s="4">
        <v>20</v>
      </c>
      <c r="F55" s="4">
        <v>18.100000000000001</v>
      </c>
      <c r="G55" s="4">
        <v>12.7</v>
      </c>
      <c r="H55" s="4">
        <v>87.3</v>
      </c>
      <c r="I55" s="13">
        <v>5091</v>
      </c>
      <c r="J55" s="4">
        <v>16.3</v>
      </c>
      <c r="K55" s="4">
        <v>21.9</v>
      </c>
      <c r="L55" s="4">
        <v>20</v>
      </c>
      <c r="M55" s="4">
        <v>17.100000000000001</v>
      </c>
      <c r="N55" s="4">
        <v>12.3</v>
      </c>
      <c r="O55" s="4">
        <v>87.5</v>
      </c>
      <c r="P55" s="13">
        <v>3580</v>
      </c>
      <c r="Q55" s="4">
        <v>15.6</v>
      </c>
      <c r="R55" s="4">
        <v>21.6</v>
      </c>
      <c r="S55" s="4">
        <v>20</v>
      </c>
      <c r="T55" s="4">
        <v>17.7</v>
      </c>
      <c r="U55" s="4">
        <v>12.5</v>
      </c>
      <c r="V55" s="4">
        <v>87.4</v>
      </c>
      <c r="W55" s="13">
        <v>8671</v>
      </c>
      <c r="X55" s="14"/>
      <c r="Y55" s="14"/>
      <c r="Z55" s="14"/>
      <c r="AA55" s="74"/>
      <c r="AB55" s="93"/>
      <c r="AC55" s="93"/>
      <c r="AD55" s="93"/>
      <c r="AE55" s="93"/>
      <c r="AF55" s="93"/>
      <c r="AG55" s="93"/>
      <c r="AH55" s="96"/>
      <c r="AI55" s="93"/>
      <c r="AJ55" s="93"/>
      <c r="AK55" s="93"/>
      <c r="AL55" s="93"/>
      <c r="AM55" s="93"/>
      <c r="AN55" s="93"/>
      <c r="AO55" s="96"/>
      <c r="AP55" s="93"/>
      <c r="AQ55" s="93"/>
      <c r="AR55" s="93"/>
      <c r="AS55" s="93"/>
      <c r="AT55" s="93"/>
      <c r="AU55" s="93"/>
      <c r="AV55" s="96"/>
      <c r="AX55" s="77"/>
      <c r="AY55" s="80"/>
      <c r="AZ55" s="80"/>
      <c r="BA55" s="80"/>
      <c r="BB55" s="80"/>
      <c r="BC55" s="80"/>
      <c r="BD55" s="80"/>
      <c r="BE55" s="80"/>
      <c r="BF55" s="80"/>
      <c r="BG55" s="80"/>
      <c r="BH55" s="80"/>
      <c r="BI55" s="80"/>
      <c r="BJ55" s="80"/>
      <c r="BK55" s="80"/>
      <c r="BL55" s="80"/>
      <c r="BM55" s="80"/>
      <c r="BN55" s="80"/>
      <c r="BO55" s="80"/>
      <c r="BP55" s="80"/>
      <c r="BQ55" s="80"/>
      <c r="BR55" s="80"/>
      <c r="BS55" s="80"/>
    </row>
    <row r="56" spans="1:71" x14ac:dyDescent="0.2">
      <c r="A56" s="14"/>
      <c r="B56" s="10" t="s">
        <v>15</v>
      </c>
      <c r="C56" s="4">
        <v>15.1</v>
      </c>
      <c r="D56" s="4">
        <v>17.5</v>
      </c>
      <c r="E56" s="4">
        <v>21.2</v>
      </c>
      <c r="F56" s="4">
        <v>19.3</v>
      </c>
      <c r="G56" s="4">
        <v>13.6</v>
      </c>
      <c r="H56" s="4">
        <v>86.7</v>
      </c>
      <c r="I56" s="13">
        <v>16319</v>
      </c>
      <c r="J56" s="4">
        <v>14.9</v>
      </c>
      <c r="K56" s="4">
        <v>16.899999999999999</v>
      </c>
      <c r="L56" s="4">
        <v>20.399999999999999</v>
      </c>
      <c r="M56" s="4">
        <v>18.899999999999999</v>
      </c>
      <c r="N56" s="4">
        <v>14.2</v>
      </c>
      <c r="O56" s="4">
        <v>85.3</v>
      </c>
      <c r="P56" s="13">
        <v>19975</v>
      </c>
      <c r="Q56" s="4">
        <v>15</v>
      </c>
      <c r="R56" s="4">
        <v>17.2</v>
      </c>
      <c r="S56" s="4">
        <v>20.7</v>
      </c>
      <c r="T56" s="4">
        <v>19.100000000000001</v>
      </c>
      <c r="U56" s="4">
        <v>14</v>
      </c>
      <c r="V56" s="4">
        <v>85.9</v>
      </c>
      <c r="W56" s="13">
        <v>36294</v>
      </c>
      <c r="X56" s="14"/>
      <c r="Y56" s="14"/>
      <c r="Z56" s="14"/>
      <c r="AA56" s="74"/>
      <c r="AB56" s="93"/>
      <c r="AC56" s="93"/>
      <c r="AD56" s="93"/>
      <c r="AE56" s="93"/>
      <c r="AF56" s="93"/>
      <c r="AG56" s="93"/>
      <c r="AH56" s="96"/>
      <c r="AI56" s="93"/>
      <c r="AJ56" s="93"/>
      <c r="AK56" s="93"/>
      <c r="AL56" s="93"/>
      <c r="AM56" s="93"/>
      <c r="AN56" s="93"/>
      <c r="AO56" s="96"/>
      <c r="AP56" s="93"/>
      <c r="AQ56" s="93"/>
      <c r="AR56" s="93"/>
      <c r="AS56" s="93"/>
      <c r="AT56" s="93"/>
      <c r="AU56" s="93"/>
      <c r="AV56" s="96"/>
      <c r="AX56" s="77"/>
      <c r="AY56" s="80"/>
      <c r="AZ56" s="80"/>
      <c r="BA56" s="80"/>
      <c r="BB56" s="80"/>
      <c r="BC56" s="80"/>
      <c r="BD56" s="80"/>
      <c r="BE56" s="80"/>
      <c r="BF56" s="80"/>
      <c r="BG56" s="80"/>
      <c r="BH56" s="80"/>
      <c r="BI56" s="80"/>
      <c r="BJ56" s="80"/>
      <c r="BK56" s="80"/>
      <c r="BL56" s="80"/>
      <c r="BM56" s="80"/>
      <c r="BN56" s="80"/>
      <c r="BO56" s="80"/>
      <c r="BP56" s="80"/>
      <c r="BQ56" s="80"/>
      <c r="BR56" s="80"/>
      <c r="BS56" s="80"/>
    </row>
    <row r="57" spans="1:71" x14ac:dyDescent="0.2">
      <c r="A57" s="14"/>
      <c r="B57" s="10" t="s">
        <v>16</v>
      </c>
      <c r="C57" s="4">
        <v>9.1999999999999993</v>
      </c>
      <c r="D57" s="4">
        <v>11.3</v>
      </c>
      <c r="E57" s="4">
        <v>13.8</v>
      </c>
      <c r="F57" s="4">
        <v>17.600000000000001</v>
      </c>
      <c r="G57" s="4">
        <v>15.4</v>
      </c>
      <c r="H57" s="4">
        <v>67.3</v>
      </c>
      <c r="I57" s="13">
        <v>2899</v>
      </c>
      <c r="J57" s="4">
        <v>11.6</v>
      </c>
      <c r="K57" s="4">
        <v>12</v>
      </c>
      <c r="L57" s="4">
        <v>16.7</v>
      </c>
      <c r="M57" s="4">
        <v>17.600000000000001</v>
      </c>
      <c r="N57" s="4">
        <v>14.8</v>
      </c>
      <c r="O57" s="4">
        <v>72.599999999999994</v>
      </c>
      <c r="P57" s="13">
        <v>4118</v>
      </c>
      <c r="Q57" s="4">
        <v>10.6</v>
      </c>
      <c r="R57" s="4">
        <v>11.7</v>
      </c>
      <c r="S57" s="4">
        <v>15.5</v>
      </c>
      <c r="T57" s="4">
        <v>17.600000000000001</v>
      </c>
      <c r="U57" s="4">
        <v>15</v>
      </c>
      <c r="V57" s="4">
        <v>70.400000000000006</v>
      </c>
      <c r="W57" s="13">
        <v>7017</v>
      </c>
      <c r="X57" s="14"/>
      <c r="Y57" s="14"/>
      <c r="Z57" s="14"/>
      <c r="AA57" s="74"/>
      <c r="AB57" s="93"/>
      <c r="AC57" s="93"/>
      <c r="AD57" s="93"/>
      <c r="AE57" s="93"/>
      <c r="AF57" s="93"/>
      <c r="AG57" s="93"/>
      <c r="AH57" s="96"/>
      <c r="AI57" s="93"/>
      <c r="AJ57" s="93"/>
      <c r="AK57" s="93"/>
      <c r="AL57" s="93"/>
      <c r="AM57" s="93"/>
      <c r="AN57" s="93"/>
      <c r="AO57" s="96"/>
      <c r="AP57" s="93"/>
      <c r="AQ57" s="93"/>
      <c r="AR57" s="93"/>
      <c r="AS57" s="93"/>
      <c r="AT57" s="93"/>
      <c r="AU57" s="93"/>
      <c r="AV57" s="96"/>
      <c r="AX57" s="77"/>
      <c r="AY57" s="80"/>
      <c r="AZ57" s="80"/>
      <c r="BA57" s="80"/>
      <c r="BB57" s="80"/>
      <c r="BC57" s="80"/>
      <c r="BD57" s="80"/>
      <c r="BE57" s="80"/>
      <c r="BF57" s="80"/>
      <c r="BG57" s="80"/>
      <c r="BH57" s="80"/>
      <c r="BI57" s="80"/>
      <c r="BJ57" s="80"/>
      <c r="BK57" s="80"/>
      <c r="BL57" s="80"/>
      <c r="BM57" s="80"/>
      <c r="BN57" s="80"/>
      <c r="BO57" s="80"/>
      <c r="BP57" s="80"/>
      <c r="BQ57" s="80"/>
      <c r="BR57" s="80"/>
      <c r="BS57" s="80"/>
    </row>
    <row r="58" spans="1:71" x14ac:dyDescent="0.2">
      <c r="A58" s="14"/>
      <c r="B58" s="10" t="s">
        <v>17</v>
      </c>
      <c r="C58" s="4">
        <v>7.9</v>
      </c>
      <c r="D58" s="4">
        <v>13.4</v>
      </c>
      <c r="E58" s="4">
        <v>16.3</v>
      </c>
      <c r="F58" s="4">
        <v>16.2</v>
      </c>
      <c r="G58" s="4">
        <v>16.5</v>
      </c>
      <c r="H58" s="4">
        <v>70.3</v>
      </c>
      <c r="I58" s="13">
        <v>4489</v>
      </c>
      <c r="J58" s="4">
        <v>12.6</v>
      </c>
      <c r="K58" s="4">
        <v>18.100000000000001</v>
      </c>
      <c r="L58" s="4">
        <v>19.100000000000001</v>
      </c>
      <c r="M58" s="4">
        <v>17.7</v>
      </c>
      <c r="N58" s="4">
        <v>14</v>
      </c>
      <c r="O58" s="4">
        <v>81.400000000000006</v>
      </c>
      <c r="P58" s="13">
        <v>13568</v>
      </c>
      <c r="Q58" s="4">
        <v>11.4</v>
      </c>
      <c r="R58" s="4">
        <v>16.899999999999999</v>
      </c>
      <c r="S58" s="4">
        <v>18.399999999999999</v>
      </c>
      <c r="T58" s="4">
        <v>17.3</v>
      </c>
      <c r="U58" s="4">
        <v>14.6</v>
      </c>
      <c r="V58" s="4">
        <v>78.7</v>
      </c>
      <c r="W58" s="13">
        <v>18057</v>
      </c>
      <c r="X58" s="14"/>
      <c r="Y58" s="14"/>
      <c r="Z58" s="14"/>
      <c r="AA58" s="74"/>
      <c r="AB58" s="93"/>
      <c r="AC58" s="93"/>
      <c r="AD58" s="93"/>
      <c r="AE58" s="93"/>
      <c r="AF58" s="93"/>
      <c r="AG58" s="93"/>
      <c r="AH58" s="96"/>
      <c r="AI58" s="93"/>
      <c r="AJ58" s="93"/>
      <c r="AK58" s="93"/>
      <c r="AL58" s="93"/>
      <c r="AM58" s="93"/>
      <c r="AN58" s="93"/>
      <c r="AO58" s="96"/>
      <c r="AP58" s="93"/>
      <c r="AQ58" s="93"/>
      <c r="AR58" s="93"/>
      <c r="AS58" s="93"/>
      <c r="AT58" s="93"/>
      <c r="AU58" s="93"/>
      <c r="AV58" s="96"/>
      <c r="AX58" s="77"/>
      <c r="AY58" s="80"/>
      <c r="AZ58" s="80"/>
      <c r="BA58" s="80"/>
      <c r="BB58" s="80"/>
      <c r="BC58" s="80"/>
      <c r="BD58" s="80"/>
      <c r="BE58" s="80"/>
      <c r="BF58" s="80"/>
      <c r="BG58" s="80"/>
      <c r="BH58" s="80"/>
      <c r="BI58" s="80"/>
      <c r="BJ58" s="80"/>
      <c r="BK58" s="80"/>
      <c r="BL58" s="80"/>
      <c r="BM58" s="80"/>
      <c r="BN58" s="80"/>
      <c r="BO58" s="80"/>
      <c r="BP58" s="80"/>
      <c r="BQ58" s="80"/>
      <c r="BR58" s="80"/>
      <c r="BS58" s="80"/>
    </row>
    <row r="59" spans="1:71" x14ac:dyDescent="0.2">
      <c r="A59" s="14"/>
      <c r="B59" s="10" t="s">
        <v>18</v>
      </c>
      <c r="C59" s="4">
        <v>9.4</v>
      </c>
      <c r="D59" s="4">
        <v>13.8</v>
      </c>
      <c r="E59" s="4">
        <v>14.4</v>
      </c>
      <c r="F59" s="4">
        <v>17.100000000000001</v>
      </c>
      <c r="G59" s="4">
        <v>14.3</v>
      </c>
      <c r="H59" s="4">
        <v>69</v>
      </c>
      <c r="I59" s="13">
        <v>5283</v>
      </c>
      <c r="J59" s="4">
        <v>12.2</v>
      </c>
      <c r="K59" s="4">
        <v>16.7</v>
      </c>
      <c r="L59" s="4">
        <v>16.8</v>
      </c>
      <c r="M59" s="4">
        <v>16.8</v>
      </c>
      <c r="N59" s="4">
        <v>13.6</v>
      </c>
      <c r="O59" s="4">
        <v>76.099999999999994</v>
      </c>
      <c r="P59" s="13">
        <v>16078</v>
      </c>
      <c r="Q59" s="4">
        <v>11.5</v>
      </c>
      <c r="R59" s="4">
        <v>16</v>
      </c>
      <c r="S59" s="4">
        <v>16.2</v>
      </c>
      <c r="T59" s="4">
        <v>16.899999999999999</v>
      </c>
      <c r="U59" s="4">
        <v>13.8</v>
      </c>
      <c r="V59" s="4">
        <v>74.400000000000006</v>
      </c>
      <c r="W59" s="13">
        <v>21361</v>
      </c>
      <c r="X59" s="14"/>
      <c r="Y59" s="14"/>
      <c r="Z59" s="14"/>
      <c r="AA59" s="74"/>
      <c r="AB59" s="93"/>
      <c r="AC59" s="93"/>
      <c r="AD59" s="93"/>
      <c r="AE59" s="93"/>
      <c r="AF59" s="93"/>
      <c r="AG59" s="93"/>
      <c r="AH59" s="96"/>
      <c r="AI59" s="93"/>
      <c r="AJ59" s="93"/>
      <c r="AK59" s="93"/>
      <c r="AL59" s="93"/>
      <c r="AM59" s="93"/>
      <c r="AN59" s="93"/>
      <c r="AO59" s="96"/>
      <c r="AP59" s="93"/>
      <c r="AQ59" s="93"/>
      <c r="AR59" s="93"/>
      <c r="AS59" s="93"/>
      <c r="AT59" s="93"/>
      <c r="AU59" s="93"/>
      <c r="AV59" s="96"/>
      <c r="AX59" s="77"/>
      <c r="AY59" s="80"/>
      <c r="AZ59" s="80"/>
      <c r="BA59" s="80"/>
      <c r="BB59" s="80"/>
      <c r="BC59" s="80"/>
      <c r="BD59" s="80"/>
      <c r="BE59" s="80"/>
      <c r="BF59" s="80"/>
      <c r="BG59" s="80"/>
      <c r="BH59" s="80"/>
      <c r="BI59" s="80"/>
      <c r="BJ59" s="80"/>
      <c r="BK59" s="80"/>
      <c r="BL59" s="80"/>
      <c r="BM59" s="80"/>
      <c r="BN59" s="80"/>
      <c r="BO59" s="80"/>
      <c r="BP59" s="80"/>
      <c r="BQ59" s="80"/>
      <c r="BR59" s="80"/>
      <c r="BS59" s="80"/>
    </row>
    <row r="60" spans="1:71" x14ac:dyDescent="0.2">
      <c r="A60" s="14"/>
      <c r="B60" s="10" t="s">
        <v>19</v>
      </c>
      <c r="C60" s="4">
        <v>11.6</v>
      </c>
      <c r="D60" s="4">
        <v>16.899999999999999</v>
      </c>
      <c r="E60" s="4">
        <v>17.5</v>
      </c>
      <c r="F60" s="4">
        <v>15.8</v>
      </c>
      <c r="G60" s="4">
        <v>15.1</v>
      </c>
      <c r="H60" s="4">
        <v>76.900000000000006</v>
      </c>
      <c r="I60" s="13">
        <v>935</v>
      </c>
      <c r="J60" s="4">
        <v>11.4</v>
      </c>
      <c r="K60" s="4">
        <v>15.7</v>
      </c>
      <c r="L60" s="4">
        <v>17.8</v>
      </c>
      <c r="M60" s="4">
        <v>17.100000000000001</v>
      </c>
      <c r="N60" s="4">
        <v>12.7</v>
      </c>
      <c r="O60" s="4">
        <v>74.8</v>
      </c>
      <c r="P60" s="13">
        <v>848</v>
      </c>
      <c r="Q60" s="4">
        <v>11.5</v>
      </c>
      <c r="R60" s="4">
        <v>16.3</v>
      </c>
      <c r="S60" s="4">
        <v>17.7</v>
      </c>
      <c r="T60" s="4">
        <v>16.399999999999999</v>
      </c>
      <c r="U60" s="4">
        <v>14</v>
      </c>
      <c r="V60" s="4">
        <v>75.900000000000006</v>
      </c>
      <c r="W60" s="13">
        <v>1783</v>
      </c>
      <c r="X60" s="14"/>
      <c r="Y60" s="14"/>
      <c r="Z60" s="14"/>
      <c r="AA60" s="74"/>
      <c r="AB60" s="93"/>
      <c r="AC60" s="93"/>
      <c r="AD60" s="93"/>
      <c r="AE60" s="93"/>
      <c r="AF60" s="93"/>
      <c r="AG60" s="93"/>
      <c r="AH60" s="96"/>
      <c r="AI60" s="93"/>
      <c r="AJ60" s="93"/>
      <c r="AK60" s="93"/>
      <c r="AL60" s="93"/>
      <c r="AM60" s="93"/>
      <c r="AN60" s="93"/>
      <c r="AO60" s="96"/>
      <c r="AP60" s="93"/>
      <c r="AQ60" s="93"/>
      <c r="AR60" s="93"/>
      <c r="AS60" s="93"/>
      <c r="AT60" s="93"/>
      <c r="AU60" s="93"/>
      <c r="AV60" s="96"/>
      <c r="AX60" s="77"/>
      <c r="AY60" s="80"/>
      <c r="AZ60" s="80"/>
      <c r="BA60" s="80"/>
      <c r="BB60" s="80"/>
      <c r="BC60" s="80"/>
      <c r="BD60" s="80"/>
      <c r="BE60" s="80"/>
      <c r="BF60" s="80"/>
      <c r="BG60" s="80"/>
      <c r="BH60" s="80"/>
      <c r="BI60" s="80"/>
      <c r="BJ60" s="80"/>
      <c r="BK60" s="80"/>
      <c r="BL60" s="80"/>
      <c r="BM60" s="80"/>
      <c r="BN60" s="80"/>
      <c r="BO60" s="80"/>
      <c r="BP60" s="80"/>
      <c r="BQ60" s="80"/>
      <c r="BR60" s="80"/>
      <c r="BS60" s="80"/>
    </row>
    <row r="61" spans="1:71" x14ac:dyDescent="0.2">
      <c r="A61" s="14"/>
      <c r="B61" s="10" t="s">
        <v>20</v>
      </c>
      <c r="C61" s="4">
        <v>17.2</v>
      </c>
      <c r="D61" s="4">
        <v>17.8</v>
      </c>
      <c r="E61" s="4">
        <v>22.5</v>
      </c>
      <c r="F61" s="4">
        <v>19</v>
      </c>
      <c r="G61" s="4">
        <v>12.8</v>
      </c>
      <c r="H61" s="4">
        <v>89.3</v>
      </c>
      <c r="I61" s="13">
        <v>11744</v>
      </c>
      <c r="J61" s="4">
        <v>20.2</v>
      </c>
      <c r="K61" s="4">
        <v>20.399999999999999</v>
      </c>
      <c r="L61" s="4">
        <v>23.7</v>
      </c>
      <c r="M61" s="4">
        <v>18.100000000000001</v>
      </c>
      <c r="N61" s="4">
        <v>10.7</v>
      </c>
      <c r="O61" s="4">
        <v>93.1</v>
      </c>
      <c r="P61" s="13">
        <v>18052</v>
      </c>
      <c r="Q61" s="4">
        <v>19</v>
      </c>
      <c r="R61" s="4">
        <v>19.399999999999999</v>
      </c>
      <c r="S61" s="4">
        <v>23.3</v>
      </c>
      <c r="T61" s="4">
        <v>18.5</v>
      </c>
      <c r="U61" s="4">
        <v>11.5</v>
      </c>
      <c r="V61" s="4">
        <v>91.6</v>
      </c>
      <c r="W61" s="13">
        <v>29796</v>
      </c>
      <c r="X61" s="14"/>
      <c r="Y61" s="14"/>
      <c r="Z61" s="14"/>
      <c r="AA61" s="74"/>
      <c r="AB61" s="93"/>
      <c r="AC61" s="93"/>
      <c r="AD61" s="93"/>
      <c r="AE61" s="93"/>
      <c r="AF61" s="93"/>
      <c r="AG61" s="93"/>
      <c r="AH61" s="96"/>
      <c r="AI61" s="93"/>
      <c r="AJ61" s="93"/>
      <c r="AK61" s="93"/>
      <c r="AL61" s="93"/>
      <c r="AM61" s="93"/>
      <c r="AN61" s="93"/>
      <c r="AO61" s="96"/>
      <c r="AP61" s="93"/>
      <c r="AQ61" s="93"/>
      <c r="AR61" s="93"/>
      <c r="AS61" s="93"/>
      <c r="AT61" s="93"/>
      <c r="AU61" s="93"/>
      <c r="AV61" s="96"/>
      <c r="AX61" s="77"/>
      <c r="AY61" s="80"/>
      <c r="AZ61" s="80"/>
      <c r="BA61" s="80"/>
      <c r="BB61" s="80"/>
      <c r="BC61" s="80"/>
      <c r="BD61" s="80"/>
      <c r="BE61" s="80"/>
      <c r="BF61" s="80"/>
      <c r="BG61" s="80"/>
      <c r="BH61" s="80"/>
      <c r="BI61" s="80"/>
      <c r="BJ61" s="80"/>
      <c r="BK61" s="80"/>
      <c r="BL61" s="80"/>
      <c r="BM61" s="80"/>
      <c r="BN61" s="80"/>
      <c r="BO61" s="80"/>
      <c r="BP61" s="80"/>
      <c r="BQ61" s="80"/>
      <c r="BR61" s="80"/>
      <c r="BS61" s="80"/>
    </row>
    <row r="62" spans="1:71" x14ac:dyDescent="0.2">
      <c r="A62" s="14"/>
      <c r="B62" s="10" t="s">
        <v>21</v>
      </c>
      <c r="C62" s="4">
        <v>8.9</v>
      </c>
      <c r="D62" s="4">
        <v>13</v>
      </c>
      <c r="E62" s="4">
        <v>18.100000000000001</v>
      </c>
      <c r="F62" s="4">
        <v>19.5</v>
      </c>
      <c r="G62" s="4">
        <v>18.7</v>
      </c>
      <c r="H62" s="4">
        <v>78.2</v>
      </c>
      <c r="I62" s="13">
        <v>2077</v>
      </c>
      <c r="J62" s="4">
        <v>12</v>
      </c>
      <c r="K62" s="4">
        <v>16</v>
      </c>
      <c r="L62" s="4">
        <v>20.8</v>
      </c>
      <c r="M62" s="4">
        <v>20.399999999999999</v>
      </c>
      <c r="N62" s="4">
        <v>16.3</v>
      </c>
      <c r="O62" s="4">
        <v>85.6</v>
      </c>
      <c r="P62" s="13">
        <v>5820</v>
      </c>
      <c r="Q62" s="4">
        <v>11.2</v>
      </c>
      <c r="R62" s="4">
        <v>15.2</v>
      </c>
      <c r="S62" s="4">
        <v>20.100000000000001</v>
      </c>
      <c r="T62" s="4">
        <v>20.2</v>
      </c>
      <c r="U62" s="4">
        <v>16.899999999999999</v>
      </c>
      <c r="V62" s="4">
        <v>83.7</v>
      </c>
      <c r="W62" s="13">
        <v>7897</v>
      </c>
      <c r="X62" s="14"/>
      <c r="Y62" s="14"/>
      <c r="Z62" s="14"/>
      <c r="AA62" s="74"/>
      <c r="AB62" s="93"/>
      <c r="AC62" s="93"/>
      <c r="AD62" s="93"/>
      <c r="AE62" s="93"/>
      <c r="AF62" s="93"/>
      <c r="AG62" s="93"/>
      <c r="AH62" s="96"/>
      <c r="AI62" s="93"/>
      <c r="AJ62" s="93"/>
      <c r="AK62" s="93"/>
      <c r="AL62" s="93"/>
      <c r="AM62" s="93"/>
      <c r="AN62" s="93"/>
      <c r="AO62" s="96"/>
      <c r="AP62" s="93"/>
      <c r="AQ62" s="93"/>
      <c r="AR62" s="93"/>
      <c r="AS62" s="93"/>
      <c r="AT62" s="93"/>
      <c r="AU62" s="93"/>
      <c r="AV62" s="96"/>
      <c r="AX62" s="77"/>
      <c r="AY62" s="80"/>
      <c r="AZ62" s="80"/>
      <c r="BA62" s="80"/>
      <c r="BB62" s="80"/>
      <c r="BC62" s="80"/>
      <c r="BD62" s="80"/>
      <c r="BE62" s="80"/>
      <c r="BF62" s="80"/>
      <c r="BG62" s="80"/>
      <c r="BH62" s="80"/>
      <c r="BI62" s="80"/>
      <c r="BJ62" s="80"/>
      <c r="BK62" s="80"/>
      <c r="BL62" s="80"/>
      <c r="BM62" s="80"/>
      <c r="BN62" s="80"/>
      <c r="BO62" s="80"/>
      <c r="BP62" s="80"/>
      <c r="BQ62" s="80"/>
      <c r="BR62" s="80"/>
      <c r="BS62" s="80"/>
    </row>
    <row r="63" spans="1:71" x14ac:dyDescent="0.2">
      <c r="A63" s="14"/>
      <c r="B63" s="10" t="s">
        <v>22</v>
      </c>
      <c r="C63" s="4">
        <v>15.6</v>
      </c>
      <c r="D63" s="4">
        <v>20.2</v>
      </c>
      <c r="E63" s="4">
        <v>20.9</v>
      </c>
      <c r="F63" s="4">
        <v>19.600000000000001</v>
      </c>
      <c r="G63" s="4">
        <v>13.7</v>
      </c>
      <c r="H63" s="4">
        <v>89.9</v>
      </c>
      <c r="I63" s="13">
        <v>22429</v>
      </c>
      <c r="J63" s="4">
        <v>14.4</v>
      </c>
      <c r="K63" s="4">
        <v>19.399999999999999</v>
      </c>
      <c r="L63" s="4">
        <v>22.4</v>
      </c>
      <c r="M63" s="4">
        <v>21.4</v>
      </c>
      <c r="N63" s="4">
        <v>14.1</v>
      </c>
      <c r="O63" s="4">
        <v>91.7</v>
      </c>
      <c r="P63" s="13">
        <v>50115</v>
      </c>
      <c r="Q63" s="4">
        <v>14.8</v>
      </c>
      <c r="R63" s="4">
        <v>19.600000000000001</v>
      </c>
      <c r="S63" s="4">
        <v>22</v>
      </c>
      <c r="T63" s="4">
        <v>20.8</v>
      </c>
      <c r="U63" s="4">
        <v>14</v>
      </c>
      <c r="V63" s="4">
        <v>91.2</v>
      </c>
      <c r="W63" s="13">
        <v>72544</v>
      </c>
      <c r="X63" s="14"/>
      <c r="Y63" s="14"/>
      <c r="Z63" s="14"/>
      <c r="AA63" s="74"/>
      <c r="AB63" s="93"/>
      <c r="AC63" s="93"/>
      <c r="AD63" s="93"/>
      <c r="AE63" s="93"/>
      <c r="AF63" s="93"/>
      <c r="AG63" s="93"/>
      <c r="AH63" s="96"/>
      <c r="AI63" s="93"/>
      <c r="AJ63" s="93"/>
      <c r="AK63" s="93"/>
      <c r="AL63" s="93"/>
      <c r="AM63" s="93"/>
      <c r="AN63" s="93"/>
      <c r="AO63" s="96"/>
      <c r="AP63" s="93"/>
      <c r="AQ63" s="93"/>
      <c r="AR63" s="93"/>
      <c r="AS63" s="93"/>
      <c r="AT63" s="93"/>
      <c r="AU63" s="93"/>
      <c r="AV63" s="96"/>
      <c r="AX63" s="77"/>
      <c r="AY63" s="80"/>
      <c r="AZ63" s="80"/>
      <c r="BA63" s="80"/>
      <c r="BB63" s="80"/>
      <c r="BC63" s="80"/>
      <c r="BD63" s="80"/>
      <c r="BE63" s="80"/>
      <c r="BF63" s="80"/>
      <c r="BG63" s="80"/>
      <c r="BH63" s="80"/>
      <c r="BI63" s="80"/>
      <c r="BJ63" s="80"/>
      <c r="BK63" s="80"/>
      <c r="BL63" s="80"/>
      <c r="BM63" s="80"/>
      <c r="BN63" s="80"/>
      <c r="BO63" s="80"/>
      <c r="BP63" s="80"/>
      <c r="BQ63" s="80"/>
      <c r="BR63" s="80"/>
      <c r="BS63" s="80"/>
    </row>
    <row r="64" spans="1:71" x14ac:dyDescent="0.2">
      <c r="A64" s="14"/>
      <c r="B64" s="10" t="s">
        <v>51</v>
      </c>
      <c r="C64" s="4">
        <v>9.4</v>
      </c>
      <c r="D64" s="4">
        <v>15.4</v>
      </c>
      <c r="E64" s="4">
        <v>29.5</v>
      </c>
      <c r="F64" s="4">
        <v>25.3</v>
      </c>
      <c r="G64" s="4">
        <v>12.1</v>
      </c>
      <c r="H64" s="4">
        <v>91.8</v>
      </c>
      <c r="I64" s="13">
        <v>3027</v>
      </c>
      <c r="J64" s="4">
        <v>10</v>
      </c>
      <c r="K64" s="4">
        <v>18.600000000000001</v>
      </c>
      <c r="L64" s="4">
        <v>30.5</v>
      </c>
      <c r="M64" s="4">
        <v>24.1</v>
      </c>
      <c r="N64" s="4">
        <v>10.9</v>
      </c>
      <c r="O64" s="4">
        <v>94</v>
      </c>
      <c r="P64" s="13">
        <v>3814</v>
      </c>
      <c r="Q64" s="4">
        <v>9.6999999999999993</v>
      </c>
      <c r="R64" s="4">
        <v>17.2</v>
      </c>
      <c r="S64" s="4">
        <v>30.1</v>
      </c>
      <c r="T64" s="4">
        <v>24.6</v>
      </c>
      <c r="U64" s="4">
        <v>11.4</v>
      </c>
      <c r="V64" s="4">
        <v>93</v>
      </c>
      <c r="W64" s="13">
        <v>6841</v>
      </c>
      <c r="X64" s="14"/>
      <c r="Y64" s="14"/>
      <c r="Z64" s="14"/>
      <c r="AA64" s="74"/>
      <c r="AB64" s="93"/>
      <c r="AC64" s="93"/>
      <c r="AD64" s="93"/>
      <c r="AE64" s="93"/>
      <c r="AF64" s="93"/>
      <c r="AG64" s="93"/>
      <c r="AH64" s="96"/>
      <c r="AI64" s="93"/>
      <c r="AJ64" s="93"/>
      <c r="AK64" s="93"/>
      <c r="AL64" s="93"/>
      <c r="AM64" s="93"/>
      <c r="AN64" s="93"/>
      <c r="AO64" s="96"/>
      <c r="AP64" s="93"/>
      <c r="AQ64" s="93"/>
      <c r="AR64" s="93"/>
      <c r="AS64" s="93"/>
      <c r="AT64" s="93"/>
      <c r="AU64" s="93"/>
      <c r="AV64" s="96"/>
      <c r="AX64" s="77"/>
      <c r="AY64" s="80"/>
      <c r="AZ64" s="80"/>
      <c r="BA64" s="80"/>
      <c r="BB64" s="80"/>
      <c r="BC64" s="80"/>
      <c r="BD64" s="80"/>
      <c r="BE64" s="80"/>
      <c r="BF64" s="80"/>
      <c r="BG64" s="80"/>
      <c r="BH64" s="80"/>
      <c r="BI64" s="80"/>
      <c r="BJ64" s="80"/>
      <c r="BK64" s="80"/>
      <c r="BL64" s="80"/>
      <c r="BM64" s="80"/>
      <c r="BN64" s="80"/>
      <c r="BO64" s="80"/>
      <c r="BP64" s="80"/>
      <c r="BQ64" s="80"/>
      <c r="BR64" s="80"/>
      <c r="BS64" s="80"/>
    </row>
    <row r="65" spans="1:71" x14ac:dyDescent="0.2">
      <c r="A65" s="14"/>
      <c r="B65" s="10" t="s">
        <v>23</v>
      </c>
      <c r="C65" s="4">
        <v>8.1</v>
      </c>
      <c r="D65" s="4">
        <v>13.5</v>
      </c>
      <c r="E65" s="4">
        <v>18.899999999999999</v>
      </c>
      <c r="F65" s="4">
        <v>17.8</v>
      </c>
      <c r="G65" s="4">
        <v>14.9</v>
      </c>
      <c r="H65" s="4">
        <v>73.099999999999994</v>
      </c>
      <c r="I65" s="13">
        <v>2341</v>
      </c>
      <c r="J65" s="4">
        <v>10</v>
      </c>
      <c r="K65" s="4">
        <v>19.899999999999999</v>
      </c>
      <c r="L65" s="4">
        <v>25.2</v>
      </c>
      <c r="M65" s="4">
        <v>18.5</v>
      </c>
      <c r="N65" s="4">
        <v>12</v>
      </c>
      <c r="O65" s="4">
        <v>85.6</v>
      </c>
      <c r="P65" s="13">
        <v>4465</v>
      </c>
      <c r="Q65" s="4">
        <v>9.3000000000000007</v>
      </c>
      <c r="R65" s="4">
        <v>17.7</v>
      </c>
      <c r="S65" s="4">
        <v>23</v>
      </c>
      <c r="T65" s="4">
        <v>18.3</v>
      </c>
      <c r="U65" s="4">
        <v>13</v>
      </c>
      <c r="V65" s="4">
        <v>81.3</v>
      </c>
      <c r="W65" s="13">
        <v>6806</v>
      </c>
      <c r="X65" s="14"/>
      <c r="Y65" s="14"/>
      <c r="Z65" s="14"/>
      <c r="AA65" s="74"/>
      <c r="AB65" s="93"/>
      <c r="AC65" s="93"/>
      <c r="AD65" s="93"/>
      <c r="AE65" s="93"/>
      <c r="AF65" s="93"/>
      <c r="AG65" s="93"/>
      <c r="AH65" s="96"/>
      <c r="AI65" s="93"/>
      <c r="AJ65" s="93"/>
      <c r="AK65" s="93"/>
      <c r="AL65" s="93"/>
      <c r="AM65" s="93"/>
      <c r="AN65" s="93"/>
      <c r="AO65" s="96"/>
      <c r="AP65" s="93"/>
      <c r="AQ65" s="93"/>
      <c r="AR65" s="93"/>
      <c r="AS65" s="93"/>
      <c r="AT65" s="93"/>
      <c r="AU65" s="93"/>
      <c r="AV65" s="96"/>
      <c r="AX65" s="77"/>
      <c r="AY65" s="80"/>
      <c r="AZ65" s="80"/>
      <c r="BA65" s="80"/>
      <c r="BB65" s="80"/>
      <c r="BC65" s="80"/>
      <c r="BD65" s="80"/>
      <c r="BE65" s="80"/>
      <c r="BF65" s="80"/>
      <c r="BG65" s="80"/>
      <c r="BH65" s="80"/>
      <c r="BI65" s="80"/>
      <c r="BJ65" s="80"/>
      <c r="BK65" s="80"/>
      <c r="BL65" s="80"/>
      <c r="BM65" s="80"/>
      <c r="BN65" s="80"/>
      <c r="BO65" s="80"/>
      <c r="BP65" s="80"/>
      <c r="BQ65" s="80"/>
      <c r="BR65" s="80"/>
      <c r="BS65" s="80"/>
    </row>
    <row r="66" spans="1:71" x14ac:dyDescent="0.2">
      <c r="A66" s="14"/>
      <c r="B66" s="10" t="s">
        <v>24</v>
      </c>
      <c r="C66" s="4">
        <v>22</v>
      </c>
      <c r="D66" s="4">
        <v>18</v>
      </c>
      <c r="E66" s="4">
        <v>20.3</v>
      </c>
      <c r="F66" s="4">
        <v>17.2</v>
      </c>
      <c r="G66" s="4">
        <v>12.2</v>
      </c>
      <c r="H66" s="4">
        <v>89.7</v>
      </c>
      <c r="I66" s="13">
        <v>6859</v>
      </c>
      <c r="J66" s="4">
        <v>20</v>
      </c>
      <c r="K66" s="4">
        <v>17.399999999999999</v>
      </c>
      <c r="L66" s="4">
        <v>20</v>
      </c>
      <c r="M66" s="4">
        <v>17.100000000000001</v>
      </c>
      <c r="N66" s="4">
        <v>13</v>
      </c>
      <c r="O66" s="4">
        <v>87.4</v>
      </c>
      <c r="P66" s="13">
        <v>15859</v>
      </c>
      <c r="Q66" s="4">
        <v>20.6</v>
      </c>
      <c r="R66" s="4">
        <v>17.600000000000001</v>
      </c>
      <c r="S66" s="4">
        <v>20</v>
      </c>
      <c r="T66" s="4">
        <v>17.100000000000001</v>
      </c>
      <c r="U66" s="4">
        <v>12.8</v>
      </c>
      <c r="V66" s="4">
        <v>88.1</v>
      </c>
      <c r="W66" s="13">
        <v>22718</v>
      </c>
      <c r="X66" s="14"/>
      <c r="Y66" s="14"/>
      <c r="Z66" s="14"/>
      <c r="AA66" s="74"/>
      <c r="AB66" s="93"/>
      <c r="AC66" s="93"/>
      <c r="AD66" s="93"/>
      <c r="AE66" s="93"/>
      <c r="AF66" s="93"/>
      <c r="AG66" s="93"/>
      <c r="AH66" s="96"/>
      <c r="AI66" s="93"/>
      <c r="AJ66" s="93"/>
      <c r="AK66" s="93"/>
      <c r="AL66" s="93"/>
      <c r="AM66" s="93"/>
      <c r="AN66" s="93"/>
      <c r="AO66" s="96"/>
      <c r="AP66" s="93"/>
      <c r="AQ66" s="93"/>
      <c r="AR66" s="93"/>
      <c r="AS66" s="93"/>
      <c r="AT66" s="93"/>
      <c r="AU66" s="93"/>
      <c r="AV66" s="96"/>
      <c r="AX66" s="77"/>
      <c r="AY66" s="80"/>
      <c r="AZ66" s="80"/>
      <c r="BA66" s="80"/>
      <c r="BB66" s="80"/>
      <c r="BC66" s="80"/>
      <c r="BD66" s="80"/>
      <c r="BE66" s="80"/>
      <c r="BF66" s="80"/>
      <c r="BG66" s="80"/>
      <c r="BH66" s="80"/>
      <c r="BI66" s="80"/>
      <c r="BJ66" s="80"/>
      <c r="BK66" s="80"/>
      <c r="BL66" s="80"/>
      <c r="BM66" s="80"/>
      <c r="BN66" s="80"/>
      <c r="BO66" s="80"/>
      <c r="BP66" s="80"/>
      <c r="BQ66" s="80"/>
      <c r="BR66" s="80"/>
      <c r="BS66" s="80"/>
    </row>
    <row r="67" spans="1:71" x14ac:dyDescent="0.2">
      <c r="A67" s="14"/>
      <c r="B67" s="10" t="s">
        <v>25</v>
      </c>
      <c r="C67" s="4">
        <v>26</v>
      </c>
      <c r="D67" s="4">
        <v>17.7</v>
      </c>
      <c r="E67" s="4">
        <v>18.100000000000001</v>
      </c>
      <c r="F67" s="4">
        <v>15.7</v>
      </c>
      <c r="G67" s="4">
        <v>11.9</v>
      </c>
      <c r="H67" s="4">
        <v>89.4</v>
      </c>
      <c r="I67" s="13">
        <v>2855</v>
      </c>
      <c r="J67" s="4">
        <v>21.5</v>
      </c>
      <c r="K67" s="4">
        <v>18.100000000000001</v>
      </c>
      <c r="L67" s="4">
        <v>18.8</v>
      </c>
      <c r="M67" s="4">
        <v>17.5</v>
      </c>
      <c r="N67" s="4">
        <v>13.1</v>
      </c>
      <c r="O67" s="4">
        <v>88.9</v>
      </c>
      <c r="P67" s="13">
        <v>6451</v>
      </c>
      <c r="Q67" s="4">
        <v>22.8</v>
      </c>
      <c r="R67" s="4">
        <v>18</v>
      </c>
      <c r="S67" s="4">
        <v>18.600000000000001</v>
      </c>
      <c r="T67" s="4">
        <v>17</v>
      </c>
      <c r="U67" s="4">
        <v>12.7</v>
      </c>
      <c r="V67" s="4">
        <v>89.1</v>
      </c>
      <c r="W67" s="13">
        <v>9306</v>
      </c>
      <c r="X67" s="14"/>
      <c r="Y67" s="14"/>
      <c r="Z67" s="14"/>
      <c r="AA67" s="74"/>
      <c r="AB67" s="93"/>
      <c r="AC67" s="93"/>
      <c r="AD67" s="93"/>
      <c r="AE67" s="93"/>
      <c r="AF67" s="93"/>
      <c r="AG67" s="93"/>
      <c r="AH67" s="96"/>
      <c r="AI67" s="93"/>
      <c r="AJ67" s="93"/>
      <c r="AK67" s="93"/>
      <c r="AL67" s="93"/>
      <c r="AM67" s="93"/>
      <c r="AN67" s="93"/>
      <c r="AO67" s="96"/>
      <c r="AP67" s="93"/>
      <c r="AQ67" s="93"/>
      <c r="AR67" s="93"/>
      <c r="AS67" s="93"/>
      <c r="AT67" s="93"/>
      <c r="AU67" s="93"/>
      <c r="AV67" s="96"/>
      <c r="AX67" s="77"/>
      <c r="AY67" s="80"/>
      <c r="AZ67" s="80"/>
      <c r="BA67" s="80"/>
      <c r="BB67" s="80"/>
      <c r="BC67" s="80"/>
      <c r="BD67" s="80"/>
      <c r="BE67" s="80"/>
      <c r="BF67" s="80"/>
      <c r="BG67" s="80"/>
      <c r="BH67" s="80"/>
      <c r="BI67" s="80"/>
      <c r="BJ67" s="80"/>
      <c r="BK67" s="80"/>
      <c r="BL67" s="80"/>
      <c r="BM67" s="80"/>
      <c r="BN67" s="80"/>
      <c r="BO67" s="80"/>
      <c r="BP67" s="80"/>
      <c r="BQ67" s="80"/>
      <c r="BR67" s="80"/>
      <c r="BS67" s="80"/>
    </row>
    <row r="68" spans="1:71" x14ac:dyDescent="0.2">
      <c r="A68" s="14"/>
      <c r="B68" s="10" t="s">
        <v>26</v>
      </c>
      <c r="C68" s="4">
        <v>25</v>
      </c>
      <c r="D68" s="4">
        <v>22.2</v>
      </c>
      <c r="E68" s="4">
        <v>20.2</v>
      </c>
      <c r="F68" s="4">
        <v>13.8</v>
      </c>
      <c r="G68" s="4">
        <v>9.1</v>
      </c>
      <c r="H68" s="4">
        <v>90.2</v>
      </c>
      <c r="I68" s="13">
        <v>1169</v>
      </c>
      <c r="J68" s="4">
        <v>21.7</v>
      </c>
      <c r="K68" s="4">
        <v>20.7</v>
      </c>
      <c r="L68" s="4">
        <v>18.5</v>
      </c>
      <c r="M68" s="4">
        <v>15.9</v>
      </c>
      <c r="N68" s="4">
        <v>11.6</v>
      </c>
      <c r="O68" s="4">
        <v>88.3</v>
      </c>
      <c r="P68" s="13">
        <v>2926</v>
      </c>
      <c r="Q68" s="4">
        <v>22.6</v>
      </c>
      <c r="R68" s="4">
        <v>21.1</v>
      </c>
      <c r="S68" s="4">
        <v>19</v>
      </c>
      <c r="T68" s="4">
        <v>15.3</v>
      </c>
      <c r="U68" s="4">
        <v>10.8</v>
      </c>
      <c r="V68" s="4">
        <v>88.9</v>
      </c>
      <c r="W68" s="13">
        <v>4095</v>
      </c>
      <c r="X68" s="14"/>
      <c r="Y68" s="14"/>
      <c r="Z68" s="14"/>
      <c r="AA68" s="74"/>
      <c r="AB68" s="93"/>
      <c r="AC68" s="93"/>
      <c r="AD68" s="93"/>
      <c r="AE68" s="93"/>
      <c r="AF68" s="93"/>
      <c r="AG68" s="93"/>
      <c r="AH68" s="96"/>
      <c r="AI68" s="93"/>
      <c r="AJ68" s="93"/>
      <c r="AK68" s="93"/>
      <c r="AL68" s="93"/>
      <c r="AM68" s="93"/>
      <c r="AN68" s="93"/>
      <c r="AO68" s="96"/>
      <c r="AP68" s="93"/>
      <c r="AQ68" s="93"/>
      <c r="AR68" s="93"/>
      <c r="AS68" s="93"/>
      <c r="AT68" s="93"/>
      <c r="AU68" s="93"/>
      <c r="AV68" s="96"/>
      <c r="AX68" s="77"/>
      <c r="AY68" s="80"/>
      <c r="AZ68" s="80"/>
      <c r="BA68" s="80"/>
      <c r="BB68" s="80"/>
      <c r="BC68" s="80"/>
      <c r="BD68" s="80"/>
      <c r="BE68" s="80"/>
      <c r="BF68" s="80"/>
      <c r="BG68" s="80"/>
      <c r="BH68" s="80"/>
      <c r="BI68" s="80"/>
      <c r="BJ68" s="80"/>
      <c r="BK68" s="80"/>
      <c r="BL68" s="80"/>
      <c r="BM68" s="80"/>
      <c r="BN68" s="80"/>
      <c r="BO68" s="80"/>
      <c r="BP68" s="80"/>
      <c r="BQ68" s="80"/>
      <c r="BR68" s="80"/>
      <c r="BS68" s="80"/>
    </row>
    <row r="69" spans="1:71" x14ac:dyDescent="0.2">
      <c r="A69" s="14"/>
      <c r="B69" s="10" t="s">
        <v>27</v>
      </c>
      <c r="C69" s="4">
        <v>27.7</v>
      </c>
      <c r="D69" s="4">
        <v>20.3</v>
      </c>
      <c r="E69" s="4">
        <v>15.7</v>
      </c>
      <c r="F69" s="4">
        <v>12.8</v>
      </c>
      <c r="G69" s="4">
        <v>9.5</v>
      </c>
      <c r="H69" s="4">
        <v>86</v>
      </c>
      <c r="I69" s="13">
        <v>1498</v>
      </c>
      <c r="J69" s="4">
        <v>28.3</v>
      </c>
      <c r="K69" s="4">
        <v>23.7</v>
      </c>
      <c r="L69" s="4">
        <v>20.399999999999999</v>
      </c>
      <c r="M69" s="4">
        <v>12.3</v>
      </c>
      <c r="N69" s="4">
        <v>7.3</v>
      </c>
      <c r="O69" s="4">
        <v>92</v>
      </c>
      <c r="P69" s="13">
        <v>1937</v>
      </c>
      <c r="Q69" s="4">
        <v>28.1</v>
      </c>
      <c r="R69" s="4">
        <v>22.2</v>
      </c>
      <c r="S69" s="4">
        <v>18.3</v>
      </c>
      <c r="T69" s="4">
        <v>12.5</v>
      </c>
      <c r="U69" s="4">
        <v>8.1999999999999993</v>
      </c>
      <c r="V69" s="4">
        <v>89.4</v>
      </c>
      <c r="W69" s="13">
        <v>3435</v>
      </c>
      <c r="X69" s="14"/>
      <c r="Y69" s="14"/>
      <c r="Z69" s="14"/>
      <c r="AA69" s="74"/>
      <c r="AB69" s="93"/>
      <c r="AC69" s="93"/>
      <c r="AD69" s="93"/>
      <c r="AE69" s="93"/>
      <c r="AF69" s="93"/>
      <c r="AG69" s="93"/>
      <c r="AH69" s="96"/>
      <c r="AI69" s="93"/>
      <c r="AJ69" s="93"/>
      <c r="AK69" s="93"/>
      <c r="AL69" s="93"/>
      <c r="AM69" s="93"/>
      <c r="AN69" s="93"/>
      <c r="AO69" s="96"/>
      <c r="AP69" s="93"/>
      <c r="AQ69" s="93"/>
      <c r="AR69" s="93"/>
      <c r="AS69" s="93"/>
      <c r="AT69" s="93"/>
      <c r="AU69" s="93"/>
      <c r="AV69" s="96"/>
      <c r="AX69" s="77"/>
      <c r="AY69" s="80"/>
      <c r="AZ69" s="80"/>
      <c r="BA69" s="80"/>
      <c r="BB69" s="80"/>
      <c r="BC69" s="80"/>
      <c r="BD69" s="80"/>
      <c r="BE69" s="80"/>
      <c r="BF69" s="80"/>
      <c r="BG69" s="80"/>
      <c r="BH69" s="80"/>
      <c r="BI69" s="80"/>
      <c r="BJ69" s="80"/>
      <c r="BK69" s="80"/>
      <c r="BL69" s="80"/>
      <c r="BM69" s="80"/>
      <c r="BN69" s="80"/>
      <c r="BO69" s="80"/>
      <c r="BP69" s="80"/>
      <c r="BQ69" s="80"/>
      <c r="BR69" s="80"/>
      <c r="BS69" s="80"/>
    </row>
    <row r="70" spans="1:71" x14ac:dyDescent="0.2">
      <c r="A70" s="14"/>
      <c r="B70" s="10" t="s">
        <v>28</v>
      </c>
      <c r="C70" s="4">
        <v>27.1</v>
      </c>
      <c r="D70" s="4">
        <v>20.399999999999999</v>
      </c>
      <c r="E70" s="4">
        <v>18.8</v>
      </c>
      <c r="F70" s="4">
        <v>15.3</v>
      </c>
      <c r="G70" s="4">
        <v>9.6</v>
      </c>
      <c r="H70" s="4">
        <v>91.3</v>
      </c>
      <c r="I70" s="13">
        <v>2770</v>
      </c>
      <c r="J70" s="4">
        <v>24.7</v>
      </c>
      <c r="K70" s="4">
        <v>22.3</v>
      </c>
      <c r="L70" s="4">
        <v>21.8</v>
      </c>
      <c r="M70" s="4">
        <v>15.8</v>
      </c>
      <c r="N70" s="4">
        <v>8.5</v>
      </c>
      <c r="O70" s="4">
        <v>93.1</v>
      </c>
      <c r="P70" s="13">
        <v>3639</v>
      </c>
      <c r="Q70" s="4">
        <v>25.7</v>
      </c>
      <c r="R70" s="4">
        <v>21.5</v>
      </c>
      <c r="S70" s="4">
        <v>20.5</v>
      </c>
      <c r="T70" s="4">
        <v>15.6</v>
      </c>
      <c r="U70" s="4">
        <v>9</v>
      </c>
      <c r="V70" s="4">
        <v>92.3</v>
      </c>
      <c r="W70" s="13">
        <v>6409</v>
      </c>
      <c r="X70" s="14"/>
      <c r="Y70" s="14"/>
      <c r="Z70" s="14"/>
      <c r="AA70" s="74"/>
      <c r="AB70" s="93"/>
      <c r="AC70" s="93"/>
      <c r="AD70" s="93"/>
      <c r="AE70" s="93"/>
      <c r="AF70" s="93"/>
      <c r="AG70" s="93"/>
      <c r="AH70" s="96"/>
      <c r="AI70" s="93"/>
      <c r="AJ70" s="93"/>
      <c r="AK70" s="93"/>
      <c r="AL70" s="93"/>
      <c r="AM70" s="93"/>
      <c r="AN70" s="93"/>
      <c r="AO70" s="96"/>
      <c r="AP70" s="93"/>
      <c r="AQ70" s="93"/>
      <c r="AR70" s="93"/>
      <c r="AS70" s="93"/>
      <c r="AT70" s="93"/>
      <c r="AU70" s="93"/>
      <c r="AV70" s="96"/>
      <c r="AX70" s="77"/>
      <c r="AY70" s="80"/>
      <c r="AZ70" s="80"/>
      <c r="BA70" s="80"/>
      <c r="BB70" s="80"/>
      <c r="BC70" s="80"/>
      <c r="BD70" s="80"/>
      <c r="BE70" s="80"/>
      <c r="BF70" s="80"/>
      <c r="BG70" s="80"/>
      <c r="BH70" s="80"/>
      <c r="BI70" s="80"/>
      <c r="BJ70" s="80"/>
      <c r="BK70" s="80"/>
      <c r="BL70" s="80"/>
      <c r="BM70" s="80"/>
      <c r="BN70" s="80"/>
      <c r="BO70" s="80"/>
      <c r="BP70" s="80"/>
      <c r="BQ70" s="80"/>
      <c r="BR70" s="80"/>
      <c r="BS70" s="80"/>
    </row>
    <row r="71" spans="1:71" x14ac:dyDescent="0.2">
      <c r="A71" s="14"/>
      <c r="B71" s="10" t="s">
        <v>29</v>
      </c>
      <c r="C71" s="4">
        <v>15.4</v>
      </c>
      <c r="D71" s="4">
        <v>20.5</v>
      </c>
      <c r="E71" s="4">
        <v>22.9</v>
      </c>
      <c r="F71" s="4">
        <v>20.399999999999999</v>
      </c>
      <c r="G71" s="4">
        <v>10.5</v>
      </c>
      <c r="H71" s="4">
        <v>89.8</v>
      </c>
      <c r="I71" s="13">
        <v>1747</v>
      </c>
      <c r="J71" s="4">
        <v>14.1</v>
      </c>
      <c r="K71" s="4">
        <v>19.8</v>
      </c>
      <c r="L71" s="4">
        <v>24.2</v>
      </c>
      <c r="M71" s="4">
        <v>19.899999999999999</v>
      </c>
      <c r="N71" s="4">
        <v>12.4</v>
      </c>
      <c r="O71" s="4">
        <v>90.4</v>
      </c>
      <c r="P71" s="13">
        <v>4981</v>
      </c>
      <c r="Q71" s="4">
        <v>14.4</v>
      </c>
      <c r="R71" s="4">
        <v>20</v>
      </c>
      <c r="S71" s="4">
        <v>23.9</v>
      </c>
      <c r="T71" s="4">
        <v>20</v>
      </c>
      <c r="U71" s="4">
        <v>11.9</v>
      </c>
      <c r="V71" s="4">
        <v>90.2</v>
      </c>
      <c r="W71" s="13">
        <v>6728</v>
      </c>
      <c r="X71" s="14"/>
      <c r="Y71" s="14"/>
      <c r="Z71" s="14"/>
      <c r="AA71" s="74"/>
      <c r="AB71" s="93"/>
      <c r="AC71" s="93"/>
      <c r="AD71" s="93"/>
      <c r="AE71" s="93"/>
      <c r="AF71" s="93"/>
      <c r="AG71" s="93"/>
      <c r="AH71" s="96"/>
      <c r="AI71" s="93"/>
      <c r="AJ71" s="93"/>
      <c r="AK71" s="93"/>
      <c r="AL71" s="93"/>
      <c r="AM71" s="93"/>
      <c r="AN71" s="93"/>
      <c r="AO71" s="96"/>
      <c r="AP71" s="93"/>
      <c r="AQ71" s="93"/>
      <c r="AR71" s="93"/>
      <c r="AS71" s="93"/>
      <c r="AT71" s="93"/>
      <c r="AU71" s="93"/>
      <c r="AV71" s="96"/>
      <c r="AX71" s="77"/>
      <c r="AY71" s="80"/>
      <c r="AZ71" s="80"/>
      <c r="BA71" s="80"/>
      <c r="BB71" s="80"/>
      <c r="BC71" s="80"/>
      <c r="BD71" s="80"/>
      <c r="BE71" s="80"/>
      <c r="BF71" s="80"/>
      <c r="BG71" s="80"/>
      <c r="BH71" s="80"/>
      <c r="BI71" s="80"/>
      <c r="BJ71" s="80"/>
      <c r="BK71" s="80"/>
      <c r="BL71" s="80"/>
      <c r="BM71" s="80"/>
      <c r="BN71" s="80"/>
      <c r="BO71" s="80"/>
      <c r="BP71" s="80"/>
      <c r="BQ71" s="80"/>
      <c r="BR71" s="80"/>
      <c r="BS71" s="80"/>
    </row>
    <row r="72" spans="1:71" x14ac:dyDescent="0.2">
      <c r="A72" s="14"/>
      <c r="B72" s="10" t="s">
        <v>30</v>
      </c>
      <c r="C72" s="4">
        <v>22.3</v>
      </c>
      <c r="D72" s="4">
        <v>20.100000000000001</v>
      </c>
      <c r="E72" s="4">
        <v>21.7</v>
      </c>
      <c r="F72" s="4">
        <v>17.399999999999999</v>
      </c>
      <c r="G72" s="4">
        <v>10.8</v>
      </c>
      <c r="H72" s="4">
        <v>92.3</v>
      </c>
      <c r="I72" s="13">
        <v>2039</v>
      </c>
      <c r="J72" s="4">
        <v>19</v>
      </c>
      <c r="K72" s="4">
        <v>20.7</v>
      </c>
      <c r="L72" s="4">
        <v>23.9</v>
      </c>
      <c r="M72" s="4">
        <v>18.600000000000001</v>
      </c>
      <c r="N72" s="4">
        <v>11</v>
      </c>
      <c r="O72" s="4">
        <v>93.1</v>
      </c>
      <c r="P72" s="13">
        <v>3363</v>
      </c>
      <c r="Q72" s="4">
        <v>20.2</v>
      </c>
      <c r="R72" s="4">
        <v>20.5</v>
      </c>
      <c r="S72" s="4">
        <v>23.1</v>
      </c>
      <c r="T72" s="4">
        <v>18.100000000000001</v>
      </c>
      <c r="U72" s="4">
        <v>10.9</v>
      </c>
      <c r="V72" s="4">
        <v>92.8</v>
      </c>
      <c r="W72" s="13">
        <v>5402</v>
      </c>
      <c r="X72" s="14"/>
      <c r="Y72" s="14"/>
      <c r="Z72" s="14"/>
      <c r="AA72" s="74"/>
      <c r="AB72" s="93"/>
      <c r="AC72" s="93"/>
      <c r="AD72" s="93"/>
      <c r="AE72" s="93"/>
      <c r="AF72" s="93"/>
      <c r="AG72" s="93"/>
      <c r="AH72" s="96"/>
      <c r="AI72" s="93"/>
      <c r="AJ72" s="93"/>
      <c r="AK72" s="93"/>
      <c r="AL72" s="93"/>
      <c r="AM72" s="93"/>
      <c r="AN72" s="93"/>
      <c r="AO72" s="96"/>
      <c r="AP72" s="93"/>
      <c r="AQ72" s="93"/>
      <c r="AR72" s="93"/>
      <c r="AS72" s="93"/>
      <c r="AT72" s="93"/>
      <c r="AU72" s="93"/>
      <c r="AV72" s="96"/>
      <c r="AX72" s="77"/>
      <c r="AY72" s="80"/>
      <c r="AZ72" s="80"/>
      <c r="BA72" s="80"/>
      <c r="BB72" s="80"/>
      <c r="BC72" s="80"/>
      <c r="BD72" s="80"/>
      <c r="BE72" s="80"/>
      <c r="BF72" s="80"/>
      <c r="BG72" s="80"/>
      <c r="BH72" s="80"/>
      <c r="BI72" s="80"/>
      <c r="BJ72" s="80"/>
      <c r="BK72" s="80"/>
      <c r="BL72" s="80"/>
      <c r="BM72" s="80"/>
      <c r="BN72" s="80"/>
      <c r="BO72" s="80"/>
      <c r="BP72" s="80"/>
      <c r="BQ72" s="80"/>
      <c r="BR72" s="80"/>
      <c r="BS72" s="80"/>
    </row>
    <row r="73" spans="1:71" x14ac:dyDescent="0.2">
      <c r="A73" s="14"/>
      <c r="B73" s="10" t="s">
        <v>31</v>
      </c>
      <c r="C73" s="4">
        <v>5.3</v>
      </c>
      <c r="D73" s="4">
        <v>12</v>
      </c>
      <c r="E73" s="4">
        <v>21.9</v>
      </c>
      <c r="F73" s="4">
        <v>27.9</v>
      </c>
      <c r="G73" s="4">
        <v>21</v>
      </c>
      <c r="H73" s="4">
        <v>88.1</v>
      </c>
      <c r="I73" s="13">
        <v>5511</v>
      </c>
      <c r="J73" s="4">
        <v>11.9</v>
      </c>
      <c r="K73" s="4">
        <v>17</v>
      </c>
      <c r="L73" s="4">
        <v>23.5</v>
      </c>
      <c r="M73" s="4">
        <v>21.3</v>
      </c>
      <c r="N73" s="4">
        <v>15.6</v>
      </c>
      <c r="O73" s="4">
        <v>89.4</v>
      </c>
      <c r="P73" s="13">
        <v>3531</v>
      </c>
      <c r="Q73" s="4">
        <v>7.9</v>
      </c>
      <c r="R73" s="4">
        <v>13.9</v>
      </c>
      <c r="S73" s="4">
        <v>22.6</v>
      </c>
      <c r="T73" s="4">
        <v>25.3</v>
      </c>
      <c r="U73" s="4">
        <v>18.899999999999999</v>
      </c>
      <c r="V73" s="4">
        <v>88.6</v>
      </c>
      <c r="W73" s="13">
        <v>9042</v>
      </c>
      <c r="X73" s="14"/>
      <c r="Y73" s="14"/>
      <c r="Z73" s="14"/>
      <c r="AA73" s="74"/>
      <c r="AB73" s="93"/>
      <c r="AC73" s="93"/>
      <c r="AD73" s="93"/>
      <c r="AE73" s="93"/>
      <c r="AF73" s="93"/>
      <c r="AG73" s="93"/>
      <c r="AH73" s="96"/>
      <c r="AI73" s="93"/>
      <c r="AJ73" s="93"/>
      <c r="AK73" s="93"/>
      <c r="AL73" s="93"/>
      <c r="AM73" s="93"/>
      <c r="AN73" s="93"/>
      <c r="AO73" s="96"/>
      <c r="AP73" s="93"/>
      <c r="AQ73" s="93"/>
      <c r="AR73" s="93"/>
      <c r="AS73" s="93"/>
      <c r="AT73" s="93"/>
      <c r="AU73" s="93"/>
      <c r="AV73" s="96"/>
      <c r="AX73" s="77"/>
      <c r="AY73" s="80"/>
      <c r="AZ73" s="80"/>
      <c r="BA73" s="80"/>
      <c r="BB73" s="80"/>
      <c r="BC73" s="80"/>
      <c r="BD73" s="80"/>
      <c r="BE73" s="80"/>
      <c r="BF73" s="80"/>
      <c r="BG73" s="80"/>
      <c r="BH73" s="80"/>
      <c r="BI73" s="80"/>
      <c r="BJ73" s="80"/>
      <c r="BK73" s="80"/>
      <c r="BL73" s="80"/>
      <c r="BM73" s="80"/>
      <c r="BN73" s="80"/>
      <c r="BO73" s="80"/>
      <c r="BP73" s="80"/>
      <c r="BQ73" s="80"/>
      <c r="BR73" s="80"/>
      <c r="BS73" s="80"/>
    </row>
    <row r="74" spans="1:71" x14ac:dyDescent="0.2">
      <c r="A74" s="14"/>
      <c r="B74" s="10" t="s">
        <v>32</v>
      </c>
      <c r="C74" s="4">
        <v>15.3</v>
      </c>
      <c r="D74" s="4">
        <v>17</v>
      </c>
      <c r="E74" s="4">
        <v>19.3</v>
      </c>
      <c r="F74" s="4">
        <v>19.100000000000001</v>
      </c>
      <c r="G74" s="4">
        <v>14.4</v>
      </c>
      <c r="H74" s="4">
        <v>85.1</v>
      </c>
      <c r="I74" s="13">
        <v>30694</v>
      </c>
      <c r="J74" s="4">
        <v>12.6</v>
      </c>
      <c r="K74" s="4">
        <v>15.3</v>
      </c>
      <c r="L74" s="4">
        <v>18.899999999999999</v>
      </c>
      <c r="M74" s="4">
        <v>19.5</v>
      </c>
      <c r="N74" s="4">
        <v>15.6</v>
      </c>
      <c r="O74" s="4">
        <v>81.900000000000006</v>
      </c>
      <c r="P74" s="13">
        <v>31326</v>
      </c>
      <c r="Q74" s="4">
        <v>13.9</v>
      </c>
      <c r="R74" s="4">
        <v>16.2</v>
      </c>
      <c r="S74" s="4">
        <v>19.100000000000001</v>
      </c>
      <c r="T74" s="4">
        <v>19.3</v>
      </c>
      <c r="U74" s="4">
        <v>15</v>
      </c>
      <c r="V74" s="4">
        <v>83.5</v>
      </c>
      <c r="W74" s="13">
        <v>62020</v>
      </c>
      <c r="X74" s="14"/>
      <c r="Y74" s="14"/>
      <c r="Z74" s="14"/>
      <c r="AA74" s="74"/>
      <c r="AB74" s="93"/>
      <c r="AC74" s="93"/>
      <c r="AD74" s="93"/>
      <c r="AE74" s="93"/>
      <c r="AF74" s="93"/>
      <c r="AG74" s="93"/>
      <c r="AH74" s="96"/>
      <c r="AI74" s="93"/>
      <c r="AJ74" s="93"/>
      <c r="AK74" s="93"/>
      <c r="AL74" s="93"/>
      <c r="AM74" s="93"/>
      <c r="AN74" s="93"/>
      <c r="AO74" s="96"/>
      <c r="AP74" s="93"/>
      <c r="AQ74" s="93"/>
      <c r="AR74" s="93"/>
      <c r="AS74" s="93"/>
      <c r="AT74" s="93"/>
      <c r="AU74" s="93"/>
      <c r="AV74" s="96"/>
      <c r="AX74" s="77"/>
      <c r="AY74" s="80"/>
      <c r="AZ74" s="80"/>
      <c r="BA74" s="80"/>
      <c r="BB74" s="80"/>
      <c r="BC74" s="80"/>
      <c r="BD74" s="80"/>
      <c r="BE74" s="80"/>
      <c r="BF74" s="80"/>
      <c r="BG74" s="80"/>
      <c r="BH74" s="80"/>
      <c r="BI74" s="80"/>
      <c r="BJ74" s="80"/>
      <c r="BK74" s="80"/>
      <c r="BL74" s="80"/>
      <c r="BM74" s="80"/>
      <c r="BN74" s="80"/>
      <c r="BO74" s="80"/>
      <c r="BP74" s="80"/>
      <c r="BQ74" s="80"/>
      <c r="BR74" s="80"/>
      <c r="BS74" s="80"/>
    </row>
    <row r="75" spans="1:71" x14ac:dyDescent="0.2">
      <c r="A75" s="14"/>
      <c r="B75" s="10" t="s">
        <v>46</v>
      </c>
      <c r="C75" s="4">
        <v>16.600000000000001</v>
      </c>
      <c r="D75" s="4">
        <v>17.399999999999999</v>
      </c>
      <c r="E75" s="4">
        <v>19.100000000000001</v>
      </c>
      <c r="F75" s="4">
        <v>18</v>
      </c>
      <c r="G75" s="4">
        <v>13.7</v>
      </c>
      <c r="H75" s="4">
        <v>84.9</v>
      </c>
      <c r="I75" s="13">
        <v>296172</v>
      </c>
      <c r="J75" s="4">
        <v>15.9</v>
      </c>
      <c r="K75" s="4">
        <v>18.5</v>
      </c>
      <c r="L75" s="4">
        <v>20.3</v>
      </c>
      <c r="M75" s="4">
        <v>18.3</v>
      </c>
      <c r="N75" s="4">
        <v>13.4</v>
      </c>
      <c r="O75" s="4">
        <v>86.3</v>
      </c>
      <c r="P75" s="13">
        <v>323992</v>
      </c>
      <c r="Q75" s="4">
        <v>16.2</v>
      </c>
      <c r="R75" s="4">
        <v>18</v>
      </c>
      <c r="S75" s="4">
        <v>19.7</v>
      </c>
      <c r="T75" s="4">
        <v>18.100000000000001</v>
      </c>
      <c r="U75" s="4">
        <v>13.6</v>
      </c>
      <c r="V75" s="4">
        <v>85.6</v>
      </c>
      <c r="W75" s="13">
        <v>620164</v>
      </c>
      <c r="X75" s="14"/>
      <c r="Y75" s="14"/>
      <c r="Z75" s="14"/>
      <c r="AA75" s="74"/>
      <c r="AB75" s="93"/>
      <c r="AC75" s="93"/>
      <c r="AD75" s="93"/>
      <c r="AE75" s="93"/>
      <c r="AF75" s="93"/>
      <c r="AG75" s="93"/>
      <c r="AH75" s="96"/>
      <c r="AI75" s="93"/>
      <c r="AJ75" s="93"/>
      <c r="AK75" s="93"/>
      <c r="AL75" s="93"/>
      <c r="AM75" s="93"/>
      <c r="AN75" s="93"/>
      <c r="AO75" s="96"/>
      <c r="AP75" s="93"/>
      <c r="AQ75" s="93"/>
      <c r="AR75" s="93"/>
      <c r="AS75" s="93"/>
      <c r="AT75" s="93"/>
      <c r="AU75" s="93"/>
      <c r="AV75" s="96"/>
      <c r="AX75" s="77"/>
      <c r="AY75" s="80"/>
      <c r="AZ75" s="80"/>
      <c r="BA75" s="80"/>
      <c r="BB75" s="80"/>
      <c r="BC75" s="80"/>
      <c r="BD75" s="80"/>
      <c r="BE75" s="80"/>
      <c r="BF75" s="80"/>
      <c r="BG75" s="80"/>
      <c r="BH75" s="80"/>
      <c r="BI75" s="80"/>
      <c r="BJ75" s="80"/>
      <c r="BK75" s="80"/>
      <c r="BL75" s="80"/>
      <c r="BM75" s="80"/>
      <c r="BN75" s="80"/>
      <c r="BO75" s="80"/>
      <c r="BP75" s="80"/>
      <c r="BQ75" s="80"/>
      <c r="BR75" s="80"/>
      <c r="BS75" s="80"/>
    </row>
    <row r="76" spans="1:71" x14ac:dyDescent="0.2">
      <c r="A76" s="14"/>
      <c r="AY76" s="80"/>
      <c r="AZ76" s="80"/>
      <c r="BA76" s="80"/>
      <c r="BB76" s="80"/>
      <c r="BC76" s="80"/>
      <c r="BD76" s="80"/>
      <c r="BE76" s="80"/>
      <c r="BF76" s="80"/>
      <c r="BG76" s="80"/>
      <c r="BH76" s="80"/>
      <c r="BI76" s="80"/>
      <c r="BJ76" s="80"/>
      <c r="BK76" s="80"/>
      <c r="BL76" s="80"/>
      <c r="BM76" s="80"/>
      <c r="BN76" s="80"/>
      <c r="BO76" s="80"/>
      <c r="BP76" s="80"/>
      <c r="BQ76" s="80"/>
      <c r="BR76" s="80"/>
      <c r="BS76" s="80"/>
    </row>
    <row r="77" spans="1:71" x14ac:dyDescent="0.2">
      <c r="A77" s="14"/>
      <c r="B77" s="10" t="s">
        <v>0</v>
      </c>
      <c r="C77" s="4">
        <f>ROUND(C41,1)</f>
        <v>12.7</v>
      </c>
      <c r="D77" s="4">
        <f t="shared" ref="D77:V92" si="0">ROUND(D41,1)</f>
        <v>17.899999999999999</v>
      </c>
      <c r="E77" s="4">
        <f t="shared" si="0"/>
        <v>18.8</v>
      </c>
      <c r="F77" s="4">
        <f t="shared" si="0"/>
        <v>18.600000000000001</v>
      </c>
      <c r="G77" s="4">
        <f t="shared" si="0"/>
        <v>15.5</v>
      </c>
      <c r="H77" s="4">
        <f t="shared" si="0"/>
        <v>83.5</v>
      </c>
      <c r="I77" s="13">
        <f>ROUND(I41,0)</f>
        <v>17755</v>
      </c>
      <c r="J77" s="4">
        <f t="shared" si="0"/>
        <v>14.6</v>
      </c>
      <c r="K77" s="4">
        <f t="shared" si="0"/>
        <v>19.899999999999999</v>
      </c>
      <c r="L77" s="4">
        <f t="shared" si="0"/>
        <v>19.5</v>
      </c>
      <c r="M77" s="4">
        <f t="shared" si="0"/>
        <v>17.3</v>
      </c>
      <c r="N77" s="4">
        <f t="shared" si="0"/>
        <v>14.3</v>
      </c>
      <c r="O77" s="4">
        <f t="shared" si="0"/>
        <v>85.6</v>
      </c>
      <c r="P77" s="13">
        <f>ROUND(P41,0)</f>
        <v>25643</v>
      </c>
      <c r="Q77" s="4">
        <f t="shared" si="0"/>
        <v>13.8</v>
      </c>
      <c r="R77" s="4">
        <f t="shared" si="0"/>
        <v>19.100000000000001</v>
      </c>
      <c r="S77" s="4">
        <f t="shared" si="0"/>
        <v>19.2</v>
      </c>
      <c r="T77" s="4">
        <f t="shared" si="0"/>
        <v>17.8</v>
      </c>
      <c r="U77" s="4">
        <f t="shared" si="0"/>
        <v>14.8</v>
      </c>
      <c r="V77" s="4">
        <f t="shared" si="0"/>
        <v>84.7</v>
      </c>
      <c r="W77" s="13">
        <f>ROUND(W41,0)</f>
        <v>43398</v>
      </c>
    </row>
    <row r="78" spans="1:71" x14ac:dyDescent="0.2">
      <c r="A78" s="14"/>
      <c r="B78" s="10" t="s">
        <v>1</v>
      </c>
      <c r="C78" s="4">
        <f t="shared" ref="C78:H93" si="1">ROUND(C42,1)</f>
        <v>20</v>
      </c>
      <c r="D78" s="4">
        <f t="shared" si="1"/>
        <v>20.6</v>
      </c>
      <c r="E78" s="4">
        <f t="shared" si="1"/>
        <v>18</v>
      </c>
      <c r="F78" s="4">
        <f t="shared" si="1"/>
        <v>14.8</v>
      </c>
      <c r="G78" s="4">
        <f t="shared" si="1"/>
        <v>12.1</v>
      </c>
      <c r="H78" s="4">
        <f t="shared" si="1"/>
        <v>85.6</v>
      </c>
      <c r="I78" s="13">
        <f t="shared" ref="I78:I111" si="2">ROUND(I42,0)</f>
        <v>19550</v>
      </c>
      <c r="J78" s="4">
        <f t="shared" si="0"/>
        <v>20.6</v>
      </c>
      <c r="K78" s="4">
        <f t="shared" si="0"/>
        <v>21.5</v>
      </c>
      <c r="L78" s="4">
        <f t="shared" si="0"/>
        <v>19.100000000000001</v>
      </c>
      <c r="M78" s="4">
        <f t="shared" si="0"/>
        <v>14.9</v>
      </c>
      <c r="N78" s="4">
        <f t="shared" si="0"/>
        <v>11.3</v>
      </c>
      <c r="O78" s="4">
        <f t="shared" si="0"/>
        <v>87.4</v>
      </c>
      <c r="P78" s="13">
        <f t="shared" ref="P78:P111" si="3">ROUND(P42,0)</f>
        <v>15127</v>
      </c>
      <c r="Q78" s="4">
        <f t="shared" si="0"/>
        <v>20.3</v>
      </c>
      <c r="R78" s="4">
        <f t="shared" si="0"/>
        <v>21</v>
      </c>
      <c r="S78" s="4">
        <f t="shared" si="0"/>
        <v>18.5</v>
      </c>
      <c r="T78" s="4">
        <f t="shared" si="0"/>
        <v>14.9</v>
      </c>
      <c r="U78" s="4">
        <f t="shared" si="0"/>
        <v>11.8</v>
      </c>
      <c r="V78" s="4">
        <f t="shared" si="0"/>
        <v>86.4</v>
      </c>
      <c r="W78" s="13">
        <f t="shared" ref="W78:W111" si="4">ROUND(W42,0)</f>
        <v>34677</v>
      </c>
    </row>
    <row r="79" spans="1:71" x14ac:dyDescent="0.2">
      <c r="A79" s="14"/>
      <c r="B79" s="10" t="s">
        <v>2</v>
      </c>
      <c r="C79" s="4">
        <f t="shared" si="1"/>
        <v>20.6</v>
      </c>
      <c r="D79" s="4">
        <f t="shared" si="1"/>
        <v>18.5</v>
      </c>
      <c r="E79" s="4">
        <f t="shared" si="1"/>
        <v>17.8</v>
      </c>
      <c r="F79" s="4">
        <f t="shared" si="1"/>
        <v>15.9</v>
      </c>
      <c r="G79" s="4">
        <f t="shared" si="1"/>
        <v>13.3</v>
      </c>
      <c r="H79" s="4">
        <f t="shared" si="1"/>
        <v>86</v>
      </c>
      <c r="I79" s="13">
        <f t="shared" si="2"/>
        <v>22443</v>
      </c>
      <c r="J79" s="4">
        <f t="shared" si="0"/>
        <v>21.2</v>
      </c>
      <c r="K79" s="4">
        <f t="shared" si="0"/>
        <v>21.7</v>
      </c>
      <c r="L79" s="4">
        <f t="shared" si="0"/>
        <v>18.5</v>
      </c>
      <c r="M79" s="4">
        <f t="shared" si="0"/>
        <v>14.6</v>
      </c>
      <c r="N79" s="4">
        <f t="shared" si="0"/>
        <v>11.3</v>
      </c>
      <c r="O79" s="4">
        <f t="shared" si="0"/>
        <v>87.3</v>
      </c>
      <c r="P79" s="13">
        <f t="shared" si="3"/>
        <v>5957</v>
      </c>
      <c r="Q79" s="4">
        <f t="shared" si="0"/>
        <v>20.7</v>
      </c>
      <c r="R79" s="4">
        <f t="shared" si="0"/>
        <v>19.2</v>
      </c>
      <c r="S79" s="4">
        <f t="shared" si="0"/>
        <v>17.899999999999999</v>
      </c>
      <c r="T79" s="4">
        <f t="shared" si="0"/>
        <v>15.6</v>
      </c>
      <c r="U79" s="4">
        <f t="shared" si="0"/>
        <v>12.9</v>
      </c>
      <c r="V79" s="4">
        <f t="shared" si="0"/>
        <v>86.3</v>
      </c>
      <c r="W79" s="13">
        <f t="shared" si="4"/>
        <v>28400</v>
      </c>
    </row>
    <row r="80" spans="1:71" x14ac:dyDescent="0.2">
      <c r="A80" s="14"/>
      <c r="B80" s="10" t="s">
        <v>3</v>
      </c>
      <c r="C80" s="4">
        <f t="shared" si="1"/>
        <v>10.4</v>
      </c>
      <c r="D80" s="4">
        <f t="shared" si="1"/>
        <v>14</v>
      </c>
      <c r="E80" s="4">
        <f t="shared" si="1"/>
        <v>19.600000000000001</v>
      </c>
      <c r="F80" s="4">
        <f t="shared" si="1"/>
        <v>20.9</v>
      </c>
      <c r="G80" s="4">
        <f t="shared" si="1"/>
        <v>17</v>
      </c>
      <c r="H80" s="4">
        <f t="shared" si="1"/>
        <v>81.900000000000006</v>
      </c>
      <c r="I80" s="13">
        <f t="shared" si="2"/>
        <v>2657</v>
      </c>
      <c r="J80" s="4">
        <f t="shared" si="0"/>
        <v>9.9</v>
      </c>
      <c r="K80" s="4">
        <f t="shared" si="0"/>
        <v>16.100000000000001</v>
      </c>
      <c r="L80" s="4">
        <f t="shared" si="0"/>
        <v>21.5</v>
      </c>
      <c r="M80" s="4">
        <f t="shared" si="0"/>
        <v>21.5</v>
      </c>
      <c r="N80" s="4">
        <f t="shared" si="0"/>
        <v>16.100000000000001</v>
      </c>
      <c r="O80" s="4">
        <f t="shared" si="0"/>
        <v>85.2</v>
      </c>
      <c r="P80" s="13">
        <f t="shared" si="3"/>
        <v>1537</v>
      </c>
      <c r="Q80" s="4">
        <f t="shared" si="0"/>
        <v>10.199999999999999</v>
      </c>
      <c r="R80" s="4">
        <f t="shared" si="0"/>
        <v>14.8</v>
      </c>
      <c r="S80" s="4">
        <f t="shared" si="0"/>
        <v>20.3</v>
      </c>
      <c r="T80" s="4">
        <f t="shared" si="0"/>
        <v>21.1</v>
      </c>
      <c r="U80" s="4">
        <f t="shared" si="0"/>
        <v>16.7</v>
      </c>
      <c r="V80" s="4">
        <f t="shared" si="0"/>
        <v>83.1</v>
      </c>
      <c r="W80" s="13">
        <f t="shared" si="4"/>
        <v>4194</v>
      </c>
    </row>
    <row r="81" spans="1:23" x14ac:dyDescent="0.2">
      <c r="A81" s="14"/>
      <c r="B81" s="10" t="s">
        <v>4</v>
      </c>
      <c r="C81" s="4">
        <f t="shared" si="1"/>
        <v>25.3</v>
      </c>
      <c r="D81" s="4">
        <f t="shared" si="1"/>
        <v>18.399999999999999</v>
      </c>
      <c r="E81" s="4">
        <f t="shared" si="1"/>
        <v>17</v>
      </c>
      <c r="F81" s="4">
        <f t="shared" si="1"/>
        <v>14.5</v>
      </c>
      <c r="G81" s="4">
        <f t="shared" si="1"/>
        <v>11.6</v>
      </c>
      <c r="H81" s="4">
        <f t="shared" si="1"/>
        <v>86.7</v>
      </c>
      <c r="I81" s="13">
        <f t="shared" si="2"/>
        <v>35007</v>
      </c>
      <c r="J81" s="4">
        <f t="shared" si="0"/>
        <v>25.2</v>
      </c>
      <c r="K81" s="4">
        <f t="shared" si="0"/>
        <v>21</v>
      </c>
      <c r="L81" s="4">
        <f t="shared" si="0"/>
        <v>17.8</v>
      </c>
      <c r="M81" s="4">
        <f t="shared" si="0"/>
        <v>14.7</v>
      </c>
      <c r="N81" s="4">
        <f t="shared" si="0"/>
        <v>10.7</v>
      </c>
      <c r="O81" s="4">
        <f t="shared" si="0"/>
        <v>89.4</v>
      </c>
      <c r="P81" s="13">
        <f t="shared" si="3"/>
        <v>19118</v>
      </c>
      <c r="Q81" s="4">
        <f t="shared" si="0"/>
        <v>25.2</v>
      </c>
      <c r="R81" s="4">
        <f t="shared" si="0"/>
        <v>19.3</v>
      </c>
      <c r="S81" s="4">
        <f t="shared" si="0"/>
        <v>17.3</v>
      </c>
      <c r="T81" s="4">
        <f t="shared" si="0"/>
        <v>14.6</v>
      </c>
      <c r="U81" s="4">
        <f t="shared" si="0"/>
        <v>11.3</v>
      </c>
      <c r="V81" s="4">
        <f t="shared" si="0"/>
        <v>87.7</v>
      </c>
      <c r="W81" s="13">
        <f t="shared" si="4"/>
        <v>54125</v>
      </c>
    </row>
    <row r="82" spans="1:23" x14ac:dyDescent="0.2">
      <c r="A82" s="14"/>
      <c r="B82" s="10" t="s">
        <v>5</v>
      </c>
      <c r="C82" s="4">
        <f t="shared" si="1"/>
        <v>45.9</v>
      </c>
      <c r="D82" s="4">
        <f t="shared" si="1"/>
        <v>20.7</v>
      </c>
      <c r="E82" s="4">
        <f t="shared" si="1"/>
        <v>13.1</v>
      </c>
      <c r="F82" s="4">
        <f t="shared" si="1"/>
        <v>9.1999999999999993</v>
      </c>
      <c r="G82" s="4">
        <f t="shared" si="1"/>
        <v>5.7</v>
      </c>
      <c r="H82" s="4">
        <f t="shared" si="1"/>
        <v>94.6</v>
      </c>
      <c r="I82" s="13">
        <f t="shared" si="2"/>
        <v>3682</v>
      </c>
      <c r="J82" s="4">
        <f t="shared" si="0"/>
        <v>46.7</v>
      </c>
      <c r="K82" s="4">
        <f t="shared" si="0"/>
        <v>21.3</v>
      </c>
      <c r="L82" s="4">
        <f t="shared" si="0"/>
        <v>14.8</v>
      </c>
      <c r="M82" s="4">
        <f t="shared" si="0"/>
        <v>8.1</v>
      </c>
      <c r="N82" s="4">
        <f t="shared" si="0"/>
        <v>5</v>
      </c>
      <c r="O82" s="4">
        <f t="shared" si="0"/>
        <v>95.9</v>
      </c>
      <c r="P82" s="13">
        <f t="shared" si="3"/>
        <v>1231</v>
      </c>
      <c r="Q82" s="4">
        <f t="shared" si="0"/>
        <v>46.1</v>
      </c>
      <c r="R82" s="4">
        <f t="shared" si="0"/>
        <v>20.9</v>
      </c>
      <c r="S82" s="4">
        <f t="shared" si="0"/>
        <v>13.6</v>
      </c>
      <c r="T82" s="4">
        <f t="shared" si="0"/>
        <v>8.9</v>
      </c>
      <c r="U82" s="4">
        <f t="shared" si="0"/>
        <v>5.6</v>
      </c>
      <c r="V82" s="4">
        <f t="shared" si="0"/>
        <v>95</v>
      </c>
      <c r="W82" s="13">
        <f t="shared" si="4"/>
        <v>4913</v>
      </c>
    </row>
    <row r="83" spans="1:23" x14ac:dyDescent="0.2">
      <c r="B83" s="10" t="s">
        <v>6</v>
      </c>
      <c r="C83" s="4">
        <f t="shared" si="1"/>
        <v>11.8</v>
      </c>
      <c r="D83" s="4">
        <f t="shared" si="1"/>
        <v>13.4</v>
      </c>
      <c r="E83" s="4">
        <f t="shared" si="1"/>
        <v>23.2</v>
      </c>
      <c r="F83" s="4">
        <f t="shared" si="1"/>
        <v>22.7</v>
      </c>
      <c r="G83" s="4">
        <f t="shared" si="1"/>
        <v>15.1</v>
      </c>
      <c r="H83" s="4">
        <f t="shared" si="1"/>
        <v>86.2</v>
      </c>
      <c r="I83" s="13">
        <f t="shared" si="2"/>
        <v>7189</v>
      </c>
      <c r="J83" s="4">
        <f t="shared" si="0"/>
        <v>15</v>
      </c>
      <c r="K83" s="4">
        <f t="shared" si="0"/>
        <v>17.5</v>
      </c>
      <c r="L83" s="4">
        <f t="shared" si="0"/>
        <v>25</v>
      </c>
      <c r="M83" s="4">
        <f t="shared" si="0"/>
        <v>21.6</v>
      </c>
      <c r="N83" s="4">
        <f t="shared" si="0"/>
        <v>13.1</v>
      </c>
      <c r="O83" s="4">
        <f t="shared" si="0"/>
        <v>92.3</v>
      </c>
      <c r="P83" s="13">
        <f t="shared" si="3"/>
        <v>1797</v>
      </c>
      <c r="Q83" s="4">
        <f t="shared" si="0"/>
        <v>12.4</v>
      </c>
      <c r="R83" s="4">
        <f t="shared" si="0"/>
        <v>14.2</v>
      </c>
      <c r="S83" s="4">
        <f t="shared" si="0"/>
        <v>23.6</v>
      </c>
      <c r="T83" s="4">
        <f t="shared" si="0"/>
        <v>22.5</v>
      </c>
      <c r="U83" s="4">
        <f t="shared" si="0"/>
        <v>14.7</v>
      </c>
      <c r="V83" s="4">
        <f t="shared" si="0"/>
        <v>87.4</v>
      </c>
      <c r="W83" s="13">
        <f t="shared" si="4"/>
        <v>8986</v>
      </c>
    </row>
    <row r="84" spans="1:23" x14ac:dyDescent="0.2">
      <c r="B84" s="10" t="s">
        <v>7</v>
      </c>
      <c r="C84" s="4">
        <f t="shared" si="1"/>
        <v>11.3</v>
      </c>
      <c r="D84" s="4">
        <f t="shared" si="1"/>
        <v>12.3</v>
      </c>
      <c r="E84" s="4">
        <f t="shared" si="1"/>
        <v>17.7</v>
      </c>
      <c r="F84" s="4">
        <f t="shared" si="1"/>
        <v>18.2</v>
      </c>
      <c r="G84" s="4">
        <f t="shared" si="1"/>
        <v>16.399999999999999</v>
      </c>
      <c r="H84" s="4">
        <f t="shared" si="1"/>
        <v>75.900000000000006</v>
      </c>
      <c r="I84" s="13">
        <f t="shared" si="2"/>
        <v>7284</v>
      </c>
      <c r="J84" s="4">
        <f t="shared" si="0"/>
        <v>5.5</v>
      </c>
      <c r="K84" s="4">
        <f t="shared" si="0"/>
        <v>11.7</v>
      </c>
      <c r="L84" s="4">
        <f t="shared" si="0"/>
        <v>15.1</v>
      </c>
      <c r="M84" s="4">
        <f t="shared" si="0"/>
        <v>21.5</v>
      </c>
      <c r="N84" s="4">
        <f t="shared" si="0"/>
        <v>19.7</v>
      </c>
      <c r="O84" s="4">
        <f t="shared" si="0"/>
        <v>73.5</v>
      </c>
      <c r="P84" s="13">
        <f t="shared" si="3"/>
        <v>1266</v>
      </c>
      <c r="Q84" s="4">
        <f t="shared" si="0"/>
        <v>10.4</v>
      </c>
      <c r="R84" s="4">
        <f t="shared" si="0"/>
        <v>12.2</v>
      </c>
      <c r="S84" s="4">
        <f t="shared" si="0"/>
        <v>17.3</v>
      </c>
      <c r="T84" s="4">
        <f t="shared" si="0"/>
        <v>18.7</v>
      </c>
      <c r="U84" s="4">
        <f t="shared" si="0"/>
        <v>16.899999999999999</v>
      </c>
      <c r="V84" s="4">
        <f t="shared" si="0"/>
        <v>75.5</v>
      </c>
      <c r="W84" s="13">
        <f t="shared" si="4"/>
        <v>8550</v>
      </c>
    </row>
    <row r="85" spans="1:23" x14ac:dyDescent="0.2">
      <c r="B85" s="10" t="s">
        <v>8</v>
      </c>
      <c r="C85" s="4">
        <f t="shared" si="1"/>
        <v>0</v>
      </c>
      <c r="D85" s="4">
        <f t="shared" si="1"/>
        <v>0</v>
      </c>
      <c r="E85" s="4">
        <f t="shared" si="1"/>
        <v>0</v>
      </c>
      <c r="F85" s="4">
        <f t="shared" si="1"/>
        <v>0</v>
      </c>
      <c r="G85" s="4">
        <f t="shared" si="1"/>
        <v>0</v>
      </c>
      <c r="H85" s="4">
        <f t="shared" si="1"/>
        <v>0</v>
      </c>
      <c r="I85" s="13">
        <f t="shared" si="2"/>
        <v>0</v>
      </c>
      <c r="J85" s="4">
        <f t="shared" si="0"/>
        <v>0</v>
      </c>
      <c r="K85" s="4">
        <f t="shared" si="0"/>
        <v>0</v>
      </c>
      <c r="L85" s="4">
        <f t="shared" si="0"/>
        <v>0</v>
      </c>
      <c r="M85" s="4">
        <f t="shared" si="0"/>
        <v>0</v>
      </c>
      <c r="N85" s="4">
        <f t="shared" si="0"/>
        <v>0</v>
      </c>
      <c r="O85" s="4">
        <f t="shared" si="0"/>
        <v>0</v>
      </c>
      <c r="P85" s="13">
        <f t="shared" si="3"/>
        <v>0</v>
      </c>
      <c r="Q85" s="4">
        <f t="shared" si="0"/>
        <v>0</v>
      </c>
      <c r="R85" s="4">
        <f t="shared" si="0"/>
        <v>0</v>
      </c>
      <c r="S85" s="4">
        <f t="shared" si="0"/>
        <v>0</v>
      </c>
      <c r="T85" s="4">
        <f t="shared" si="0"/>
        <v>0</v>
      </c>
      <c r="U85" s="4">
        <f t="shared" si="0"/>
        <v>0</v>
      </c>
      <c r="V85" s="4">
        <f t="shared" si="0"/>
        <v>0</v>
      </c>
      <c r="W85" s="13">
        <f t="shared" si="4"/>
        <v>0</v>
      </c>
    </row>
    <row r="86" spans="1:23" x14ac:dyDescent="0.2">
      <c r="B86" s="10" t="s">
        <v>9</v>
      </c>
      <c r="C86" s="4">
        <f t="shared" si="1"/>
        <v>5.9</v>
      </c>
      <c r="D86" s="4">
        <f t="shared" si="1"/>
        <v>10.199999999999999</v>
      </c>
      <c r="E86" s="4">
        <f t="shared" si="1"/>
        <v>19.5</v>
      </c>
      <c r="F86" s="4">
        <f t="shared" si="1"/>
        <v>15.3</v>
      </c>
      <c r="G86" s="4">
        <f t="shared" si="1"/>
        <v>22.9</v>
      </c>
      <c r="H86" s="4">
        <f t="shared" si="1"/>
        <v>73.7</v>
      </c>
      <c r="I86" s="13">
        <f t="shared" si="2"/>
        <v>118</v>
      </c>
      <c r="J86" s="4">
        <f t="shared" si="0"/>
        <v>12.4</v>
      </c>
      <c r="K86" s="4">
        <f t="shared" si="0"/>
        <v>16.100000000000001</v>
      </c>
      <c r="L86" s="4">
        <f t="shared" si="0"/>
        <v>20.9</v>
      </c>
      <c r="M86" s="4">
        <f t="shared" si="0"/>
        <v>20.7</v>
      </c>
      <c r="N86" s="4">
        <f t="shared" si="0"/>
        <v>14.6</v>
      </c>
      <c r="O86" s="4">
        <f t="shared" si="0"/>
        <v>84.8</v>
      </c>
      <c r="P86" s="13">
        <f t="shared" si="3"/>
        <v>1905</v>
      </c>
      <c r="Q86" s="4">
        <f t="shared" si="0"/>
        <v>12.1</v>
      </c>
      <c r="R86" s="4">
        <f t="shared" si="0"/>
        <v>15.8</v>
      </c>
      <c r="S86" s="4">
        <f t="shared" si="0"/>
        <v>20.9</v>
      </c>
      <c r="T86" s="4">
        <f t="shared" si="0"/>
        <v>20.399999999999999</v>
      </c>
      <c r="U86" s="4">
        <f t="shared" si="0"/>
        <v>15.1</v>
      </c>
      <c r="V86" s="4">
        <f t="shared" si="0"/>
        <v>84.1</v>
      </c>
      <c r="W86" s="13">
        <f t="shared" si="4"/>
        <v>2023</v>
      </c>
    </row>
    <row r="87" spans="1:23" x14ac:dyDescent="0.2">
      <c r="B87" s="10" t="s">
        <v>10</v>
      </c>
      <c r="C87" s="4">
        <f t="shared" si="1"/>
        <v>9.6</v>
      </c>
      <c r="D87" s="4">
        <f t="shared" si="1"/>
        <v>15.7</v>
      </c>
      <c r="E87" s="4">
        <f t="shared" si="1"/>
        <v>11.5</v>
      </c>
      <c r="F87" s="4">
        <f t="shared" si="1"/>
        <v>14</v>
      </c>
      <c r="G87" s="4">
        <f t="shared" si="1"/>
        <v>11.4</v>
      </c>
      <c r="H87" s="4">
        <f t="shared" si="1"/>
        <v>62.1</v>
      </c>
      <c r="I87" s="13">
        <f t="shared" si="2"/>
        <v>1256</v>
      </c>
      <c r="J87" s="4">
        <f t="shared" si="0"/>
        <v>9.1999999999999993</v>
      </c>
      <c r="K87" s="4">
        <f t="shared" si="0"/>
        <v>14.8</v>
      </c>
      <c r="L87" s="4">
        <f t="shared" si="0"/>
        <v>12</v>
      </c>
      <c r="M87" s="4">
        <f t="shared" si="0"/>
        <v>13.5</v>
      </c>
      <c r="N87" s="4">
        <f t="shared" si="0"/>
        <v>13.4</v>
      </c>
      <c r="O87" s="4">
        <f t="shared" si="0"/>
        <v>62.7</v>
      </c>
      <c r="P87" s="13">
        <f t="shared" si="3"/>
        <v>786</v>
      </c>
      <c r="Q87" s="4">
        <f t="shared" si="0"/>
        <v>9.4</v>
      </c>
      <c r="R87" s="4">
        <f t="shared" si="0"/>
        <v>15.3</v>
      </c>
      <c r="S87" s="4">
        <f t="shared" si="0"/>
        <v>11.7</v>
      </c>
      <c r="T87" s="4">
        <f t="shared" si="0"/>
        <v>13.8</v>
      </c>
      <c r="U87" s="4">
        <f t="shared" si="0"/>
        <v>12.1</v>
      </c>
      <c r="V87" s="4">
        <f t="shared" si="0"/>
        <v>62.3</v>
      </c>
      <c r="W87" s="13">
        <f t="shared" si="4"/>
        <v>2042</v>
      </c>
    </row>
    <row r="88" spans="1:23" x14ac:dyDescent="0.2">
      <c r="B88" s="10" t="s">
        <v>11</v>
      </c>
      <c r="C88" s="4">
        <f t="shared" si="1"/>
        <v>7.5</v>
      </c>
      <c r="D88" s="4">
        <f t="shared" si="1"/>
        <v>15.8</v>
      </c>
      <c r="E88" s="4">
        <f t="shared" si="1"/>
        <v>22</v>
      </c>
      <c r="F88" s="4">
        <f t="shared" si="1"/>
        <v>21.4</v>
      </c>
      <c r="G88" s="4">
        <f t="shared" si="1"/>
        <v>16.3</v>
      </c>
      <c r="H88" s="4">
        <f t="shared" si="1"/>
        <v>83.1</v>
      </c>
      <c r="I88" s="13">
        <f t="shared" si="2"/>
        <v>13276</v>
      </c>
      <c r="J88" s="4">
        <f t="shared" si="0"/>
        <v>7.5</v>
      </c>
      <c r="K88" s="4">
        <f t="shared" si="0"/>
        <v>15.8</v>
      </c>
      <c r="L88" s="4">
        <f t="shared" si="0"/>
        <v>21.4</v>
      </c>
      <c r="M88" s="4">
        <f t="shared" si="0"/>
        <v>20.9</v>
      </c>
      <c r="N88" s="4">
        <f t="shared" si="0"/>
        <v>16.100000000000001</v>
      </c>
      <c r="O88" s="4">
        <f t="shared" si="0"/>
        <v>81.7</v>
      </c>
      <c r="P88" s="13">
        <f t="shared" si="3"/>
        <v>11445</v>
      </c>
      <c r="Q88" s="4">
        <f t="shared" si="0"/>
        <v>7.5</v>
      </c>
      <c r="R88" s="4">
        <f t="shared" si="0"/>
        <v>15.8</v>
      </c>
      <c r="S88" s="4">
        <f t="shared" si="0"/>
        <v>21.7</v>
      </c>
      <c r="T88" s="4">
        <f t="shared" si="0"/>
        <v>21.2</v>
      </c>
      <c r="U88" s="4">
        <f t="shared" si="0"/>
        <v>16.2</v>
      </c>
      <c r="V88" s="4">
        <f t="shared" si="0"/>
        <v>82.4</v>
      </c>
      <c r="W88" s="13">
        <f t="shared" si="4"/>
        <v>24721</v>
      </c>
    </row>
    <row r="89" spans="1:23" x14ac:dyDescent="0.2">
      <c r="B89" s="10" t="s">
        <v>12</v>
      </c>
      <c r="C89" s="4">
        <f t="shared" si="1"/>
        <v>16.399999999999999</v>
      </c>
      <c r="D89" s="4">
        <f t="shared" si="1"/>
        <v>16.2</v>
      </c>
      <c r="E89" s="4">
        <f t="shared" si="1"/>
        <v>18</v>
      </c>
      <c r="F89" s="4">
        <f t="shared" si="1"/>
        <v>17.399999999999999</v>
      </c>
      <c r="G89" s="4">
        <f t="shared" si="1"/>
        <v>14.4</v>
      </c>
      <c r="H89" s="4">
        <f t="shared" si="1"/>
        <v>82.4</v>
      </c>
      <c r="I89" s="13">
        <f t="shared" si="2"/>
        <v>13681</v>
      </c>
      <c r="J89" s="4">
        <f t="shared" si="0"/>
        <v>14.4</v>
      </c>
      <c r="K89" s="4">
        <f t="shared" si="0"/>
        <v>15.4</v>
      </c>
      <c r="L89" s="4">
        <f t="shared" si="0"/>
        <v>18.100000000000001</v>
      </c>
      <c r="M89" s="4">
        <f t="shared" si="0"/>
        <v>17.2</v>
      </c>
      <c r="N89" s="4">
        <f t="shared" si="0"/>
        <v>15</v>
      </c>
      <c r="O89" s="4">
        <f t="shared" si="0"/>
        <v>80.099999999999994</v>
      </c>
      <c r="P89" s="13">
        <f t="shared" si="3"/>
        <v>7070</v>
      </c>
      <c r="Q89" s="4">
        <f t="shared" si="0"/>
        <v>15.7</v>
      </c>
      <c r="R89" s="4">
        <f t="shared" si="0"/>
        <v>16</v>
      </c>
      <c r="S89" s="4">
        <f t="shared" si="0"/>
        <v>18</v>
      </c>
      <c r="T89" s="4">
        <f t="shared" si="0"/>
        <v>17.3</v>
      </c>
      <c r="U89" s="4">
        <f t="shared" si="0"/>
        <v>14.6</v>
      </c>
      <c r="V89" s="4">
        <f t="shared" si="0"/>
        <v>81.599999999999994</v>
      </c>
      <c r="W89" s="13">
        <f t="shared" si="4"/>
        <v>20751</v>
      </c>
    </row>
    <row r="90" spans="1:23" x14ac:dyDescent="0.2">
      <c r="B90" s="10" t="s">
        <v>13</v>
      </c>
      <c r="C90" s="4">
        <f t="shared" si="1"/>
        <v>12.2</v>
      </c>
      <c r="D90" s="4">
        <f t="shared" si="1"/>
        <v>16.3</v>
      </c>
      <c r="E90" s="4">
        <f t="shared" si="1"/>
        <v>19</v>
      </c>
      <c r="F90" s="4">
        <f t="shared" si="1"/>
        <v>19.5</v>
      </c>
      <c r="G90" s="4">
        <f t="shared" si="1"/>
        <v>14.7</v>
      </c>
      <c r="H90" s="4">
        <f t="shared" si="1"/>
        <v>81.8</v>
      </c>
      <c r="I90" s="13">
        <f t="shared" si="2"/>
        <v>20498</v>
      </c>
      <c r="J90" s="4">
        <f t="shared" si="0"/>
        <v>16.100000000000001</v>
      </c>
      <c r="K90" s="4">
        <f t="shared" si="0"/>
        <v>19.3</v>
      </c>
      <c r="L90" s="4">
        <f t="shared" si="0"/>
        <v>18.399999999999999</v>
      </c>
      <c r="M90" s="4">
        <f t="shared" si="0"/>
        <v>17.5</v>
      </c>
      <c r="N90" s="4">
        <f t="shared" si="0"/>
        <v>12.7</v>
      </c>
      <c r="O90" s="4">
        <f t="shared" si="0"/>
        <v>84</v>
      </c>
      <c r="P90" s="13">
        <f t="shared" si="3"/>
        <v>16664</v>
      </c>
      <c r="Q90" s="4">
        <f t="shared" si="0"/>
        <v>14</v>
      </c>
      <c r="R90" s="4">
        <f t="shared" si="0"/>
        <v>17.7</v>
      </c>
      <c r="S90" s="4">
        <f t="shared" si="0"/>
        <v>18.7</v>
      </c>
      <c r="T90" s="4">
        <f t="shared" si="0"/>
        <v>18.600000000000001</v>
      </c>
      <c r="U90" s="4">
        <f t="shared" si="0"/>
        <v>13.8</v>
      </c>
      <c r="V90" s="4">
        <f t="shared" si="0"/>
        <v>82.8</v>
      </c>
      <c r="W90" s="13">
        <f t="shared" si="4"/>
        <v>37162</v>
      </c>
    </row>
    <row r="91" spans="1:23" x14ac:dyDescent="0.2">
      <c r="B91" s="10" t="s">
        <v>14</v>
      </c>
      <c r="C91" s="4">
        <f t="shared" si="1"/>
        <v>15.1</v>
      </c>
      <c r="D91" s="4">
        <f t="shared" si="1"/>
        <v>21.4</v>
      </c>
      <c r="E91" s="4">
        <f t="shared" si="1"/>
        <v>20</v>
      </c>
      <c r="F91" s="4">
        <f t="shared" si="1"/>
        <v>18.100000000000001</v>
      </c>
      <c r="G91" s="4">
        <f t="shared" si="1"/>
        <v>12.7</v>
      </c>
      <c r="H91" s="4">
        <f t="shared" si="1"/>
        <v>87.3</v>
      </c>
      <c r="I91" s="13">
        <f t="shared" si="2"/>
        <v>5091</v>
      </c>
      <c r="J91" s="4">
        <f t="shared" si="0"/>
        <v>16.3</v>
      </c>
      <c r="K91" s="4">
        <f t="shared" si="0"/>
        <v>21.9</v>
      </c>
      <c r="L91" s="4">
        <f t="shared" si="0"/>
        <v>20</v>
      </c>
      <c r="M91" s="4">
        <f t="shared" si="0"/>
        <v>17.100000000000001</v>
      </c>
      <c r="N91" s="4">
        <f t="shared" si="0"/>
        <v>12.3</v>
      </c>
      <c r="O91" s="4">
        <f t="shared" si="0"/>
        <v>87.5</v>
      </c>
      <c r="P91" s="13">
        <f t="shared" si="3"/>
        <v>3580</v>
      </c>
      <c r="Q91" s="4">
        <f t="shared" si="0"/>
        <v>15.6</v>
      </c>
      <c r="R91" s="4">
        <f t="shared" si="0"/>
        <v>21.6</v>
      </c>
      <c r="S91" s="4">
        <f t="shared" si="0"/>
        <v>20</v>
      </c>
      <c r="T91" s="4">
        <f t="shared" si="0"/>
        <v>17.7</v>
      </c>
      <c r="U91" s="4">
        <f t="shared" si="0"/>
        <v>12.5</v>
      </c>
      <c r="V91" s="4">
        <f t="shared" si="0"/>
        <v>87.4</v>
      </c>
      <c r="W91" s="13">
        <f t="shared" si="4"/>
        <v>8671</v>
      </c>
    </row>
    <row r="92" spans="1:23" x14ac:dyDescent="0.2">
      <c r="B92" s="10" t="s">
        <v>15</v>
      </c>
      <c r="C92" s="4">
        <f t="shared" si="1"/>
        <v>15.1</v>
      </c>
      <c r="D92" s="4">
        <f t="shared" si="1"/>
        <v>17.5</v>
      </c>
      <c r="E92" s="4">
        <f t="shared" si="1"/>
        <v>21.2</v>
      </c>
      <c r="F92" s="4">
        <f t="shared" si="1"/>
        <v>19.3</v>
      </c>
      <c r="G92" s="4">
        <f t="shared" si="1"/>
        <v>13.6</v>
      </c>
      <c r="H92" s="4">
        <f t="shared" si="1"/>
        <v>86.7</v>
      </c>
      <c r="I92" s="13">
        <f t="shared" si="2"/>
        <v>16319</v>
      </c>
      <c r="J92" s="4">
        <f t="shared" si="0"/>
        <v>14.9</v>
      </c>
      <c r="K92" s="4">
        <f t="shared" si="0"/>
        <v>16.899999999999999</v>
      </c>
      <c r="L92" s="4">
        <f t="shared" si="0"/>
        <v>20.399999999999999</v>
      </c>
      <c r="M92" s="4">
        <f t="shared" si="0"/>
        <v>18.899999999999999</v>
      </c>
      <c r="N92" s="4">
        <f t="shared" si="0"/>
        <v>14.2</v>
      </c>
      <c r="O92" s="4">
        <f t="shared" si="0"/>
        <v>85.3</v>
      </c>
      <c r="P92" s="13">
        <f t="shared" si="3"/>
        <v>19975</v>
      </c>
      <c r="Q92" s="4">
        <f t="shared" si="0"/>
        <v>15</v>
      </c>
      <c r="R92" s="4">
        <f t="shared" si="0"/>
        <v>17.2</v>
      </c>
      <c r="S92" s="4">
        <f t="shared" si="0"/>
        <v>20.7</v>
      </c>
      <c r="T92" s="4">
        <f t="shared" si="0"/>
        <v>19.100000000000001</v>
      </c>
      <c r="U92" s="4">
        <f t="shared" si="0"/>
        <v>14</v>
      </c>
      <c r="V92" s="4">
        <f t="shared" si="0"/>
        <v>85.9</v>
      </c>
      <c r="W92" s="13">
        <f t="shared" si="4"/>
        <v>36294</v>
      </c>
    </row>
    <row r="93" spans="1:23" x14ac:dyDescent="0.2">
      <c r="B93" s="10" t="s">
        <v>16</v>
      </c>
      <c r="C93" s="4">
        <f t="shared" si="1"/>
        <v>9.1999999999999993</v>
      </c>
      <c r="D93" s="4">
        <f t="shared" si="1"/>
        <v>11.3</v>
      </c>
      <c r="E93" s="4">
        <f t="shared" si="1"/>
        <v>13.8</v>
      </c>
      <c r="F93" s="4">
        <f t="shared" si="1"/>
        <v>17.600000000000001</v>
      </c>
      <c r="G93" s="4">
        <f t="shared" si="1"/>
        <v>15.4</v>
      </c>
      <c r="H93" s="4">
        <f t="shared" si="1"/>
        <v>67.3</v>
      </c>
      <c r="I93" s="13">
        <f t="shared" si="2"/>
        <v>2899</v>
      </c>
      <c r="J93" s="4">
        <f t="shared" ref="J93:O108" si="5">ROUND(J57,1)</f>
        <v>11.6</v>
      </c>
      <c r="K93" s="4">
        <f t="shared" si="5"/>
        <v>12</v>
      </c>
      <c r="L93" s="4">
        <f t="shared" si="5"/>
        <v>16.7</v>
      </c>
      <c r="M93" s="4">
        <f t="shared" si="5"/>
        <v>17.600000000000001</v>
      </c>
      <c r="N93" s="4">
        <f t="shared" si="5"/>
        <v>14.8</v>
      </c>
      <c r="O93" s="4">
        <f t="shared" si="5"/>
        <v>72.599999999999994</v>
      </c>
      <c r="P93" s="13">
        <f t="shared" si="3"/>
        <v>4118</v>
      </c>
      <c r="Q93" s="4">
        <f t="shared" ref="Q93:V108" si="6">ROUND(Q57,1)</f>
        <v>10.6</v>
      </c>
      <c r="R93" s="4">
        <f t="shared" si="6"/>
        <v>11.7</v>
      </c>
      <c r="S93" s="4">
        <f t="shared" si="6"/>
        <v>15.5</v>
      </c>
      <c r="T93" s="4">
        <f t="shared" si="6"/>
        <v>17.600000000000001</v>
      </c>
      <c r="U93" s="4">
        <f t="shared" si="6"/>
        <v>15</v>
      </c>
      <c r="V93" s="4">
        <f t="shared" si="6"/>
        <v>70.400000000000006</v>
      </c>
      <c r="W93" s="13">
        <f t="shared" si="4"/>
        <v>7017</v>
      </c>
    </row>
    <row r="94" spans="1:23" x14ac:dyDescent="0.2">
      <c r="B94" s="10" t="s">
        <v>17</v>
      </c>
      <c r="C94" s="4">
        <f t="shared" ref="C94:H109" si="7">ROUND(C58,1)</f>
        <v>7.9</v>
      </c>
      <c r="D94" s="4">
        <f t="shared" si="7"/>
        <v>13.4</v>
      </c>
      <c r="E94" s="4">
        <f t="shared" si="7"/>
        <v>16.3</v>
      </c>
      <c r="F94" s="4">
        <f t="shared" si="7"/>
        <v>16.2</v>
      </c>
      <c r="G94" s="4">
        <f t="shared" si="7"/>
        <v>16.5</v>
      </c>
      <c r="H94" s="4">
        <f t="shared" si="7"/>
        <v>70.3</v>
      </c>
      <c r="I94" s="13">
        <f t="shared" si="2"/>
        <v>4489</v>
      </c>
      <c r="J94" s="4">
        <f t="shared" si="5"/>
        <v>12.6</v>
      </c>
      <c r="K94" s="4">
        <f t="shared" si="5"/>
        <v>18.100000000000001</v>
      </c>
      <c r="L94" s="4">
        <f t="shared" si="5"/>
        <v>19.100000000000001</v>
      </c>
      <c r="M94" s="4">
        <f t="shared" si="5"/>
        <v>17.7</v>
      </c>
      <c r="N94" s="4">
        <f t="shared" si="5"/>
        <v>14</v>
      </c>
      <c r="O94" s="4">
        <f t="shared" si="5"/>
        <v>81.400000000000006</v>
      </c>
      <c r="P94" s="13">
        <f t="shared" si="3"/>
        <v>13568</v>
      </c>
      <c r="Q94" s="4">
        <f t="shared" si="6"/>
        <v>11.4</v>
      </c>
      <c r="R94" s="4">
        <f t="shared" si="6"/>
        <v>16.899999999999999</v>
      </c>
      <c r="S94" s="4">
        <f t="shared" si="6"/>
        <v>18.399999999999999</v>
      </c>
      <c r="T94" s="4">
        <f t="shared" si="6"/>
        <v>17.3</v>
      </c>
      <c r="U94" s="4">
        <f t="shared" si="6"/>
        <v>14.6</v>
      </c>
      <c r="V94" s="4">
        <f t="shared" si="6"/>
        <v>78.7</v>
      </c>
      <c r="W94" s="13">
        <f t="shared" si="4"/>
        <v>18057</v>
      </c>
    </row>
    <row r="95" spans="1:23" x14ac:dyDescent="0.2">
      <c r="B95" s="10" t="s">
        <v>18</v>
      </c>
      <c r="C95" s="4">
        <f t="shared" si="7"/>
        <v>9.4</v>
      </c>
      <c r="D95" s="4">
        <f t="shared" si="7"/>
        <v>13.8</v>
      </c>
      <c r="E95" s="4">
        <f t="shared" si="7"/>
        <v>14.4</v>
      </c>
      <c r="F95" s="4">
        <f t="shared" si="7"/>
        <v>17.100000000000001</v>
      </c>
      <c r="G95" s="4">
        <f t="shared" si="7"/>
        <v>14.3</v>
      </c>
      <c r="H95" s="4">
        <f t="shared" si="7"/>
        <v>69</v>
      </c>
      <c r="I95" s="13">
        <f t="shared" si="2"/>
        <v>5283</v>
      </c>
      <c r="J95" s="4">
        <f t="shared" si="5"/>
        <v>12.2</v>
      </c>
      <c r="K95" s="4">
        <f t="shared" si="5"/>
        <v>16.7</v>
      </c>
      <c r="L95" s="4">
        <f t="shared" si="5"/>
        <v>16.8</v>
      </c>
      <c r="M95" s="4">
        <f t="shared" si="5"/>
        <v>16.8</v>
      </c>
      <c r="N95" s="4">
        <f t="shared" si="5"/>
        <v>13.6</v>
      </c>
      <c r="O95" s="4">
        <f t="shared" si="5"/>
        <v>76.099999999999994</v>
      </c>
      <c r="P95" s="13">
        <f t="shared" si="3"/>
        <v>16078</v>
      </c>
      <c r="Q95" s="4">
        <f t="shared" si="6"/>
        <v>11.5</v>
      </c>
      <c r="R95" s="4">
        <f t="shared" si="6"/>
        <v>16</v>
      </c>
      <c r="S95" s="4">
        <f t="shared" si="6"/>
        <v>16.2</v>
      </c>
      <c r="T95" s="4">
        <f t="shared" si="6"/>
        <v>16.899999999999999</v>
      </c>
      <c r="U95" s="4">
        <f t="shared" si="6"/>
        <v>13.8</v>
      </c>
      <c r="V95" s="4">
        <f t="shared" si="6"/>
        <v>74.400000000000006</v>
      </c>
      <c r="W95" s="13">
        <f t="shared" si="4"/>
        <v>21361</v>
      </c>
    </row>
    <row r="96" spans="1:23" x14ac:dyDescent="0.2">
      <c r="B96" s="10" t="s">
        <v>19</v>
      </c>
      <c r="C96" s="4">
        <f t="shared" si="7"/>
        <v>11.6</v>
      </c>
      <c r="D96" s="4">
        <f t="shared" si="7"/>
        <v>16.899999999999999</v>
      </c>
      <c r="E96" s="4">
        <f t="shared" si="7"/>
        <v>17.5</v>
      </c>
      <c r="F96" s="4">
        <f t="shared" si="7"/>
        <v>15.8</v>
      </c>
      <c r="G96" s="4">
        <f t="shared" si="7"/>
        <v>15.1</v>
      </c>
      <c r="H96" s="4">
        <f t="shared" si="7"/>
        <v>76.900000000000006</v>
      </c>
      <c r="I96" s="13">
        <f t="shared" si="2"/>
        <v>935</v>
      </c>
      <c r="J96" s="4">
        <f t="shared" si="5"/>
        <v>11.4</v>
      </c>
      <c r="K96" s="4">
        <f t="shared" si="5"/>
        <v>15.7</v>
      </c>
      <c r="L96" s="4">
        <f t="shared" si="5"/>
        <v>17.8</v>
      </c>
      <c r="M96" s="4">
        <f t="shared" si="5"/>
        <v>17.100000000000001</v>
      </c>
      <c r="N96" s="4">
        <f t="shared" si="5"/>
        <v>12.7</v>
      </c>
      <c r="O96" s="4">
        <f t="shared" si="5"/>
        <v>74.8</v>
      </c>
      <c r="P96" s="13">
        <f t="shared" si="3"/>
        <v>848</v>
      </c>
      <c r="Q96" s="4">
        <f t="shared" si="6"/>
        <v>11.5</v>
      </c>
      <c r="R96" s="4">
        <f t="shared" si="6"/>
        <v>16.3</v>
      </c>
      <c r="S96" s="4">
        <f t="shared" si="6"/>
        <v>17.7</v>
      </c>
      <c r="T96" s="4">
        <f t="shared" si="6"/>
        <v>16.399999999999999</v>
      </c>
      <c r="U96" s="4">
        <f t="shared" si="6"/>
        <v>14</v>
      </c>
      <c r="V96" s="4">
        <f t="shared" si="6"/>
        <v>75.900000000000006</v>
      </c>
      <c r="W96" s="13">
        <f t="shared" si="4"/>
        <v>1783</v>
      </c>
    </row>
    <row r="97" spans="2:23" x14ac:dyDescent="0.2">
      <c r="B97" s="10" t="s">
        <v>20</v>
      </c>
      <c r="C97" s="4">
        <f t="shared" si="7"/>
        <v>17.2</v>
      </c>
      <c r="D97" s="4">
        <f t="shared" si="7"/>
        <v>17.8</v>
      </c>
      <c r="E97" s="4">
        <f t="shared" si="7"/>
        <v>22.5</v>
      </c>
      <c r="F97" s="4">
        <f t="shared" si="7"/>
        <v>19</v>
      </c>
      <c r="G97" s="4">
        <f t="shared" si="7"/>
        <v>12.8</v>
      </c>
      <c r="H97" s="4">
        <f t="shared" si="7"/>
        <v>89.3</v>
      </c>
      <c r="I97" s="13">
        <f t="shared" si="2"/>
        <v>11744</v>
      </c>
      <c r="J97" s="4">
        <f t="shared" si="5"/>
        <v>20.2</v>
      </c>
      <c r="K97" s="4">
        <f t="shared" si="5"/>
        <v>20.399999999999999</v>
      </c>
      <c r="L97" s="4">
        <f t="shared" si="5"/>
        <v>23.7</v>
      </c>
      <c r="M97" s="4">
        <f t="shared" si="5"/>
        <v>18.100000000000001</v>
      </c>
      <c r="N97" s="4">
        <f t="shared" si="5"/>
        <v>10.7</v>
      </c>
      <c r="O97" s="4">
        <f t="shared" si="5"/>
        <v>93.1</v>
      </c>
      <c r="P97" s="13">
        <f t="shared" si="3"/>
        <v>18052</v>
      </c>
      <c r="Q97" s="4">
        <f t="shared" si="6"/>
        <v>19</v>
      </c>
      <c r="R97" s="4">
        <f t="shared" si="6"/>
        <v>19.399999999999999</v>
      </c>
      <c r="S97" s="4">
        <f t="shared" si="6"/>
        <v>23.3</v>
      </c>
      <c r="T97" s="4">
        <f t="shared" si="6"/>
        <v>18.5</v>
      </c>
      <c r="U97" s="4">
        <f t="shared" si="6"/>
        <v>11.5</v>
      </c>
      <c r="V97" s="4">
        <f t="shared" si="6"/>
        <v>91.6</v>
      </c>
      <c r="W97" s="13">
        <f t="shared" si="4"/>
        <v>29796</v>
      </c>
    </row>
    <row r="98" spans="2:23" x14ac:dyDescent="0.2">
      <c r="B98" s="10" t="s">
        <v>21</v>
      </c>
      <c r="C98" s="4">
        <f t="shared" si="7"/>
        <v>8.9</v>
      </c>
      <c r="D98" s="4">
        <f t="shared" si="7"/>
        <v>13</v>
      </c>
      <c r="E98" s="4">
        <f t="shared" si="7"/>
        <v>18.100000000000001</v>
      </c>
      <c r="F98" s="4">
        <f t="shared" si="7"/>
        <v>19.5</v>
      </c>
      <c r="G98" s="4">
        <f t="shared" si="7"/>
        <v>18.7</v>
      </c>
      <c r="H98" s="4">
        <f t="shared" si="7"/>
        <v>78.2</v>
      </c>
      <c r="I98" s="13">
        <f t="shared" si="2"/>
        <v>2077</v>
      </c>
      <c r="J98" s="4">
        <f t="shared" si="5"/>
        <v>12</v>
      </c>
      <c r="K98" s="4">
        <f t="shared" si="5"/>
        <v>16</v>
      </c>
      <c r="L98" s="4">
        <f t="shared" si="5"/>
        <v>20.8</v>
      </c>
      <c r="M98" s="4">
        <f t="shared" si="5"/>
        <v>20.399999999999999</v>
      </c>
      <c r="N98" s="4">
        <f t="shared" si="5"/>
        <v>16.3</v>
      </c>
      <c r="O98" s="4">
        <f t="shared" si="5"/>
        <v>85.6</v>
      </c>
      <c r="P98" s="13">
        <f t="shared" si="3"/>
        <v>5820</v>
      </c>
      <c r="Q98" s="4">
        <f t="shared" si="6"/>
        <v>11.2</v>
      </c>
      <c r="R98" s="4">
        <f t="shared" si="6"/>
        <v>15.2</v>
      </c>
      <c r="S98" s="4">
        <f t="shared" si="6"/>
        <v>20.100000000000001</v>
      </c>
      <c r="T98" s="4">
        <f t="shared" si="6"/>
        <v>20.2</v>
      </c>
      <c r="U98" s="4">
        <f t="shared" si="6"/>
        <v>16.899999999999999</v>
      </c>
      <c r="V98" s="4">
        <f t="shared" si="6"/>
        <v>83.7</v>
      </c>
      <c r="W98" s="13">
        <f t="shared" si="4"/>
        <v>7897</v>
      </c>
    </row>
    <row r="99" spans="2:23" x14ac:dyDescent="0.2">
      <c r="B99" s="10" t="s">
        <v>22</v>
      </c>
      <c r="C99" s="4">
        <f t="shared" si="7"/>
        <v>15.6</v>
      </c>
      <c r="D99" s="4">
        <f t="shared" si="7"/>
        <v>20.2</v>
      </c>
      <c r="E99" s="4">
        <f t="shared" si="7"/>
        <v>20.9</v>
      </c>
      <c r="F99" s="4">
        <f t="shared" si="7"/>
        <v>19.600000000000001</v>
      </c>
      <c r="G99" s="4">
        <f t="shared" si="7"/>
        <v>13.7</v>
      </c>
      <c r="H99" s="4">
        <f t="shared" si="7"/>
        <v>89.9</v>
      </c>
      <c r="I99" s="13">
        <f t="shared" si="2"/>
        <v>22429</v>
      </c>
      <c r="J99" s="4">
        <f t="shared" si="5"/>
        <v>14.4</v>
      </c>
      <c r="K99" s="4">
        <f t="shared" si="5"/>
        <v>19.399999999999999</v>
      </c>
      <c r="L99" s="4">
        <f t="shared" si="5"/>
        <v>22.4</v>
      </c>
      <c r="M99" s="4">
        <f t="shared" si="5"/>
        <v>21.4</v>
      </c>
      <c r="N99" s="4">
        <f t="shared" si="5"/>
        <v>14.1</v>
      </c>
      <c r="O99" s="4">
        <f t="shared" si="5"/>
        <v>91.7</v>
      </c>
      <c r="P99" s="13">
        <f t="shared" si="3"/>
        <v>50115</v>
      </c>
      <c r="Q99" s="4">
        <f t="shared" si="6"/>
        <v>14.8</v>
      </c>
      <c r="R99" s="4">
        <f t="shared" si="6"/>
        <v>19.600000000000001</v>
      </c>
      <c r="S99" s="4">
        <f t="shared" si="6"/>
        <v>22</v>
      </c>
      <c r="T99" s="4">
        <f t="shared" si="6"/>
        <v>20.8</v>
      </c>
      <c r="U99" s="4">
        <f t="shared" si="6"/>
        <v>14</v>
      </c>
      <c r="V99" s="4">
        <f t="shared" si="6"/>
        <v>91.2</v>
      </c>
      <c r="W99" s="13">
        <f t="shared" si="4"/>
        <v>72544</v>
      </c>
    </row>
    <row r="100" spans="2:23" x14ac:dyDescent="0.2">
      <c r="B100" s="10" t="s">
        <v>51</v>
      </c>
      <c r="C100" s="4">
        <f t="shared" si="7"/>
        <v>9.4</v>
      </c>
      <c r="D100" s="4">
        <f t="shared" si="7"/>
        <v>15.4</v>
      </c>
      <c r="E100" s="4">
        <f t="shared" si="7"/>
        <v>29.5</v>
      </c>
      <c r="F100" s="4">
        <f t="shared" si="7"/>
        <v>25.3</v>
      </c>
      <c r="G100" s="4">
        <f t="shared" si="7"/>
        <v>12.1</v>
      </c>
      <c r="H100" s="4">
        <f t="shared" si="7"/>
        <v>91.8</v>
      </c>
      <c r="I100" s="13">
        <f t="shared" si="2"/>
        <v>3027</v>
      </c>
      <c r="J100" s="4">
        <f t="shared" si="5"/>
        <v>10</v>
      </c>
      <c r="K100" s="4">
        <f t="shared" si="5"/>
        <v>18.600000000000001</v>
      </c>
      <c r="L100" s="4">
        <f t="shared" si="5"/>
        <v>30.5</v>
      </c>
      <c r="M100" s="4">
        <f t="shared" si="5"/>
        <v>24.1</v>
      </c>
      <c r="N100" s="4">
        <f t="shared" si="5"/>
        <v>10.9</v>
      </c>
      <c r="O100" s="4">
        <f t="shared" si="5"/>
        <v>94</v>
      </c>
      <c r="P100" s="13">
        <f t="shared" si="3"/>
        <v>3814</v>
      </c>
      <c r="Q100" s="4">
        <f t="shared" si="6"/>
        <v>9.6999999999999993</v>
      </c>
      <c r="R100" s="4">
        <f t="shared" si="6"/>
        <v>17.2</v>
      </c>
      <c r="S100" s="4">
        <f t="shared" si="6"/>
        <v>30.1</v>
      </c>
      <c r="T100" s="4">
        <f t="shared" si="6"/>
        <v>24.6</v>
      </c>
      <c r="U100" s="4">
        <f t="shared" si="6"/>
        <v>11.4</v>
      </c>
      <c r="V100" s="4">
        <f t="shared" si="6"/>
        <v>93</v>
      </c>
      <c r="W100" s="13">
        <f t="shared" si="4"/>
        <v>6841</v>
      </c>
    </row>
    <row r="101" spans="2:23" x14ac:dyDescent="0.2">
      <c r="B101" s="10" t="s">
        <v>23</v>
      </c>
      <c r="C101" s="4">
        <f t="shared" si="7"/>
        <v>8.1</v>
      </c>
      <c r="D101" s="4">
        <f t="shared" si="7"/>
        <v>13.5</v>
      </c>
      <c r="E101" s="4">
        <f t="shared" si="7"/>
        <v>18.899999999999999</v>
      </c>
      <c r="F101" s="4">
        <f t="shared" si="7"/>
        <v>17.8</v>
      </c>
      <c r="G101" s="4">
        <f t="shared" si="7"/>
        <v>14.9</v>
      </c>
      <c r="H101" s="4">
        <f t="shared" si="7"/>
        <v>73.099999999999994</v>
      </c>
      <c r="I101" s="13">
        <f t="shared" si="2"/>
        <v>2341</v>
      </c>
      <c r="J101" s="4">
        <f t="shared" si="5"/>
        <v>10</v>
      </c>
      <c r="K101" s="4">
        <f t="shared" si="5"/>
        <v>19.899999999999999</v>
      </c>
      <c r="L101" s="4">
        <f t="shared" si="5"/>
        <v>25.2</v>
      </c>
      <c r="M101" s="4">
        <f t="shared" si="5"/>
        <v>18.5</v>
      </c>
      <c r="N101" s="4">
        <f t="shared" si="5"/>
        <v>12</v>
      </c>
      <c r="O101" s="4">
        <f t="shared" si="5"/>
        <v>85.6</v>
      </c>
      <c r="P101" s="13">
        <f t="shared" si="3"/>
        <v>4465</v>
      </c>
      <c r="Q101" s="4">
        <f t="shared" si="6"/>
        <v>9.3000000000000007</v>
      </c>
      <c r="R101" s="4">
        <f t="shared" si="6"/>
        <v>17.7</v>
      </c>
      <c r="S101" s="4">
        <f t="shared" si="6"/>
        <v>23</v>
      </c>
      <c r="T101" s="4">
        <f t="shared" si="6"/>
        <v>18.3</v>
      </c>
      <c r="U101" s="4">
        <f t="shared" si="6"/>
        <v>13</v>
      </c>
      <c r="V101" s="4">
        <f t="shared" si="6"/>
        <v>81.3</v>
      </c>
      <c r="W101" s="13">
        <f t="shared" si="4"/>
        <v>6806</v>
      </c>
    </row>
    <row r="102" spans="2:23" x14ac:dyDescent="0.2">
      <c r="B102" s="10" t="s">
        <v>24</v>
      </c>
      <c r="C102" s="4">
        <f t="shared" si="7"/>
        <v>22</v>
      </c>
      <c r="D102" s="4">
        <f t="shared" si="7"/>
        <v>18</v>
      </c>
      <c r="E102" s="4">
        <f t="shared" si="7"/>
        <v>20.3</v>
      </c>
      <c r="F102" s="4">
        <f t="shared" si="7"/>
        <v>17.2</v>
      </c>
      <c r="G102" s="4">
        <f t="shared" si="7"/>
        <v>12.2</v>
      </c>
      <c r="H102" s="4">
        <f t="shared" si="7"/>
        <v>89.7</v>
      </c>
      <c r="I102" s="13">
        <f t="shared" si="2"/>
        <v>6859</v>
      </c>
      <c r="J102" s="4">
        <f t="shared" si="5"/>
        <v>20</v>
      </c>
      <c r="K102" s="4">
        <f t="shared" si="5"/>
        <v>17.399999999999999</v>
      </c>
      <c r="L102" s="4">
        <f t="shared" si="5"/>
        <v>20</v>
      </c>
      <c r="M102" s="4">
        <f t="shared" si="5"/>
        <v>17.100000000000001</v>
      </c>
      <c r="N102" s="4">
        <f t="shared" si="5"/>
        <v>13</v>
      </c>
      <c r="O102" s="4">
        <f t="shared" si="5"/>
        <v>87.4</v>
      </c>
      <c r="P102" s="13">
        <f t="shared" si="3"/>
        <v>15859</v>
      </c>
      <c r="Q102" s="4">
        <f t="shared" si="6"/>
        <v>20.6</v>
      </c>
      <c r="R102" s="4">
        <f t="shared" si="6"/>
        <v>17.600000000000001</v>
      </c>
      <c r="S102" s="4">
        <f t="shared" si="6"/>
        <v>20</v>
      </c>
      <c r="T102" s="4">
        <f t="shared" si="6"/>
        <v>17.100000000000001</v>
      </c>
      <c r="U102" s="4">
        <f t="shared" si="6"/>
        <v>12.8</v>
      </c>
      <c r="V102" s="4">
        <f t="shared" si="6"/>
        <v>88.1</v>
      </c>
      <c r="W102" s="13">
        <f t="shared" si="4"/>
        <v>22718</v>
      </c>
    </row>
    <row r="103" spans="2:23" x14ac:dyDescent="0.2">
      <c r="B103" s="10" t="s">
        <v>25</v>
      </c>
      <c r="C103" s="4">
        <f t="shared" si="7"/>
        <v>26</v>
      </c>
      <c r="D103" s="4">
        <f t="shared" si="7"/>
        <v>17.7</v>
      </c>
      <c r="E103" s="4">
        <f t="shared" si="7"/>
        <v>18.100000000000001</v>
      </c>
      <c r="F103" s="4">
        <f t="shared" si="7"/>
        <v>15.7</v>
      </c>
      <c r="G103" s="4">
        <f t="shared" si="7"/>
        <v>11.9</v>
      </c>
      <c r="H103" s="4">
        <f t="shared" si="7"/>
        <v>89.4</v>
      </c>
      <c r="I103" s="13">
        <f t="shared" si="2"/>
        <v>2855</v>
      </c>
      <c r="J103" s="4">
        <f t="shared" si="5"/>
        <v>21.5</v>
      </c>
      <c r="K103" s="4">
        <f t="shared" si="5"/>
        <v>18.100000000000001</v>
      </c>
      <c r="L103" s="4">
        <f t="shared" si="5"/>
        <v>18.8</v>
      </c>
      <c r="M103" s="4">
        <f t="shared" si="5"/>
        <v>17.5</v>
      </c>
      <c r="N103" s="4">
        <f t="shared" si="5"/>
        <v>13.1</v>
      </c>
      <c r="O103" s="4">
        <f t="shared" si="5"/>
        <v>88.9</v>
      </c>
      <c r="P103" s="13">
        <f t="shared" si="3"/>
        <v>6451</v>
      </c>
      <c r="Q103" s="4">
        <f t="shared" si="6"/>
        <v>22.8</v>
      </c>
      <c r="R103" s="4">
        <f t="shared" si="6"/>
        <v>18</v>
      </c>
      <c r="S103" s="4">
        <f t="shared" si="6"/>
        <v>18.600000000000001</v>
      </c>
      <c r="T103" s="4">
        <f t="shared" si="6"/>
        <v>17</v>
      </c>
      <c r="U103" s="4">
        <f t="shared" si="6"/>
        <v>12.7</v>
      </c>
      <c r="V103" s="4">
        <f t="shared" si="6"/>
        <v>89.1</v>
      </c>
      <c r="W103" s="13">
        <f t="shared" si="4"/>
        <v>9306</v>
      </c>
    </row>
    <row r="104" spans="2:23" x14ac:dyDescent="0.2">
      <c r="B104" s="10" t="s">
        <v>26</v>
      </c>
      <c r="C104" s="4">
        <f t="shared" si="7"/>
        <v>25</v>
      </c>
      <c r="D104" s="4">
        <f t="shared" si="7"/>
        <v>22.2</v>
      </c>
      <c r="E104" s="4">
        <f t="shared" si="7"/>
        <v>20.2</v>
      </c>
      <c r="F104" s="4">
        <f t="shared" si="7"/>
        <v>13.8</v>
      </c>
      <c r="G104" s="4">
        <f t="shared" si="7"/>
        <v>9.1</v>
      </c>
      <c r="H104" s="4">
        <f t="shared" si="7"/>
        <v>90.2</v>
      </c>
      <c r="I104" s="13">
        <f t="shared" si="2"/>
        <v>1169</v>
      </c>
      <c r="J104" s="4">
        <f t="shared" si="5"/>
        <v>21.7</v>
      </c>
      <c r="K104" s="4">
        <f t="shared" si="5"/>
        <v>20.7</v>
      </c>
      <c r="L104" s="4">
        <f t="shared" si="5"/>
        <v>18.5</v>
      </c>
      <c r="M104" s="4">
        <f t="shared" si="5"/>
        <v>15.9</v>
      </c>
      <c r="N104" s="4">
        <f t="shared" si="5"/>
        <v>11.6</v>
      </c>
      <c r="O104" s="4">
        <f t="shared" si="5"/>
        <v>88.3</v>
      </c>
      <c r="P104" s="13">
        <f t="shared" si="3"/>
        <v>2926</v>
      </c>
      <c r="Q104" s="4">
        <f t="shared" si="6"/>
        <v>22.6</v>
      </c>
      <c r="R104" s="4">
        <f t="shared" si="6"/>
        <v>21.1</v>
      </c>
      <c r="S104" s="4">
        <f t="shared" si="6"/>
        <v>19</v>
      </c>
      <c r="T104" s="4">
        <f t="shared" si="6"/>
        <v>15.3</v>
      </c>
      <c r="U104" s="4">
        <f t="shared" si="6"/>
        <v>10.8</v>
      </c>
      <c r="V104" s="4">
        <f t="shared" si="6"/>
        <v>88.9</v>
      </c>
      <c r="W104" s="13">
        <f t="shared" si="4"/>
        <v>4095</v>
      </c>
    </row>
    <row r="105" spans="2:23" x14ac:dyDescent="0.2">
      <c r="B105" s="10" t="s">
        <v>27</v>
      </c>
      <c r="C105" s="4">
        <f t="shared" si="7"/>
        <v>27.7</v>
      </c>
      <c r="D105" s="4">
        <f t="shared" si="7"/>
        <v>20.3</v>
      </c>
      <c r="E105" s="4">
        <f t="shared" si="7"/>
        <v>15.7</v>
      </c>
      <c r="F105" s="4">
        <f t="shared" si="7"/>
        <v>12.8</v>
      </c>
      <c r="G105" s="4">
        <f t="shared" si="7"/>
        <v>9.5</v>
      </c>
      <c r="H105" s="4">
        <f t="shared" si="7"/>
        <v>86</v>
      </c>
      <c r="I105" s="13">
        <f t="shared" si="2"/>
        <v>1498</v>
      </c>
      <c r="J105" s="4">
        <f t="shared" si="5"/>
        <v>28.3</v>
      </c>
      <c r="K105" s="4">
        <f t="shared" si="5"/>
        <v>23.7</v>
      </c>
      <c r="L105" s="4">
        <f t="shared" si="5"/>
        <v>20.399999999999999</v>
      </c>
      <c r="M105" s="4">
        <f t="shared" si="5"/>
        <v>12.3</v>
      </c>
      <c r="N105" s="4">
        <f t="shared" si="5"/>
        <v>7.3</v>
      </c>
      <c r="O105" s="4">
        <f t="shared" si="5"/>
        <v>92</v>
      </c>
      <c r="P105" s="13">
        <f t="shared" si="3"/>
        <v>1937</v>
      </c>
      <c r="Q105" s="4">
        <f t="shared" si="6"/>
        <v>28.1</v>
      </c>
      <c r="R105" s="4">
        <f t="shared" si="6"/>
        <v>22.2</v>
      </c>
      <c r="S105" s="4">
        <f t="shared" si="6"/>
        <v>18.3</v>
      </c>
      <c r="T105" s="4">
        <f t="shared" si="6"/>
        <v>12.5</v>
      </c>
      <c r="U105" s="4">
        <f t="shared" si="6"/>
        <v>8.1999999999999993</v>
      </c>
      <c r="V105" s="4">
        <f t="shared" si="6"/>
        <v>89.4</v>
      </c>
      <c r="W105" s="13">
        <f t="shared" si="4"/>
        <v>3435</v>
      </c>
    </row>
    <row r="106" spans="2:23" x14ac:dyDescent="0.2">
      <c r="B106" s="10" t="s">
        <v>28</v>
      </c>
      <c r="C106" s="4">
        <f t="shared" si="7"/>
        <v>27.1</v>
      </c>
      <c r="D106" s="4">
        <f t="shared" si="7"/>
        <v>20.399999999999999</v>
      </c>
      <c r="E106" s="4">
        <f t="shared" si="7"/>
        <v>18.8</v>
      </c>
      <c r="F106" s="4">
        <f t="shared" si="7"/>
        <v>15.3</v>
      </c>
      <c r="G106" s="4">
        <f t="shared" si="7"/>
        <v>9.6</v>
      </c>
      <c r="H106" s="4">
        <f t="shared" si="7"/>
        <v>91.3</v>
      </c>
      <c r="I106" s="13">
        <f t="shared" si="2"/>
        <v>2770</v>
      </c>
      <c r="J106" s="4">
        <f t="shared" si="5"/>
        <v>24.7</v>
      </c>
      <c r="K106" s="4">
        <f t="shared" si="5"/>
        <v>22.3</v>
      </c>
      <c r="L106" s="4">
        <f t="shared" si="5"/>
        <v>21.8</v>
      </c>
      <c r="M106" s="4">
        <f t="shared" si="5"/>
        <v>15.8</v>
      </c>
      <c r="N106" s="4">
        <f t="shared" si="5"/>
        <v>8.5</v>
      </c>
      <c r="O106" s="4">
        <f t="shared" si="5"/>
        <v>93.1</v>
      </c>
      <c r="P106" s="13">
        <f t="shared" si="3"/>
        <v>3639</v>
      </c>
      <c r="Q106" s="4">
        <f t="shared" si="6"/>
        <v>25.7</v>
      </c>
      <c r="R106" s="4">
        <f t="shared" si="6"/>
        <v>21.5</v>
      </c>
      <c r="S106" s="4">
        <f t="shared" si="6"/>
        <v>20.5</v>
      </c>
      <c r="T106" s="4">
        <f t="shared" si="6"/>
        <v>15.6</v>
      </c>
      <c r="U106" s="4">
        <f t="shared" si="6"/>
        <v>9</v>
      </c>
      <c r="V106" s="4">
        <f t="shared" si="6"/>
        <v>92.3</v>
      </c>
      <c r="W106" s="13">
        <f t="shared" si="4"/>
        <v>6409</v>
      </c>
    </row>
    <row r="107" spans="2:23" x14ac:dyDescent="0.2">
      <c r="B107" s="10" t="s">
        <v>29</v>
      </c>
      <c r="C107" s="4">
        <f t="shared" si="7"/>
        <v>15.4</v>
      </c>
      <c r="D107" s="4">
        <f t="shared" si="7"/>
        <v>20.5</v>
      </c>
      <c r="E107" s="4">
        <f t="shared" si="7"/>
        <v>22.9</v>
      </c>
      <c r="F107" s="4">
        <f t="shared" si="7"/>
        <v>20.399999999999999</v>
      </c>
      <c r="G107" s="4">
        <f t="shared" si="7"/>
        <v>10.5</v>
      </c>
      <c r="H107" s="4">
        <f t="shared" si="7"/>
        <v>89.8</v>
      </c>
      <c r="I107" s="13">
        <f t="shared" si="2"/>
        <v>1747</v>
      </c>
      <c r="J107" s="4">
        <f t="shared" si="5"/>
        <v>14.1</v>
      </c>
      <c r="K107" s="4">
        <f t="shared" si="5"/>
        <v>19.8</v>
      </c>
      <c r="L107" s="4">
        <f t="shared" si="5"/>
        <v>24.2</v>
      </c>
      <c r="M107" s="4">
        <f t="shared" si="5"/>
        <v>19.899999999999999</v>
      </c>
      <c r="N107" s="4">
        <f t="shared" si="5"/>
        <v>12.4</v>
      </c>
      <c r="O107" s="4">
        <f t="shared" si="5"/>
        <v>90.4</v>
      </c>
      <c r="P107" s="13">
        <f t="shared" si="3"/>
        <v>4981</v>
      </c>
      <c r="Q107" s="4">
        <f t="shared" si="6"/>
        <v>14.4</v>
      </c>
      <c r="R107" s="4">
        <f t="shared" si="6"/>
        <v>20</v>
      </c>
      <c r="S107" s="4">
        <f t="shared" si="6"/>
        <v>23.9</v>
      </c>
      <c r="T107" s="4">
        <f t="shared" si="6"/>
        <v>20</v>
      </c>
      <c r="U107" s="4">
        <f t="shared" si="6"/>
        <v>11.9</v>
      </c>
      <c r="V107" s="4">
        <f t="shared" si="6"/>
        <v>90.2</v>
      </c>
      <c r="W107" s="13">
        <f t="shared" si="4"/>
        <v>6728</v>
      </c>
    </row>
    <row r="108" spans="2:23" x14ac:dyDescent="0.2">
      <c r="B108" s="10" t="s">
        <v>30</v>
      </c>
      <c r="C108" s="4">
        <f t="shared" si="7"/>
        <v>22.3</v>
      </c>
      <c r="D108" s="4">
        <f t="shared" si="7"/>
        <v>20.100000000000001</v>
      </c>
      <c r="E108" s="4">
        <f t="shared" si="7"/>
        <v>21.7</v>
      </c>
      <c r="F108" s="4">
        <f t="shared" si="7"/>
        <v>17.399999999999999</v>
      </c>
      <c r="G108" s="4">
        <f t="shared" si="7"/>
        <v>10.8</v>
      </c>
      <c r="H108" s="4">
        <f t="shared" si="7"/>
        <v>92.3</v>
      </c>
      <c r="I108" s="13">
        <f t="shared" si="2"/>
        <v>2039</v>
      </c>
      <c r="J108" s="4">
        <f t="shared" si="5"/>
        <v>19</v>
      </c>
      <c r="K108" s="4">
        <f t="shared" si="5"/>
        <v>20.7</v>
      </c>
      <c r="L108" s="4">
        <f t="shared" si="5"/>
        <v>23.9</v>
      </c>
      <c r="M108" s="4">
        <f t="shared" si="5"/>
        <v>18.600000000000001</v>
      </c>
      <c r="N108" s="4">
        <f t="shared" si="5"/>
        <v>11</v>
      </c>
      <c r="O108" s="4">
        <f t="shared" si="5"/>
        <v>93.1</v>
      </c>
      <c r="P108" s="13">
        <f t="shared" si="3"/>
        <v>3363</v>
      </c>
      <c r="Q108" s="4">
        <f t="shared" si="6"/>
        <v>20.2</v>
      </c>
      <c r="R108" s="4">
        <f t="shared" si="6"/>
        <v>20.5</v>
      </c>
      <c r="S108" s="4">
        <f t="shared" si="6"/>
        <v>23.1</v>
      </c>
      <c r="T108" s="4">
        <f t="shared" si="6"/>
        <v>18.100000000000001</v>
      </c>
      <c r="U108" s="4">
        <f t="shared" si="6"/>
        <v>10.9</v>
      </c>
      <c r="V108" s="4">
        <f t="shared" si="6"/>
        <v>92.8</v>
      </c>
      <c r="W108" s="13">
        <f t="shared" si="4"/>
        <v>5402</v>
      </c>
    </row>
    <row r="109" spans="2:23" x14ac:dyDescent="0.2">
      <c r="B109" s="10" t="s">
        <v>31</v>
      </c>
      <c r="C109" s="4">
        <f t="shared" si="7"/>
        <v>5.3</v>
      </c>
      <c r="D109" s="4">
        <f t="shared" si="7"/>
        <v>12</v>
      </c>
      <c r="E109" s="4">
        <f t="shared" si="7"/>
        <v>21.9</v>
      </c>
      <c r="F109" s="4">
        <f t="shared" si="7"/>
        <v>27.9</v>
      </c>
      <c r="G109" s="4">
        <f t="shared" si="7"/>
        <v>21</v>
      </c>
      <c r="H109" s="4">
        <f t="shared" si="7"/>
        <v>88.1</v>
      </c>
      <c r="I109" s="13">
        <f t="shared" si="2"/>
        <v>5511</v>
      </c>
      <c r="J109" s="4">
        <f t="shared" ref="J109:O111" si="8">ROUND(J73,1)</f>
        <v>11.9</v>
      </c>
      <c r="K109" s="4">
        <f t="shared" si="8"/>
        <v>17</v>
      </c>
      <c r="L109" s="4">
        <f t="shared" si="8"/>
        <v>23.5</v>
      </c>
      <c r="M109" s="4">
        <f t="shared" si="8"/>
        <v>21.3</v>
      </c>
      <c r="N109" s="4">
        <f t="shared" si="8"/>
        <v>15.6</v>
      </c>
      <c r="O109" s="4">
        <f t="shared" si="8"/>
        <v>89.4</v>
      </c>
      <c r="P109" s="13">
        <f t="shared" si="3"/>
        <v>3531</v>
      </c>
      <c r="Q109" s="4">
        <f t="shared" ref="Q109:V111" si="9">ROUND(Q73,1)</f>
        <v>7.9</v>
      </c>
      <c r="R109" s="4">
        <f t="shared" si="9"/>
        <v>13.9</v>
      </c>
      <c r="S109" s="4">
        <f t="shared" si="9"/>
        <v>22.6</v>
      </c>
      <c r="T109" s="4">
        <f t="shared" si="9"/>
        <v>25.3</v>
      </c>
      <c r="U109" s="4">
        <f t="shared" si="9"/>
        <v>18.899999999999999</v>
      </c>
      <c r="V109" s="4">
        <f t="shared" si="9"/>
        <v>88.6</v>
      </c>
      <c r="W109" s="13">
        <f t="shared" si="4"/>
        <v>9042</v>
      </c>
    </row>
    <row r="110" spans="2:23" x14ac:dyDescent="0.2">
      <c r="B110" s="10" t="s">
        <v>32</v>
      </c>
      <c r="C110" s="4">
        <f t="shared" ref="C110:H111" si="10">ROUND(C74,1)</f>
        <v>15.3</v>
      </c>
      <c r="D110" s="4">
        <f t="shared" si="10"/>
        <v>17</v>
      </c>
      <c r="E110" s="4">
        <f t="shared" si="10"/>
        <v>19.3</v>
      </c>
      <c r="F110" s="4">
        <f t="shared" si="10"/>
        <v>19.100000000000001</v>
      </c>
      <c r="G110" s="4">
        <f t="shared" si="10"/>
        <v>14.4</v>
      </c>
      <c r="H110" s="4">
        <f t="shared" si="10"/>
        <v>85.1</v>
      </c>
      <c r="I110" s="13">
        <f t="shared" si="2"/>
        <v>30694</v>
      </c>
      <c r="J110" s="4">
        <f t="shared" si="8"/>
        <v>12.6</v>
      </c>
      <c r="K110" s="4">
        <f t="shared" si="8"/>
        <v>15.3</v>
      </c>
      <c r="L110" s="4">
        <f t="shared" si="8"/>
        <v>18.899999999999999</v>
      </c>
      <c r="M110" s="4">
        <f t="shared" si="8"/>
        <v>19.5</v>
      </c>
      <c r="N110" s="4">
        <f t="shared" si="8"/>
        <v>15.6</v>
      </c>
      <c r="O110" s="4">
        <f t="shared" si="8"/>
        <v>81.900000000000006</v>
      </c>
      <c r="P110" s="13">
        <f t="shared" si="3"/>
        <v>31326</v>
      </c>
      <c r="Q110" s="4">
        <f t="shared" si="9"/>
        <v>13.9</v>
      </c>
      <c r="R110" s="4">
        <f t="shared" si="9"/>
        <v>16.2</v>
      </c>
      <c r="S110" s="4">
        <f t="shared" si="9"/>
        <v>19.100000000000001</v>
      </c>
      <c r="T110" s="4">
        <f t="shared" si="9"/>
        <v>19.3</v>
      </c>
      <c r="U110" s="4">
        <f t="shared" si="9"/>
        <v>15</v>
      </c>
      <c r="V110" s="4">
        <f t="shared" si="9"/>
        <v>83.5</v>
      </c>
      <c r="W110" s="13">
        <f t="shared" si="4"/>
        <v>62020</v>
      </c>
    </row>
    <row r="111" spans="2:23" x14ac:dyDescent="0.2">
      <c r="B111" s="10" t="s">
        <v>46</v>
      </c>
      <c r="C111" s="4">
        <f t="shared" si="10"/>
        <v>16.600000000000001</v>
      </c>
      <c r="D111" s="4">
        <f t="shared" si="10"/>
        <v>17.399999999999999</v>
      </c>
      <c r="E111" s="4">
        <f t="shared" si="10"/>
        <v>19.100000000000001</v>
      </c>
      <c r="F111" s="4">
        <f t="shared" si="10"/>
        <v>18</v>
      </c>
      <c r="G111" s="4">
        <f t="shared" si="10"/>
        <v>13.7</v>
      </c>
      <c r="H111" s="4">
        <f t="shared" si="10"/>
        <v>84.9</v>
      </c>
      <c r="I111" s="13">
        <f t="shared" si="2"/>
        <v>296172</v>
      </c>
      <c r="J111" s="4">
        <f t="shared" si="8"/>
        <v>15.9</v>
      </c>
      <c r="K111" s="4">
        <f t="shared" si="8"/>
        <v>18.5</v>
      </c>
      <c r="L111" s="4">
        <f t="shared" si="8"/>
        <v>20.3</v>
      </c>
      <c r="M111" s="4">
        <f t="shared" si="8"/>
        <v>18.3</v>
      </c>
      <c r="N111" s="4">
        <f t="shared" si="8"/>
        <v>13.4</v>
      </c>
      <c r="O111" s="4">
        <f t="shared" si="8"/>
        <v>86.3</v>
      </c>
      <c r="P111" s="13">
        <f t="shared" si="3"/>
        <v>323992</v>
      </c>
      <c r="Q111" s="4">
        <f t="shared" si="9"/>
        <v>16.2</v>
      </c>
      <c r="R111" s="4">
        <f t="shared" si="9"/>
        <v>18</v>
      </c>
      <c r="S111" s="4">
        <f t="shared" si="9"/>
        <v>19.7</v>
      </c>
      <c r="T111" s="4">
        <f t="shared" si="9"/>
        <v>18.100000000000001</v>
      </c>
      <c r="U111" s="4">
        <f t="shared" si="9"/>
        <v>13.6</v>
      </c>
      <c r="V111" s="4">
        <f t="shared" si="9"/>
        <v>85.6</v>
      </c>
      <c r="W111" s="13">
        <f t="shared" si="4"/>
        <v>620164</v>
      </c>
    </row>
  </sheetData>
  <phoneticPr fontId="3" type="noConversion"/>
  <conditionalFormatting sqref="C5:Z39">
    <cfRule type="cellIs" dxfId="16" priority="1" operator="between">
      <formula>1</formula>
      <formula>2</formula>
    </cfRule>
  </conditionalFormatting>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BR111"/>
  <sheetViews>
    <sheetView topLeftCell="A16" workbookViewId="0">
      <selection activeCell="A2" sqref="A2"/>
    </sheetView>
  </sheetViews>
  <sheetFormatPr defaultColWidth="9.140625" defaultRowHeight="11.25" x14ac:dyDescent="0.2"/>
  <cols>
    <col min="1" max="1" width="9.140625" style="11"/>
    <col min="2" max="16384" width="9.140625" style="7"/>
  </cols>
  <sheetData>
    <row r="3" spans="2:26" x14ac:dyDescent="0.2">
      <c r="C3" s="7" t="s">
        <v>39</v>
      </c>
      <c r="I3" s="7" t="s">
        <v>40</v>
      </c>
      <c r="O3" s="7" t="s">
        <v>54</v>
      </c>
      <c r="U3" s="7" t="s">
        <v>41</v>
      </c>
      <c r="X3" s="7" t="s">
        <v>45</v>
      </c>
    </row>
    <row r="4" spans="2:26" x14ac:dyDescent="0.2">
      <c r="C4" s="7" t="s">
        <v>33</v>
      </c>
      <c r="D4" s="7" t="s">
        <v>34</v>
      </c>
      <c r="E4" s="7" t="s">
        <v>35</v>
      </c>
      <c r="F4" s="7" t="s">
        <v>36</v>
      </c>
      <c r="G4" s="7" t="s">
        <v>37</v>
      </c>
      <c r="H4" s="7" t="s">
        <v>38</v>
      </c>
      <c r="I4" s="7" t="s">
        <v>33</v>
      </c>
      <c r="J4" s="7" t="s">
        <v>34</v>
      </c>
      <c r="K4" s="7" t="s">
        <v>35</v>
      </c>
      <c r="L4" s="7" t="s">
        <v>36</v>
      </c>
      <c r="M4" s="7" t="s">
        <v>37</v>
      </c>
      <c r="N4" s="7" t="s">
        <v>38</v>
      </c>
      <c r="O4" s="7" t="s">
        <v>33</v>
      </c>
      <c r="P4" s="7" t="s">
        <v>34</v>
      </c>
      <c r="Q4" s="7" t="s">
        <v>35</v>
      </c>
      <c r="R4" s="7" t="s">
        <v>36</v>
      </c>
      <c r="S4" s="7" t="s">
        <v>37</v>
      </c>
      <c r="T4" s="7" t="s">
        <v>38</v>
      </c>
      <c r="U4" s="7" t="s">
        <v>42</v>
      </c>
      <c r="V4" s="7" t="s">
        <v>43</v>
      </c>
      <c r="W4" s="7" t="s">
        <v>44</v>
      </c>
      <c r="X4" s="7" t="s">
        <v>42</v>
      </c>
      <c r="Y4" s="7" t="s">
        <v>43</v>
      </c>
      <c r="Z4" s="7" t="s">
        <v>44</v>
      </c>
    </row>
    <row r="5" spans="2:26" x14ac:dyDescent="0.2">
      <c r="B5" s="7" t="s">
        <v>0</v>
      </c>
      <c r="C5" s="7">
        <v>2657</v>
      </c>
      <c r="D5" s="7">
        <v>3644</v>
      </c>
      <c r="E5" s="7">
        <v>3653</v>
      </c>
      <c r="F5" s="7">
        <v>3572</v>
      </c>
      <c r="G5" s="7">
        <v>3007</v>
      </c>
      <c r="H5" s="7">
        <v>2927</v>
      </c>
      <c r="I5" s="7">
        <v>4362</v>
      </c>
      <c r="J5" s="7">
        <v>5703</v>
      </c>
      <c r="K5" s="7">
        <v>5520</v>
      </c>
      <c r="L5" s="7">
        <v>4928</v>
      </c>
      <c r="M5" s="7">
        <v>3999</v>
      </c>
      <c r="N5" s="7">
        <v>3626</v>
      </c>
      <c r="O5" s="7">
        <v>7019</v>
      </c>
      <c r="P5" s="7">
        <v>9347</v>
      </c>
      <c r="Q5" s="7">
        <v>9173</v>
      </c>
      <c r="R5" s="7">
        <v>8500</v>
      </c>
      <c r="S5" s="7">
        <v>7006</v>
      </c>
      <c r="T5" s="7">
        <v>6553</v>
      </c>
      <c r="U5" s="7">
        <v>19460</v>
      </c>
      <c r="V5" s="7">
        <v>28138</v>
      </c>
      <c r="W5" s="7">
        <v>47598</v>
      </c>
      <c r="X5" s="7">
        <v>16533</v>
      </c>
      <c r="Y5" s="7">
        <v>24512</v>
      </c>
      <c r="Z5" s="7">
        <v>41045</v>
      </c>
    </row>
    <row r="6" spans="2:26" x14ac:dyDescent="0.2">
      <c r="B6" s="7" t="s">
        <v>1</v>
      </c>
      <c r="C6" s="7">
        <v>4296</v>
      </c>
      <c r="D6" s="7">
        <v>4217</v>
      </c>
      <c r="E6" s="7">
        <v>3620</v>
      </c>
      <c r="F6" s="7">
        <v>2998</v>
      </c>
      <c r="G6" s="7">
        <v>2453</v>
      </c>
      <c r="H6" s="7">
        <v>2697</v>
      </c>
      <c r="I6" s="7">
        <v>3488</v>
      </c>
      <c r="J6" s="7">
        <v>3510</v>
      </c>
      <c r="K6" s="7">
        <v>3065</v>
      </c>
      <c r="L6" s="7">
        <v>2395</v>
      </c>
      <c r="M6" s="7">
        <v>1887</v>
      </c>
      <c r="N6" s="7">
        <v>1803</v>
      </c>
      <c r="O6" s="7">
        <v>7784</v>
      </c>
      <c r="P6" s="7">
        <v>7727</v>
      </c>
      <c r="Q6" s="7">
        <v>6685</v>
      </c>
      <c r="R6" s="7">
        <v>5393</v>
      </c>
      <c r="S6" s="7">
        <v>4340</v>
      </c>
      <c r="T6" s="7">
        <v>4500</v>
      </c>
      <c r="U6" s="7">
        <v>20281</v>
      </c>
      <c r="V6" s="7">
        <v>16148</v>
      </c>
      <c r="W6" s="7">
        <v>36429</v>
      </c>
      <c r="X6" s="7">
        <v>17584</v>
      </c>
      <c r="Y6" s="7">
        <v>14345</v>
      </c>
      <c r="Z6" s="7">
        <v>31929</v>
      </c>
    </row>
    <row r="7" spans="2:26" x14ac:dyDescent="0.2">
      <c r="B7" s="7" t="s">
        <v>2</v>
      </c>
      <c r="C7" s="7">
        <v>4849</v>
      </c>
      <c r="D7" s="7">
        <v>4747</v>
      </c>
      <c r="E7" s="7">
        <v>4103</v>
      </c>
      <c r="F7" s="7">
        <v>3582</v>
      </c>
      <c r="G7" s="7">
        <v>2650</v>
      </c>
      <c r="H7" s="7">
        <v>2699</v>
      </c>
      <c r="I7" s="7">
        <v>1365</v>
      </c>
      <c r="J7" s="7">
        <v>1465</v>
      </c>
      <c r="K7" s="7">
        <v>1149</v>
      </c>
      <c r="L7" s="7">
        <v>913</v>
      </c>
      <c r="M7" s="7">
        <v>626</v>
      </c>
      <c r="N7" s="7">
        <v>629</v>
      </c>
      <c r="O7" s="7">
        <v>6214</v>
      </c>
      <c r="P7" s="7">
        <v>6212</v>
      </c>
      <c r="Q7" s="7">
        <v>5252</v>
      </c>
      <c r="R7" s="7">
        <v>4495</v>
      </c>
      <c r="S7" s="7">
        <v>3276</v>
      </c>
      <c r="T7" s="7">
        <v>3328</v>
      </c>
      <c r="U7" s="7">
        <v>22630</v>
      </c>
      <c r="V7" s="7">
        <v>6147</v>
      </c>
      <c r="W7" s="7">
        <v>28777</v>
      </c>
      <c r="X7" s="7">
        <v>19931</v>
      </c>
      <c r="Y7" s="7">
        <v>5518</v>
      </c>
      <c r="Z7" s="7">
        <v>25449</v>
      </c>
    </row>
    <row r="8" spans="2:26" x14ac:dyDescent="0.2">
      <c r="B8" s="7" t="s">
        <v>3</v>
      </c>
      <c r="C8" s="7">
        <v>292</v>
      </c>
      <c r="D8" s="7">
        <v>371</v>
      </c>
      <c r="E8" s="7">
        <v>528</v>
      </c>
      <c r="F8" s="7">
        <v>602</v>
      </c>
      <c r="G8" s="7">
        <v>448</v>
      </c>
      <c r="H8" s="7">
        <v>439</v>
      </c>
      <c r="I8" s="7">
        <v>174</v>
      </c>
      <c r="J8" s="7">
        <v>273</v>
      </c>
      <c r="K8" s="7">
        <v>313</v>
      </c>
      <c r="L8" s="7">
        <v>372</v>
      </c>
      <c r="M8" s="7">
        <v>264</v>
      </c>
      <c r="N8" s="7">
        <v>225</v>
      </c>
      <c r="O8" s="7">
        <v>466</v>
      </c>
      <c r="P8" s="7">
        <v>644</v>
      </c>
      <c r="Q8" s="7">
        <v>841</v>
      </c>
      <c r="R8" s="7">
        <v>974</v>
      </c>
      <c r="S8" s="7">
        <v>712</v>
      </c>
      <c r="T8" s="7">
        <v>664</v>
      </c>
      <c r="U8" s="7">
        <v>2680</v>
      </c>
      <c r="V8" s="7">
        <v>1621</v>
      </c>
      <c r="W8" s="7">
        <v>4301</v>
      </c>
      <c r="X8" s="7">
        <v>2241</v>
      </c>
      <c r="Y8" s="7">
        <v>1396</v>
      </c>
      <c r="Z8" s="7">
        <v>3637</v>
      </c>
    </row>
    <row r="9" spans="2:26" x14ac:dyDescent="0.2">
      <c r="B9" s="7" t="s">
        <v>4</v>
      </c>
      <c r="C9" s="7">
        <v>9297</v>
      </c>
      <c r="D9" s="7">
        <v>6898</v>
      </c>
      <c r="E9" s="7">
        <v>6032</v>
      </c>
      <c r="F9" s="7">
        <v>5245</v>
      </c>
      <c r="G9" s="7">
        <v>3977</v>
      </c>
      <c r="H9" s="7">
        <v>4565</v>
      </c>
      <c r="I9" s="7">
        <v>5064</v>
      </c>
      <c r="J9" s="7">
        <v>4264</v>
      </c>
      <c r="K9" s="7">
        <v>3695</v>
      </c>
      <c r="L9" s="7">
        <v>2960</v>
      </c>
      <c r="M9" s="7">
        <v>2058</v>
      </c>
      <c r="N9" s="7">
        <v>1995</v>
      </c>
      <c r="O9" s="7">
        <v>14361</v>
      </c>
      <c r="P9" s="7">
        <v>11162</v>
      </c>
      <c r="Q9" s="7">
        <v>9727</v>
      </c>
      <c r="R9" s="7">
        <v>8205</v>
      </c>
      <c r="S9" s="7">
        <v>6035</v>
      </c>
      <c r="T9" s="7">
        <v>6560</v>
      </c>
      <c r="U9" s="7">
        <v>36014</v>
      </c>
      <c r="V9" s="7">
        <v>20036</v>
      </c>
      <c r="W9" s="7">
        <v>56050</v>
      </c>
      <c r="X9" s="7">
        <v>31449</v>
      </c>
      <c r="Y9" s="7">
        <v>18041</v>
      </c>
      <c r="Z9" s="7">
        <v>49490</v>
      </c>
    </row>
    <row r="10" spans="2:26" x14ac:dyDescent="0.2">
      <c r="B10" s="7" t="s">
        <v>5</v>
      </c>
      <c r="C10" s="7">
        <v>1794</v>
      </c>
      <c r="D10" s="7">
        <v>776</v>
      </c>
      <c r="E10" s="7">
        <v>505</v>
      </c>
      <c r="F10" s="7">
        <v>310</v>
      </c>
      <c r="G10" s="7">
        <v>208</v>
      </c>
      <c r="H10" s="7">
        <v>163</v>
      </c>
      <c r="I10" s="7">
        <v>567</v>
      </c>
      <c r="J10" s="7">
        <v>267</v>
      </c>
      <c r="K10" s="7">
        <v>201</v>
      </c>
      <c r="L10" s="7">
        <v>108</v>
      </c>
      <c r="M10" s="7">
        <v>61</v>
      </c>
      <c r="N10" s="7">
        <v>39</v>
      </c>
      <c r="O10" s="7">
        <v>2361</v>
      </c>
      <c r="P10" s="7">
        <v>1043</v>
      </c>
      <c r="Q10" s="7">
        <v>706</v>
      </c>
      <c r="R10" s="7">
        <v>418</v>
      </c>
      <c r="S10" s="7">
        <v>269</v>
      </c>
      <c r="T10" s="7">
        <v>202</v>
      </c>
      <c r="U10" s="7">
        <v>3756</v>
      </c>
      <c r="V10" s="7">
        <v>1243</v>
      </c>
      <c r="W10" s="7">
        <v>4999</v>
      </c>
      <c r="X10" s="7">
        <v>3593</v>
      </c>
      <c r="Y10" s="7">
        <v>1204</v>
      </c>
      <c r="Z10" s="7">
        <v>4797</v>
      </c>
    </row>
    <row r="11" spans="2:26" x14ac:dyDescent="0.2">
      <c r="B11" s="7" t="s">
        <v>6</v>
      </c>
      <c r="C11" s="7">
        <v>888</v>
      </c>
      <c r="D11" s="7">
        <v>1035</v>
      </c>
      <c r="E11" s="7">
        <v>1661</v>
      </c>
      <c r="F11" s="7">
        <v>1647</v>
      </c>
      <c r="G11" s="7">
        <v>1098</v>
      </c>
      <c r="H11" s="7">
        <v>818</v>
      </c>
      <c r="I11" s="7">
        <v>306</v>
      </c>
      <c r="J11" s="7">
        <v>405</v>
      </c>
      <c r="K11" s="7">
        <v>656</v>
      </c>
      <c r="L11" s="7">
        <v>500</v>
      </c>
      <c r="M11" s="7">
        <v>284</v>
      </c>
      <c r="N11" s="7">
        <v>195</v>
      </c>
      <c r="O11" s="7">
        <v>1194</v>
      </c>
      <c r="P11" s="7">
        <v>1440</v>
      </c>
      <c r="Q11" s="7">
        <v>2317</v>
      </c>
      <c r="R11" s="7">
        <v>2147</v>
      </c>
      <c r="S11" s="7">
        <v>1382</v>
      </c>
      <c r="T11" s="7">
        <v>1013</v>
      </c>
      <c r="U11" s="7">
        <v>7147</v>
      </c>
      <c r="V11" s="7">
        <v>2346</v>
      </c>
      <c r="W11" s="7">
        <v>9493</v>
      </c>
      <c r="X11" s="7">
        <v>6329</v>
      </c>
      <c r="Y11" s="7">
        <v>2151</v>
      </c>
      <c r="Z11" s="7">
        <v>8480</v>
      </c>
    </row>
    <row r="12" spans="2:26" x14ac:dyDescent="0.2">
      <c r="B12" s="7" t="s">
        <v>168</v>
      </c>
      <c r="C12" s="7">
        <v>866</v>
      </c>
      <c r="D12" s="7">
        <v>1076</v>
      </c>
      <c r="E12" s="7">
        <v>1519</v>
      </c>
      <c r="F12" s="7">
        <v>1671</v>
      </c>
      <c r="G12" s="7">
        <v>1452</v>
      </c>
      <c r="H12" s="7">
        <v>1991</v>
      </c>
      <c r="I12" s="7">
        <v>94</v>
      </c>
      <c r="J12" s="7">
        <v>183</v>
      </c>
      <c r="K12" s="7">
        <v>245</v>
      </c>
      <c r="L12" s="7">
        <v>328</v>
      </c>
      <c r="M12" s="7">
        <v>300</v>
      </c>
      <c r="N12" s="7">
        <v>393</v>
      </c>
      <c r="O12" s="7">
        <v>960</v>
      </c>
      <c r="P12" s="7">
        <v>1259</v>
      </c>
      <c r="Q12" s="7">
        <v>1764</v>
      </c>
      <c r="R12" s="7">
        <v>1999</v>
      </c>
      <c r="S12" s="7">
        <v>1752</v>
      </c>
      <c r="T12" s="7">
        <v>2384</v>
      </c>
      <c r="U12" s="7">
        <v>8575</v>
      </c>
      <c r="V12" s="7">
        <v>1543</v>
      </c>
      <c r="W12" s="7">
        <v>10118</v>
      </c>
      <c r="X12" s="7">
        <v>6584</v>
      </c>
      <c r="Y12" s="7">
        <v>1150</v>
      </c>
      <c r="Z12" s="7">
        <v>7734</v>
      </c>
    </row>
    <row r="13" spans="2:26" x14ac:dyDescent="0.2">
      <c r="B13" s="7" t="s">
        <v>8</v>
      </c>
      <c r="C13" s="7">
        <v>0</v>
      </c>
      <c r="D13" s="7">
        <v>0</v>
      </c>
      <c r="E13" s="7">
        <v>0</v>
      </c>
      <c r="F13" s="7">
        <v>0</v>
      </c>
      <c r="G13" s="7">
        <v>0</v>
      </c>
      <c r="H13" s="7">
        <v>0</v>
      </c>
      <c r="I13" s="7">
        <v>0</v>
      </c>
      <c r="J13" s="7">
        <v>0</v>
      </c>
      <c r="K13" s="7">
        <v>0</v>
      </c>
      <c r="L13" s="7">
        <v>0</v>
      </c>
      <c r="M13" s="7">
        <v>0</v>
      </c>
      <c r="N13" s="7">
        <v>0</v>
      </c>
      <c r="O13" s="7">
        <v>0</v>
      </c>
      <c r="P13" s="7">
        <v>0</v>
      </c>
      <c r="Q13" s="7">
        <v>0</v>
      </c>
      <c r="R13" s="7">
        <v>0</v>
      </c>
      <c r="S13" s="7">
        <v>0</v>
      </c>
      <c r="T13" s="7">
        <v>0</v>
      </c>
      <c r="U13" s="7">
        <v>0</v>
      </c>
      <c r="V13" s="7">
        <v>0</v>
      </c>
      <c r="W13" s="7">
        <v>0</v>
      </c>
      <c r="X13" s="7">
        <v>0</v>
      </c>
      <c r="Y13" s="7">
        <v>0</v>
      </c>
      <c r="Z13" s="7">
        <v>0</v>
      </c>
    </row>
    <row r="14" spans="2:26" x14ac:dyDescent="0.2">
      <c r="B14" s="7" t="s">
        <v>9</v>
      </c>
      <c r="C14" s="7">
        <v>2</v>
      </c>
      <c r="D14" s="7">
        <v>5</v>
      </c>
      <c r="E14" s="7">
        <v>13</v>
      </c>
      <c r="F14" s="7">
        <v>18</v>
      </c>
      <c r="G14" s="7">
        <v>18</v>
      </c>
      <c r="H14" s="7">
        <v>31</v>
      </c>
      <c r="I14" s="7">
        <v>195</v>
      </c>
      <c r="J14" s="7">
        <v>269</v>
      </c>
      <c r="K14" s="7">
        <v>347</v>
      </c>
      <c r="L14" s="7">
        <v>384</v>
      </c>
      <c r="M14" s="7">
        <v>272</v>
      </c>
      <c r="N14" s="7">
        <v>257</v>
      </c>
      <c r="O14" s="7">
        <v>197</v>
      </c>
      <c r="P14" s="7">
        <v>274</v>
      </c>
      <c r="Q14" s="7">
        <v>360</v>
      </c>
      <c r="R14" s="7">
        <v>402</v>
      </c>
      <c r="S14" s="7">
        <v>290</v>
      </c>
      <c r="T14" s="7">
        <v>288</v>
      </c>
      <c r="U14" s="7">
        <v>87</v>
      </c>
      <c r="V14" s="7">
        <v>1724</v>
      </c>
      <c r="W14" s="7">
        <v>1811</v>
      </c>
      <c r="X14" s="7">
        <v>56</v>
      </c>
      <c r="Y14" s="7">
        <v>1467</v>
      </c>
      <c r="Z14" s="7">
        <v>1523</v>
      </c>
    </row>
    <row r="15" spans="2:26" x14ac:dyDescent="0.2">
      <c r="B15" s="7" t="s">
        <v>10</v>
      </c>
      <c r="C15" s="7">
        <v>111</v>
      </c>
      <c r="D15" s="7">
        <v>162</v>
      </c>
      <c r="E15" s="7">
        <v>145</v>
      </c>
      <c r="F15" s="7">
        <v>154</v>
      </c>
      <c r="G15" s="7">
        <v>176</v>
      </c>
      <c r="H15" s="7">
        <v>436</v>
      </c>
      <c r="I15" s="7">
        <v>64</v>
      </c>
      <c r="J15" s="7">
        <v>109</v>
      </c>
      <c r="K15" s="7">
        <v>114</v>
      </c>
      <c r="L15" s="7">
        <v>101</v>
      </c>
      <c r="M15" s="7">
        <v>95</v>
      </c>
      <c r="N15" s="7">
        <v>256</v>
      </c>
      <c r="O15" s="7">
        <v>175</v>
      </c>
      <c r="P15" s="7">
        <v>271</v>
      </c>
      <c r="Q15" s="7">
        <v>259</v>
      </c>
      <c r="R15" s="7">
        <v>255</v>
      </c>
      <c r="S15" s="7">
        <v>271</v>
      </c>
      <c r="T15" s="7">
        <v>692</v>
      </c>
      <c r="U15" s="7">
        <v>1184</v>
      </c>
      <c r="V15" s="7">
        <v>739</v>
      </c>
      <c r="W15" s="7">
        <v>1923</v>
      </c>
      <c r="X15" s="7">
        <v>748</v>
      </c>
      <c r="Y15" s="7">
        <v>483</v>
      </c>
      <c r="Z15" s="7">
        <v>1231</v>
      </c>
    </row>
    <row r="16" spans="2:26" x14ac:dyDescent="0.2">
      <c r="B16" s="7" t="s">
        <v>11</v>
      </c>
      <c r="C16" s="7">
        <v>1047</v>
      </c>
      <c r="D16" s="7">
        <v>2840</v>
      </c>
      <c r="E16" s="7">
        <v>3523</v>
      </c>
      <c r="F16" s="7">
        <v>3192</v>
      </c>
      <c r="G16" s="7">
        <v>2204</v>
      </c>
      <c r="H16" s="7">
        <v>2046</v>
      </c>
      <c r="I16" s="7">
        <v>1005</v>
      </c>
      <c r="J16" s="7">
        <v>2537</v>
      </c>
      <c r="K16" s="7">
        <v>2961</v>
      </c>
      <c r="L16" s="7">
        <v>2599</v>
      </c>
      <c r="M16" s="7">
        <v>1688</v>
      </c>
      <c r="N16" s="7">
        <v>1671</v>
      </c>
      <c r="O16" s="7">
        <v>2052</v>
      </c>
      <c r="P16" s="7">
        <v>5377</v>
      </c>
      <c r="Q16" s="7">
        <v>6484</v>
      </c>
      <c r="R16" s="7">
        <v>5791</v>
      </c>
      <c r="S16" s="7">
        <v>3892</v>
      </c>
      <c r="T16" s="7">
        <v>3717</v>
      </c>
      <c r="U16" s="7">
        <v>14852</v>
      </c>
      <c r="V16" s="7">
        <v>12461</v>
      </c>
      <c r="W16" s="7">
        <v>27313</v>
      </c>
      <c r="X16" s="7">
        <v>12806</v>
      </c>
      <c r="Y16" s="7">
        <v>10790</v>
      </c>
      <c r="Z16" s="7">
        <v>23596</v>
      </c>
    </row>
    <row r="17" spans="2:26" x14ac:dyDescent="0.2">
      <c r="B17" s="7" t="s">
        <v>12</v>
      </c>
      <c r="C17" s="7">
        <v>2055</v>
      </c>
      <c r="D17" s="7">
        <v>2174</v>
      </c>
      <c r="E17" s="7">
        <v>2370</v>
      </c>
      <c r="F17" s="7">
        <v>2301</v>
      </c>
      <c r="G17" s="7">
        <v>1730</v>
      </c>
      <c r="H17" s="7">
        <v>2042</v>
      </c>
      <c r="I17" s="7">
        <v>1070</v>
      </c>
      <c r="J17" s="7">
        <v>1146</v>
      </c>
      <c r="K17" s="7">
        <v>1234</v>
      </c>
      <c r="L17" s="7">
        <v>1190</v>
      </c>
      <c r="M17" s="7">
        <v>955</v>
      </c>
      <c r="N17" s="7">
        <v>1117</v>
      </c>
      <c r="O17" s="7">
        <v>3125</v>
      </c>
      <c r="P17" s="7">
        <v>3320</v>
      </c>
      <c r="Q17" s="7">
        <v>3604</v>
      </c>
      <c r="R17" s="7">
        <v>3491</v>
      </c>
      <c r="S17" s="7">
        <v>2685</v>
      </c>
      <c r="T17" s="7">
        <v>3159</v>
      </c>
      <c r="U17" s="7">
        <v>12672</v>
      </c>
      <c r="V17" s="7">
        <v>6712</v>
      </c>
      <c r="W17" s="7">
        <v>19384</v>
      </c>
      <c r="X17" s="7">
        <v>10630</v>
      </c>
      <c r="Y17" s="7">
        <v>5595</v>
      </c>
      <c r="Z17" s="7">
        <v>16225</v>
      </c>
    </row>
    <row r="18" spans="2:26" x14ac:dyDescent="0.2">
      <c r="B18" s="7" t="s">
        <v>13</v>
      </c>
      <c r="C18" s="7">
        <v>2121</v>
      </c>
      <c r="D18" s="7">
        <v>4144</v>
      </c>
      <c r="E18" s="7">
        <v>4844</v>
      </c>
      <c r="F18" s="7">
        <v>4266</v>
      </c>
      <c r="G18" s="7">
        <v>3101</v>
      </c>
      <c r="H18" s="7">
        <v>2388</v>
      </c>
      <c r="I18" s="7">
        <v>2397</v>
      </c>
      <c r="J18" s="7">
        <v>4063</v>
      </c>
      <c r="K18" s="7">
        <v>4036</v>
      </c>
      <c r="L18" s="7">
        <v>3050</v>
      </c>
      <c r="M18" s="7">
        <v>2017</v>
      </c>
      <c r="N18" s="7">
        <v>1552</v>
      </c>
      <c r="O18" s="7">
        <v>4518</v>
      </c>
      <c r="P18" s="7">
        <v>8207</v>
      </c>
      <c r="Q18" s="7">
        <v>8880</v>
      </c>
      <c r="R18" s="7">
        <v>7316</v>
      </c>
      <c r="S18" s="7">
        <v>5118</v>
      </c>
      <c r="T18" s="7">
        <v>3940</v>
      </c>
      <c r="U18" s="7">
        <v>20864</v>
      </c>
      <c r="V18" s="7">
        <v>17115</v>
      </c>
      <c r="W18" s="7">
        <v>37979</v>
      </c>
      <c r="X18" s="7">
        <v>18476</v>
      </c>
      <c r="Y18" s="7">
        <v>15563</v>
      </c>
      <c r="Z18" s="7">
        <v>34039</v>
      </c>
    </row>
    <row r="19" spans="2:26" x14ac:dyDescent="0.2">
      <c r="B19" s="7" t="s">
        <v>14</v>
      </c>
      <c r="C19" s="7">
        <v>757</v>
      </c>
      <c r="D19" s="7">
        <v>1188</v>
      </c>
      <c r="E19" s="7">
        <v>1129</v>
      </c>
      <c r="F19" s="7">
        <v>849</v>
      </c>
      <c r="G19" s="7">
        <v>507</v>
      </c>
      <c r="H19" s="7">
        <v>442</v>
      </c>
      <c r="I19" s="7">
        <v>516</v>
      </c>
      <c r="J19" s="7">
        <v>870</v>
      </c>
      <c r="K19" s="7">
        <v>741</v>
      </c>
      <c r="L19" s="7">
        <v>642</v>
      </c>
      <c r="M19" s="7">
        <v>350</v>
      </c>
      <c r="N19" s="7">
        <v>341</v>
      </c>
      <c r="O19" s="7">
        <v>1273</v>
      </c>
      <c r="P19" s="7">
        <v>2058</v>
      </c>
      <c r="Q19" s="7">
        <v>1870</v>
      </c>
      <c r="R19" s="7">
        <v>1491</v>
      </c>
      <c r="S19" s="7">
        <v>857</v>
      </c>
      <c r="T19" s="7">
        <v>783</v>
      </c>
      <c r="U19" s="7">
        <v>4872</v>
      </c>
      <c r="V19" s="7">
        <v>3460</v>
      </c>
      <c r="W19" s="7">
        <v>8332</v>
      </c>
      <c r="X19" s="7">
        <v>4430</v>
      </c>
      <c r="Y19" s="7">
        <v>3119</v>
      </c>
      <c r="Z19" s="7">
        <v>7549</v>
      </c>
    </row>
    <row r="20" spans="2:26" x14ac:dyDescent="0.2">
      <c r="B20" s="7" t="s">
        <v>15</v>
      </c>
      <c r="C20" s="7">
        <v>2533</v>
      </c>
      <c r="D20" s="7">
        <v>3177</v>
      </c>
      <c r="E20" s="7">
        <v>3437</v>
      </c>
      <c r="F20" s="7">
        <v>2967</v>
      </c>
      <c r="G20" s="7">
        <v>2105</v>
      </c>
      <c r="H20" s="7">
        <v>2047</v>
      </c>
      <c r="I20" s="7">
        <v>2837</v>
      </c>
      <c r="J20" s="7">
        <v>3669</v>
      </c>
      <c r="K20" s="7">
        <v>4069</v>
      </c>
      <c r="L20" s="7">
        <v>3760</v>
      </c>
      <c r="M20" s="7">
        <v>2691</v>
      </c>
      <c r="N20" s="7">
        <v>2786</v>
      </c>
      <c r="O20" s="7">
        <v>5370</v>
      </c>
      <c r="P20" s="7">
        <v>6846</v>
      </c>
      <c r="Q20" s="7">
        <v>7506</v>
      </c>
      <c r="R20" s="7">
        <v>6727</v>
      </c>
      <c r="S20" s="7">
        <v>4796</v>
      </c>
      <c r="T20" s="7">
        <v>4833</v>
      </c>
      <c r="U20" s="7">
        <v>16266</v>
      </c>
      <c r="V20" s="7">
        <v>19812</v>
      </c>
      <c r="W20" s="7">
        <v>36078</v>
      </c>
      <c r="X20" s="7">
        <v>14219</v>
      </c>
      <c r="Y20" s="7">
        <v>17026</v>
      </c>
      <c r="Z20" s="7">
        <v>31245</v>
      </c>
    </row>
    <row r="21" spans="2:26" x14ac:dyDescent="0.2">
      <c r="B21" s="7" t="s">
        <v>16</v>
      </c>
      <c r="C21" s="7">
        <v>347</v>
      </c>
      <c r="D21" s="7">
        <v>340</v>
      </c>
      <c r="E21" s="7">
        <v>515</v>
      </c>
      <c r="F21" s="7">
        <v>481</v>
      </c>
      <c r="G21" s="7">
        <v>430</v>
      </c>
      <c r="H21" s="7">
        <v>887</v>
      </c>
      <c r="I21" s="7">
        <v>481</v>
      </c>
      <c r="J21" s="7">
        <v>551</v>
      </c>
      <c r="K21" s="7">
        <v>724</v>
      </c>
      <c r="L21" s="7">
        <v>734</v>
      </c>
      <c r="M21" s="7">
        <v>664</v>
      </c>
      <c r="N21" s="7">
        <v>1099</v>
      </c>
      <c r="O21" s="7">
        <v>828</v>
      </c>
      <c r="P21" s="7">
        <v>891</v>
      </c>
      <c r="Q21" s="7">
        <v>1239</v>
      </c>
      <c r="R21" s="7">
        <v>1215</v>
      </c>
      <c r="S21" s="7">
        <v>1094</v>
      </c>
      <c r="T21" s="7">
        <v>1986</v>
      </c>
      <c r="U21" s="7">
        <v>3000</v>
      </c>
      <c r="V21" s="7">
        <v>4253</v>
      </c>
      <c r="W21" s="7">
        <v>7253</v>
      </c>
      <c r="X21" s="7">
        <v>2113</v>
      </c>
      <c r="Y21" s="7">
        <v>3154</v>
      </c>
      <c r="Z21" s="7">
        <v>5267</v>
      </c>
    </row>
    <row r="22" spans="2:26" x14ac:dyDescent="0.2">
      <c r="B22" s="7" t="s">
        <v>17</v>
      </c>
      <c r="C22" s="7">
        <v>408</v>
      </c>
      <c r="D22" s="7">
        <v>704</v>
      </c>
      <c r="E22" s="7">
        <v>987</v>
      </c>
      <c r="F22" s="7">
        <v>961</v>
      </c>
      <c r="G22" s="7">
        <v>900</v>
      </c>
      <c r="H22" s="7">
        <v>1510</v>
      </c>
      <c r="I22" s="7">
        <v>2060</v>
      </c>
      <c r="J22" s="7">
        <v>3294</v>
      </c>
      <c r="K22" s="7">
        <v>3322</v>
      </c>
      <c r="L22" s="7">
        <v>3068</v>
      </c>
      <c r="M22" s="7">
        <v>2218</v>
      </c>
      <c r="N22" s="7">
        <v>2830</v>
      </c>
      <c r="O22" s="7">
        <v>2468</v>
      </c>
      <c r="P22" s="7">
        <v>3998</v>
      </c>
      <c r="Q22" s="7">
        <v>4309</v>
      </c>
      <c r="R22" s="7">
        <v>4029</v>
      </c>
      <c r="S22" s="7">
        <v>3118</v>
      </c>
      <c r="T22" s="7">
        <v>4340</v>
      </c>
      <c r="U22" s="7">
        <v>5470</v>
      </c>
      <c r="V22" s="7">
        <v>16792</v>
      </c>
      <c r="W22" s="7">
        <v>22262</v>
      </c>
      <c r="X22" s="7">
        <v>3960</v>
      </c>
      <c r="Y22" s="7">
        <v>13962</v>
      </c>
      <c r="Z22" s="7">
        <v>17922</v>
      </c>
    </row>
    <row r="23" spans="2:26" x14ac:dyDescent="0.2">
      <c r="B23" s="7" t="s">
        <v>18</v>
      </c>
      <c r="C23" s="7">
        <v>495</v>
      </c>
      <c r="D23" s="7">
        <v>783</v>
      </c>
      <c r="E23" s="7">
        <v>809</v>
      </c>
      <c r="F23" s="7">
        <v>892</v>
      </c>
      <c r="G23" s="7">
        <v>823</v>
      </c>
      <c r="H23" s="7">
        <v>1559</v>
      </c>
      <c r="I23" s="7">
        <v>2148</v>
      </c>
      <c r="J23" s="7">
        <v>3025</v>
      </c>
      <c r="K23" s="7">
        <v>2839</v>
      </c>
      <c r="L23" s="7">
        <v>2776</v>
      </c>
      <c r="M23" s="7">
        <v>2452</v>
      </c>
      <c r="N23" s="7">
        <v>3697</v>
      </c>
      <c r="O23" s="7">
        <v>2643</v>
      </c>
      <c r="P23" s="7">
        <v>3808</v>
      </c>
      <c r="Q23" s="7">
        <v>3648</v>
      </c>
      <c r="R23" s="7">
        <v>3668</v>
      </c>
      <c r="S23" s="7">
        <v>3275</v>
      </c>
      <c r="T23" s="7">
        <v>5256</v>
      </c>
      <c r="U23" s="7">
        <v>5361</v>
      </c>
      <c r="V23" s="7">
        <v>16937</v>
      </c>
      <c r="W23" s="7">
        <v>22298</v>
      </c>
      <c r="X23" s="7">
        <v>3802</v>
      </c>
      <c r="Y23" s="7">
        <v>13240</v>
      </c>
      <c r="Z23" s="7">
        <v>17042</v>
      </c>
    </row>
    <row r="24" spans="2:26" x14ac:dyDescent="0.2">
      <c r="B24" s="7" t="s">
        <v>19</v>
      </c>
      <c r="C24" s="7">
        <v>104</v>
      </c>
      <c r="D24" s="7">
        <v>144</v>
      </c>
      <c r="E24" s="7">
        <v>144</v>
      </c>
      <c r="F24" s="7">
        <v>117</v>
      </c>
      <c r="G24" s="7">
        <v>109</v>
      </c>
      <c r="H24" s="7">
        <v>178</v>
      </c>
      <c r="I24" s="7">
        <v>135</v>
      </c>
      <c r="J24" s="7">
        <v>127</v>
      </c>
      <c r="K24" s="7">
        <v>154</v>
      </c>
      <c r="L24" s="7">
        <v>144</v>
      </c>
      <c r="M24" s="7">
        <v>117</v>
      </c>
      <c r="N24" s="7">
        <v>184</v>
      </c>
      <c r="O24" s="7">
        <v>239</v>
      </c>
      <c r="P24" s="7">
        <v>271</v>
      </c>
      <c r="Q24" s="7">
        <v>298</v>
      </c>
      <c r="R24" s="7">
        <v>261</v>
      </c>
      <c r="S24" s="7">
        <v>226</v>
      </c>
      <c r="T24" s="7">
        <v>362</v>
      </c>
      <c r="U24" s="7">
        <v>796</v>
      </c>
      <c r="V24" s="7">
        <v>861</v>
      </c>
      <c r="W24" s="7">
        <v>1657</v>
      </c>
      <c r="X24" s="7">
        <v>618</v>
      </c>
      <c r="Y24" s="7">
        <v>677</v>
      </c>
      <c r="Z24" s="7">
        <v>1295</v>
      </c>
    </row>
    <row r="25" spans="2:26" x14ac:dyDescent="0.2">
      <c r="B25" s="7" t="s">
        <v>20</v>
      </c>
      <c r="C25" s="7">
        <v>2203</v>
      </c>
      <c r="D25" s="7">
        <v>2247</v>
      </c>
      <c r="E25" s="7">
        <v>2809</v>
      </c>
      <c r="F25" s="7">
        <v>2558</v>
      </c>
      <c r="G25" s="7">
        <v>1506</v>
      </c>
      <c r="H25" s="7">
        <v>1195</v>
      </c>
      <c r="I25" s="7">
        <v>4058</v>
      </c>
      <c r="J25" s="7">
        <v>4030</v>
      </c>
      <c r="K25" s="7">
        <v>4625</v>
      </c>
      <c r="L25" s="7">
        <v>3520</v>
      </c>
      <c r="M25" s="7">
        <v>1822</v>
      </c>
      <c r="N25" s="7">
        <v>1169</v>
      </c>
      <c r="O25" s="7">
        <v>6261</v>
      </c>
      <c r="P25" s="7">
        <v>6277</v>
      </c>
      <c r="Q25" s="7">
        <v>7434</v>
      </c>
      <c r="R25" s="7">
        <v>6078</v>
      </c>
      <c r="S25" s="7">
        <v>3328</v>
      </c>
      <c r="T25" s="7">
        <v>2364</v>
      </c>
      <c r="U25" s="7">
        <v>12518</v>
      </c>
      <c r="V25" s="7">
        <v>19224</v>
      </c>
      <c r="W25" s="7">
        <v>31742</v>
      </c>
      <c r="X25" s="7">
        <v>11323</v>
      </c>
      <c r="Y25" s="7">
        <v>18055</v>
      </c>
      <c r="Z25" s="7">
        <v>29378</v>
      </c>
    </row>
    <row r="26" spans="2:26" x14ac:dyDescent="0.2">
      <c r="B26" s="7" t="s">
        <v>21</v>
      </c>
      <c r="C26" s="7">
        <v>233</v>
      </c>
      <c r="D26" s="7">
        <v>315</v>
      </c>
      <c r="E26" s="7">
        <v>445</v>
      </c>
      <c r="F26" s="7">
        <v>485</v>
      </c>
      <c r="G26" s="7">
        <v>401</v>
      </c>
      <c r="H26" s="7">
        <v>453</v>
      </c>
      <c r="I26" s="7">
        <v>818</v>
      </c>
      <c r="J26" s="7">
        <v>1015</v>
      </c>
      <c r="K26" s="7">
        <v>1386</v>
      </c>
      <c r="L26" s="7">
        <v>1342</v>
      </c>
      <c r="M26" s="7">
        <v>1048</v>
      </c>
      <c r="N26" s="7">
        <v>813</v>
      </c>
      <c r="O26" s="7">
        <v>1051</v>
      </c>
      <c r="P26" s="7">
        <v>1330</v>
      </c>
      <c r="Q26" s="7">
        <v>1831</v>
      </c>
      <c r="R26" s="7">
        <v>1827</v>
      </c>
      <c r="S26" s="7">
        <v>1449</v>
      </c>
      <c r="T26" s="7">
        <v>1266</v>
      </c>
      <c r="U26" s="7">
        <v>2332</v>
      </c>
      <c r="V26" s="7">
        <v>6422</v>
      </c>
      <c r="W26" s="7">
        <v>8754</v>
      </c>
      <c r="X26" s="7">
        <v>1879</v>
      </c>
      <c r="Y26" s="7">
        <v>5609</v>
      </c>
      <c r="Z26" s="7">
        <v>7488</v>
      </c>
    </row>
    <row r="27" spans="2:26" x14ac:dyDescent="0.2">
      <c r="B27" s="7" t="s">
        <v>22</v>
      </c>
      <c r="C27" s="7">
        <v>3761</v>
      </c>
      <c r="D27" s="7">
        <v>4704</v>
      </c>
      <c r="E27" s="7">
        <v>5600</v>
      </c>
      <c r="F27" s="7">
        <v>5238</v>
      </c>
      <c r="G27" s="7">
        <v>3427</v>
      </c>
      <c r="H27" s="7">
        <v>2218</v>
      </c>
      <c r="I27" s="7">
        <v>7979</v>
      </c>
      <c r="J27" s="7">
        <v>10641</v>
      </c>
      <c r="K27" s="7">
        <v>12920</v>
      </c>
      <c r="L27" s="7">
        <v>12118</v>
      </c>
      <c r="M27" s="7">
        <v>7903</v>
      </c>
      <c r="N27" s="7">
        <v>4150</v>
      </c>
      <c r="O27" s="7">
        <v>11740</v>
      </c>
      <c r="P27" s="7">
        <v>15345</v>
      </c>
      <c r="Q27" s="7">
        <v>18520</v>
      </c>
      <c r="R27" s="7">
        <v>17356</v>
      </c>
      <c r="S27" s="7">
        <v>11330</v>
      </c>
      <c r="T27" s="7">
        <v>6368</v>
      </c>
      <c r="U27" s="7">
        <v>24948</v>
      </c>
      <c r="V27" s="7">
        <v>55711</v>
      </c>
      <c r="W27" s="7">
        <v>80659</v>
      </c>
      <c r="X27" s="7">
        <v>22730</v>
      </c>
      <c r="Y27" s="7">
        <v>51561</v>
      </c>
      <c r="Z27" s="7">
        <v>74291</v>
      </c>
    </row>
    <row r="28" spans="2:26" x14ac:dyDescent="0.2">
      <c r="B28" s="7" t="s">
        <v>51</v>
      </c>
      <c r="C28" s="7">
        <v>369</v>
      </c>
      <c r="D28" s="7">
        <v>622</v>
      </c>
      <c r="E28" s="7">
        <v>1118</v>
      </c>
      <c r="F28" s="7">
        <v>963</v>
      </c>
      <c r="G28" s="7">
        <v>542</v>
      </c>
      <c r="H28" s="7">
        <v>313</v>
      </c>
      <c r="I28" s="7">
        <v>565</v>
      </c>
      <c r="J28" s="7">
        <v>922</v>
      </c>
      <c r="K28" s="7">
        <v>1449</v>
      </c>
      <c r="L28" s="7">
        <v>1249</v>
      </c>
      <c r="M28" s="7">
        <v>557</v>
      </c>
      <c r="N28" s="7">
        <v>285</v>
      </c>
      <c r="O28" s="7">
        <v>934</v>
      </c>
      <c r="P28" s="7">
        <v>1544</v>
      </c>
      <c r="Q28" s="7">
        <v>2567</v>
      </c>
      <c r="R28" s="7">
        <v>2212</v>
      </c>
      <c r="S28" s="7">
        <v>1099</v>
      </c>
      <c r="T28" s="7">
        <v>598</v>
      </c>
      <c r="U28" s="7">
        <v>3927</v>
      </c>
      <c r="V28" s="7">
        <v>5027</v>
      </c>
      <c r="W28" s="7">
        <v>8954</v>
      </c>
      <c r="X28" s="7">
        <v>3614</v>
      </c>
      <c r="Y28" s="7">
        <v>4742</v>
      </c>
      <c r="Z28" s="7">
        <v>8356</v>
      </c>
    </row>
    <row r="29" spans="2:26" x14ac:dyDescent="0.2">
      <c r="B29" s="7" t="s">
        <v>23</v>
      </c>
      <c r="C29" s="7">
        <v>199</v>
      </c>
      <c r="D29" s="7">
        <v>391</v>
      </c>
      <c r="E29" s="7">
        <v>525</v>
      </c>
      <c r="F29" s="7">
        <v>499</v>
      </c>
      <c r="G29" s="7">
        <v>355</v>
      </c>
      <c r="H29" s="7">
        <v>584</v>
      </c>
      <c r="I29" s="7">
        <v>539</v>
      </c>
      <c r="J29" s="7">
        <v>1075</v>
      </c>
      <c r="K29" s="7">
        <v>1341</v>
      </c>
      <c r="L29" s="7">
        <v>932</v>
      </c>
      <c r="M29" s="7">
        <v>534</v>
      </c>
      <c r="N29" s="7">
        <v>599</v>
      </c>
      <c r="O29" s="7">
        <v>738</v>
      </c>
      <c r="P29" s="7">
        <v>1466</v>
      </c>
      <c r="Q29" s="7">
        <v>1866</v>
      </c>
      <c r="R29" s="7">
        <v>1431</v>
      </c>
      <c r="S29" s="7">
        <v>889</v>
      </c>
      <c r="T29" s="7">
        <v>1183</v>
      </c>
      <c r="U29" s="7">
        <v>2553</v>
      </c>
      <c r="V29" s="7">
        <v>5020</v>
      </c>
      <c r="W29" s="7">
        <v>7573</v>
      </c>
      <c r="X29" s="7">
        <v>1969</v>
      </c>
      <c r="Y29" s="7">
        <v>4421</v>
      </c>
      <c r="Z29" s="7">
        <v>6390</v>
      </c>
    </row>
    <row r="30" spans="2:26" x14ac:dyDescent="0.2">
      <c r="B30" s="7" t="s">
        <v>24</v>
      </c>
      <c r="C30" s="7">
        <v>1379</v>
      </c>
      <c r="D30" s="7">
        <v>1291</v>
      </c>
      <c r="E30" s="7">
        <v>1236</v>
      </c>
      <c r="F30" s="7">
        <v>1080</v>
      </c>
      <c r="G30" s="7">
        <v>772</v>
      </c>
      <c r="H30" s="7">
        <v>655</v>
      </c>
      <c r="I30" s="7">
        <v>2937</v>
      </c>
      <c r="J30" s="7">
        <v>3011</v>
      </c>
      <c r="K30" s="7">
        <v>3002</v>
      </c>
      <c r="L30" s="7">
        <v>2540</v>
      </c>
      <c r="M30" s="7">
        <v>1878</v>
      </c>
      <c r="N30" s="7">
        <v>1583</v>
      </c>
      <c r="O30" s="7">
        <v>4316</v>
      </c>
      <c r="P30" s="7">
        <v>4302</v>
      </c>
      <c r="Q30" s="7">
        <v>4238</v>
      </c>
      <c r="R30" s="7">
        <v>3620</v>
      </c>
      <c r="S30" s="7">
        <v>2650</v>
      </c>
      <c r="T30" s="7">
        <v>2238</v>
      </c>
      <c r="U30" s="7">
        <v>6413</v>
      </c>
      <c r="V30" s="7">
        <v>14951</v>
      </c>
      <c r="W30" s="7">
        <v>21364</v>
      </c>
      <c r="X30" s="7">
        <v>5758</v>
      </c>
      <c r="Y30" s="7">
        <v>13368</v>
      </c>
      <c r="Z30" s="7">
        <v>19126</v>
      </c>
    </row>
    <row r="31" spans="2:26" x14ac:dyDescent="0.2">
      <c r="B31" s="7" t="s">
        <v>25</v>
      </c>
      <c r="C31" s="7">
        <v>769</v>
      </c>
      <c r="D31" s="7">
        <v>520</v>
      </c>
      <c r="E31" s="7">
        <v>495</v>
      </c>
      <c r="F31" s="7">
        <v>449</v>
      </c>
      <c r="G31" s="7">
        <v>329</v>
      </c>
      <c r="H31" s="7">
        <v>283</v>
      </c>
      <c r="I31" s="7">
        <v>1330</v>
      </c>
      <c r="J31" s="7">
        <v>1182</v>
      </c>
      <c r="K31" s="7">
        <v>1157</v>
      </c>
      <c r="L31" s="7">
        <v>1077</v>
      </c>
      <c r="M31" s="7">
        <v>804</v>
      </c>
      <c r="N31" s="7">
        <v>589</v>
      </c>
      <c r="O31" s="7">
        <v>2099</v>
      </c>
      <c r="P31" s="7">
        <v>1702</v>
      </c>
      <c r="Q31" s="7">
        <v>1652</v>
      </c>
      <c r="R31" s="7">
        <v>1526</v>
      </c>
      <c r="S31" s="7">
        <v>1133</v>
      </c>
      <c r="T31" s="7">
        <v>872</v>
      </c>
      <c r="U31" s="7">
        <v>2845</v>
      </c>
      <c r="V31" s="7">
        <v>6139</v>
      </c>
      <c r="W31" s="7">
        <v>8984</v>
      </c>
      <c r="X31" s="7">
        <v>2562</v>
      </c>
      <c r="Y31" s="7">
        <v>5550</v>
      </c>
      <c r="Z31" s="7">
        <v>8112</v>
      </c>
    </row>
    <row r="32" spans="2:26" x14ac:dyDescent="0.2">
      <c r="B32" s="7" t="s">
        <v>26</v>
      </c>
      <c r="C32" s="7">
        <v>350</v>
      </c>
      <c r="D32" s="7">
        <v>306</v>
      </c>
      <c r="E32" s="7">
        <v>231</v>
      </c>
      <c r="F32" s="7">
        <v>184</v>
      </c>
      <c r="G32" s="7">
        <v>106</v>
      </c>
      <c r="H32" s="7">
        <v>91</v>
      </c>
      <c r="I32" s="7">
        <v>685</v>
      </c>
      <c r="J32" s="7">
        <v>610</v>
      </c>
      <c r="K32" s="7">
        <v>593</v>
      </c>
      <c r="L32" s="7">
        <v>531</v>
      </c>
      <c r="M32" s="7">
        <v>326</v>
      </c>
      <c r="N32" s="7">
        <v>315</v>
      </c>
      <c r="O32" s="7">
        <v>1035</v>
      </c>
      <c r="P32" s="7">
        <v>916</v>
      </c>
      <c r="Q32" s="7">
        <v>824</v>
      </c>
      <c r="R32" s="7">
        <v>715</v>
      </c>
      <c r="S32" s="7">
        <v>432</v>
      </c>
      <c r="T32" s="7">
        <v>406</v>
      </c>
      <c r="U32" s="7">
        <v>1268</v>
      </c>
      <c r="V32" s="7">
        <v>3060</v>
      </c>
      <c r="W32" s="7">
        <v>4328</v>
      </c>
      <c r="X32" s="7">
        <v>1177</v>
      </c>
      <c r="Y32" s="7">
        <v>2745</v>
      </c>
      <c r="Z32" s="7">
        <v>3922</v>
      </c>
    </row>
    <row r="33" spans="1:70" x14ac:dyDescent="0.2">
      <c r="B33" s="7" t="s">
        <v>27</v>
      </c>
      <c r="C33" s="7">
        <v>423</v>
      </c>
      <c r="D33" s="7">
        <v>329</v>
      </c>
      <c r="E33" s="7">
        <v>243</v>
      </c>
      <c r="F33" s="7">
        <v>159</v>
      </c>
      <c r="G33" s="7">
        <v>100</v>
      </c>
      <c r="H33" s="7">
        <v>194</v>
      </c>
      <c r="I33" s="7">
        <v>594</v>
      </c>
      <c r="J33" s="7">
        <v>509</v>
      </c>
      <c r="K33" s="7">
        <v>355</v>
      </c>
      <c r="L33" s="7">
        <v>250</v>
      </c>
      <c r="M33" s="7">
        <v>132</v>
      </c>
      <c r="N33" s="7">
        <v>185</v>
      </c>
      <c r="O33" s="7">
        <v>1017</v>
      </c>
      <c r="P33" s="7">
        <v>838</v>
      </c>
      <c r="Q33" s="7">
        <v>598</v>
      </c>
      <c r="R33" s="7">
        <v>409</v>
      </c>
      <c r="S33" s="7">
        <v>232</v>
      </c>
      <c r="T33" s="7">
        <v>379</v>
      </c>
      <c r="U33" s="7">
        <v>1448</v>
      </c>
      <c r="V33" s="7">
        <v>2025</v>
      </c>
      <c r="W33" s="7">
        <v>3473</v>
      </c>
      <c r="X33" s="7">
        <v>1254</v>
      </c>
      <c r="Y33" s="7">
        <v>1840</v>
      </c>
      <c r="Z33" s="7">
        <v>3094</v>
      </c>
    </row>
    <row r="34" spans="1:70" x14ac:dyDescent="0.2">
      <c r="B34" s="7" t="s">
        <v>28</v>
      </c>
      <c r="C34" s="7">
        <v>672</v>
      </c>
      <c r="D34" s="7">
        <v>525</v>
      </c>
      <c r="E34" s="7">
        <v>479</v>
      </c>
      <c r="F34" s="7">
        <v>421</v>
      </c>
      <c r="G34" s="7">
        <v>250</v>
      </c>
      <c r="H34" s="7">
        <v>202</v>
      </c>
      <c r="I34" s="7">
        <v>882</v>
      </c>
      <c r="J34" s="7">
        <v>824</v>
      </c>
      <c r="K34" s="7">
        <v>807</v>
      </c>
      <c r="L34" s="7">
        <v>515</v>
      </c>
      <c r="M34" s="7">
        <v>283</v>
      </c>
      <c r="N34" s="7">
        <v>235</v>
      </c>
      <c r="O34" s="7">
        <v>1554</v>
      </c>
      <c r="P34" s="7">
        <v>1349</v>
      </c>
      <c r="Q34" s="7">
        <v>1286</v>
      </c>
      <c r="R34" s="7">
        <v>936</v>
      </c>
      <c r="S34" s="7">
        <v>533</v>
      </c>
      <c r="T34" s="7">
        <v>437</v>
      </c>
      <c r="U34" s="7">
        <v>2549</v>
      </c>
      <c r="V34" s="7">
        <v>3546</v>
      </c>
      <c r="W34" s="7">
        <v>6095</v>
      </c>
      <c r="X34" s="7">
        <v>2347</v>
      </c>
      <c r="Y34" s="7">
        <v>3311</v>
      </c>
      <c r="Z34" s="7">
        <v>5658</v>
      </c>
    </row>
    <row r="35" spans="1:70" x14ac:dyDescent="0.2">
      <c r="B35" s="7" t="s">
        <v>29</v>
      </c>
      <c r="C35" s="7">
        <v>332</v>
      </c>
      <c r="D35" s="7">
        <v>347</v>
      </c>
      <c r="E35" s="7">
        <v>429</v>
      </c>
      <c r="F35" s="7">
        <v>356</v>
      </c>
      <c r="G35" s="7">
        <v>200</v>
      </c>
      <c r="H35" s="7">
        <v>182</v>
      </c>
      <c r="I35" s="7">
        <v>703</v>
      </c>
      <c r="J35" s="7">
        <v>924</v>
      </c>
      <c r="K35" s="7">
        <v>1267</v>
      </c>
      <c r="L35" s="7">
        <v>1096</v>
      </c>
      <c r="M35" s="7">
        <v>652</v>
      </c>
      <c r="N35" s="7">
        <v>468</v>
      </c>
      <c r="O35" s="7">
        <v>1035</v>
      </c>
      <c r="P35" s="7">
        <v>1271</v>
      </c>
      <c r="Q35" s="7">
        <v>1696</v>
      </c>
      <c r="R35" s="7">
        <v>1452</v>
      </c>
      <c r="S35" s="7">
        <v>852</v>
      </c>
      <c r="T35" s="7">
        <v>650</v>
      </c>
      <c r="U35" s="7">
        <v>1846</v>
      </c>
      <c r="V35" s="7">
        <v>5110</v>
      </c>
      <c r="W35" s="7">
        <v>6956</v>
      </c>
      <c r="X35" s="7">
        <v>1664</v>
      </c>
      <c r="Y35" s="7">
        <v>4642</v>
      </c>
      <c r="Z35" s="7">
        <v>6306</v>
      </c>
    </row>
    <row r="36" spans="1:70" x14ac:dyDescent="0.2">
      <c r="B36" s="7" t="s">
        <v>30</v>
      </c>
      <c r="C36" s="7">
        <v>488</v>
      </c>
      <c r="D36" s="7">
        <v>459</v>
      </c>
      <c r="E36" s="7">
        <v>502</v>
      </c>
      <c r="F36" s="7">
        <v>418</v>
      </c>
      <c r="G36" s="7">
        <v>260</v>
      </c>
      <c r="H36" s="7">
        <v>206</v>
      </c>
      <c r="I36" s="7">
        <v>654</v>
      </c>
      <c r="J36" s="7">
        <v>728</v>
      </c>
      <c r="K36" s="7">
        <v>837</v>
      </c>
      <c r="L36" s="7">
        <v>660</v>
      </c>
      <c r="M36" s="7">
        <v>357</v>
      </c>
      <c r="N36" s="7">
        <v>219</v>
      </c>
      <c r="O36" s="7">
        <v>1142</v>
      </c>
      <c r="P36" s="7">
        <v>1187</v>
      </c>
      <c r="Q36" s="7">
        <v>1339</v>
      </c>
      <c r="R36" s="7">
        <v>1078</v>
      </c>
      <c r="S36" s="7">
        <v>617</v>
      </c>
      <c r="T36" s="7">
        <v>425</v>
      </c>
      <c r="U36" s="7">
        <v>2333</v>
      </c>
      <c r="V36" s="7">
        <v>3455</v>
      </c>
      <c r="W36" s="7">
        <v>5788</v>
      </c>
      <c r="X36" s="7">
        <v>2127</v>
      </c>
      <c r="Y36" s="7">
        <v>3236</v>
      </c>
      <c r="Z36" s="7">
        <v>5363</v>
      </c>
    </row>
    <row r="37" spans="1:70" x14ac:dyDescent="0.2">
      <c r="B37" s="7" t="s">
        <v>31</v>
      </c>
      <c r="C37" s="7">
        <v>403</v>
      </c>
      <c r="D37" s="7">
        <v>894</v>
      </c>
      <c r="E37" s="7">
        <v>1573</v>
      </c>
      <c r="F37" s="7">
        <v>1977</v>
      </c>
      <c r="G37" s="7">
        <v>1496</v>
      </c>
      <c r="H37" s="7">
        <v>905</v>
      </c>
      <c r="I37" s="7">
        <v>555</v>
      </c>
      <c r="J37" s="7">
        <v>762</v>
      </c>
      <c r="K37" s="7">
        <v>992</v>
      </c>
      <c r="L37" s="7">
        <v>1031</v>
      </c>
      <c r="M37" s="7">
        <v>656</v>
      </c>
      <c r="N37" s="7">
        <v>452</v>
      </c>
      <c r="O37" s="7">
        <v>958</v>
      </c>
      <c r="P37" s="7">
        <v>1656</v>
      </c>
      <c r="Q37" s="7">
        <v>2565</v>
      </c>
      <c r="R37" s="7">
        <v>3008</v>
      </c>
      <c r="S37" s="7">
        <v>2152</v>
      </c>
      <c r="T37" s="7">
        <v>1357</v>
      </c>
      <c r="U37" s="7">
        <v>7248</v>
      </c>
      <c r="V37" s="7">
        <v>4448</v>
      </c>
      <c r="W37" s="7">
        <v>11696</v>
      </c>
      <c r="X37" s="7">
        <v>6343</v>
      </c>
      <c r="Y37" s="7">
        <v>3996</v>
      </c>
      <c r="Z37" s="7">
        <v>10339</v>
      </c>
    </row>
    <row r="38" spans="1:70" x14ac:dyDescent="0.2">
      <c r="B38" s="7" t="s">
        <v>32</v>
      </c>
      <c r="C38" s="7">
        <v>5328</v>
      </c>
      <c r="D38" s="7">
        <v>6136</v>
      </c>
      <c r="E38" s="7">
        <v>6690</v>
      </c>
      <c r="F38" s="7">
        <v>6571</v>
      </c>
      <c r="G38" s="7">
        <v>5108</v>
      </c>
      <c r="H38" s="7">
        <v>5222</v>
      </c>
      <c r="I38" s="7">
        <v>4403</v>
      </c>
      <c r="J38" s="7">
        <v>5570</v>
      </c>
      <c r="K38" s="7">
        <v>6676</v>
      </c>
      <c r="L38" s="7">
        <v>7328</v>
      </c>
      <c r="M38" s="7">
        <v>6100</v>
      </c>
      <c r="N38" s="7">
        <v>6610</v>
      </c>
      <c r="O38" s="7">
        <v>9731</v>
      </c>
      <c r="P38" s="7">
        <v>11706</v>
      </c>
      <c r="Q38" s="7">
        <v>13366</v>
      </c>
      <c r="R38" s="7">
        <v>13899</v>
      </c>
      <c r="S38" s="7">
        <v>11208</v>
      </c>
      <c r="T38" s="7">
        <v>11832</v>
      </c>
      <c r="U38" s="7">
        <v>35055</v>
      </c>
      <c r="V38" s="7">
        <v>36687</v>
      </c>
      <c r="W38" s="7">
        <v>71742</v>
      </c>
      <c r="X38" s="7">
        <v>29833</v>
      </c>
      <c r="Y38" s="7">
        <v>30077</v>
      </c>
      <c r="Z38" s="7">
        <v>59910</v>
      </c>
    </row>
    <row r="39" spans="1:70" x14ac:dyDescent="0.2">
      <c r="B39" s="7" t="s">
        <v>46</v>
      </c>
      <c r="C39" s="7">
        <v>51828</v>
      </c>
      <c r="D39" s="7">
        <v>57511</v>
      </c>
      <c r="E39" s="7">
        <v>61912</v>
      </c>
      <c r="F39" s="7">
        <v>57183</v>
      </c>
      <c r="G39" s="7">
        <v>42248</v>
      </c>
      <c r="H39" s="7">
        <v>42568</v>
      </c>
      <c r="I39" s="7">
        <v>55030</v>
      </c>
      <c r="J39" s="7">
        <v>67533</v>
      </c>
      <c r="K39" s="7">
        <v>72792</v>
      </c>
      <c r="L39" s="7">
        <v>65141</v>
      </c>
      <c r="M39" s="7">
        <v>46050</v>
      </c>
      <c r="N39" s="7">
        <v>42367</v>
      </c>
      <c r="O39" s="7">
        <v>106858</v>
      </c>
      <c r="P39" s="7">
        <v>125044</v>
      </c>
      <c r="Q39" s="7">
        <v>134704</v>
      </c>
      <c r="R39" s="7">
        <v>122324</v>
      </c>
      <c r="S39" s="7">
        <v>88298</v>
      </c>
      <c r="T39" s="7">
        <v>84935</v>
      </c>
      <c r="U39" s="7">
        <v>313250</v>
      </c>
      <c r="V39" s="7">
        <v>348913</v>
      </c>
      <c r="W39" s="7">
        <v>662163</v>
      </c>
      <c r="X39" s="7">
        <v>270682</v>
      </c>
      <c r="Y39" s="7">
        <v>306546</v>
      </c>
      <c r="Z39" s="7">
        <v>577228</v>
      </c>
      <c r="AB39" s="73"/>
      <c r="AC39" s="73"/>
      <c r="AD39" s="73"/>
      <c r="AE39" s="73"/>
      <c r="AF39" s="73"/>
      <c r="AG39" s="73"/>
      <c r="AH39" s="73"/>
      <c r="AI39" s="73"/>
      <c r="AJ39" s="73"/>
      <c r="AK39" s="73"/>
      <c r="AL39" s="73"/>
      <c r="AM39" s="73"/>
      <c r="AN39" s="73"/>
      <c r="AO39" s="73"/>
      <c r="AP39" s="73"/>
      <c r="AQ39" s="73"/>
      <c r="AR39" s="73"/>
      <c r="AS39" s="73"/>
      <c r="AT39" s="73"/>
      <c r="AU39" s="73"/>
      <c r="AV39" s="73"/>
      <c r="AX39" s="78"/>
      <c r="AY39" s="78"/>
      <c r="AZ39" s="78"/>
      <c r="BA39" s="78"/>
      <c r="BB39" s="78"/>
      <c r="BC39" s="78"/>
      <c r="BD39" s="78"/>
      <c r="BE39" s="78"/>
      <c r="BF39" s="78"/>
      <c r="BG39" s="78"/>
      <c r="BH39" s="78"/>
      <c r="BI39" s="78"/>
      <c r="BJ39" s="78"/>
      <c r="BK39" s="78"/>
      <c r="BL39" s="78"/>
      <c r="BM39" s="78"/>
      <c r="BN39" s="78"/>
      <c r="BO39" s="78"/>
      <c r="BP39" s="78"/>
      <c r="BQ39" s="78"/>
      <c r="BR39" s="78"/>
    </row>
    <row r="40" spans="1:70" x14ac:dyDescent="0.2">
      <c r="AB40" s="73"/>
      <c r="AC40" s="73"/>
      <c r="AD40" s="73"/>
      <c r="AE40" s="73"/>
      <c r="AF40" s="73"/>
      <c r="AG40" s="73"/>
      <c r="AH40" s="73"/>
      <c r="AI40" s="73"/>
      <c r="AJ40" s="73"/>
      <c r="AK40" s="73"/>
      <c r="AL40" s="73"/>
      <c r="AM40" s="73"/>
      <c r="AN40" s="73"/>
      <c r="AO40" s="73"/>
      <c r="AP40" s="73"/>
      <c r="AQ40" s="73"/>
      <c r="AR40" s="73"/>
      <c r="AS40" s="73"/>
      <c r="AT40" s="73"/>
      <c r="AU40" s="73"/>
      <c r="AV40" s="73"/>
      <c r="AX40" s="78"/>
      <c r="AY40" s="78"/>
      <c r="AZ40" s="78"/>
      <c r="BA40" s="78"/>
      <c r="BB40" s="78"/>
      <c r="BC40" s="78"/>
      <c r="BD40" s="78"/>
      <c r="BE40" s="78"/>
      <c r="BF40" s="78"/>
      <c r="BG40" s="78"/>
      <c r="BH40" s="78"/>
      <c r="BI40" s="78"/>
      <c r="BJ40" s="78"/>
      <c r="BK40" s="78"/>
      <c r="BL40" s="78"/>
      <c r="BM40" s="78"/>
      <c r="BN40" s="78"/>
      <c r="BO40" s="78"/>
      <c r="BP40" s="78"/>
      <c r="BQ40" s="78"/>
      <c r="BR40" s="78"/>
    </row>
    <row r="41" spans="1:70" x14ac:dyDescent="0.2">
      <c r="A41" s="14"/>
      <c r="B41" s="7" t="s">
        <v>0</v>
      </c>
      <c r="C41" s="7">
        <v>13.7</v>
      </c>
      <c r="D41" s="7">
        <v>18.7</v>
      </c>
      <c r="E41" s="7">
        <v>18.8</v>
      </c>
      <c r="F41" s="7">
        <v>18.399999999999999</v>
      </c>
      <c r="G41" s="7">
        <v>15.5</v>
      </c>
      <c r="H41" s="7">
        <v>85</v>
      </c>
      <c r="I41" s="7">
        <v>19460</v>
      </c>
      <c r="J41" s="7">
        <v>15.5</v>
      </c>
      <c r="K41" s="7">
        <v>20.3</v>
      </c>
      <c r="L41" s="7">
        <v>19.600000000000001</v>
      </c>
      <c r="M41" s="7">
        <v>17.5</v>
      </c>
      <c r="N41" s="7">
        <v>14.2</v>
      </c>
      <c r="O41" s="7">
        <v>87.1</v>
      </c>
      <c r="P41" s="7">
        <v>28138</v>
      </c>
      <c r="Q41" s="7">
        <v>14.7</v>
      </c>
      <c r="R41" s="7">
        <v>19.600000000000001</v>
      </c>
      <c r="S41" s="7">
        <v>19.3</v>
      </c>
      <c r="T41" s="7">
        <v>17.899999999999999</v>
      </c>
      <c r="U41" s="7">
        <v>14.7</v>
      </c>
      <c r="V41" s="7">
        <v>86.2</v>
      </c>
      <c r="W41" s="7">
        <v>47598</v>
      </c>
      <c r="AA41" s="73"/>
      <c r="AB41" s="73"/>
      <c r="AC41" s="73"/>
      <c r="AD41" s="73"/>
      <c r="AE41" s="73"/>
      <c r="AF41" s="73"/>
      <c r="AG41" s="73"/>
      <c r="AH41" s="73"/>
      <c r="AI41" s="73"/>
      <c r="AJ41" s="73"/>
      <c r="AK41" s="73"/>
      <c r="AL41" s="73"/>
      <c r="AM41" s="73"/>
      <c r="AN41" s="73"/>
      <c r="AO41" s="73"/>
      <c r="AP41" s="73"/>
      <c r="AQ41" s="73"/>
      <c r="AR41" s="73"/>
      <c r="AS41" s="73"/>
      <c r="AT41" s="73"/>
      <c r="AU41" s="73"/>
      <c r="AV41" s="73"/>
      <c r="AX41" s="78"/>
      <c r="AY41" s="78"/>
      <c r="AZ41" s="78"/>
      <c r="BA41" s="78"/>
      <c r="BB41" s="78"/>
      <c r="BC41" s="78"/>
      <c r="BD41" s="78"/>
      <c r="BE41" s="78"/>
      <c r="BF41" s="78"/>
      <c r="BG41" s="78"/>
      <c r="BH41" s="78"/>
      <c r="BI41" s="78"/>
      <c r="BJ41" s="78"/>
      <c r="BK41" s="78"/>
      <c r="BL41" s="78"/>
      <c r="BM41" s="78"/>
      <c r="BN41" s="78"/>
      <c r="BO41" s="78"/>
      <c r="BP41" s="78"/>
      <c r="BQ41" s="78"/>
      <c r="BR41" s="78"/>
    </row>
    <row r="42" spans="1:70" x14ac:dyDescent="0.2">
      <c r="A42" s="14"/>
      <c r="B42" s="7" t="s">
        <v>1</v>
      </c>
      <c r="C42" s="7">
        <v>21.2</v>
      </c>
      <c r="D42" s="7">
        <v>20.8</v>
      </c>
      <c r="E42" s="7">
        <v>17.8</v>
      </c>
      <c r="F42" s="7">
        <v>14.8</v>
      </c>
      <c r="G42" s="7">
        <v>12.1</v>
      </c>
      <c r="H42" s="7">
        <v>86.7</v>
      </c>
      <c r="I42" s="7">
        <v>20281</v>
      </c>
      <c r="J42" s="7">
        <v>21.6</v>
      </c>
      <c r="K42" s="7">
        <v>21.7</v>
      </c>
      <c r="L42" s="7">
        <v>19</v>
      </c>
      <c r="M42" s="7">
        <v>14.8</v>
      </c>
      <c r="N42" s="7">
        <v>11.7</v>
      </c>
      <c r="O42" s="7">
        <v>88.8</v>
      </c>
      <c r="P42" s="7">
        <v>16148</v>
      </c>
      <c r="Q42" s="7">
        <v>21.4</v>
      </c>
      <c r="R42" s="7">
        <v>21.2</v>
      </c>
      <c r="S42" s="7">
        <v>18.399999999999999</v>
      </c>
      <c r="T42" s="7">
        <v>14.8</v>
      </c>
      <c r="U42" s="7">
        <v>11.9</v>
      </c>
      <c r="V42" s="7">
        <v>87.6</v>
      </c>
      <c r="W42" s="7">
        <v>36429</v>
      </c>
      <c r="AA42" s="73"/>
      <c r="AB42" s="73"/>
      <c r="AC42" s="73"/>
      <c r="AD42" s="73"/>
      <c r="AE42" s="73"/>
      <c r="AF42" s="73"/>
      <c r="AG42" s="73"/>
      <c r="AH42" s="73"/>
      <c r="AI42" s="73"/>
      <c r="AJ42" s="73"/>
      <c r="AK42" s="73"/>
      <c r="AL42" s="73"/>
      <c r="AM42" s="73"/>
      <c r="AN42" s="73"/>
      <c r="AO42" s="73"/>
      <c r="AP42" s="73"/>
      <c r="AQ42" s="73"/>
      <c r="AR42" s="73"/>
      <c r="AS42" s="73"/>
      <c r="AT42" s="73"/>
      <c r="AU42" s="73"/>
      <c r="AV42" s="73"/>
      <c r="AX42" s="78"/>
      <c r="AY42" s="78"/>
      <c r="AZ42" s="78"/>
      <c r="BA42" s="78"/>
      <c r="BB42" s="78"/>
      <c r="BC42" s="78"/>
      <c r="BD42" s="78"/>
      <c r="BE42" s="78"/>
      <c r="BF42" s="78"/>
      <c r="BG42" s="78"/>
      <c r="BH42" s="78"/>
      <c r="BI42" s="78"/>
      <c r="BJ42" s="78"/>
      <c r="BK42" s="78"/>
      <c r="BL42" s="78"/>
      <c r="BM42" s="78"/>
      <c r="BN42" s="78"/>
      <c r="BO42" s="78"/>
      <c r="BP42" s="78"/>
      <c r="BQ42" s="78"/>
      <c r="BR42" s="78"/>
    </row>
    <row r="43" spans="1:70" x14ac:dyDescent="0.2">
      <c r="A43" s="14"/>
      <c r="B43" s="7" t="s">
        <v>2</v>
      </c>
      <c r="C43" s="7">
        <v>21.4</v>
      </c>
      <c r="D43" s="7">
        <v>21</v>
      </c>
      <c r="E43" s="7">
        <v>18.100000000000001</v>
      </c>
      <c r="F43" s="7">
        <v>15.8</v>
      </c>
      <c r="G43" s="7">
        <v>11.7</v>
      </c>
      <c r="H43" s="7">
        <v>88.1</v>
      </c>
      <c r="I43" s="7">
        <v>22630</v>
      </c>
      <c r="J43" s="7">
        <v>22.2</v>
      </c>
      <c r="K43" s="7">
        <v>23.8</v>
      </c>
      <c r="L43" s="7">
        <v>18.7</v>
      </c>
      <c r="M43" s="7">
        <v>14.9</v>
      </c>
      <c r="N43" s="7">
        <v>10.199999999999999</v>
      </c>
      <c r="O43" s="7">
        <v>89.8</v>
      </c>
      <c r="P43" s="7">
        <v>6147</v>
      </c>
      <c r="Q43" s="7">
        <v>21.6</v>
      </c>
      <c r="R43" s="7">
        <v>21.6</v>
      </c>
      <c r="S43" s="7">
        <v>18.3</v>
      </c>
      <c r="T43" s="7">
        <v>15.6</v>
      </c>
      <c r="U43" s="7">
        <v>11.4</v>
      </c>
      <c r="V43" s="7">
        <v>88.4</v>
      </c>
      <c r="W43" s="7">
        <v>28777</v>
      </c>
      <c r="AA43" s="73"/>
      <c r="AB43" s="73"/>
      <c r="AC43" s="73"/>
      <c r="AD43" s="73"/>
      <c r="AE43" s="73"/>
      <c r="AF43" s="73"/>
      <c r="AG43" s="73"/>
      <c r="AH43" s="73"/>
      <c r="AI43" s="73"/>
      <c r="AJ43" s="73"/>
      <c r="AK43" s="73"/>
      <c r="AL43" s="73"/>
      <c r="AM43" s="73"/>
      <c r="AN43" s="73"/>
      <c r="AO43" s="73"/>
      <c r="AP43" s="73"/>
      <c r="AQ43" s="73"/>
      <c r="AR43" s="73"/>
      <c r="AS43" s="73"/>
      <c r="AT43" s="73"/>
      <c r="AU43" s="73"/>
      <c r="AV43" s="73"/>
      <c r="AX43" s="78"/>
      <c r="AY43" s="78"/>
      <c r="AZ43" s="78"/>
      <c r="BA43" s="78"/>
      <c r="BB43" s="78"/>
      <c r="BC43" s="78"/>
      <c r="BD43" s="78"/>
      <c r="BE43" s="78"/>
      <c r="BF43" s="78"/>
      <c r="BG43" s="78"/>
      <c r="BH43" s="78"/>
      <c r="BI43" s="78"/>
      <c r="BJ43" s="78"/>
      <c r="BK43" s="78"/>
      <c r="BL43" s="78"/>
      <c r="BM43" s="78"/>
      <c r="BN43" s="78"/>
      <c r="BO43" s="78"/>
      <c r="BP43" s="78"/>
      <c r="BQ43" s="78"/>
      <c r="BR43" s="78"/>
    </row>
    <row r="44" spans="1:70" x14ac:dyDescent="0.2">
      <c r="A44" s="14"/>
      <c r="B44" s="7" t="s">
        <v>3</v>
      </c>
      <c r="C44" s="7">
        <v>10.9</v>
      </c>
      <c r="D44" s="7">
        <v>13.8</v>
      </c>
      <c r="E44" s="7">
        <v>19.7</v>
      </c>
      <c r="F44" s="7">
        <v>22.5</v>
      </c>
      <c r="G44" s="7">
        <v>16.7</v>
      </c>
      <c r="H44" s="7">
        <v>83.6</v>
      </c>
      <c r="I44" s="7">
        <v>2680</v>
      </c>
      <c r="J44" s="7">
        <v>10.7</v>
      </c>
      <c r="K44" s="7">
        <v>16.8</v>
      </c>
      <c r="L44" s="7">
        <v>19.3</v>
      </c>
      <c r="M44" s="7">
        <v>22.9</v>
      </c>
      <c r="N44" s="7">
        <v>16.3</v>
      </c>
      <c r="O44" s="7">
        <v>86.1</v>
      </c>
      <c r="P44" s="7">
        <v>1621</v>
      </c>
      <c r="Q44" s="7">
        <v>10.8</v>
      </c>
      <c r="R44" s="7">
        <v>15</v>
      </c>
      <c r="S44" s="7">
        <v>19.600000000000001</v>
      </c>
      <c r="T44" s="7">
        <v>22.6</v>
      </c>
      <c r="U44" s="7">
        <v>16.600000000000001</v>
      </c>
      <c r="V44" s="7">
        <v>84.6</v>
      </c>
      <c r="W44" s="7">
        <v>4301</v>
      </c>
      <c r="AA44" s="73"/>
      <c r="AB44" s="73"/>
      <c r="AC44" s="73"/>
      <c r="AD44" s="73"/>
      <c r="AE44" s="73"/>
      <c r="AF44" s="73"/>
      <c r="AG44" s="73"/>
      <c r="AH44" s="73"/>
      <c r="AI44" s="73"/>
      <c r="AJ44" s="73"/>
      <c r="AK44" s="73"/>
      <c r="AL44" s="73"/>
      <c r="AM44" s="73"/>
      <c r="AN44" s="73"/>
      <c r="AO44" s="73"/>
      <c r="AP44" s="73"/>
      <c r="AQ44" s="73"/>
      <c r="AR44" s="73"/>
      <c r="AS44" s="73"/>
      <c r="AT44" s="73"/>
      <c r="AU44" s="73"/>
      <c r="AV44" s="73"/>
      <c r="AX44" s="78"/>
      <c r="AY44" s="78"/>
      <c r="AZ44" s="78"/>
      <c r="BA44" s="78"/>
      <c r="BB44" s="78"/>
      <c r="BC44" s="78"/>
      <c r="BD44" s="78"/>
      <c r="BE44" s="78"/>
      <c r="BF44" s="78"/>
      <c r="BG44" s="78"/>
      <c r="BH44" s="78"/>
      <c r="BI44" s="78"/>
      <c r="BJ44" s="78"/>
      <c r="BK44" s="78"/>
      <c r="BL44" s="78"/>
      <c r="BM44" s="78"/>
      <c r="BN44" s="78"/>
      <c r="BO44" s="78"/>
      <c r="BP44" s="78"/>
      <c r="BQ44" s="78"/>
      <c r="BR44" s="78"/>
    </row>
    <row r="45" spans="1:70" x14ac:dyDescent="0.2">
      <c r="A45" s="14"/>
      <c r="B45" s="7" t="s">
        <v>4</v>
      </c>
      <c r="C45" s="7">
        <v>25.8</v>
      </c>
      <c r="D45" s="7">
        <v>19.2</v>
      </c>
      <c r="E45" s="7">
        <v>16.7</v>
      </c>
      <c r="F45" s="7">
        <v>14.6</v>
      </c>
      <c r="G45" s="7">
        <v>11</v>
      </c>
      <c r="H45" s="7">
        <v>87.3</v>
      </c>
      <c r="I45" s="7">
        <v>36014</v>
      </c>
      <c r="J45" s="7">
        <v>25.3</v>
      </c>
      <c r="K45" s="7">
        <v>21.3</v>
      </c>
      <c r="L45" s="7">
        <v>18.399999999999999</v>
      </c>
      <c r="M45" s="7">
        <v>14.8</v>
      </c>
      <c r="N45" s="7">
        <v>10.3</v>
      </c>
      <c r="O45" s="7">
        <v>90</v>
      </c>
      <c r="P45" s="7">
        <v>20036</v>
      </c>
      <c r="Q45" s="7">
        <v>25.6</v>
      </c>
      <c r="R45" s="7">
        <v>19.899999999999999</v>
      </c>
      <c r="S45" s="7">
        <v>17.399999999999999</v>
      </c>
      <c r="T45" s="7">
        <v>14.6</v>
      </c>
      <c r="U45" s="7">
        <v>10.8</v>
      </c>
      <c r="V45" s="7">
        <v>88.3</v>
      </c>
      <c r="W45" s="7">
        <v>56050</v>
      </c>
      <c r="AA45" s="73"/>
      <c r="AB45" s="73"/>
      <c r="AC45" s="73"/>
      <c r="AD45" s="73"/>
      <c r="AE45" s="73"/>
      <c r="AF45" s="73"/>
      <c r="AG45" s="73"/>
      <c r="AH45" s="73"/>
      <c r="AI45" s="73"/>
      <c r="AJ45" s="73"/>
      <c r="AK45" s="73"/>
      <c r="AL45" s="73"/>
      <c r="AM45" s="73"/>
      <c r="AN45" s="73"/>
      <c r="AO45" s="73"/>
      <c r="AP45" s="73"/>
      <c r="AQ45" s="73"/>
      <c r="AR45" s="73"/>
      <c r="AS45" s="73"/>
      <c r="AT45" s="73"/>
      <c r="AU45" s="73"/>
      <c r="AV45" s="73"/>
      <c r="AX45" s="78"/>
      <c r="AY45" s="78"/>
      <c r="AZ45" s="78"/>
      <c r="BA45" s="78"/>
      <c r="BB45" s="78"/>
      <c r="BC45" s="78"/>
      <c r="BD45" s="78"/>
      <c r="BE45" s="78"/>
      <c r="BF45" s="78"/>
      <c r="BG45" s="78"/>
      <c r="BH45" s="78"/>
      <c r="BI45" s="78"/>
      <c r="BJ45" s="78"/>
      <c r="BK45" s="78"/>
      <c r="BL45" s="78"/>
      <c r="BM45" s="78"/>
      <c r="BN45" s="78"/>
      <c r="BO45" s="78"/>
      <c r="BP45" s="78"/>
      <c r="BQ45" s="78"/>
      <c r="BR45" s="78"/>
    </row>
    <row r="46" spans="1:70" x14ac:dyDescent="0.2">
      <c r="A46" s="14"/>
      <c r="B46" s="7" t="s">
        <v>5</v>
      </c>
      <c r="C46" s="7">
        <v>47.8</v>
      </c>
      <c r="D46" s="7">
        <v>20.7</v>
      </c>
      <c r="E46" s="7">
        <v>13.4</v>
      </c>
      <c r="F46" s="7">
        <v>8.3000000000000007</v>
      </c>
      <c r="G46" s="7">
        <v>5.5</v>
      </c>
      <c r="H46" s="7">
        <v>95.7</v>
      </c>
      <c r="I46" s="7">
        <v>3756</v>
      </c>
      <c r="J46" s="7">
        <v>45.6</v>
      </c>
      <c r="K46" s="7">
        <v>21.5</v>
      </c>
      <c r="L46" s="7">
        <v>16.2</v>
      </c>
      <c r="M46" s="7">
        <v>8.6999999999999993</v>
      </c>
      <c r="N46" s="7">
        <v>4.9000000000000004</v>
      </c>
      <c r="O46" s="7">
        <v>96.9</v>
      </c>
      <c r="P46" s="7">
        <v>1243</v>
      </c>
      <c r="Q46" s="7">
        <v>47.2</v>
      </c>
      <c r="R46" s="7">
        <v>20.9</v>
      </c>
      <c r="S46" s="7">
        <v>14.1</v>
      </c>
      <c r="T46" s="7">
        <v>8.4</v>
      </c>
      <c r="U46" s="7">
        <v>5.4</v>
      </c>
      <c r="V46" s="7">
        <v>96</v>
      </c>
      <c r="W46" s="7">
        <v>4999</v>
      </c>
      <c r="AA46" s="73"/>
      <c r="AB46" s="73"/>
      <c r="AC46" s="73"/>
      <c r="AD46" s="73"/>
      <c r="AE46" s="73"/>
      <c r="AF46" s="73"/>
      <c r="AG46" s="73"/>
      <c r="AH46" s="73"/>
      <c r="AI46" s="73"/>
      <c r="AJ46" s="73"/>
      <c r="AK46" s="73"/>
      <c r="AL46" s="73"/>
      <c r="AM46" s="73"/>
      <c r="AN46" s="73"/>
      <c r="AO46" s="73"/>
      <c r="AP46" s="73"/>
      <c r="AQ46" s="73"/>
      <c r="AR46" s="73"/>
      <c r="AS46" s="73"/>
      <c r="AT46" s="73"/>
      <c r="AU46" s="73"/>
      <c r="AV46" s="73"/>
      <c r="AX46" s="78"/>
      <c r="AY46" s="78"/>
      <c r="AZ46" s="78"/>
      <c r="BA46" s="78"/>
      <c r="BB46" s="78"/>
      <c r="BC46" s="78"/>
      <c r="BD46" s="78"/>
      <c r="BE46" s="78"/>
      <c r="BF46" s="78"/>
      <c r="BG46" s="78"/>
      <c r="BH46" s="78"/>
      <c r="BI46" s="78"/>
      <c r="BJ46" s="78"/>
      <c r="BK46" s="78"/>
      <c r="BL46" s="78"/>
      <c r="BM46" s="78"/>
      <c r="BN46" s="78"/>
      <c r="BO46" s="78"/>
      <c r="BP46" s="78"/>
      <c r="BQ46" s="78"/>
      <c r="BR46" s="78"/>
    </row>
    <row r="47" spans="1:70" x14ac:dyDescent="0.2">
      <c r="A47" s="14"/>
      <c r="B47" s="7" t="s">
        <v>6</v>
      </c>
      <c r="C47" s="7">
        <v>12.4</v>
      </c>
      <c r="D47" s="7">
        <v>14.5</v>
      </c>
      <c r="E47" s="7">
        <v>23.2</v>
      </c>
      <c r="F47" s="7">
        <v>23</v>
      </c>
      <c r="G47" s="7">
        <v>15.4</v>
      </c>
      <c r="H47" s="7">
        <v>88.6</v>
      </c>
      <c r="I47" s="7">
        <v>7147</v>
      </c>
      <c r="J47" s="7">
        <v>13</v>
      </c>
      <c r="K47" s="7">
        <v>17.3</v>
      </c>
      <c r="L47" s="7">
        <v>28</v>
      </c>
      <c r="M47" s="7">
        <v>21.3</v>
      </c>
      <c r="N47" s="7">
        <v>12.1</v>
      </c>
      <c r="O47" s="7">
        <v>91.7</v>
      </c>
      <c r="P47" s="7">
        <v>2346</v>
      </c>
      <c r="Q47" s="7">
        <v>12.6</v>
      </c>
      <c r="R47" s="7">
        <v>15.2</v>
      </c>
      <c r="S47" s="7">
        <v>24.4</v>
      </c>
      <c r="T47" s="7">
        <v>22.6</v>
      </c>
      <c r="U47" s="7">
        <v>14.6</v>
      </c>
      <c r="V47" s="7">
        <v>89.3</v>
      </c>
      <c r="W47" s="7">
        <v>9493</v>
      </c>
      <c r="AA47" s="73"/>
      <c r="AB47" s="73"/>
      <c r="AC47" s="73"/>
      <c r="AD47" s="73"/>
      <c r="AE47" s="73"/>
      <c r="AF47" s="73"/>
      <c r="AG47" s="73"/>
      <c r="AH47" s="73"/>
      <c r="AI47" s="73"/>
      <c r="AJ47" s="73"/>
      <c r="AK47" s="73"/>
      <c r="AL47" s="73"/>
      <c r="AM47" s="73"/>
      <c r="AN47" s="73"/>
      <c r="AO47" s="73"/>
      <c r="AP47" s="73"/>
      <c r="AQ47" s="73"/>
      <c r="AR47" s="73"/>
      <c r="AS47" s="73"/>
      <c r="AT47" s="73"/>
      <c r="AU47" s="73"/>
      <c r="AV47" s="73"/>
      <c r="AX47" s="78"/>
      <c r="AY47" s="78"/>
      <c r="AZ47" s="78"/>
      <c r="BA47" s="78"/>
      <c r="BB47" s="78"/>
      <c r="BC47" s="78"/>
      <c r="BD47" s="78"/>
      <c r="BE47" s="78"/>
      <c r="BF47" s="78"/>
      <c r="BG47" s="78"/>
      <c r="BH47" s="78"/>
      <c r="BI47" s="78"/>
      <c r="BJ47" s="78"/>
      <c r="BK47" s="78"/>
      <c r="BL47" s="78"/>
      <c r="BM47" s="78"/>
      <c r="BN47" s="78"/>
      <c r="BO47" s="78"/>
      <c r="BP47" s="78"/>
      <c r="BQ47" s="78"/>
      <c r="BR47" s="78"/>
    </row>
    <row r="48" spans="1:70" x14ac:dyDescent="0.2">
      <c r="A48" s="14"/>
      <c r="B48" s="7" t="s">
        <v>168</v>
      </c>
      <c r="C48" s="7">
        <v>10.1</v>
      </c>
      <c r="D48" s="7">
        <v>12.5</v>
      </c>
      <c r="E48" s="7">
        <v>17.7</v>
      </c>
      <c r="F48" s="7">
        <v>19.5</v>
      </c>
      <c r="G48" s="7">
        <v>16.899999999999999</v>
      </c>
      <c r="H48" s="7">
        <v>76.8</v>
      </c>
      <c r="I48" s="7">
        <v>8575</v>
      </c>
      <c r="J48" s="7">
        <v>6.1</v>
      </c>
      <c r="K48" s="7">
        <v>11.9</v>
      </c>
      <c r="L48" s="7">
        <v>15.9</v>
      </c>
      <c r="M48" s="7">
        <v>21.3</v>
      </c>
      <c r="N48" s="7">
        <v>19.399999999999999</v>
      </c>
      <c r="O48" s="7">
        <v>74.5</v>
      </c>
      <c r="P48" s="7">
        <v>1543</v>
      </c>
      <c r="Q48" s="7">
        <v>9.5</v>
      </c>
      <c r="R48" s="7">
        <v>12.4</v>
      </c>
      <c r="S48" s="7">
        <v>17.399999999999999</v>
      </c>
      <c r="T48" s="7">
        <v>19.8</v>
      </c>
      <c r="U48" s="7">
        <v>17.3</v>
      </c>
      <c r="V48" s="7">
        <v>76.400000000000006</v>
      </c>
      <c r="W48" s="7">
        <v>10118</v>
      </c>
      <c r="AA48" s="73"/>
      <c r="AB48" s="73"/>
      <c r="AC48" s="73"/>
      <c r="AD48" s="73"/>
      <c r="AE48" s="73"/>
      <c r="AF48" s="73"/>
      <c r="AG48" s="73"/>
      <c r="AH48" s="73"/>
      <c r="AI48" s="73"/>
      <c r="AJ48" s="73"/>
      <c r="AK48" s="73"/>
      <c r="AL48" s="73"/>
      <c r="AM48" s="73"/>
      <c r="AN48" s="73"/>
      <c r="AO48" s="73"/>
      <c r="AP48" s="73"/>
      <c r="AQ48" s="73"/>
      <c r="AR48" s="73"/>
      <c r="AS48" s="73"/>
      <c r="AT48" s="73"/>
      <c r="AU48" s="73"/>
      <c r="AV48" s="73"/>
      <c r="AX48" s="78"/>
      <c r="AY48" s="78"/>
      <c r="AZ48" s="78"/>
      <c r="BA48" s="78"/>
      <c r="BB48" s="78"/>
      <c r="BC48" s="78"/>
      <c r="BD48" s="78"/>
      <c r="BE48" s="78"/>
      <c r="BF48" s="78"/>
      <c r="BG48" s="78"/>
      <c r="BH48" s="78"/>
      <c r="BI48" s="78"/>
      <c r="BJ48" s="78"/>
      <c r="BK48" s="78"/>
      <c r="BL48" s="78"/>
      <c r="BM48" s="78"/>
      <c r="BN48" s="78"/>
      <c r="BO48" s="78"/>
      <c r="BP48" s="78"/>
      <c r="BQ48" s="78"/>
      <c r="BR48" s="78"/>
    </row>
    <row r="49" spans="1:70" x14ac:dyDescent="0.2">
      <c r="A49" s="14"/>
      <c r="B49" s="7" t="s">
        <v>8</v>
      </c>
      <c r="C49" s="7">
        <v>0</v>
      </c>
      <c r="D49" s="7">
        <v>0</v>
      </c>
      <c r="E49" s="7">
        <v>0</v>
      </c>
      <c r="F49" s="7">
        <v>0</v>
      </c>
      <c r="G49" s="7">
        <v>0</v>
      </c>
      <c r="H49" s="7">
        <v>0</v>
      </c>
      <c r="I49" s="7">
        <v>0</v>
      </c>
      <c r="J49" s="7">
        <v>0</v>
      </c>
      <c r="K49" s="7">
        <v>0</v>
      </c>
      <c r="L49" s="7">
        <v>0</v>
      </c>
      <c r="M49" s="7">
        <v>0</v>
      </c>
      <c r="N49" s="7">
        <v>0</v>
      </c>
      <c r="O49" s="7">
        <v>0</v>
      </c>
      <c r="P49" s="7">
        <v>0</v>
      </c>
      <c r="Q49" s="7">
        <v>0</v>
      </c>
      <c r="R49" s="7">
        <v>0</v>
      </c>
      <c r="S49" s="7">
        <v>0</v>
      </c>
      <c r="T49" s="7">
        <v>0</v>
      </c>
      <c r="U49" s="7">
        <v>0</v>
      </c>
      <c r="V49" s="7">
        <v>0</v>
      </c>
      <c r="W49" s="7">
        <v>0</v>
      </c>
      <c r="AA49" s="73"/>
      <c r="AB49" s="73"/>
      <c r="AC49" s="73"/>
      <c r="AD49" s="73"/>
      <c r="AE49" s="73"/>
      <c r="AF49" s="73"/>
      <c r="AG49" s="73"/>
      <c r="AH49" s="73"/>
      <c r="AI49" s="73"/>
      <c r="AJ49" s="73"/>
      <c r="AK49" s="73"/>
      <c r="AL49" s="73"/>
      <c r="AM49" s="73"/>
      <c r="AN49" s="73"/>
      <c r="AO49" s="73"/>
      <c r="AP49" s="73"/>
      <c r="AQ49" s="73"/>
      <c r="AR49" s="73"/>
      <c r="AS49" s="73"/>
      <c r="AT49" s="73"/>
      <c r="AU49" s="73"/>
      <c r="AV49" s="73"/>
      <c r="AX49" s="78"/>
      <c r="AY49" s="78"/>
      <c r="AZ49" s="78"/>
      <c r="BA49" s="78"/>
      <c r="BB49" s="78"/>
      <c r="BC49" s="78"/>
      <c r="BD49" s="78"/>
      <c r="BE49" s="78"/>
      <c r="BF49" s="78"/>
      <c r="BG49" s="78"/>
      <c r="BH49" s="78"/>
      <c r="BI49" s="78"/>
      <c r="BJ49" s="78"/>
      <c r="BK49" s="78"/>
      <c r="BL49" s="78"/>
      <c r="BM49" s="78"/>
      <c r="BN49" s="78"/>
      <c r="BO49" s="78"/>
      <c r="BP49" s="78"/>
      <c r="BQ49" s="78"/>
      <c r="BR49" s="78"/>
    </row>
    <row r="50" spans="1:70" x14ac:dyDescent="0.2">
      <c r="A50" s="14"/>
      <c r="B50" s="7" t="s">
        <v>9</v>
      </c>
      <c r="C50" s="4" t="s">
        <v>78</v>
      </c>
      <c r="D50" s="4">
        <v>5.7</v>
      </c>
      <c r="E50" s="7">
        <v>14.9</v>
      </c>
      <c r="F50" s="7">
        <v>20.7</v>
      </c>
      <c r="G50" s="7">
        <v>20.7</v>
      </c>
      <c r="H50" s="7">
        <v>64.400000000000006</v>
      </c>
      <c r="I50" s="7">
        <v>87</v>
      </c>
      <c r="J50" s="7">
        <v>11.3</v>
      </c>
      <c r="K50" s="7">
        <v>15.6</v>
      </c>
      <c r="L50" s="7">
        <v>20.100000000000001</v>
      </c>
      <c r="M50" s="7">
        <v>22.3</v>
      </c>
      <c r="N50" s="7">
        <v>15.8</v>
      </c>
      <c r="O50" s="7">
        <v>85.1</v>
      </c>
      <c r="P50" s="7">
        <v>1724</v>
      </c>
      <c r="Q50" s="7">
        <v>10.9</v>
      </c>
      <c r="R50" s="7">
        <v>15.1</v>
      </c>
      <c r="S50" s="7">
        <v>19.899999999999999</v>
      </c>
      <c r="T50" s="7">
        <v>22.2</v>
      </c>
      <c r="U50" s="7">
        <v>16</v>
      </c>
      <c r="V50" s="7">
        <v>84.1</v>
      </c>
      <c r="W50" s="7">
        <v>1811</v>
      </c>
      <c r="AA50" s="73"/>
      <c r="AB50" s="93"/>
      <c r="AC50" s="93"/>
      <c r="AD50" s="73"/>
      <c r="AE50" s="73"/>
      <c r="AF50" s="73"/>
      <c r="AG50" s="73"/>
      <c r="AH50" s="73"/>
      <c r="AI50" s="73"/>
      <c r="AJ50" s="73"/>
      <c r="AK50" s="73"/>
      <c r="AL50" s="73"/>
      <c r="AM50" s="73"/>
      <c r="AN50" s="73"/>
      <c r="AO50" s="73"/>
      <c r="AP50" s="73"/>
      <c r="AQ50" s="73"/>
      <c r="AR50" s="73"/>
      <c r="AS50" s="73"/>
      <c r="AT50" s="73"/>
      <c r="AU50" s="73"/>
      <c r="AV50" s="73"/>
      <c r="AX50" s="78"/>
      <c r="AY50" s="78"/>
      <c r="AZ50" s="78"/>
      <c r="BA50" s="78"/>
      <c r="BB50" s="78"/>
      <c r="BC50" s="78"/>
      <c r="BD50" s="78"/>
      <c r="BE50" s="78"/>
      <c r="BF50" s="78"/>
      <c r="BG50" s="78"/>
      <c r="BH50" s="78"/>
      <c r="BI50" s="78"/>
      <c r="BJ50" s="78"/>
      <c r="BK50" s="78"/>
      <c r="BL50" s="78"/>
      <c r="BM50" s="78"/>
      <c r="BN50" s="78"/>
      <c r="BO50" s="78"/>
      <c r="BP50" s="78"/>
      <c r="BQ50" s="78"/>
      <c r="BR50" s="78"/>
    </row>
    <row r="51" spans="1:70" x14ac:dyDescent="0.2">
      <c r="A51" s="14"/>
      <c r="B51" s="7" t="s">
        <v>10</v>
      </c>
      <c r="C51" s="4">
        <v>9.4</v>
      </c>
      <c r="D51" s="4">
        <v>13.7</v>
      </c>
      <c r="E51" s="7">
        <v>12.2</v>
      </c>
      <c r="F51" s="7">
        <v>13</v>
      </c>
      <c r="G51" s="7">
        <v>14.9</v>
      </c>
      <c r="H51" s="7">
        <v>63.2</v>
      </c>
      <c r="I51" s="7">
        <v>1184</v>
      </c>
      <c r="J51" s="7">
        <v>8.6999999999999993</v>
      </c>
      <c r="K51" s="7">
        <v>14.7</v>
      </c>
      <c r="L51" s="7">
        <v>15.4</v>
      </c>
      <c r="M51" s="7">
        <v>13.7</v>
      </c>
      <c r="N51" s="7">
        <v>12.9</v>
      </c>
      <c r="O51" s="7">
        <v>65.400000000000006</v>
      </c>
      <c r="P51" s="7">
        <v>739</v>
      </c>
      <c r="Q51" s="7">
        <v>9.1</v>
      </c>
      <c r="R51" s="7">
        <v>14.1</v>
      </c>
      <c r="S51" s="7">
        <v>13.5</v>
      </c>
      <c r="T51" s="7">
        <v>13.3</v>
      </c>
      <c r="U51" s="7">
        <v>14.1</v>
      </c>
      <c r="V51" s="7">
        <v>64</v>
      </c>
      <c r="W51" s="7">
        <v>1923</v>
      </c>
      <c r="AA51" s="73"/>
      <c r="AB51" s="93"/>
      <c r="AC51" s="93"/>
      <c r="AD51" s="73"/>
      <c r="AE51" s="73"/>
      <c r="AF51" s="73"/>
      <c r="AG51" s="73"/>
      <c r="AH51" s="73"/>
      <c r="AI51" s="73"/>
      <c r="AJ51" s="73"/>
      <c r="AK51" s="73"/>
      <c r="AL51" s="73"/>
      <c r="AM51" s="73"/>
      <c r="AN51" s="73"/>
      <c r="AO51" s="73"/>
      <c r="AP51" s="73"/>
      <c r="AQ51" s="73"/>
      <c r="AR51" s="73"/>
      <c r="AS51" s="73"/>
      <c r="AT51" s="73"/>
      <c r="AU51" s="73"/>
      <c r="AV51" s="73"/>
      <c r="AX51" s="78"/>
      <c r="AY51" s="78"/>
      <c r="AZ51" s="78"/>
      <c r="BA51" s="78"/>
      <c r="BB51" s="78"/>
      <c r="BC51" s="78"/>
      <c r="BD51" s="78"/>
      <c r="BE51" s="78"/>
      <c r="BF51" s="78"/>
      <c r="BG51" s="78"/>
      <c r="BH51" s="78"/>
      <c r="BI51" s="78"/>
      <c r="BJ51" s="78"/>
      <c r="BK51" s="78"/>
      <c r="BL51" s="78"/>
      <c r="BM51" s="78"/>
      <c r="BN51" s="78"/>
      <c r="BO51" s="78"/>
      <c r="BP51" s="78"/>
      <c r="BQ51" s="78"/>
      <c r="BR51" s="78"/>
    </row>
    <row r="52" spans="1:70" x14ac:dyDescent="0.2">
      <c r="A52" s="14"/>
      <c r="B52" s="7" t="s">
        <v>11</v>
      </c>
      <c r="C52" s="7">
        <v>7</v>
      </c>
      <c r="D52" s="7">
        <v>19.100000000000001</v>
      </c>
      <c r="E52" s="7">
        <v>23.7</v>
      </c>
      <c r="F52" s="7">
        <v>21.5</v>
      </c>
      <c r="G52" s="7">
        <v>14.8</v>
      </c>
      <c r="H52" s="7">
        <v>86.2</v>
      </c>
      <c r="I52" s="7">
        <v>14852</v>
      </c>
      <c r="J52" s="7">
        <v>8.1</v>
      </c>
      <c r="K52" s="7">
        <v>20.399999999999999</v>
      </c>
      <c r="L52" s="7">
        <v>23.8</v>
      </c>
      <c r="M52" s="7">
        <v>20.9</v>
      </c>
      <c r="N52" s="7">
        <v>13.5</v>
      </c>
      <c r="O52" s="7">
        <v>86.6</v>
      </c>
      <c r="P52" s="7">
        <v>12461</v>
      </c>
      <c r="Q52" s="7">
        <v>7.5</v>
      </c>
      <c r="R52" s="7">
        <v>19.7</v>
      </c>
      <c r="S52" s="7">
        <v>23.7</v>
      </c>
      <c r="T52" s="7">
        <v>21.2</v>
      </c>
      <c r="U52" s="7">
        <v>14.2</v>
      </c>
      <c r="V52" s="7">
        <v>86.4</v>
      </c>
      <c r="W52" s="7">
        <v>27313</v>
      </c>
      <c r="AA52" s="73"/>
      <c r="AB52" s="73"/>
      <c r="AC52" s="73"/>
      <c r="AD52" s="73"/>
      <c r="AE52" s="73"/>
      <c r="AF52" s="73"/>
      <c r="AG52" s="73"/>
      <c r="AH52" s="73"/>
      <c r="AI52" s="73"/>
      <c r="AJ52" s="73"/>
      <c r="AK52" s="73"/>
      <c r="AL52" s="73"/>
      <c r="AM52" s="73"/>
      <c r="AN52" s="73"/>
      <c r="AO52" s="73"/>
      <c r="AP52" s="73"/>
      <c r="AQ52" s="73"/>
      <c r="AR52" s="73"/>
      <c r="AS52" s="73"/>
      <c r="AT52" s="73"/>
      <c r="AU52" s="73"/>
      <c r="AV52" s="73"/>
      <c r="AX52" s="78"/>
      <c r="AY52" s="78"/>
      <c r="AZ52" s="78"/>
      <c r="BA52" s="78"/>
      <c r="BB52" s="78"/>
      <c r="BC52" s="78"/>
      <c r="BD52" s="78"/>
      <c r="BE52" s="78"/>
      <c r="BF52" s="78"/>
      <c r="BG52" s="78"/>
      <c r="BH52" s="78"/>
      <c r="BI52" s="78"/>
      <c r="BJ52" s="78"/>
      <c r="BK52" s="78"/>
      <c r="BL52" s="78"/>
      <c r="BM52" s="78"/>
      <c r="BN52" s="78"/>
      <c r="BO52" s="78"/>
      <c r="BP52" s="78"/>
      <c r="BQ52" s="78"/>
      <c r="BR52" s="78"/>
    </row>
    <row r="53" spans="1:70" x14ac:dyDescent="0.2">
      <c r="A53" s="14"/>
      <c r="B53" s="7" t="s">
        <v>12</v>
      </c>
      <c r="C53" s="7">
        <v>16.2</v>
      </c>
      <c r="D53" s="7">
        <v>17.2</v>
      </c>
      <c r="E53" s="7">
        <v>18.7</v>
      </c>
      <c r="F53" s="7">
        <v>18.2</v>
      </c>
      <c r="G53" s="7">
        <v>13.7</v>
      </c>
      <c r="H53" s="7">
        <v>83.9</v>
      </c>
      <c r="I53" s="7">
        <v>12672</v>
      </c>
      <c r="J53" s="7">
        <v>15.9</v>
      </c>
      <c r="K53" s="7">
        <v>17.100000000000001</v>
      </c>
      <c r="L53" s="7">
        <v>18.399999999999999</v>
      </c>
      <c r="M53" s="7">
        <v>17.7</v>
      </c>
      <c r="N53" s="7">
        <v>14.2</v>
      </c>
      <c r="O53" s="7">
        <v>83.4</v>
      </c>
      <c r="P53" s="7">
        <v>6712</v>
      </c>
      <c r="Q53" s="7">
        <v>16.100000000000001</v>
      </c>
      <c r="R53" s="7">
        <v>17.100000000000001</v>
      </c>
      <c r="S53" s="7">
        <v>18.600000000000001</v>
      </c>
      <c r="T53" s="7">
        <v>18</v>
      </c>
      <c r="U53" s="7">
        <v>13.9</v>
      </c>
      <c r="V53" s="7">
        <v>83.7</v>
      </c>
      <c r="W53" s="7">
        <v>19384</v>
      </c>
      <c r="AA53" s="73"/>
      <c r="AB53" s="73"/>
      <c r="AC53" s="73"/>
      <c r="AD53" s="73"/>
      <c r="AE53" s="73"/>
      <c r="AF53" s="73"/>
      <c r="AG53" s="73"/>
      <c r="AH53" s="73"/>
      <c r="AI53" s="73"/>
      <c r="AJ53" s="73"/>
      <c r="AK53" s="73"/>
      <c r="AL53" s="73"/>
      <c r="AM53" s="73"/>
      <c r="AN53" s="73"/>
      <c r="AO53" s="73"/>
      <c r="AP53" s="73"/>
      <c r="AQ53" s="73"/>
      <c r="AR53" s="73"/>
      <c r="AS53" s="73"/>
      <c r="AT53" s="73"/>
      <c r="AU53" s="73"/>
      <c r="AV53" s="73"/>
      <c r="AX53" s="78"/>
      <c r="AY53" s="78"/>
      <c r="AZ53" s="78"/>
      <c r="BA53" s="78"/>
      <c r="BB53" s="78"/>
      <c r="BC53" s="78"/>
      <c r="BD53" s="78"/>
      <c r="BE53" s="78"/>
      <c r="BF53" s="78"/>
      <c r="BG53" s="78"/>
      <c r="BH53" s="78"/>
      <c r="BI53" s="78"/>
      <c r="BJ53" s="78"/>
      <c r="BK53" s="78"/>
      <c r="BL53" s="78"/>
      <c r="BM53" s="78"/>
      <c r="BN53" s="78"/>
      <c r="BO53" s="78"/>
      <c r="BP53" s="78"/>
      <c r="BQ53" s="78"/>
      <c r="BR53" s="78"/>
    </row>
    <row r="54" spans="1:70" x14ac:dyDescent="0.2">
      <c r="A54" s="14"/>
      <c r="B54" s="7" t="s">
        <v>13</v>
      </c>
      <c r="C54" s="7">
        <v>10.199999999999999</v>
      </c>
      <c r="D54" s="7">
        <v>19.899999999999999</v>
      </c>
      <c r="E54" s="7">
        <v>23.2</v>
      </c>
      <c r="F54" s="7">
        <v>20.399999999999999</v>
      </c>
      <c r="G54" s="7">
        <v>14.9</v>
      </c>
      <c r="H54" s="7">
        <v>88.6</v>
      </c>
      <c r="I54" s="7">
        <v>20864</v>
      </c>
      <c r="J54" s="7">
        <v>14</v>
      </c>
      <c r="K54" s="7">
        <v>23.7</v>
      </c>
      <c r="L54" s="7">
        <v>23.6</v>
      </c>
      <c r="M54" s="7">
        <v>17.8</v>
      </c>
      <c r="N54" s="7">
        <v>11.8</v>
      </c>
      <c r="O54" s="7">
        <v>90.9</v>
      </c>
      <c r="P54" s="7">
        <v>17115</v>
      </c>
      <c r="Q54" s="7">
        <v>11.9</v>
      </c>
      <c r="R54" s="7">
        <v>21.6</v>
      </c>
      <c r="S54" s="7">
        <v>23.4</v>
      </c>
      <c r="T54" s="7">
        <v>19.3</v>
      </c>
      <c r="U54" s="7">
        <v>13.5</v>
      </c>
      <c r="V54" s="7">
        <v>89.6</v>
      </c>
      <c r="W54" s="7">
        <v>37979</v>
      </c>
      <c r="AA54" s="73"/>
      <c r="AB54" s="73"/>
      <c r="AC54" s="73"/>
      <c r="AD54" s="73"/>
      <c r="AE54" s="73"/>
      <c r="AF54" s="73"/>
      <c r="AG54" s="73"/>
      <c r="AH54" s="73"/>
      <c r="AI54" s="73"/>
      <c r="AJ54" s="73"/>
      <c r="AK54" s="73"/>
      <c r="AL54" s="73"/>
      <c r="AM54" s="73"/>
      <c r="AN54" s="73"/>
      <c r="AO54" s="73"/>
      <c r="AP54" s="73"/>
      <c r="AQ54" s="73"/>
      <c r="AR54" s="73"/>
      <c r="AS54" s="73"/>
      <c r="AT54" s="73"/>
      <c r="AU54" s="73"/>
      <c r="AV54" s="73"/>
      <c r="AX54" s="78"/>
      <c r="AY54" s="78"/>
      <c r="AZ54" s="78"/>
      <c r="BA54" s="78"/>
      <c r="BB54" s="78"/>
      <c r="BC54" s="78"/>
      <c r="BD54" s="78"/>
      <c r="BE54" s="78"/>
      <c r="BF54" s="78"/>
      <c r="BG54" s="78"/>
      <c r="BH54" s="78"/>
      <c r="BI54" s="78"/>
      <c r="BJ54" s="78"/>
      <c r="BK54" s="78"/>
      <c r="BL54" s="78"/>
      <c r="BM54" s="78"/>
      <c r="BN54" s="78"/>
      <c r="BO54" s="78"/>
      <c r="BP54" s="78"/>
      <c r="BQ54" s="78"/>
      <c r="BR54" s="78"/>
    </row>
    <row r="55" spans="1:70" x14ac:dyDescent="0.2">
      <c r="A55" s="14"/>
      <c r="B55" s="7" t="s">
        <v>14</v>
      </c>
      <c r="C55" s="7">
        <v>15.5</v>
      </c>
      <c r="D55" s="7">
        <v>24.4</v>
      </c>
      <c r="E55" s="7">
        <v>23.2</v>
      </c>
      <c r="F55" s="7">
        <v>17.399999999999999</v>
      </c>
      <c r="G55" s="7">
        <v>10.4</v>
      </c>
      <c r="H55" s="7">
        <v>90.9</v>
      </c>
      <c r="I55" s="7">
        <v>4872</v>
      </c>
      <c r="J55" s="7">
        <v>14.9</v>
      </c>
      <c r="K55" s="7">
        <v>25.1</v>
      </c>
      <c r="L55" s="7">
        <v>21.4</v>
      </c>
      <c r="M55" s="7">
        <v>18.600000000000001</v>
      </c>
      <c r="N55" s="7">
        <v>10.1</v>
      </c>
      <c r="O55" s="7">
        <v>90.1</v>
      </c>
      <c r="P55" s="7">
        <v>3460</v>
      </c>
      <c r="Q55" s="7">
        <v>15.3</v>
      </c>
      <c r="R55" s="7">
        <v>24.7</v>
      </c>
      <c r="S55" s="7">
        <v>22.4</v>
      </c>
      <c r="T55" s="7">
        <v>17.899999999999999</v>
      </c>
      <c r="U55" s="7">
        <v>10.3</v>
      </c>
      <c r="V55" s="7">
        <v>90.6</v>
      </c>
      <c r="W55" s="7">
        <v>8332</v>
      </c>
      <c r="AA55" s="73"/>
      <c r="AB55" s="73"/>
      <c r="AC55" s="73"/>
      <c r="AD55" s="73"/>
      <c r="AE55" s="73"/>
      <c r="AF55" s="73"/>
      <c r="AG55" s="73"/>
      <c r="AH55" s="73"/>
      <c r="AI55" s="73"/>
      <c r="AJ55" s="73"/>
      <c r="AK55" s="73"/>
      <c r="AL55" s="73"/>
      <c r="AM55" s="73"/>
      <c r="AN55" s="73"/>
      <c r="AO55" s="73"/>
      <c r="AP55" s="73"/>
      <c r="AQ55" s="73"/>
      <c r="AR55" s="73"/>
      <c r="AS55" s="73"/>
      <c r="AT55" s="73"/>
      <c r="AU55" s="73"/>
      <c r="AV55" s="73"/>
      <c r="AX55" s="78"/>
      <c r="AY55" s="78"/>
      <c r="AZ55" s="78"/>
      <c r="BA55" s="78"/>
      <c r="BB55" s="78"/>
      <c r="BC55" s="78"/>
      <c r="BD55" s="78"/>
      <c r="BE55" s="78"/>
      <c r="BF55" s="78"/>
      <c r="BG55" s="78"/>
      <c r="BH55" s="78"/>
      <c r="BI55" s="78"/>
      <c r="BJ55" s="78"/>
      <c r="BK55" s="78"/>
      <c r="BL55" s="78"/>
      <c r="BM55" s="78"/>
      <c r="BN55" s="78"/>
      <c r="BO55" s="78"/>
      <c r="BP55" s="78"/>
      <c r="BQ55" s="78"/>
      <c r="BR55" s="78"/>
    </row>
    <row r="56" spans="1:70" x14ac:dyDescent="0.2">
      <c r="A56" s="14"/>
      <c r="B56" s="7" t="s">
        <v>15</v>
      </c>
      <c r="C56" s="7">
        <v>15.6</v>
      </c>
      <c r="D56" s="7">
        <v>19.5</v>
      </c>
      <c r="E56" s="7">
        <v>21.1</v>
      </c>
      <c r="F56" s="7">
        <v>18.2</v>
      </c>
      <c r="G56" s="7">
        <v>12.9</v>
      </c>
      <c r="H56" s="7">
        <v>87.4</v>
      </c>
      <c r="I56" s="7">
        <v>16266</v>
      </c>
      <c r="J56" s="7">
        <v>14.3</v>
      </c>
      <c r="K56" s="7">
        <v>18.5</v>
      </c>
      <c r="L56" s="7">
        <v>20.5</v>
      </c>
      <c r="M56" s="7">
        <v>19</v>
      </c>
      <c r="N56" s="7">
        <v>13.6</v>
      </c>
      <c r="O56" s="7">
        <v>85.9</v>
      </c>
      <c r="P56" s="7">
        <v>19812</v>
      </c>
      <c r="Q56" s="7">
        <v>14.9</v>
      </c>
      <c r="R56" s="7">
        <v>19</v>
      </c>
      <c r="S56" s="7">
        <v>20.8</v>
      </c>
      <c r="T56" s="7">
        <v>18.600000000000001</v>
      </c>
      <c r="U56" s="7">
        <v>13.3</v>
      </c>
      <c r="V56" s="7">
        <v>86.6</v>
      </c>
      <c r="W56" s="7">
        <v>36078</v>
      </c>
      <c r="AA56" s="73"/>
      <c r="AB56" s="73"/>
      <c r="AC56" s="73"/>
      <c r="AD56" s="73"/>
      <c r="AE56" s="73"/>
      <c r="AF56" s="73"/>
      <c r="AG56" s="73"/>
      <c r="AH56" s="73"/>
      <c r="AI56" s="73"/>
      <c r="AJ56" s="73"/>
      <c r="AK56" s="73"/>
      <c r="AL56" s="73"/>
      <c r="AM56" s="73"/>
      <c r="AN56" s="73"/>
      <c r="AO56" s="73"/>
      <c r="AP56" s="73"/>
      <c r="AQ56" s="73"/>
      <c r="AR56" s="73"/>
      <c r="AS56" s="73"/>
      <c r="AT56" s="73"/>
      <c r="AU56" s="73"/>
      <c r="AV56" s="73"/>
      <c r="AX56" s="78"/>
      <c r="AY56" s="78"/>
      <c r="AZ56" s="78"/>
      <c r="BA56" s="78"/>
      <c r="BB56" s="78"/>
      <c r="BC56" s="78"/>
      <c r="BD56" s="78"/>
      <c r="BE56" s="78"/>
      <c r="BF56" s="78"/>
      <c r="BG56" s="78"/>
      <c r="BH56" s="78"/>
      <c r="BI56" s="78"/>
      <c r="BJ56" s="78"/>
      <c r="BK56" s="78"/>
      <c r="BL56" s="78"/>
      <c r="BM56" s="78"/>
      <c r="BN56" s="78"/>
      <c r="BO56" s="78"/>
      <c r="BP56" s="78"/>
      <c r="BQ56" s="78"/>
      <c r="BR56" s="78"/>
    </row>
    <row r="57" spans="1:70" x14ac:dyDescent="0.2">
      <c r="A57" s="14"/>
      <c r="B57" s="7" t="s">
        <v>16</v>
      </c>
      <c r="C57" s="7">
        <v>11.6</v>
      </c>
      <c r="D57" s="7">
        <v>11.3</v>
      </c>
      <c r="E57" s="7">
        <v>17.2</v>
      </c>
      <c r="F57" s="7">
        <v>16</v>
      </c>
      <c r="G57" s="7">
        <v>14.3</v>
      </c>
      <c r="H57" s="7">
        <v>70.400000000000006</v>
      </c>
      <c r="I57" s="7">
        <v>3000</v>
      </c>
      <c r="J57" s="7">
        <v>11.3</v>
      </c>
      <c r="K57" s="7">
        <v>13</v>
      </c>
      <c r="L57" s="7">
        <v>17</v>
      </c>
      <c r="M57" s="7">
        <v>17.3</v>
      </c>
      <c r="N57" s="7">
        <v>15.6</v>
      </c>
      <c r="O57" s="7">
        <v>74.2</v>
      </c>
      <c r="P57" s="7">
        <v>4253</v>
      </c>
      <c r="Q57" s="7">
        <v>11.4</v>
      </c>
      <c r="R57" s="7">
        <v>12.3</v>
      </c>
      <c r="S57" s="7">
        <v>17.100000000000001</v>
      </c>
      <c r="T57" s="7">
        <v>16.8</v>
      </c>
      <c r="U57" s="7">
        <v>15.1</v>
      </c>
      <c r="V57" s="7">
        <v>72.599999999999994</v>
      </c>
      <c r="W57" s="7">
        <v>7253</v>
      </c>
      <c r="AA57" s="73"/>
      <c r="AB57" s="73"/>
      <c r="AC57" s="73"/>
      <c r="AD57" s="73"/>
      <c r="AE57" s="73"/>
      <c r="AF57" s="73"/>
      <c r="AG57" s="73"/>
      <c r="AH57" s="73"/>
      <c r="AI57" s="73"/>
      <c r="AJ57" s="73"/>
      <c r="AK57" s="73"/>
      <c r="AL57" s="73"/>
      <c r="AM57" s="73"/>
      <c r="AN57" s="73"/>
      <c r="AO57" s="73"/>
      <c r="AP57" s="73"/>
      <c r="AQ57" s="73"/>
      <c r="AR57" s="73"/>
      <c r="AS57" s="73"/>
      <c r="AT57" s="73"/>
      <c r="AU57" s="73"/>
      <c r="AV57" s="73"/>
      <c r="AX57" s="78"/>
      <c r="AY57" s="78"/>
      <c r="AZ57" s="78"/>
      <c r="BA57" s="78"/>
      <c r="BB57" s="78"/>
      <c r="BC57" s="78"/>
      <c r="BD57" s="78"/>
      <c r="BE57" s="78"/>
      <c r="BF57" s="78"/>
      <c r="BG57" s="78"/>
      <c r="BH57" s="78"/>
      <c r="BI57" s="78"/>
      <c r="BJ57" s="78"/>
      <c r="BK57" s="78"/>
      <c r="BL57" s="78"/>
      <c r="BM57" s="78"/>
      <c r="BN57" s="78"/>
      <c r="BO57" s="78"/>
      <c r="BP57" s="78"/>
      <c r="BQ57" s="78"/>
      <c r="BR57" s="78"/>
    </row>
    <row r="58" spans="1:70" x14ac:dyDescent="0.2">
      <c r="A58" s="14"/>
      <c r="B58" s="7" t="s">
        <v>17</v>
      </c>
      <c r="C58" s="7">
        <v>7.5</v>
      </c>
      <c r="D58" s="7">
        <v>12.9</v>
      </c>
      <c r="E58" s="7">
        <v>18</v>
      </c>
      <c r="F58" s="7">
        <v>17.600000000000001</v>
      </c>
      <c r="G58" s="7">
        <v>16.5</v>
      </c>
      <c r="H58" s="7">
        <v>72.400000000000006</v>
      </c>
      <c r="I58" s="7">
        <v>5470</v>
      </c>
      <c r="J58" s="7">
        <v>12.3</v>
      </c>
      <c r="K58" s="7">
        <v>19.600000000000001</v>
      </c>
      <c r="L58" s="7">
        <v>19.8</v>
      </c>
      <c r="M58" s="7">
        <v>18.3</v>
      </c>
      <c r="N58" s="7">
        <v>13.2</v>
      </c>
      <c r="O58" s="7">
        <v>83.1</v>
      </c>
      <c r="P58" s="7">
        <v>16792</v>
      </c>
      <c r="Q58" s="7">
        <v>11.1</v>
      </c>
      <c r="R58" s="7">
        <v>18</v>
      </c>
      <c r="S58" s="7">
        <v>19.399999999999999</v>
      </c>
      <c r="T58" s="7">
        <v>18.100000000000001</v>
      </c>
      <c r="U58" s="7">
        <v>14</v>
      </c>
      <c r="V58" s="7">
        <v>80.5</v>
      </c>
      <c r="W58" s="7">
        <v>22262</v>
      </c>
      <c r="AA58" s="73"/>
      <c r="AB58" s="73"/>
      <c r="AC58" s="73"/>
      <c r="AD58" s="73"/>
      <c r="AE58" s="73"/>
      <c r="AF58" s="73"/>
      <c r="AG58" s="73"/>
      <c r="AH58" s="73"/>
      <c r="AI58" s="73"/>
      <c r="AJ58" s="73"/>
      <c r="AK58" s="73"/>
      <c r="AL58" s="73"/>
      <c r="AM58" s="73"/>
      <c r="AN58" s="73"/>
      <c r="AO58" s="73"/>
      <c r="AP58" s="73"/>
      <c r="AQ58" s="73"/>
      <c r="AR58" s="73"/>
      <c r="AS58" s="73"/>
      <c r="AT58" s="73"/>
      <c r="AU58" s="73"/>
      <c r="AV58" s="73"/>
      <c r="AX58" s="78"/>
      <c r="AY58" s="78"/>
      <c r="AZ58" s="78"/>
      <c r="BA58" s="78"/>
      <c r="BB58" s="78"/>
      <c r="BC58" s="78"/>
      <c r="BD58" s="78"/>
      <c r="BE58" s="78"/>
      <c r="BF58" s="78"/>
      <c r="BG58" s="78"/>
      <c r="BH58" s="78"/>
      <c r="BI58" s="78"/>
      <c r="BJ58" s="78"/>
      <c r="BK58" s="78"/>
      <c r="BL58" s="78"/>
      <c r="BM58" s="78"/>
      <c r="BN58" s="78"/>
      <c r="BO58" s="78"/>
      <c r="BP58" s="78"/>
      <c r="BQ58" s="78"/>
      <c r="BR58" s="78"/>
    </row>
    <row r="59" spans="1:70" x14ac:dyDescent="0.2">
      <c r="A59" s="14"/>
      <c r="B59" s="7" t="s">
        <v>18</v>
      </c>
      <c r="C59" s="7">
        <v>9.1999999999999993</v>
      </c>
      <c r="D59" s="7">
        <v>14.6</v>
      </c>
      <c r="E59" s="7">
        <v>15.1</v>
      </c>
      <c r="F59" s="7">
        <v>16.600000000000001</v>
      </c>
      <c r="G59" s="7">
        <v>15.4</v>
      </c>
      <c r="H59" s="7">
        <v>70.900000000000006</v>
      </c>
      <c r="I59" s="7">
        <v>5361</v>
      </c>
      <c r="J59" s="7">
        <v>12.7</v>
      </c>
      <c r="K59" s="7">
        <v>17.899999999999999</v>
      </c>
      <c r="L59" s="7">
        <v>16.8</v>
      </c>
      <c r="M59" s="7">
        <v>16.399999999999999</v>
      </c>
      <c r="N59" s="7">
        <v>14.5</v>
      </c>
      <c r="O59" s="7">
        <v>78.2</v>
      </c>
      <c r="P59" s="7">
        <v>16937</v>
      </c>
      <c r="Q59" s="7">
        <v>11.9</v>
      </c>
      <c r="R59" s="7">
        <v>17.100000000000001</v>
      </c>
      <c r="S59" s="7">
        <v>16.399999999999999</v>
      </c>
      <c r="T59" s="7">
        <v>16.399999999999999</v>
      </c>
      <c r="U59" s="7">
        <v>14.7</v>
      </c>
      <c r="V59" s="7">
        <v>76.400000000000006</v>
      </c>
      <c r="W59" s="7">
        <v>22298</v>
      </c>
      <c r="AA59" s="73"/>
      <c r="AB59" s="73"/>
      <c r="AC59" s="73"/>
      <c r="AD59" s="73"/>
      <c r="AE59" s="73"/>
      <c r="AF59" s="73"/>
      <c r="AG59" s="73"/>
      <c r="AH59" s="73"/>
      <c r="AI59" s="73"/>
      <c r="AJ59" s="73"/>
      <c r="AK59" s="73"/>
      <c r="AL59" s="73"/>
      <c r="AM59" s="73"/>
      <c r="AN59" s="73"/>
      <c r="AO59" s="73"/>
      <c r="AP59" s="73"/>
      <c r="AQ59" s="73"/>
      <c r="AR59" s="73"/>
      <c r="AS59" s="73"/>
      <c r="AT59" s="73"/>
      <c r="AU59" s="73"/>
      <c r="AV59" s="73"/>
      <c r="AX59" s="78"/>
      <c r="AY59" s="78"/>
      <c r="AZ59" s="78"/>
      <c r="BA59" s="78"/>
      <c r="BB59" s="78"/>
      <c r="BC59" s="78"/>
      <c r="BD59" s="78"/>
      <c r="BE59" s="78"/>
      <c r="BF59" s="78"/>
      <c r="BG59" s="78"/>
      <c r="BH59" s="78"/>
      <c r="BI59" s="78"/>
      <c r="BJ59" s="78"/>
      <c r="BK59" s="78"/>
      <c r="BL59" s="78"/>
      <c r="BM59" s="78"/>
      <c r="BN59" s="78"/>
      <c r="BO59" s="78"/>
      <c r="BP59" s="78"/>
      <c r="BQ59" s="78"/>
      <c r="BR59" s="78"/>
    </row>
    <row r="60" spans="1:70" x14ac:dyDescent="0.2">
      <c r="A60" s="14"/>
      <c r="B60" s="7" t="s">
        <v>19</v>
      </c>
      <c r="C60" s="7">
        <v>13.1</v>
      </c>
      <c r="D60" s="7">
        <v>18.100000000000001</v>
      </c>
      <c r="E60" s="7">
        <v>18.100000000000001</v>
      </c>
      <c r="F60" s="7">
        <v>14.7</v>
      </c>
      <c r="G60" s="7">
        <v>13.7</v>
      </c>
      <c r="H60" s="7">
        <v>77.599999999999994</v>
      </c>
      <c r="I60" s="7">
        <v>796</v>
      </c>
      <c r="J60" s="7">
        <v>15.7</v>
      </c>
      <c r="K60" s="7">
        <v>14.8</v>
      </c>
      <c r="L60" s="7">
        <v>17.899999999999999</v>
      </c>
      <c r="M60" s="7">
        <v>16.7</v>
      </c>
      <c r="N60" s="7">
        <v>13.6</v>
      </c>
      <c r="O60" s="7">
        <v>78.599999999999994</v>
      </c>
      <c r="P60" s="7">
        <v>861</v>
      </c>
      <c r="Q60" s="7">
        <v>14.4</v>
      </c>
      <c r="R60" s="7">
        <v>16.399999999999999</v>
      </c>
      <c r="S60" s="7">
        <v>18</v>
      </c>
      <c r="T60" s="7">
        <v>15.8</v>
      </c>
      <c r="U60" s="7">
        <v>13.6</v>
      </c>
      <c r="V60" s="7">
        <v>78.2</v>
      </c>
      <c r="W60" s="7">
        <v>1657</v>
      </c>
      <c r="AA60" s="73"/>
      <c r="AB60" s="73"/>
      <c r="AC60" s="73"/>
      <c r="AD60" s="73"/>
      <c r="AE60" s="73"/>
      <c r="AF60" s="73"/>
      <c r="AG60" s="73"/>
      <c r="AH60" s="73"/>
      <c r="AI60" s="73"/>
      <c r="AJ60" s="73"/>
      <c r="AK60" s="73"/>
      <c r="AL60" s="73"/>
      <c r="AM60" s="73"/>
      <c r="AN60" s="73"/>
      <c r="AO60" s="73"/>
      <c r="AP60" s="73"/>
      <c r="AQ60" s="73"/>
      <c r="AR60" s="73"/>
      <c r="AS60" s="73"/>
      <c r="AT60" s="73"/>
      <c r="AU60" s="73"/>
      <c r="AV60" s="73"/>
      <c r="AX60" s="78"/>
      <c r="AY60" s="78"/>
      <c r="AZ60" s="78"/>
      <c r="BA60" s="78"/>
      <c r="BB60" s="78"/>
      <c r="BC60" s="78"/>
      <c r="BD60" s="78"/>
      <c r="BE60" s="78"/>
      <c r="BF60" s="78"/>
      <c r="BG60" s="78"/>
      <c r="BH60" s="78"/>
      <c r="BI60" s="78"/>
      <c r="BJ60" s="78"/>
      <c r="BK60" s="78"/>
      <c r="BL60" s="78"/>
      <c r="BM60" s="78"/>
      <c r="BN60" s="78"/>
      <c r="BO60" s="78"/>
      <c r="BP60" s="78"/>
      <c r="BQ60" s="78"/>
      <c r="BR60" s="78"/>
    </row>
    <row r="61" spans="1:70" x14ac:dyDescent="0.2">
      <c r="A61" s="14"/>
      <c r="B61" s="7" t="s">
        <v>20</v>
      </c>
      <c r="C61" s="7">
        <v>17.600000000000001</v>
      </c>
      <c r="D61" s="7">
        <v>18</v>
      </c>
      <c r="E61" s="7">
        <v>22.4</v>
      </c>
      <c r="F61" s="7">
        <v>20.399999999999999</v>
      </c>
      <c r="G61" s="7">
        <v>12</v>
      </c>
      <c r="H61" s="7">
        <v>90.5</v>
      </c>
      <c r="I61" s="7">
        <v>12518</v>
      </c>
      <c r="J61" s="7">
        <v>21.1</v>
      </c>
      <c r="K61" s="7">
        <v>21</v>
      </c>
      <c r="L61" s="7">
        <v>24.1</v>
      </c>
      <c r="M61" s="7">
        <v>18.3</v>
      </c>
      <c r="N61" s="7">
        <v>9.5</v>
      </c>
      <c r="O61" s="7">
        <v>93.9</v>
      </c>
      <c r="P61" s="7">
        <v>19224</v>
      </c>
      <c r="Q61" s="7">
        <v>19.7</v>
      </c>
      <c r="R61" s="7">
        <v>19.8</v>
      </c>
      <c r="S61" s="7">
        <v>23.4</v>
      </c>
      <c r="T61" s="7">
        <v>19.100000000000001</v>
      </c>
      <c r="U61" s="7">
        <v>10.5</v>
      </c>
      <c r="V61" s="7">
        <v>92.6</v>
      </c>
      <c r="W61" s="7">
        <v>31742</v>
      </c>
      <c r="AA61" s="73"/>
      <c r="AB61" s="73"/>
      <c r="AC61" s="73"/>
      <c r="AD61" s="73"/>
      <c r="AE61" s="73"/>
      <c r="AF61" s="73"/>
      <c r="AG61" s="73"/>
      <c r="AH61" s="73"/>
      <c r="AI61" s="73"/>
      <c r="AJ61" s="73"/>
      <c r="AK61" s="73"/>
      <c r="AL61" s="73"/>
      <c r="AM61" s="73"/>
      <c r="AN61" s="73"/>
      <c r="AO61" s="73"/>
      <c r="AP61" s="73"/>
      <c r="AQ61" s="73"/>
      <c r="AR61" s="73"/>
      <c r="AS61" s="73"/>
      <c r="AT61" s="73"/>
      <c r="AU61" s="73"/>
      <c r="AV61" s="73"/>
      <c r="AX61" s="78"/>
      <c r="AY61" s="78"/>
      <c r="AZ61" s="78"/>
      <c r="BA61" s="78"/>
      <c r="BB61" s="78"/>
      <c r="BC61" s="78"/>
      <c r="BD61" s="78"/>
      <c r="BE61" s="78"/>
      <c r="BF61" s="78"/>
      <c r="BG61" s="78"/>
      <c r="BH61" s="78"/>
      <c r="BI61" s="78"/>
      <c r="BJ61" s="78"/>
      <c r="BK61" s="78"/>
      <c r="BL61" s="78"/>
      <c r="BM61" s="78"/>
      <c r="BN61" s="78"/>
      <c r="BO61" s="78"/>
      <c r="BP61" s="78"/>
      <c r="BQ61" s="78"/>
      <c r="BR61" s="78"/>
    </row>
    <row r="62" spans="1:70" x14ac:dyDescent="0.2">
      <c r="A62" s="14"/>
      <c r="B62" s="7" t="s">
        <v>21</v>
      </c>
      <c r="C62" s="7">
        <v>10</v>
      </c>
      <c r="D62" s="7">
        <v>13.5</v>
      </c>
      <c r="E62" s="7">
        <v>19.100000000000001</v>
      </c>
      <c r="F62" s="7">
        <v>20.8</v>
      </c>
      <c r="G62" s="7">
        <v>17.2</v>
      </c>
      <c r="H62" s="7">
        <v>80.599999999999994</v>
      </c>
      <c r="I62" s="7">
        <v>2332</v>
      </c>
      <c r="J62" s="7">
        <v>12.7</v>
      </c>
      <c r="K62" s="7">
        <v>15.8</v>
      </c>
      <c r="L62" s="7">
        <v>21.6</v>
      </c>
      <c r="M62" s="7">
        <v>20.9</v>
      </c>
      <c r="N62" s="7">
        <v>16.3</v>
      </c>
      <c r="O62" s="7">
        <v>87.3</v>
      </c>
      <c r="P62" s="7">
        <v>6422</v>
      </c>
      <c r="Q62" s="7">
        <v>12</v>
      </c>
      <c r="R62" s="7">
        <v>15.2</v>
      </c>
      <c r="S62" s="7">
        <v>20.9</v>
      </c>
      <c r="T62" s="7">
        <v>20.9</v>
      </c>
      <c r="U62" s="7">
        <v>16.600000000000001</v>
      </c>
      <c r="V62" s="7">
        <v>85.5</v>
      </c>
      <c r="W62" s="7">
        <v>8754</v>
      </c>
      <c r="AA62" s="73"/>
      <c r="AB62" s="73"/>
      <c r="AC62" s="73"/>
      <c r="AD62" s="73"/>
      <c r="AE62" s="73"/>
      <c r="AF62" s="73"/>
      <c r="AG62" s="73"/>
      <c r="AH62" s="73"/>
      <c r="AI62" s="73"/>
      <c r="AJ62" s="73"/>
      <c r="AK62" s="73"/>
      <c r="AL62" s="73"/>
      <c r="AM62" s="73"/>
      <c r="AN62" s="73"/>
      <c r="AO62" s="73"/>
      <c r="AP62" s="73"/>
      <c r="AQ62" s="73"/>
      <c r="AR62" s="73"/>
      <c r="AS62" s="73"/>
      <c r="AT62" s="73"/>
      <c r="AU62" s="73"/>
      <c r="AV62" s="73"/>
      <c r="AX62" s="78"/>
      <c r="AY62" s="78"/>
      <c r="AZ62" s="78"/>
      <c r="BA62" s="78"/>
      <c r="BB62" s="78"/>
      <c r="BC62" s="78"/>
      <c r="BD62" s="78"/>
      <c r="BE62" s="78"/>
      <c r="BF62" s="78"/>
      <c r="BG62" s="78"/>
      <c r="BH62" s="78"/>
      <c r="BI62" s="78"/>
      <c r="BJ62" s="78"/>
      <c r="BK62" s="78"/>
      <c r="BL62" s="78"/>
      <c r="BM62" s="78"/>
      <c r="BN62" s="78"/>
      <c r="BO62" s="78"/>
      <c r="BP62" s="78"/>
      <c r="BQ62" s="78"/>
      <c r="BR62" s="78"/>
    </row>
    <row r="63" spans="1:70" x14ac:dyDescent="0.2">
      <c r="A63" s="14"/>
      <c r="B63" s="7" t="s">
        <v>22</v>
      </c>
      <c r="C63" s="7">
        <v>15.1</v>
      </c>
      <c r="D63" s="7">
        <v>18.899999999999999</v>
      </c>
      <c r="E63" s="7">
        <v>22.4</v>
      </c>
      <c r="F63" s="7">
        <v>21</v>
      </c>
      <c r="G63" s="7">
        <v>13.7</v>
      </c>
      <c r="H63" s="7">
        <v>91.1</v>
      </c>
      <c r="I63" s="7">
        <v>24948</v>
      </c>
      <c r="J63" s="7">
        <v>14.3</v>
      </c>
      <c r="K63" s="7">
        <v>19.100000000000001</v>
      </c>
      <c r="L63" s="7">
        <v>23.2</v>
      </c>
      <c r="M63" s="7">
        <v>21.8</v>
      </c>
      <c r="N63" s="7">
        <v>14.2</v>
      </c>
      <c r="O63" s="7">
        <v>92.6</v>
      </c>
      <c r="P63" s="7">
        <v>55711</v>
      </c>
      <c r="Q63" s="7">
        <v>14.6</v>
      </c>
      <c r="R63" s="7">
        <v>19</v>
      </c>
      <c r="S63" s="7">
        <v>23</v>
      </c>
      <c r="T63" s="7">
        <v>21.5</v>
      </c>
      <c r="U63" s="7">
        <v>14</v>
      </c>
      <c r="V63" s="7">
        <v>92.1</v>
      </c>
      <c r="W63" s="7">
        <v>80659</v>
      </c>
      <c r="AA63" s="73"/>
      <c r="AB63" s="73"/>
      <c r="AC63" s="73"/>
      <c r="AD63" s="73"/>
      <c r="AE63" s="73"/>
      <c r="AF63" s="73"/>
      <c r="AG63" s="73"/>
      <c r="AH63" s="73"/>
      <c r="AI63" s="73"/>
      <c r="AJ63" s="73"/>
      <c r="AK63" s="73"/>
      <c r="AL63" s="73"/>
      <c r="AM63" s="73"/>
      <c r="AN63" s="73"/>
      <c r="AO63" s="73"/>
      <c r="AP63" s="73"/>
      <c r="AQ63" s="73"/>
      <c r="AR63" s="73"/>
      <c r="AS63" s="73"/>
      <c r="AT63" s="73"/>
      <c r="AU63" s="73"/>
      <c r="AV63" s="73"/>
      <c r="AX63" s="78"/>
      <c r="AY63" s="78"/>
      <c r="AZ63" s="78"/>
      <c r="BA63" s="78"/>
      <c r="BB63" s="78"/>
      <c r="BC63" s="78"/>
      <c r="BD63" s="78"/>
      <c r="BE63" s="78"/>
      <c r="BF63" s="78"/>
      <c r="BG63" s="78"/>
      <c r="BH63" s="78"/>
      <c r="BI63" s="78"/>
      <c r="BJ63" s="78"/>
      <c r="BK63" s="78"/>
      <c r="BL63" s="78"/>
      <c r="BM63" s="78"/>
      <c r="BN63" s="78"/>
      <c r="BO63" s="78"/>
      <c r="BP63" s="78"/>
      <c r="BQ63" s="78"/>
      <c r="BR63" s="78"/>
    </row>
    <row r="64" spans="1:70" x14ac:dyDescent="0.2">
      <c r="A64" s="14"/>
      <c r="B64" s="7" t="s">
        <v>51</v>
      </c>
      <c r="C64" s="7">
        <v>9.4</v>
      </c>
      <c r="D64" s="7">
        <v>15.8</v>
      </c>
      <c r="E64" s="7">
        <v>28.5</v>
      </c>
      <c r="F64" s="7">
        <v>24.5</v>
      </c>
      <c r="G64" s="7">
        <v>13.8</v>
      </c>
      <c r="H64" s="7">
        <v>92</v>
      </c>
      <c r="I64" s="7">
        <v>3927</v>
      </c>
      <c r="J64" s="7">
        <v>11.2</v>
      </c>
      <c r="K64" s="7">
        <v>18.3</v>
      </c>
      <c r="L64" s="7">
        <v>28.8</v>
      </c>
      <c r="M64" s="7">
        <v>24.8</v>
      </c>
      <c r="N64" s="7">
        <v>11.1</v>
      </c>
      <c r="O64" s="7">
        <v>94.3</v>
      </c>
      <c r="P64" s="7">
        <v>5027</v>
      </c>
      <c r="Q64" s="7">
        <v>10.4</v>
      </c>
      <c r="R64" s="7">
        <v>17.2</v>
      </c>
      <c r="S64" s="7">
        <v>28.7</v>
      </c>
      <c r="T64" s="7">
        <v>24.7</v>
      </c>
      <c r="U64" s="7">
        <v>12.3</v>
      </c>
      <c r="V64" s="7">
        <v>93.3</v>
      </c>
      <c r="W64" s="7">
        <v>8954</v>
      </c>
      <c r="AA64" s="73"/>
      <c r="AB64" s="73"/>
      <c r="AC64" s="73"/>
      <c r="AD64" s="73"/>
      <c r="AE64" s="73"/>
      <c r="AF64" s="73"/>
      <c r="AG64" s="73"/>
      <c r="AH64" s="73"/>
      <c r="AI64" s="73"/>
      <c r="AJ64" s="73"/>
      <c r="AK64" s="73"/>
      <c r="AL64" s="73"/>
      <c r="AM64" s="73"/>
      <c r="AN64" s="73"/>
      <c r="AO64" s="73"/>
      <c r="AP64" s="73"/>
      <c r="AQ64" s="73"/>
      <c r="AR64" s="73"/>
      <c r="AS64" s="73"/>
      <c r="AT64" s="73"/>
      <c r="AU64" s="73"/>
      <c r="AV64" s="73"/>
      <c r="AX64" s="78"/>
      <c r="AY64" s="78"/>
      <c r="AZ64" s="78"/>
      <c r="BA64" s="78"/>
      <c r="BB64" s="78"/>
      <c r="BC64" s="78"/>
      <c r="BD64" s="78"/>
      <c r="BE64" s="78"/>
      <c r="BF64" s="78"/>
      <c r="BG64" s="78"/>
      <c r="BH64" s="78"/>
      <c r="BI64" s="78"/>
      <c r="BJ64" s="78"/>
      <c r="BK64" s="78"/>
      <c r="BL64" s="78"/>
      <c r="BM64" s="78"/>
      <c r="BN64" s="78"/>
      <c r="BO64" s="78"/>
      <c r="BP64" s="78"/>
      <c r="BQ64" s="78"/>
      <c r="BR64" s="78"/>
    </row>
    <row r="65" spans="1:70" x14ac:dyDescent="0.2">
      <c r="A65" s="14"/>
      <c r="B65" s="7" t="s">
        <v>23</v>
      </c>
      <c r="C65" s="7">
        <v>7.8</v>
      </c>
      <c r="D65" s="7">
        <v>15.3</v>
      </c>
      <c r="E65" s="7">
        <v>20.6</v>
      </c>
      <c r="F65" s="7">
        <v>19.5</v>
      </c>
      <c r="G65" s="7">
        <v>13.9</v>
      </c>
      <c r="H65" s="7">
        <v>77.099999999999994</v>
      </c>
      <c r="I65" s="7">
        <v>2553</v>
      </c>
      <c r="J65" s="7">
        <v>10.7</v>
      </c>
      <c r="K65" s="7">
        <v>21.4</v>
      </c>
      <c r="L65" s="7">
        <v>26.7</v>
      </c>
      <c r="M65" s="7">
        <v>18.600000000000001</v>
      </c>
      <c r="N65" s="7">
        <v>10.6</v>
      </c>
      <c r="O65" s="7">
        <v>88.1</v>
      </c>
      <c r="P65" s="7">
        <v>5020</v>
      </c>
      <c r="Q65" s="7">
        <v>9.6999999999999993</v>
      </c>
      <c r="R65" s="7">
        <v>19.399999999999999</v>
      </c>
      <c r="S65" s="7">
        <v>24.6</v>
      </c>
      <c r="T65" s="7">
        <v>18.899999999999999</v>
      </c>
      <c r="U65" s="7">
        <v>11.7</v>
      </c>
      <c r="V65" s="7">
        <v>84.4</v>
      </c>
      <c r="W65" s="7">
        <v>7573</v>
      </c>
      <c r="AA65" s="73"/>
      <c r="AB65" s="73"/>
      <c r="AC65" s="73"/>
      <c r="AD65" s="73"/>
      <c r="AE65" s="73"/>
      <c r="AF65" s="73"/>
      <c r="AG65" s="73"/>
      <c r="AH65" s="73"/>
      <c r="AI65" s="73"/>
      <c r="AJ65" s="73"/>
      <c r="AK65" s="73"/>
      <c r="AL65" s="73"/>
      <c r="AM65" s="73"/>
      <c r="AN65" s="73"/>
      <c r="AO65" s="73"/>
      <c r="AP65" s="73"/>
      <c r="AQ65" s="73"/>
      <c r="AR65" s="73"/>
      <c r="AS65" s="73"/>
      <c r="AT65" s="73"/>
      <c r="AU65" s="73"/>
      <c r="AV65" s="73"/>
      <c r="AX65" s="78"/>
      <c r="AY65" s="78"/>
      <c r="AZ65" s="78"/>
      <c r="BA65" s="78"/>
      <c r="BB65" s="78"/>
      <c r="BC65" s="78"/>
      <c r="BD65" s="78"/>
      <c r="BE65" s="78"/>
      <c r="BF65" s="78"/>
      <c r="BG65" s="78"/>
      <c r="BH65" s="78"/>
      <c r="BI65" s="78"/>
      <c r="BJ65" s="78"/>
      <c r="BK65" s="78"/>
      <c r="BL65" s="78"/>
      <c r="BM65" s="78"/>
      <c r="BN65" s="78"/>
      <c r="BO65" s="78"/>
      <c r="BP65" s="78"/>
      <c r="BQ65" s="78"/>
      <c r="BR65" s="78"/>
    </row>
    <row r="66" spans="1:70" x14ac:dyDescent="0.2">
      <c r="A66" s="14"/>
      <c r="B66" s="7" t="s">
        <v>24</v>
      </c>
      <c r="C66" s="7">
        <v>21.5</v>
      </c>
      <c r="D66" s="7">
        <v>20.100000000000001</v>
      </c>
      <c r="E66" s="7">
        <v>19.3</v>
      </c>
      <c r="F66" s="7">
        <v>16.8</v>
      </c>
      <c r="G66" s="7">
        <v>12</v>
      </c>
      <c r="H66" s="7">
        <v>89.8</v>
      </c>
      <c r="I66" s="7">
        <v>6413</v>
      </c>
      <c r="J66" s="7">
        <v>19.600000000000001</v>
      </c>
      <c r="K66" s="7">
        <v>20.100000000000001</v>
      </c>
      <c r="L66" s="7">
        <v>20.100000000000001</v>
      </c>
      <c r="M66" s="7">
        <v>17</v>
      </c>
      <c r="N66" s="7">
        <v>12.6</v>
      </c>
      <c r="O66" s="7">
        <v>89.4</v>
      </c>
      <c r="P66" s="7">
        <v>14951</v>
      </c>
      <c r="Q66" s="7">
        <v>20.2</v>
      </c>
      <c r="R66" s="7">
        <v>20.100000000000001</v>
      </c>
      <c r="S66" s="7">
        <v>19.8</v>
      </c>
      <c r="T66" s="7">
        <v>16.899999999999999</v>
      </c>
      <c r="U66" s="7">
        <v>12.4</v>
      </c>
      <c r="V66" s="7">
        <v>89.5</v>
      </c>
      <c r="W66" s="7">
        <v>21364</v>
      </c>
      <c r="AA66" s="73"/>
      <c r="AB66" s="73"/>
      <c r="AC66" s="73"/>
      <c r="AD66" s="73"/>
      <c r="AE66" s="73"/>
      <c r="AF66" s="73"/>
      <c r="AG66" s="73"/>
      <c r="AH66" s="73"/>
      <c r="AI66" s="73"/>
      <c r="AJ66" s="73"/>
      <c r="AK66" s="73"/>
      <c r="AL66" s="73"/>
      <c r="AM66" s="73"/>
      <c r="AN66" s="73"/>
      <c r="AO66" s="73"/>
      <c r="AP66" s="73"/>
      <c r="AQ66" s="73"/>
      <c r="AR66" s="73"/>
      <c r="AS66" s="73"/>
      <c r="AT66" s="73"/>
      <c r="AU66" s="73"/>
      <c r="AV66" s="73"/>
      <c r="AX66" s="78"/>
      <c r="AY66" s="78"/>
      <c r="AZ66" s="78"/>
      <c r="BA66" s="78"/>
      <c r="BB66" s="78"/>
      <c r="BC66" s="78"/>
      <c r="BD66" s="78"/>
      <c r="BE66" s="78"/>
      <c r="BF66" s="78"/>
      <c r="BG66" s="78"/>
      <c r="BH66" s="78"/>
      <c r="BI66" s="78"/>
      <c r="BJ66" s="78"/>
      <c r="BK66" s="78"/>
      <c r="BL66" s="78"/>
      <c r="BM66" s="78"/>
      <c r="BN66" s="78"/>
      <c r="BO66" s="78"/>
      <c r="BP66" s="78"/>
      <c r="BQ66" s="78"/>
      <c r="BR66" s="78"/>
    </row>
    <row r="67" spans="1:70" x14ac:dyDescent="0.2">
      <c r="A67" s="14"/>
      <c r="B67" s="7" t="s">
        <v>25</v>
      </c>
      <c r="C67" s="7">
        <v>27</v>
      </c>
      <c r="D67" s="7">
        <v>18.3</v>
      </c>
      <c r="E67" s="7">
        <v>17.399999999999999</v>
      </c>
      <c r="F67" s="7">
        <v>15.8</v>
      </c>
      <c r="G67" s="7">
        <v>11.6</v>
      </c>
      <c r="H67" s="7">
        <v>90.1</v>
      </c>
      <c r="I67" s="7">
        <v>2845</v>
      </c>
      <c r="J67" s="7">
        <v>21.7</v>
      </c>
      <c r="K67" s="7">
        <v>19.3</v>
      </c>
      <c r="L67" s="7">
        <v>18.8</v>
      </c>
      <c r="M67" s="7">
        <v>17.5</v>
      </c>
      <c r="N67" s="7">
        <v>13.1</v>
      </c>
      <c r="O67" s="7">
        <v>90.4</v>
      </c>
      <c r="P67" s="7">
        <v>6139</v>
      </c>
      <c r="Q67" s="7">
        <v>23.4</v>
      </c>
      <c r="R67" s="7">
        <v>18.899999999999999</v>
      </c>
      <c r="S67" s="7">
        <v>18.399999999999999</v>
      </c>
      <c r="T67" s="7">
        <v>17</v>
      </c>
      <c r="U67" s="7">
        <v>12.6</v>
      </c>
      <c r="V67" s="7">
        <v>90.3</v>
      </c>
      <c r="W67" s="7">
        <v>8984</v>
      </c>
      <c r="AA67" s="73"/>
      <c r="AB67" s="73"/>
      <c r="AC67" s="73"/>
      <c r="AD67" s="73"/>
      <c r="AE67" s="73"/>
      <c r="AF67" s="73"/>
      <c r="AG67" s="73"/>
      <c r="AH67" s="73"/>
      <c r="AI67" s="73"/>
      <c r="AJ67" s="73"/>
      <c r="AK67" s="73"/>
      <c r="AL67" s="73"/>
      <c r="AM67" s="73"/>
      <c r="AN67" s="73"/>
      <c r="AO67" s="73"/>
      <c r="AP67" s="73"/>
      <c r="AQ67" s="73"/>
      <c r="AR67" s="73"/>
      <c r="AS67" s="73"/>
      <c r="AT67" s="73"/>
      <c r="AU67" s="73"/>
      <c r="AV67" s="73"/>
      <c r="AX67" s="78"/>
      <c r="AY67" s="78"/>
      <c r="AZ67" s="78"/>
      <c r="BA67" s="78"/>
      <c r="BB67" s="78"/>
      <c r="BC67" s="78"/>
      <c r="BD67" s="78"/>
      <c r="BE67" s="78"/>
      <c r="BF67" s="78"/>
      <c r="BG67" s="78"/>
      <c r="BH67" s="78"/>
      <c r="BI67" s="78"/>
      <c r="BJ67" s="78"/>
      <c r="BK67" s="78"/>
      <c r="BL67" s="78"/>
      <c r="BM67" s="78"/>
      <c r="BN67" s="78"/>
      <c r="BO67" s="78"/>
      <c r="BP67" s="78"/>
      <c r="BQ67" s="78"/>
      <c r="BR67" s="78"/>
    </row>
    <row r="68" spans="1:70" x14ac:dyDescent="0.2">
      <c r="A68" s="14"/>
      <c r="B68" s="7" t="s">
        <v>26</v>
      </c>
      <c r="C68" s="7">
        <v>27.6</v>
      </c>
      <c r="D68" s="7">
        <v>24.1</v>
      </c>
      <c r="E68" s="7">
        <v>18.2</v>
      </c>
      <c r="F68" s="7">
        <v>14.5</v>
      </c>
      <c r="G68" s="7">
        <v>8.4</v>
      </c>
      <c r="H68" s="7">
        <v>92.8</v>
      </c>
      <c r="I68" s="7">
        <v>1268</v>
      </c>
      <c r="J68" s="7">
        <v>22.4</v>
      </c>
      <c r="K68" s="7">
        <v>19.899999999999999</v>
      </c>
      <c r="L68" s="7">
        <v>19.399999999999999</v>
      </c>
      <c r="M68" s="7">
        <v>17.399999999999999</v>
      </c>
      <c r="N68" s="7">
        <v>10.7</v>
      </c>
      <c r="O68" s="7">
        <v>89.7</v>
      </c>
      <c r="P68" s="7">
        <v>3060</v>
      </c>
      <c r="Q68" s="7">
        <v>23.9</v>
      </c>
      <c r="R68" s="7">
        <v>21.2</v>
      </c>
      <c r="S68" s="7">
        <v>19</v>
      </c>
      <c r="T68" s="7">
        <v>16.5</v>
      </c>
      <c r="U68" s="7">
        <v>10</v>
      </c>
      <c r="V68" s="7">
        <v>90.6</v>
      </c>
      <c r="W68" s="7">
        <v>4328</v>
      </c>
      <c r="AA68" s="73"/>
      <c r="AB68" s="73"/>
      <c r="AC68" s="73"/>
      <c r="AD68" s="73"/>
      <c r="AE68" s="73"/>
      <c r="AF68" s="73"/>
      <c r="AG68" s="73"/>
      <c r="AH68" s="73"/>
      <c r="AI68" s="73"/>
      <c r="AJ68" s="73"/>
      <c r="AK68" s="73"/>
      <c r="AL68" s="73"/>
      <c r="AM68" s="73"/>
      <c r="AN68" s="73"/>
      <c r="AO68" s="73"/>
      <c r="AP68" s="73"/>
      <c r="AQ68" s="73"/>
      <c r="AR68" s="73"/>
      <c r="AS68" s="73"/>
      <c r="AT68" s="73"/>
      <c r="AU68" s="73"/>
      <c r="AV68" s="73"/>
      <c r="AX68" s="78"/>
      <c r="AY68" s="78"/>
      <c r="AZ68" s="78"/>
      <c r="BA68" s="78"/>
      <c r="BB68" s="78"/>
      <c r="BC68" s="78"/>
      <c r="BD68" s="78"/>
      <c r="BE68" s="78"/>
      <c r="BF68" s="78"/>
      <c r="BG68" s="78"/>
      <c r="BH68" s="78"/>
      <c r="BI68" s="78"/>
      <c r="BJ68" s="78"/>
      <c r="BK68" s="78"/>
      <c r="BL68" s="78"/>
      <c r="BM68" s="78"/>
      <c r="BN68" s="78"/>
      <c r="BO68" s="78"/>
      <c r="BP68" s="78"/>
      <c r="BQ68" s="78"/>
      <c r="BR68" s="78"/>
    </row>
    <row r="69" spans="1:70" x14ac:dyDescent="0.2">
      <c r="A69" s="14"/>
      <c r="B69" s="7" t="s">
        <v>27</v>
      </c>
      <c r="C69" s="7">
        <v>29.2</v>
      </c>
      <c r="D69" s="7">
        <v>22.7</v>
      </c>
      <c r="E69" s="7">
        <v>16.8</v>
      </c>
      <c r="F69" s="7">
        <v>11</v>
      </c>
      <c r="G69" s="7">
        <v>6.9</v>
      </c>
      <c r="H69" s="7">
        <v>86.6</v>
      </c>
      <c r="I69" s="7">
        <v>1448</v>
      </c>
      <c r="J69" s="7">
        <v>29.3</v>
      </c>
      <c r="K69" s="7">
        <v>25.1</v>
      </c>
      <c r="L69" s="7">
        <v>17.5</v>
      </c>
      <c r="M69" s="7">
        <v>12.3</v>
      </c>
      <c r="N69" s="7">
        <v>6.5</v>
      </c>
      <c r="O69" s="7">
        <v>90.9</v>
      </c>
      <c r="P69" s="7">
        <v>2025</v>
      </c>
      <c r="Q69" s="7">
        <v>29.3</v>
      </c>
      <c r="R69" s="7">
        <v>24.1</v>
      </c>
      <c r="S69" s="7">
        <v>17.2</v>
      </c>
      <c r="T69" s="7">
        <v>11.8</v>
      </c>
      <c r="U69" s="7">
        <v>6.7</v>
      </c>
      <c r="V69" s="7">
        <v>89.1</v>
      </c>
      <c r="W69" s="7">
        <v>3473</v>
      </c>
      <c r="AA69" s="73"/>
      <c r="AB69" s="73"/>
      <c r="AC69" s="73"/>
      <c r="AD69" s="73"/>
      <c r="AE69" s="73"/>
      <c r="AF69" s="73"/>
      <c r="AG69" s="73"/>
      <c r="AH69" s="73"/>
      <c r="AI69" s="73"/>
      <c r="AJ69" s="73"/>
      <c r="AK69" s="73"/>
      <c r="AL69" s="73"/>
      <c r="AM69" s="73"/>
      <c r="AN69" s="73"/>
      <c r="AO69" s="73"/>
      <c r="AP69" s="73"/>
      <c r="AQ69" s="73"/>
      <c r="AR69" s="73"/>
      <c r="AS69" s="73"/>
      <c r="AT69" s="73"/>
      <c r="AU69" s="73"/>
      <c r="AV69" s="73"/>
      <c r="AX69" s="78"/>
      <c r="AY69" s="78"/>
      <c r="AZ69" s="78"/>
      <c r="BA69" s="78"/>
      <c r="BB69" s="78"/>
      <c r="BC69" s="78"/>
      <c r="BD69" s="78"/>
      <c r="BE69" s="78"/>
      <c r="BF69" s="78"/>
      <c r="BG69" s="78"/>
      <c r="BH69" s="78"/>
      <c r="BI69" s="78"/>
      <c r="BJ69" s="78"/>
      <c r="BK69" s="78"/>
      <c r="BL69" s="78"/>
      <c r="BM69" s="78"/>
      <c r="BN69" s="78"/>
      <c r="BO69" s="78"/>
      <c r="BP69" s="78"/>
      <c r="BQ69" s="78"/>
      <c r="BR69" s="78"/>
    </row>
    <row r="70" spans="1:70" x14ac:dyDescent="0.2">
      <c r="A70" s="14"/>
      <c r="B70" s="7" t="s">
        <v>28</v>
      </c>
      <c r="C70" s="7">
        <v>26.4</v>
      </c>
      <c r="D70" s="7">
        <v>20.6</v>
      </c>
      <c r="E70" s="7">
        <v>18.8</v>
      </c>
      <c r="F70" s="7">
        <v>16.5</v>
      </c>
      <c r="G70" s="7">
        <v>9.8000000000000007</v>
      </c>
      <c r="H70" s="7">
        <v>92.1</v>
      </c>
      <c r="I70" s="7">
        <v>2549</v>
      </c>
      <c r="J70" s="7">
        <v>24.9</v>
      </c>
      <c r="K70" s="7">
        <v>23.2</v>
      </c>
      <c r="L70" s="7">
        <v>22.8</v>
      </c>
      <c r="M70" s="7">
        <v>14.5</v>
      </c>
      <c r="N70" s="7">
        <v>8</v>
      </c>
      <c r="O70" s="7">
        <v>93.4</v>
      </c>
      <c r="P70" s="7">
        <v>3546</v>
      </c>
      <c r="Q70" s="7">
        <v>25.5</v>
      </c>
      <c r="R70" s="7">
        <v>22.1</v>
      </c>
      <c r="S70" s="7">
        <v>21.1</v>
      </c>
      <c r="T70" s="7">
        <v>15.4</v>
      </c>
      <c r="U70" s="7">
        <v>8.6999999999999993</v>
      </c>
      <c r="V70" s="7">
        <v>92.8</v>
      </c>
      <c r="W70" s="7">
        <v>6095</v>
      </c>
      <c r="AA70" s="73"/>
      <c r="AB70" s="73"/>
      <c r="AC70" s="73"/>
      <c r="AD70" s="73"/>
      <c r="AE70" s="73"/>
      <c r="AF70" s="73"/>
      <c r="AG70" s="73"/>
      <c r="AH70" s="73"/>
      <c r="AI70" s="73"/>
      <c r="AJ70" s="73"/>
      <c r="AK70" s="73"/>
      <c r="AL70" s="73"/>
      <c r="AM70" s="73"/>
      <c r="AN70" s="73"/>
      <c r="AO70" s="73"/>
      <c r="AP70" s="73"/>
      <c r="AQ70" s="73"/>
      <c r="AR70" s="73"/>
      <c r="AS70" s="73"/>
      <c r="AT70" s="73"/>
      <c r="AU70" s="73"/>
      <c r="AV70" s="73"/>
      <c r="AX70" s="78"/>
      <c r="AY70" s="78"/>
      <c r="AZ70" s="78"/>
      <c r="BA70" s="78"/>
      <c r="BB70" s="78"/>
      <c r="BC70" s="78"/>
      <c r="BD70" s="78"/>
      <c r="BE70" s="78"/>
      <c r="BF70" s="78"/>
      <c r="BG70" s="78"/>
      <c r="BH70" s="78"/>
      <c r="BI70" s="78"/>
      <c r="BJ70" s="78"/>
      <c r="BK70" s="78"/>
      <c r="BL70" s="78"/>
      <c r="BM70" s="78"/>
      <c r="BN70" s="78"/>
      <c r="BO70" s="78"/>
      <c r="BP70" s="78"/>
      <c r="BQ70" s="78"/>
      <c r="BR70" s="78"/>
    </row>
    <row r="71" spans="1:70" x14ac:dyDescent="0.2">
      <c r="A71" s="14"/>
      <c r="B71" s="7" t="s">
        <v>29</v>
      </c>
      <c r="C71" s="7">
        <v>18</v>
      </c>
      <c r="D71" s="7">
        <v>18.8</v>
      </c>
      <c r="E71" s="7">
        <v>23.2</v>
      </c>
      <c r="F71" s="7">
        <v>19.3</v>
      </c>
      <c r="G71" s="7">
        <v>10.8</v>
      </c>
      <c r="H71" s="7">
        <v>90.1</v>
      </c>
      <c r="I71" s="7">
        <v>1846</v>
      </c>
      <c r="J71" s="7">
        <v>13.8</v>
      </c>
      <c r="K71" s="7">
        <v>18.100000000000001</v>
      </c>
      <c r="L71" s="7">
        <v>24.8</v>
      </c>
      <c r="M71" s="7">
        <v>21.4</v>
      </c>
      <c r="N71" s="7">
        <v>12.8</v>
      </c>
      <c r="O71" s="7">
        <v>90.8</v>
      </c>
      <c r="P71" s="7">
        <v>5110</v>
      </c>
      <c r="Q71" s="7">
        <v>14.9</v>
      </c>
      <c r="R71" s="7">
        <v>18.3</v>
      </c>
      <c r="S71" s="7">
        <v>24.4</v>
      </c>
      <c r="T71" s="7">
        <v>20.9</v>
      </c>
      <c r="U71" s="7">
        <v>12.2</v>
      </c>
      <c r="V71" s="7">
        <v>90.7</v>
      </c>
      <c r="W71" s="7">
        <v>6956</v>
      </c>
      <c r="AA71" s="73"/>
      <c r="AB71" s="73"/>
      <c r="AC71" s="73"/>
      <c r="AD71" s="73"/>
      <c r="AE71" s="73"/>
      <c r="AF71" s="73"/>
      <c r="AG71" s="73"/>
      <c r="AH71" s="73"/>
      <c r="AI71" s="73"/>
      <c r="AJ71" s="73"/>
      <c r="AK71" s="73"/>
      <c r="AL71" s="73"/>
      <c r="AM71" s="73"/>
      <c r="AN71" s="73"/>
      <c r="AO71" s="73"/>
      <c r="AP71" s="73"/>
      <c r="AQ71" s="73"/>
      <c r="AR71" s="73"/>
      <c r="AS71" s="73"/>
      <c r="AT71" s="73"/>
      <c r="AU71" s="73"/>
      <c r="AV71" s="73"/>
      <c r="AX71" s="78"/>
      <c r="AY71" s="78"/>
      <c r="AZ71" s="78"/>
      <c r="BA71" s="78"/>
      <c r="BB71" s="78"/>
      <c r="BC71" s="78"/>
      <c r="BD71" s="78"/>
      <c r="BE71" s="78"/>
      <c r="BF71" s="78"/>
      <c r="BG71" s="78"/>
      <c r="BH71" s="78"/>
      <c r="BI71" s="78"/>
      <c r="BJ71" s="78"/>
      <c r="BK71" s="78"/>
      <c r="BL71" s="78"/>
      <c r="BM71" s="78"/>
      <c r="BN71" s="78"/>
      <c r="BO71" s="78"/>
      <c r="BP71" s="78"/>
      <c r="BQ71" s="78"/>
      <c r="BR71" s="78"/>
    </row>
    <row r="72" spans="1:70" x14ac:dyDescent="0.2">
      <c r="A72" s="14"/>
      <c r="B72" s="7" t="s">
        <v>30</v>
      </c>
      <c r="C72" s="7">
        <v>20.9</v>
      </c>
      <c r="D72" s="7">
        <v>19.7</v>
      </c>
      <c r="E72" s="7">
        <v>21.5</v>
      </c>
      <c r="F72" s="7">
        <v>17.899999999999999</v>
      </c>
      <c r="G72" s="7">
        <v>11.1</v>
      </c>
      <c r="H72" s="7">
        <v>91.2</v>
      </c>
      <c r="I72" s="7">
        <v>2333</v>
      </c>
      <c r="J72" s="7">
        <v>18.899999999999999</v>
      </c>
      <c r="K72" s="7">
        <v>21.1</v>
      </c>
      <c r="L72" s="7">
        <v>24.2</v>
      </c>
      <c r="M72" s="7">
        <v>19.100000000000001</v>
      </c>
      <c r="N72" s="7">
        <v>10.3</v>
      </c>
      <c r="O72" s="7">
        <v>93.7</v>
      </c>
      <c r="P72" s="7">
        <v>3455</v>
      </c>
      <c r="Q72" s="7">
        <v>19.7</v>
      </c>
      <c r="R72" s="7">
        <v>20.5</v>
      </c>
      <c r="S72" s="7">
        <v>23.1</v>
      </c>
      <c r="T72" s="7">
        <v>18.600000000000001</v>
      </c>
      <c r="U72" s="7">
        <v>10.7</v>
      </c>
      <c r="V72" s="7">
        <v>92.7</v>
      </c>
      <c r="W72" s="7">
        <v>5788</v>
      </c>
      <c r="AA72" s="73"/>
      <c r="AB72" s="73"/>
      <c r="AC72" s="73"/>
      <c r="AD72" s="73"/>
      <c r="AE72" s="73"/>
      <c r="AF72" s="73"/>
      <c r="AG72" s="73"/>
      <c r="AH72" s="73"/>
      <c r="AI72" s="73"/>
      <c r="AJ72" s="73"/>
      <c r="AK72" s="73"/>
      <c r="AL72" s="73"/>
      <c r="AM72" s="73"/>
      <c r="AN72" s="73"/>
      <c r="AO72" s="73"/>
      <c r="AP72" s="73"/>
      <c r="AQ72" s="73"/>
      <c r="AR72" s="73"/>
      <c r="AS72" s="73"/>
      <c r="AT72" s="73"/>
      <c r="AU72" s="73"/>
      <c r="AV72" s="73"/>
      <c r="AX72" s="78"/>
      <c r="AY72" s="78"/>
      <c r="AZ72" s="78"/>
      <c r="BA72" s="78"/>
      <c r="BB72" s="78"/>
      <c r="BC72" s="78"/>
      <c r="BD72" s="78"/>
      <c r="BE72" s="78"/>
      <c r="BF72" s="78"/>
      <c r="BG72" s="78"/>
      <c r="BH72" s="78"/>
      <c r="BI72" s="78"/>
      <c r="BJ72" s="78"/>
      <c r="BK72" s="78"/>
      <c r="BL72" s="78"/>
      <c r="BM72" s="78"/>
      <c r="BN72" s="78"/>
      <c r="BO72" s="78"/>
      <c r="BP72" s="78"/>
      <c r="BQ72" s="78"/>
      <c r="BR72" s="78"/>
    </row>
    <row r="73" spans="1:70" x14ac:dyDescent="0.2">
      <c r="A73" s="14"/>
      <c r="B73" s="7" t="s">
        <v>31</v>
      </c>
      <c r="C73" s="7">
        <v>5.6</v>
      </c>
      <c r="D73" s="7">
        <v>12.3</v>
      </c>
      <c r="E73" s="7">
        <v>21.7</v>
      </c>
      <c r="F73" s="7">
        <v>27.3</v>
      </c>
      <c r="G73" s="7">
        <v>20.6</v>
      </c>
      <c r="H73" s="7">
        <v>87.5</v>
      </c>
      <c r="I73" s="7">
        <v>7248</v>
      </c>
      <c r="J73" s="7">
        <v>12.5</v>
      </c>
      <c r="K73" s="7">
        <v>17.100000000000001</v>
      </c>
      <c r="L73" s="7">
        <v>22.3</v>
      </c>
      <c r="M73" s="7">
        <v>23.2</v>
      </c>
      <c r="N73" s="7">
        <v>14.7</v>
      </c>
      <c r="O73" s="7">
        <v>89.8</v>
      </c>
      <c r="P73" s="7">
        <v>4448</v>
      </c>
      <c r="Q73" s="7">
        <v>8.1999999999999993</v>
      </c>
      <c r="R73" s="7">
        <v>14.2</v>
      </c>
      <c r="S73" s="7">
        <v>21.9</v>
      </c>
      <c r="T73" s="7">
        <v>25.7</v>
      </c>
      <c r="U73" s="7">
        <v>18.399999999999999</v>
      </c>
      <c r="V73" s="7">
        <v>88.4</v>
      </c>
      <c r="W73" s="7">
        <v>11696</v>
      </c>
      <c r="AA73" s="73"/>
      <c r="AB73" s="73"/>
      <c r="AC73" s="73"/>
      <c r="AD73" s="73"/>
      <c r="AE73" s="73"/>
      <c r="AF73" s="73"/>
      <c r="AG73" s="73"/>
      <c r="AH73" s="73"/>
      <c r="AI73" s="73"/>
      <c r="AJ73" s="73"/>
      <c r="AK73" s="73"/>
      <c r="AL73" s="73"/>
      <c r="AM73" s="73"/>
      <c r="AN73" s="73"/>
      <c r="AO73" s="73"/>
      <c r="AP73" s="73"/>
      <c r="AQ73" s="73"/>
      <c r="AR73" s="73"/>
      <c r="AS73" s="73"/>
      <c r="AT73" s="73"/>
      <c r="AU73" s="73"/>
      <c r="AV73" s="73"/>
      <c r="AX73" s="78"/>
      <c r="AY73" s="78"/>
      <c r="AZ73" s="78"/>
      <c r="BA73" s="78"/>
      <c r="BB73" s="78"/>
      <c r="BC73" s="78"/>
      <c r="BD73" s="78"/>
      <c r="BE73" s="78"/>
      <c r="BF73" s="78"/>
      <c r="BG73" s="78"/>
      <c r="BH73" s="78"/>
      <c r="BI73" s="78"/>
      <c r="BJ73" s="78"/>
      <c r="BK73" s="78"/>
      <c r="BL73" s="78"/>
      <c r="BM73" s="78"/>
      <c r="BN73" s="78"/>
      <c r="BO73" s="78"/>
      <c r="BP73" s="78"/>
      <c r="BQ73" s="78"/>
      <c r="BR73" s="78"/>
    </row>
    <row r="74" spans="1:70" x14ac:dyDescent="0.2">
      <c r="A74" s="14"/>
      <c r="B74" s="7" t="s">
        <v>32</v>
      </c>
      <c r="C74" s="7">
        <v>15.2</v>
      </c>
      <c r="D74" s="7">
        <v>17.5</v>
      </c>
      <c r="E74" s="7">
        <v>19.100000000000001</v>
      </c>
      <c r="F74" s="7">
        <v>18.7</v>
      </c>
      <c r="G74" s="7">
        <v>14.6</v>
      </c>
      <c r="H74" s="7">
        <v>85.1</v>
      </c>
      <c r="I74" s="7">
        <v>35055</v>
      </c>
      <c r="J74" s="7">
        <v>12</v>
      </c>
      <c r="K74" s="7">
        <v>15.2</v>
      </c>
      <c r="L74" s="7">
        <v>18.2</v>
      </c>
      <c r="M74" s="7">
        <v>20</v>
      </c>
      <c r="N74" s="7">
        <v>16.600000000000001</v>
      </c>
      <c r="O74" s="7">
        <v>82</v>
      </c>
      <c r="P74" s="7">
        <v>36687</v>
      </c>
      <c r="Q74" s="7">
        <v>13.6</v>
      </c>
      <c r="R74" s="7">
        <v>16.3</v>
      </c>
      <c r="S74" s="7">
        <v>18.600000000000001</v>
      </c>
      <c r="T74" s="7">
        <v>19.399999999999999</v>
      </c>
      <c r="U74" s="7">
        <v>15.6</v>
      </c>
      <c r="V74" s="7">
        <v>83.5</v>
      </c>
      <c r="W74" s="7">
        <v>71742</v>
      </c>
      <c r="AA74" s="73"/>
      <c r="AB74" s="73"/>
      <c r="AC74" s="73"/>
      <c r="AD74" s="73"/>
      <c r="AE74" s="73"/>
      <c r="AF74" s="73"/>
      <c r="AG74" s="73"/>
      <c r="AH74" s="73"/>
      <c r="AI74" s="73"/>
      <c r="AJ74" s="73"/>
      <c r="AK74" s="73"/>
      <c r="AL74" s="73"/>
      <c r="AM74" s="73"/>
      <c r="AN74" s="73"/>
      <c r="AO74" s="73"/>
      <c r="AP74" s="73"/>
      <c r="AQ74" s="73"/>
      <c r="AR74" s="73"/>
      <c r="AS74" s="73"/>
      <c r="AT74" s="73"/>
      <c r="AU74" s="73"/>
      <c r="AV74" s="73"/>
      <c r="AX74" s="78"/>
      <c r="AY74" s="78"/>
      <c r="AZ74" s="78"/>
      <c r="BA74" s="78"/>
      <c r="BB74" s="78"/>
      <c r="BC74" s="78"/>
      <c r="BD74" s="78"/>
      <c r="BE74" s="78"/>
      <c r="BF74" s="78"/>
      <c r="BG74" s="78"/>
      <c r="BH74" s="78"/>
      <c r="BI74" s="78"/>
      <c r="BJ74" s="78"/>
      <c r="BK74" s="78"/>
      <c r="BL74" s="78"/>
      <c r="BM74" s="78"/>
      <c r="BN74" s="78"/>
      <c r="BO74" s="78"/>
      <c r="BP74" s="78"/>
      <c r="BQ74" s="78"/>
      <c r="BR74" s="78"/>
    </row>
    <row r="75" spans="1:70" x14ac:dyDescent="0.2">
      <c r="A75" s="14"/>
      <c r="B75" s="7" t="s">
        <v>46</v>
      </c>
      <c r="C75" s="7">
        <v>16.5</v>
      </c>
      <c r="D75" s="7">
        <v>18.399999999999999</v>
      </c>
      <c r="E75" s="7">
        <v>19.8</v>
      </c>
      <c r="F75" s="7">
        <v>18.3</v>
      </c>
      <c r="G75" s="7">
        <v>13.5</v>
      </c>
      <c r="H75" s="7">
        <v>86.4</v>
      </c>
      <c r="I75" s="7">
        <v>313250</v>
      </c>
      <c r="J75" s="7">
        <v>15.8</v>
      </c>
      <c r="K75" s="7">
        <v>19.399999999999999</v>
      </c>
      <c r="L75" s="7">
        <v>20.9</v>
      </c>
      <c r="M75" s="7">
        <v>18.7</v>
      </c>
      <c r="N75" s="7">
        <v>13.2</v>
      </c>
      <c r="O75" s="7">
        <v>87.9</v>
      </c>
      <c r="P75" s="7">
        <v>348913</v>
      </c>
      <c r="Q75" s="7">
        <v>16.100000000000001</v>
      </c>
      <c r="R75" s="7">
        <v>18.899999999999999</v>
      </c>
      <c r="S75" s="7">
        <v>20.3</v>
      </c>
      <c r="T75" s="7">
        <v>18.5</v>
      </c>
      <c r="U75" s="7">
        <v>13.3</v>
      </c>
      <c r="V75" s="7">
        <v>87.2</v>
      </c>
      <c r="W75" s="7">
        <v>662163</v>
      </c>
      <c r="AA75" s="73"/>
      <c r="AB75" s="73"/>
      <c r="AC75" s="73"/>
      <c r="AD75" s="73"/>
      <c r="AE75" s="73"/>
      <c r="AF75" s="73"/>
      <c r="AG75" s="73"/>
      <c r="AH75" s="73"/>
      <c r="AI75" s="73"/>
      <c r="AJ75" s="73"/>
      <c r="AK75" s="73"/>
      <c r="AL75" s="73"/>
      <c r="AM75" s="73"/>
      <c r="AN75" s="73"/>
      <c r="AO75" s="73"/>
      <c r="AP75" s="73"/>
      <c r="AQ75" s="73"/>
      <c r="AR75" s="73"/>
      <c r="AS75" s="73"/>
      <c r="AT75" s="73"/>
      <c r="AU75" s="73"/>
      <c r="AV75" s="73"/>
      <c r="AX75" s="78"/>
      <c r="AY75" s="78"/>
      <c r="AZ75" s="78"/>
      <c r="BA75" s="78"/>
      <c r="BB75" s="78"/>
      <c r="BC75" s="78"/>
      <c r="BD75" s="78"/>
      <c r="BE75" s="78"/>
      <c r="BF75" s="78"/>
      <c r="BG75" s="78"/>
      <c r="BH75" s="78"/>
      <c r="BI75" s="78"/>
      <c r="BJ75" s="78"/>
      <c r="BK75" s="78"/>
      <c r="BL75" s="78"/>
      <c r="BM75" s="78"/>
      <c r="BN75" s="78"/>
      <c r="BO75" s="78"/>
      <c r="BP75" s="78"/>
      <c r="BQ75" s="78"/>
      <c r="BR75" s="78"/>
    </row>
    <row r="76" spans="1:70" x14ac:dyDescent="0.2">
      <c r="A76" s="14"/>
      <c r="AX76" s="78"/>
      <c r="AY76" s="78"/>
      <c r="AZ76" s="78"/>
      <c r="BA76" s="78"/>
      <c r="BB76" s="78"/>
      <c r="BC76" s="78"/>
      <c r="BD76" s="78"/>
      <c r="BE76" s="78"/>
      <c r="BF76" s="78"/>
      <c r="BG76" s="78"/>
      <c r="BH76" s="78"/>
      <c r="BI76" s="78"/>
      <c r="BJ76" s="78"/>
      <c r="BK76" s="78"/>
      <c r="BL76" s="78"/>
      <c r="BM76" s="78"/>
      <c r="BN76" s="78"/>
      <c r="BO76" s="78"/>
      <c r="BP76" s="78"/>
      <c r="BQ76" s="78"/>
      <c r="BR76" s="78"/>
    </row>
    <row r="77" spans="1:70" x14ac:dyDescent="0.2">
      <c r="A77" s="14"/>
      <c r="B77" s="7" t="s">
        <v>0</v>
      </c>
      <c r="C77" s="4">
        <f>ROUND(C41,1)</f>
        <v>13.7</v>
      </c>
      <c r="D77" s="4">
        <f t="shared" ref="D77:V92" si="0">ROUND(D41,1)</f>
        <v>18.7</v>
      </c>
      <c r="E77" s="4">
        <f t="shared" si="0"/>
        <v>18.8</v>
      </c>
      <c r="F77" s="4">
        <f t="shared" si="0"/>
        <v>18.399999999999999</v>
      </c>
      <c r="G77" s="4">
        <f t="shared" si="0"/>
        <v>15.5</v>
      </c>
      <c r="H77" s="4">
        <f t="shared" si="0"/>
        <v>85</v>
      </c>
      <c r="I77" s="13">
        <f>ROUND(I41,0)</f>
        <v>19460</v>
      </c>
      <c r="J77" s="4">
        <f t="shared" si="0"/>
        <v>15.5</v>
      </c>
      <c r="K77" s="4">
        <f t="shared" si="0"/>
        <v>20.3</v>
      </c>
      <c r="L77" s="4">
        <f t="shared" si="0"/>
        <v>19.600000000000001</v>
      </c>
      <c r="M77" s="4">
        <f t="shared" si="0"/>
        <v>17.5</v>
      </c>
      <c r="N77" s="4">
        <f t="shared" si="0"/>
        <v>14.2</v>
      </c>
      <c r="O77" s="4">
        <f t="shared" si="0"/>
        <v>87.1</v>
      </c>
      <c r="P77" s="13">
        <f>ROUND(P41,0)</f>
        <v>28138</v>
      </c>
      <c r="Q77" s="4">
        <f t="shared" si="0"/>
        <v>14.7</v>
      </c>
      <c r="R77" s="4">
        <f t="shared" si="0"/>
        <v>19.600000000000001</v>
      </c>
      <c r="S77" s="4">
        <f t="shared" si="0"/>
        <v>19.3</v>
      </c>
      <c r="T77" s="4">
        <f t="shared" si="0"/>
        <v>17.899999999999999</v>
      </c>
      <c r="U77" s="4">
        <f t="shared" si="0"/>
        <v>14.7</v>
      </c>
      <c r="V77" s="4">
        <f t="shared" si="0"/>
        <v>86.2</v>
      </c>
      <c r="W77" s="13">
        <f>ROUND(W41,0)</f>
        <v>47598</v>
      </c>
      <c r="AX77" s="78"/>
      <c r="AY77" s="78"/>
      <c r="AZ77" s="78"/>
      <c r="BA77" s="78"/>
      <c r="BB77" s="78"/>
      <c r="BC77" s="78"/>
      <c r="BD77" s="78"/>
      <c r="BE77" s="78"/>
      <c r="BF77" s="78"/>
      <c r="BG77" s="78"/>
      <c r="BH77" s="78"/>
      <c r="BI77" s="78"/>
      <c r="BJ77" s="78"/>
      <c r="BK77" s="78"/>
      <c r="BL77" s="78"/>
      <c r="BM77" s="78"/>
      <c r="BN77" s="78"/>
      <c r="BO77" s="78"/>
      <c r="BP77" s="78"/>
      <c r="BQ77" s="78"/>
      <c r="BR77" s="78"/>
    </row>
    <row r="78" spans="1:70" x14ac:dyDescent="0.2">
      <c r="A78" s="14"/>
      <c r="B78" s="7" t="s">
        <v>1</v>
      </c>
      <c r="C78" s="4">
        <f t="shared" ref="C78:H93" si="1">ROUND(C42,1)</f>
        <v>21.2</v>
      </c>
      <c r="D78" s="4">
        <f t="shared" si="1"/>
        <v>20.8</v>
      </c>
      <c r="E78" s="4">
        <f t="shared" si="1"/>
        <v>17.8</v>
      </c>
      <c r="F78" s="4">
        <f t="shared" si="1"/>
        <v>14.8</v>
      </c>
      <c r="G78" s="4">
        <f t="shared" si="1"/>
        <v>12.1</v>
      </c>
      <c r="H78" s="4">
        <f t="shared" si="1"/>
        <v>86.7</v>
      </c>
      <c r="I78" s="13">
        <f t="shared" ref="I78:I111" si="2">ROUND(I42,0)</f>
        <v>20281</v>
      </c>
      <c r="J78" s="4">
        <f t="shared" si="0"/>
        <v>21.6</v>
      </c>
      <c r="K78" s="4">
        <f t="shared" si="0"/>
        <v>21.7</v>
      </c>
      <c r="L78" s="4">
        <f t="shared" si="0"/>
        <v>19</v>
      </c>
      <c r="M78" s="4">
        <f t="shared" si="0"/>
        <v>14.8</v>
      </c>
      <c r="N78" s="4">
        <f t="shared" si="0"/>
        <v>11.7</v>
      </c>
      <c r="O78" s="4">
        <f t="shared" si="0"/>
        <v>88.8</v>
      </c>
      <c r="P78" s="13">
        <f t="shared" ref="P78:P111" si="3">ROUND(P42,0)</f>
        <v>16148</v>
      </c>
      <c r="Q78" s="4">
        <f t="shared" si="0"/>
        <v>21.4</v>
      </c>
      <c r="R78" s="4">
        <f t="shared" si="0"/>
        <v>21.2</v>
      </c>
      <c r="S78" s="4">
        <f t="shared" si="0"/>
        <v>18.399999999999999</v>
      </c>
      <c r="T78" s="4">
        <f t="shared" si="0"/>
        <v>14.8</v>
      </c>
      <c r="U78" s="4">
        <f t="shared" si="0"/>
        <v>11.9</v>
      </c>
      <c r="V78" s="4">
        <f t="shared" si="0"/>
        <v>87.6</v>
      </c>
      <c r="W78" s="13">
        <f t="shared" ref="W78:W111" si="4">ROUND(W42,0)</f>
        <v>36429</v>
      </c>
      <c r="AX78" s="78"/>
      <c r="AY78" s="78"/>
      <c r="AZ78" s="78"/>
      <c r="BA78" s="78"/>
      <c r="BB78" s="78"/>
      <c r="BC78" s="78"/>
      <c r="BD78" s="78"/>
      <c r="BE78" s="78"/>
      <c r="BF78" s="78"/>
      <c r="BG78" s="78"/>
      <c r="BH78" s="78"/>
      <c r="BI78" s="78"/>
      <c r="BJ78" s="78"/>
      <c r="BK78" s="78"/>
      <c r="BL78" s="78"/>
      <c r="BM78" s="78"/>
      <c r="BN78" s="78"/>
      <c r="BO78" s="78"/>
      <c r="BP78" s="78"/>
      <c r="BQ78" s="78"/>
      <c r="BR78" s="78"/>
    </row>
    <row r="79" spans="1:70" x14ac:dyDescent="0.2">
      <c r="A79" s="14"/>
      <c r="B79" s="7" t="s">
        <v>2</v>
      </c>
      <c r="C79" s="4">
        <f t="shared" si="1"/>
        <v>21.4</v>
      </c>
      <c r="D79" s="4">
        <f t="shared" si="1"/>
        <v>21</v>
      </c>
      <c r="E79" s="4">
        <f t="shared" si="1"/>
        <v>18.100000000000001</v>
      </c>
      <c r="F79" s="4">
        <f t="shared" si="1"/>
        <v>15.8</v>
      </c>
      <c r="G79" s="4">
        <f t="shared" si="1"/>
        <v>11.7</v>
      </c>
      <c r="H79" s="4">
        <f t="shared" si="1"/>
        <v>88.1</v>
      </c>
      <c r="I79" s="13">
        <f t="shared" si="2"/>
        <v>22630</v>
      </c>
      <c r="J79" s="4">
        <f t="shared" si="0"/>
        <v>22.2</v>
      </c>
      <c r="K79" s="4">
        <f t="shared" si="0"/>
        <v>23.8</v>
      </c>
      <c r="L79" s="4">
        <f t="shared" si="0"/>
        <v>18.7</v>
      </c>
      <c r="M79" s="4">
        <f t="shared" si="0"/>
        <v>14.9</v>
      </c>
      <c r="N79" s="4">
        <f t="shared" si="0"/>
        <v>10.199999999999999</v>
      </c>
      <c r="O79" s="4">
        <f t="shared" si="0"/>
        <v>89.8</v>
      </c>
      <c r="P79" s="13">
        <f t="shared" si="3"/>
        <v>6147</v>
      </c>
      <c r="Q79" s="4">
        <f t="shared" si="0"/>
        <v>21.6</v>
      </c>
      <c r="R79" s="4">
        <f t="shared" si="0"/>
        <v>21.6</v>
      </c>
      <c r="S79" s="4">
        <f t="shared" si="0"/>
        <v>18.3</v>
      </c>
      <c r="T79" s="4">
        <f t="shared" si="0"/>
        <v>15.6</v>
      </c>
      <c r="U79" s="4">
        <f t="shared" si="0"/>
        <v>11.4</v>
      </c>
      <c r="V79" s="4">
        <f t="shared" si="0"/>
        <v>88.4</v>
      </c>
      <c r="W79" s="13">
        <f t="shared" si="4"/>
        <v>28777</v>
      </c>
      <c r="AX79" s="78"/>
      <c r="AY79" s="78"/>
      <c r="AZ79" s="78"/>
      <c r="BA79" s="78"/>
      <c r="BB79" s="78"/>
      <c r="BC79" s="78"/>
      <c r="BD79" s="78"/>
      <c r="BE79" s="78"/>
      <c r="BF79" s="78"/>
      <c r="BG79" s="78"/>
      <c r="BH79" s="78"/>
      <c r="BI79" s="78"/>
      <c r="BJ79" s="78"/>
      <c r="BK79" s="78"/>
      <c r="BL79" s="78"/>
      <c r="BM79" s="78"/>
      <c r="BN79" s="78"/>
      <c r="BO79" s="78"/>
      <c r="BP79" s="78"/>
      <c r="BQ79" s="78"/>
      <c r="BR79" s="78"/>
    </row>
    <row r="80" spans="1:70" x14ac:dyDescent="0.2">
      <c r="A80" s="14"/>
      <c r="B80" s="7" t="s">
        <v>3</v>
      </c>
      <c r="C80" s="4">
        <f t="shared" si="1"/>
        <v>10.9</v>
      </c>
      <c r="D80" s="4">
        <f t="shared" si="1"/>
        <v>13.8</v>
      </c>
      <c r="E80" s="4">
        <f t="shared" si="1"/>
        <v>19.7</v>
      </c>
      <c r="F80" s="4">
        <f t="shared" si="1"/>
        <v>22.5</v>
      </c>
      <c r="G80" s="4">
        <f t="shared" si="1"/>
        <v>16.7</v>
      </c>
      <c r="H80" s="4">
        <f t="shared" si="1"/>
        <v>83.6</v>
      </c>
      <c r="I80" s="13">
        <f t="shared" si="2"/>
        <v>2680</v>
      </c>
      <c r="J80" s="4">
        <f t="shared" si="0"/>
        <v>10.7</v>
      </c>
      <c r="K80" s="4">
        <f t="shared" si="0"/>
        <v>16.8</v>
      </c>
      <c r="L80" s="4">
        <f t="shared" si="0"/>
        <v>19.3</v>
      </c>
      <c r="M80" s="4">
        <f t="shared" si="0"/>
        <v>22.9</v>
      </c>
      <c r="N80" s="4">
        <f t="shared" si="0"/>
        <v>16.3</v>
      </c>
      <c r="O80" s="4">
        <f t="shared" si="0"/>
        <v>86.1</v>
      </c>
      <c r="P80" s="13">
        <f t="shared" si="3"/>
        <v>1621</v>
      </c>
      <c r="Q80" s="4">
        <f t="shared" si="0"/>
        <v>10.8</v>
      </c>
      <c r="R80" s="4">
        <f t="shared" si="0"/>
        <v>15</v>
      </c>
      <c r="S80" s="4">
        <f t="shared" si="0"/>
        <v>19.600000000000001</v>
      </c>
      <c r="T80" s="4">
        <f t="shared" si="0"/>
        <v>22.6</v>
      </c>
      <c r="U80" s="4">
        <f t="shared" si="0"/>
        <v>16.600000000000001</v>
      </c>
      <c r="V80" s="4">
        <f t="shared" si="0"/>
        <v>84.6</v>
      </c>
      <c r="W80" s="13">
        <f t="shared" si="4"/>
        <v>4301</v>
      </c>
      <c r="AX80" s="78"/>
      <c r="AY80" s="78"/>
      <c r="AZ80" s="78"/>
      <c r="BA80" s="78"/>
      <c r="BB80" s="78"/>
      <c r="BC80" s="78"/>
      <c r="BD80" s="78"/>
      <c r="BE80" s="78"/>
      <c r="BF80" s="78"/>
      <c r="BG80" s="78"/>
      <c r="BH80" s="78"/>
      <c r="BI80" s="78"/>
      <c r="BJ80" s="78"/>
      <c r="BK80" s="78"/>
      <c r="BL80" s="78"/>
      <c r="BM80" s="78"/>
      <c r="BN80" s="78"/>
      <c r="BO80" s="78"/>
      <c r="BP80" s="78"/>
      <c r="BQ80" s="78"/>
      <c r="BR80" s="78"/>
    </row>
    <row r="81" spans="1:70" x14ac:dyDescent="0.2">
      <c r="A81" s="14"/>
      <c r="B81" s="7" t="s">
        <v>4</v>
      </c>
      <c r="C81" s="4">
        <f t="shared" si="1"/>
        <v>25.8</v>
      </c>
      <c r="D81" s="4">
        <f t="shared" si="1"/>
        <v>19.2</v>
      </c>
      <c r="E81" s="4">
        <f t="shared" si="1"/>
        <v>16.7</v>
      </c>
      <c r="F81" s="4">
        <f t="shared" si="1"/>
        <v>14.6</v>
      </c>
      <c r="G81" s="4">
        <f t="shared" si="1"/>
        <v>11</v>
      </c>
      <c r="H81" s="4">
        <f t="shared" si="1"/>
        <v>87.3</v>
      </c>
      <c r="I81" s="13">
        <f t="shared" si="2"/>
        <v>36014</v>
      </c>
      <c r="J81" s="4">
        <f t="shared" si="0"/>
        <v>25.3</v>
      </c>
      <c r="K81" s="4">
        <f t="shared" si="0"/>
        <v>21.3</v>
      </c>
      <c r="L81" s="4">
        <f t="shared" si="0"/>
        <v>18.399999999999999</v>
      </c>
      <c r="M81" s="4">
        <f t="shared" si="0"/>
        <v>14.8</v>
      </c>
      <c r="N81" s="4">
        <f t="shared" si="0"/>
        <v>10.3</v>
      </c>
      <c r="O81" s="4">
        <f t="shared" si="0"/>
        <v>90</v>
      </c>
      <c r="P81" s="13">
        <f t="shared" si="3"/>
        <v>20036</v>
      </c>
      <c r="Q81" s="4">
        <f t="shared" si="0"/>
        <v>25.6</v>
      </c>
      <c r="R81" s="4">
        <f t="shared" si="0"/>
        <v>19.899999999999999</v>
      </c>
      <c r="S81" s="4">
        <f t="shared" si="0"/>
        <v>17.399999999999999</v>
      </c>
      <c r="T81" s="4">
        <f t="shared" si="0"/>
        <v>14.6</v>
      </c>
      <c r="U81" s="4">
        <f t="shared" si="0"/>
        <v>10.8</v>
      </c>
      <c r="V81" s="4">
        <f t="shared" si="0"/>
        <v>88.3</v>
      </c>
      <c r="W81" s="13">
        <f t="shared" si="4"/>
        <v>56050</v>
      </c>
      <c r="AX81" s="78"/>
      <c r="AY81" s="78"/>
      <c r="AZ81" s="78"/>
      <c r="BA81" s="78"/>
      <c r="BB81" s="78"/>
      <c r="BC81" s="78"/>
      <c r="BD81" s="78"/>
      <c r="BE81" s="78"/>
      <c r="BF81" s="78"/>
      <c r="BG81" s="78"/>
      <c r="BH81" s="78"/>
      <c r="BI81" s="78"/>
      <c r="BJ81" s="78"/>
      <c r="BK81" s="78"/>
      <c r="BL81" s="78"/>
      <c r="BM81" s="78"/>
      <c r="BN81" s="78"/>
      <c r="BO81" s="78"/>
      <c r="BP81" s="78"/>
      <c r="BQ81" s="78"/>
      <c r="BR81" s="78"/>
    </row>
    <row r="82" spans="1:70" x14ac:dyDescent="0.2">
      <c r="A82" s="14"/>
      <c r="B82" s="7" t="s">
        <v>5</v>
      </c>
      <c r="C82" s="4">
        <f t="shared" si="1"/>
        <v>47.8</v>
      </c>
      <c r="D82" s="4">
        <f t="shared" si="1"/>
        <v>20.7</v>
      </c>
      <c r="E82" s="4">
        <f t="shared" si="1"/>
        <v>13.4</v>
      </c>
      <c r="F82" s="4">
        <f t="shared" si="1"/>
        <v>8.3000000000000007</v>
      </c>
      <c r="G82" s="4">
        <f t="shared" si="1"/>
        <v>5.5</v>
      </c>
      <c r="H82" s="4">
        <f t="shared" si="1"/>
        <v>95.7</v>
      </c>
      <c r="I82" s="13">
        <f t="shared" si="2"/>
        <v>3756</v>
      </c>
      <c r="J82" s="4">
        <f t="shared" si="0"/>
        <v>45.6</v>
      </c>
      <c r="K82" s="4">
        <f t="shared" si="0"/>
        <v>21.5</v>
      </c>
      <c r="L82" s="4">
        <f t="shared" si="0"/>
        <v>16.2</v>
      </c>
      <c r="M82" s="4">
        <f t="shared" si="0"/>
        <v>8.6999999999999993</v>
      </c>
      <c r="N82" s="4">
        <f t="shared" si="0"/>
        <v>4.9000000000000004</v>
      </c>
      <c r="O82" s="4">
        <f t="shared" si="0"/>
        <v>96.9</v>
      </c>
      <c r="P82" s="13">
        <f t="shared" si="3"/>
        <v>1243</v>
      </c>
      <c r="Q82" s="4">
        <f t="shared" si="0"/>
        <v>47.2</v>
      </c>
      <c r="R82" s="4">
        <f t="shared" si="0"/>
        <v>20.9</v>
      </c>
      <c r="S82" s="4">
        <f t="shared" si="0"/>
        <v>14.1</v>
      </c>
      <c r="T82" s="4">
        <f t="shared" si="0"/>
        <v>8.4</v>
      </c>
      <c r="U82" s="4">
        <f t="shared" si="0"/>
        <v>5.4</v>
      </c>
      <c r="V82" s="4">
        <f t="shared" si="0"/>
        <v>96</v>
      </c>
      <c r="W82" s="13">
        <f t="shared" si="4"/>
        <v>4999</v>
      </c>
      <c r="AX82" s="78"/>
      <c r="AY82" s="78"/>
      <c r="AZ82" s="78"/>
      <c r="BA82" s="78"/>
      <c r="BB82" s="78"/>
      <c r="BC82" s="78"/>
      <c r="BD82" s="78"/>
      <c r="BE82" s="78"/>
      <c r="BF82" s="78"/>
      <c r="BG82" s="78"/>
      <c r="BH82" s="78"/>
      <c r="BI82" s="78"/>
      <c r="BJ82" s="78"/>
      <c r="BK82" s="78"/>
      <c r="BL82" s="78"/>
      <c r="BM82" s="78"/>
      <c r="BN82" s="78"/>
      <c r="BO82" s="78"/>
      <c r="BP82" s="78"/>
      <c r="BQ82" s="78"/>
      <c r="BR82" s="78"/>
    </row>
    <row r="83" spans="1:70" x14ac:dyDescent="0.2">
      <c r="B83" s="7" t="s">
        <v>6</v>
      </c>
      <c r="C83" s="4">
        <f t="shared" si="1"/>
        <v>12.4</v>
      </c>
      <c r="D83" s="4">
        <f t="shared" si="1"/>
        <v>14.5</v>
      </c>
      <c r="E83" s="4">
        <f t="shared" si="1"/>
        <v>23.2</v>
      </c>
      <c r="F83" s="4">
        <f t="shared" si="1"/>
        <v>23</v>
      </c>
      <c r="G83" s="4">
        <f t="shared" si="1"/>
        <v>15.4</v>
      </c>
      <c r="H83" s="4">
        <f t="shared" si="1"/>
        <v>88.6</v>
      </c>
      <c r="I83" s="13">
        <f t="shared" si="2"/>
        <v>7147</v>
      </c>
      <c r="J83" s="4">
        <f t="shared" si="0"/>
        <v>13</v>
      </c>
      <c r="K83" s="4">
        <f t="shared" si="0"/>
        <v>17.3</v>
      </c>
      <c r="L83" s="4">
        <f t="shared" si="0"/>
        <v>28</v>
      </c>
      <c r="M83" s="4">
        <f t="shared" si="0"/>
        <v>21.3</v>
      </c>
      <c r="N83" s="4">
        <f t="shared" si="0"/>
        <v>12.1</v>
      </c>
      <c r="O83" s="4">
        <f t="shared" si="0"/>
        <v>91.7</v>
      </c>
      <c r="P83" s="13">
        <f t="shared" si="3"/>
        <v>2346</v>
      </c>
      <c r="Q83" s="4">
        <f t="shared" si="0"/>
        <v>12.6</v>
      </c>
      <c r="R83" s="4">
        <f t="shared" si="0"/>
        <v>15.2</v>
      </c>
      <c r="S83" s="4">
        <f t="shared" si="0"/>
        <v>24.4</v>
      </c>
      <c r="T83" s="4">
        <f t="shared" si="0"/>
        <v>22.6</v>
      </c>
      <c r="U83" s="4">
        <f t="shared" si="0"/>
        <v>14.6</v>
      </c>
      <c r="V83" s="4">
        <f t="shared" si="0"/>
        <v>89.3</v>
      </c>
      <c r="W83" s="13">
        <f t="shared" si="4"/>
        <v>9493</v>
      </c>
      <c r="AX83" s="78"/>
      <c r="AY83" s="78"/>
      <c r="AZ83" s="78"/>
      <c r="BA83" s="78"/>
      <c r="BB83" s="78"/>
      <c r="BC83" s="78"/>
      <c r="BD83" s="78"/>
      <c r="BE83" s="78"/>
      <c r="BF83" s="78"/>
      <c r="BG83" s="78"/>
      <c r="BH83" s="78"/>
      <c r="BI83" s="78"/>
      <c r="BJ83" s="78"/>
      <c r="BK83" s="78"/>
      <c r="BL83" s="78"/>
      <c r="BM83" s="78"/>
      <c r="BN83" s="78"/>
      <c r="BO83" s="78"/>
      <c r="BP83" s="78"/>
      <c r="BQ83" s="78"/>
      <c r="BR83" s="78"/>
    </row>
    <row r="84" spans="1:70" x14ac:dyDescent="0.2">
      <c r="B84" s="7" t="s">
        <v>7</v>
      </c>
      <c r="C84" s="4">
        <f t="shared" si="1"/>
        <v>10.1</v>
      </c>
      <c r="D84" s="4">
        <f t="shared" si="1"/>
        <v>12.5</v>
      </c>
      <c r="E84" s="4">
        <f t="shared" si="1"/>
        <v>17.7</v>
      </c>
      <c r="F84" s="4">
        <f t="shared" si="1"/>
        <v>19.5</v>
      </c>
      <c r="G84" s="4">
        <f t="shared" si="1"/>
        <v>16.899999999999999</v>
      </c>
      <c r="H84" s="4">
        <f t="shared" si="1"/>
        <v>76.8</v>
      </c>
      <c r="I84" s="13">
        <f t="shared" si="2"/>
        <v>8575</v>
      </c>
      <c r="J84" s="4">
        <f t="shared" si="0"/>
        <v>6.1</v>
      </c>
      <c r="K84" s="4">
        <f t="shared" si="0"/>
        <v>11.9</v>
      </c>
      <c r="L84" s="4">
        <f t="shared" si="0"/>
        <v>15.9</v>
      </c>
      <c r="M84" s="4">
        <f t="shared" si="0"/>
        <v>21.3</v>
      </c>
      <c r="N84" s="4">
        <f t="shared" si="0"/>
        <v>19.399999999999999</v>
      </c>
      <c r="O84" s="4">
        <f t="shared" si="0"/>
        <v>74.5</v>
      </c>
      <c r="P84" s="13">
        <f t="shared" si="3"/>
        <v>1543</v>
      </c>
      <c r="Q84" s="4">
        <f t="shared" si="0"/>
        <v>9.5</v>
      </c>
      <c r="R84" s="4">
        <f t="shared" si="0"/>
        <v>12.4</v>
      </c>
      <c r="S84" s="4">
        <f t="shared" si="0"/>
        <v>17.399999999999999</v>
      </c>
      <c r="T84" s="4">
        <f t="shared" si="0"/>
        <v>19.8</v>
      </c>
      <c r="U84" s="4">
        <f t="shared" si="0"/>
        <v>17.3</v>
      </c>
      <c r="V84" s="4">
        <f t="shared" si="0"/>
        <v>76.400000000000006</v>
      </c>
      <c r="W84" s="13">
        <f t="shared" si="4"/>
        <v>10118</v>
      </c>
      <c r="AX84" s="78"/>
      <c r="AY84" s="78"/>
      <c r="AZ84" s="78"/>
      <c r="BA84" s="78"/>
      <c r="BB84" s="78"/>
      <c r="BC84" s="78"/>
      <c r="BD84" s="78"/>
      <c r="BE84" s="78"/>
      <c r="BF84" s="78"/>
      <c r="BG84" s="78"/>
      <c r="BH84" s="78"/>
      <c r="BI84" s="78"/>
      <c r="BJ84" s="78"/>
      <c r="BK84" s="78"/>
      <c r="BL84" s="78"/>
      <c r="BM84" s="78"/>
      <c r="BN84" s="78"/>
      <c r="BO84" s="78"/>
      <c r="BP84" s="78"/>
      <c r="BQ84" s="78"/>
      <c r="BR84" s="78"/>
    </row>
    <row r="85" spans="1:70" x14ac:dyDescent="0.2">
      <c r="B85" s="7" t="s">
        <v>8</v>
      </c>
      <c r="C85" s="4">
        <f t="shared" si="1"/>
        <v>0</v>
      </c>
      <c r="D85" s="4">
        <f t="shared" si="1"/>
        <v>0</v>
      </c>
      <c r="E85" s="4">
        <f t="shared" si="1"/>
        <v>0</v>
      </c>
      <c r="F85" s="4">
        <f t="shared" si="1"/>
        <v>0</v>
      </c>
      <c r="G85" s="4">
        <f t="shared" si="1"/>
        <v>0</v>
      </c>
      <c r="H85" s="4">
        <f t="shared" si="1"/>
        <v>0</v>
      </c>
      <c r="I85" s="13">
        <f t="shared" si="2"/>
        <v>0</v>
      </c>
      <c r="J85" s="4">
        <f t="shared" si="0"/>
        <v>0</v>
      </c>
      <c r="K85" s="4">
        <f t="shared" si="0"/>
        <v>0</v>
      </c>
      <c r="L85" s="4">
        <f t="shared" si="0"/>
        <v>0</v>
      </c>
      <c r="M85" s="4">
        <f t="shared" si="0"/>
        <v>0</v>
      </c>
      <c r="N85" s="4">
        <f t="shared" si="0"/>
        <v>0</v>
      </c>
      <c r="O85" s="4">
        <f t="shared" si="0"/>
        <v>0</v>
      </c>
      <c r="P85" s="13">
        <f t="shared" si="3"/>
        <v>0</v>
      </c>
      <c r="Q85" s="4">
        <f t="shared" si="0"/>
        <v>0</v>
      </c>
      <c r="R85" s="4">
        <f t="shared" si="0"/>
        <v>0</v>
      </c>
      <c r="S85" s="4">
        <f t="shared" si="0"/>
        <v>0</v>
      </c>
      <c r="T85" s="4">
        <f t="shared" si="0"/>
        <v>0</v>
      </c>
      <c r="U85" s="4">
        <f t="shared" si="0"/>
        <v>0</v>
      </c>
      <c r="V85" s="4">
        <f t="shared" si="0"/>
        <v>0</v>
      </c>
      <c r="W85" s="13">
        <f t="shared" si="4"/>
        <v>0</v>
      </c>
      <c r="AX85" s="78"/>
      <c r="AY85" s="78"/>
      <c r="AZ85" s="78"/>
      <c r="BA85" s="78"/>
      <c r="BB85" s="78"/>
      <c r="BC85" s="78"/>
      <c r="BD85" s="78"/>
      <c r="BE85" s="78"/>
      <c r="BF85" s="78"/>
      <c r="BG85" s="78"/>
      <c r="BH85" s="78"/>
      <c r="BI85" s="78"/>
      <c r="BJ85" s="78"/>
      <c r="BK85" s="78"/>
      <c r="BL85" s="78"/>
      <c r="BM85" s="78"/>
      <c r="BN85" s="78"/>
      <c r="BO85" s="78"/>
      <c r="BP85" s="78"/>
      <c r="BQ85" s="78"/>
      <c r="BR85" s="78"/>
    </row>
    <row r="86" spans="1:70" x14ac:dyDescent="0.2">
      <c r="B86" s="7" t="s">
        <v>9</v>
      </c>
      <c r="C86" s="4" t="e">
        <f t="shared" si="1"/>
        <v>#VALUE!</v>
      </c>
      <c r="D86" s="4">
        <f t="shared" si="1"/>
        <v>5.7</v>
      </c>
      <c r="E86" s="4">
        <f t="shared" si="1"/>
        <v>14.9</v>
      </c>
      <c r="F86" s="4">
        <f t="shared" si="1"/>
        <v>20.7</v>
      </c>
      <c r="G86" s="4">
        <f t="shared" si="1"/>
        <v>20.7</v>
      </c>
      <c r="H86" s="4">
        <f t="shared" si="1"/>
        <v>64.400000000000006</v>
      </c>
      <c r="I86" s="13">
        <f t="shared" si="2"/>
        <v>87</v>
      </c>
      <c r="J86" s="4">
        <f t="shared" si="0"/>
        <v>11.3</v>
      </c>
      <c r="K86" s="4">
        <f t="shared" si="0"/>
        <v>15.6</v>
      </c>
      <c r="L86" s="4">
        <f t="shared" si="0"/>
        <v>20.100000000000001</v>
      </c>
      <c r="M86" s="4">
        <f t="shared" si="0"/>
        <v>22.3</v>
      </c>
      <c r="N86" s="4">
        <f t="shared" si="0"/>
        <v>15.8</v>
      </c>
      <c r="O86" s="4">
        <f t="shared" si="0"/>
        <v>85.1</v>
      </c>
      <c r="P86" s="13">
        <f t="shared" si="3"/>
        <v>1724</v>
      </c>
      <c r="Q86" s="4">
        <f t="shared" si="0"/>
        <v>10.9</v>
      </c>
      <c r="R86" s="4">
        <f t="shared" si="0"/>
        <v>15.1</v>
      </c>
      <c r="S86" s="4">
        <f t="shared" si="0"/>
        <v>19.899999999999999</v>
      </c>
      <c r="T86" s="4">
        <f t="shared" si="0"/>
        <v>22.2</v>
      </c>
      <c r="U86" s="4">
        <f t="shared" si="0"/>
        <v>16</v>
      </c>
      <c r="V86" s="4">
        <f t="shared" si="0"/>
        <v>84.1</v>
      </c>
      <c r="W86" s="13">
        <f t="shared" si="4"/>
        <v>1811</v>
      </c>
      <c r="AX86" s="78"/>
      <c r="AY86" s="78"/>
      <c r="AZ86" s="78"/>
      <c r="BA86" s="78"/>
      <c r="BB86" s="78"/>
      <c r="BC86" s="78"/>
      <c r="BD86" s="78"/>
      <c r="BE86" s="78"/>
      <c r="BF86" s="78"/>
      <c r="BG86" s="78"/>
      <c r="BH86" s="78"/>
      <c r="BI86" s="78"/>
      <c r="BJ86" s="78"/>
      <c r="BK86" s="78"/>
      <c r="BL86" s="78"/>
      <c r="BM86" s="78"/>
      <c r="BN86" s="78"/>
      <c r="BO86" s="78"/>
      <c r="BP86" s="78"/>
      <c r="BQ86" s="78"/>
      <c r="BR86" s="78"/>
    </row>
    <row r="87" spans="1:70" x14ac:dyDescent="0.2">
      <c r="B87" s="7" t="s">
        <v>10</v>
      </c>
      <c r="C87" s="4">
        <f t="shared" si="1"/>
        <v>9.4</v>
      </c>
      <c r="D87" s="4">
        <f t="shared" si="1"/>
        <v>13.7</v>
      </c>
      <c r="E87" s="4">
        <f t="shared" si="1"/>
        <v>12.2</v>
      </c>
      <c r="F87" s="4">
        <f t="shared" si="1"/>
        <v>13</v>
      </c>
      <c r="G87" s="4">
        <f t="shared" si="1"/>
        <v>14.9</v>
      </c>
      <c r="H87" s="4">
        <f t="shared" si="1"/>
        <v>63.2</v>
      </c>
      <c r="I87" s="13">
        <f t="shared" si="2"/>
        <v>1184</v>
      </c>
      <c r="J87" s="4">
        <f t="shared" si="0"/>
        <v>8.6999999999999993</v>
      </c>
      <c r="K87" s="4">
        <f t="shared" si="0"/>
        <v>14.7</v>
      </c>
      <c r="L87" s="4">
        <f t="shared" si="0"/>
        <v>15.4</v>
      </c>
      <c r="M87" s="4">
        <f t="shared" si="0"/>
        <v>13.7</v>
      </c>
      <c r="N87" s="4">
        <f t="shared" si="0"/>
        <v>12.9</v>
      </c>
      <c r="O87" s="4">
        <f t="shared" si="0"/>
        <v>65.400000000000006</v>
      </c>
      <c r="P87" s="13">
        <f t="shared" si="3"/>
        <v>739</v>
      </c>
      <c r="Q87" s="4">
        <f t="shared" si="0"/>
        <v>9.1</v>
      </c>
      <c r="R87" s="4">
        <f t="shared" si="0"/>
        <v>14.1</v>
      </c>
      <c r="S87" s="4">
        <f t="shared" si="0"/>
        <v>13.5</v>
      </c>
      <c r="T87" s="4">
        <f t="shared" si="0"/>
        <v>13.3</v>
      </c>
      <c r="U87" s="4">
        <f t="shared" si="0"/>
        <v>14.1</v>
      </c>
      <c r="V87" s="4">
        <f t="shared" si="0"/>
        <v>64</v>
      </c>
      <c r="W87" s="13">
        <f t="shared" si="4"/>
        <v>1923</v>
      </c>
      <c r="AX87" s="78"/>
      <c r="AY87" s="78"/>
      <c r="AZ87" s="78"/>
      <c r="BA87" s="78"/>
      <c r="BB87" s="78"/>
      <c r="BC87" s="78"/>
      <c r="BD87" s="78"/>
      <c r="BE87" s="78"/>
      <c r="BF87" s="78"/>
      <c r="BG87" s="78"/>
      <c r="BH87" s="78"/>
      <c r="BI87" s="78"/>
      <c r="BJ87" s="78"/>
      <c r="BK87" s="78"/>
      <c r="BL87" s="78"/>
      <c r="BM87" s="78"/>
      <c r="BN87" s="78"/>
      <c r="BO87" s="78"/>
      <c r="BP87" s="78"/>
      <c r="BQ87" s="78"/>
      <c r="BR87" s="78"/>
    </row>
    <row r="88" spans="1:70" x14ac:dyDescent="0.2">
      <c r="B88" s="7" t="s">
        <v>11</v>
      </c>
      <c r="C88" s="4">
        <f t="shared" si="1"/>
        <v>7</v>
      </c>
      <c r="D88" s="4">
        <f t="shared" si="1"/>
        <v>19.100000000000001</v>
      </c>
      <c r="E88" s="4">
        <f t="shared" si="1"/>
        <v>23.7</v>
      </c>
      <c r="F88" s="4">
        <f t="shared" si="1"/>
        <v>21.5</v>
      </c>
      <c r="G88" s="4">
        <f t="shared" si="1"/>
        <v>14.8</v>
      </c>
      <c r="H88" s="4">
        <f t="shared" si="1"/>
        <v>86.2</v>
      </c>
      <c r="I88" s="13">
        <f t="shared" si="2"/>
        <v>14852</v>
      </c>
      <c r="J88" s="4">
        <f t="shared" si="0"/>
        <v>8.1</v>
      </c>
      <c r="K88" s="4">
        <f t="shared" si="0"/>
        <v>20.399999999999999</v>
      </c>
      <c r="L88" s="4">
        <f t="shared" si="0"/>
        <v>23.8</v>
      </c>
      <c r="M88" s="4">
        <f t="shared" si="0"/>
        <v>20.9</v>
      </c>
      <c r="N88" s="4">
        <f t="shared" si="0"/>
        <v>13.5</v>
      </c>
      <c r="O88" s="4">
        <f t="shared" si="0"/>
        <v>86.6</v>
      </c>
      <c r="P88" s="13">
        <f t="shared" si="3"/>
        <v>12461</v>
      </c>
      <c r="Q88" s="4">
        <f t="shared" si="0"/>
        <v>7.5</v>
      </c>
      <c r="R88" s="4">
        <f t="shared" si="0"/>
        <v>19.7</v>
      </c>
      <c r="S88" s="4">
        <f t="shared" si="0"/>
        <v>23.7</v>
      </c>
      <c r="T88" s="4">
        <f t="shared" si="0"/>
        <v>21.2</v>
      </c>
      <c r="U88" s="4">
        <f t="shared" si="0"/>
        <v>14.2</v>
      </c>
      <c r="V88" s="4">
        <f t="shared" si="0"/>
        <v>86.4</v>
      </c>
      <c r="W88" s="13">
        <f t="shared" si="4"/>
        <v>27313</v>
      </c>
      <c r="AX88" s="78"/>
      <c r="AY88" s="78"/>
      <c r="AZ88" s="78"/>
      <c r="BA88" s="78"/>
      <c r="BB88" s="78"/>
      <c r="BC88" s="78"/>
      <c r="BD88" s="78"/>
      <c r="BE88" s="78"/>
      <c r="BF88" s="78"/>
      <c r="BG88" s="78"/>
      <c r="BH88" s="78"/>
      <c r="BI88" s="78"/>
      <c r="BJ88" s="78"/>
      <c r="BK88" s="78"/>
      <c r="BL88" s="78"/>
      <c r="BM88" s="78"/>
      <c r="BN88" s="78"/>
      <c r="BO88" s="78"/>
      <c r="BP88" s="78"/>
      <c r="BQ88" s="78"/>
      <c r="BR88" s="78"/>
    </row>
    <row r="89" spans="1:70" x14ac:dyDescent="0.2">
      <c r="B89" s="7" t="s">
        <v>12</v>
      </c>
      <c r="C89" s="4">
        <f t="shared" si="1"/>
        <v>16.2</v>
      </c>
      <c r="D89" s="4">
        <f t="shared" si="1"/>
        <v>17.2</v>
      </c>
      <c r="E89" s="4">
        <f t="shared" si="1"/>
        <v>18.7</v>
      </c>
      <c r="F89" s="4">
        <f t="shared" si="1"/>
        <v>18.2</v>
      </c>
      <c r="G89" s="4">
        <f t="shared" si="1"/>
        <v>13.7</v>
      </c>
      <c r="H89" s="4">
        <f t="shared" si="1"/>
        <v>83.9</v>
      </c>
      <c r="I89" s="13">
        <f t="shared" si="2"/>
        <v>12672</v>
      </c>
      <c r="J89" s="4">
        <f t="shared" si="0"/>
        <v>15.9</v>
      </c>
      <c r="K89" s="4">
        <f t="shared" si="0"/>
        <v>17.100000000000001</v>
      </c>
      <c r="L89" s="4">
        <f t="shared" si="0"/>
        <v>18.399999999999999</v>
      </c>
      <c r="M89" s="4">
        <f t="shared" si="0"/>
        <v>17.7</v>
      </c>
      <c r="N89" s="4">
        <f t="shared" si="0"/>
        <v>14.2</v>
      </c>
      <c r="O89" s="4">
        <f t="shared" si="0"/>
        <v>83.4</v>
      </c>
      <c r="P89" s="13">
        <f t="shared" si="3"/>
        <v>6712</v>
      </c>
      <c r="Q89" s="4">
        <f t="shared" si="0"/>
        <v>16.100000000000001</v>
      </c>
      <c r="R89" s="4">
        <f t="shared" si="0"/>
        <v>17.100000000000001</v>
      </c>
      <c r="S89" s="4">
        <f t="shared" si="0"/>
        <v>18.600000000000001</v>
      </c>
      <c r="T89" s="4">
        <f t="shared" si="0"/>
        <v>18</v>
      </c>
      <c r="U89" s="4">
        <f t="shared" si="0"/>
        <v>13.9</v>
      </c>
      <c r="V89" s="4">
        <f t="shared" si="0"/>
        <v>83.7</v>
      </c>
      <c r="W89" s="13">
        <f t="shared" si="4"/>
        <v>19384</v>
      </c>
      <c r="AX89" s="78"/>
      <c r="AY89" s="78"/>
      <c r="AZ89" s="78"/>
      <c r="BA89" s="78"/>
      <c r="BB89" s="78"/>
      <c r="BC89" s="78"/>
      <c r="BD89" s="78"/>
      <c r="BE89" s="78"/>
      <c r="BF89" s="78"/>
      <c r="BG89" s="78"/>
      <c r="BH89" s="78"/>
      <c r="BI89" s="78"/>
      <c r="BJ89" s="78"/>
      <c r="BK89" s="78"/>
      <c r="BL89" s="78"/>
      <c r="BM89" s="78"/>
      <c r="BN89" s="78"/>
      <c r="BO89" s="78"/>
      <c r="BP89" s="78"/>
      <c r="BQ89" s="78"/>
      <c r="BR89" s="78"/>
    </row>
    <row r="90" spans="1:70" x14ac:dyDescent="0.2">
      <c r="B90" s="7" t="s">
        <v>13</v>
      </c>
      <c r="C90" s="4">
        <f t="shared" si="1"/>
        <v>10.199999999999999</v>
      </c>
      <c r="D90" s="4">
        <f t="shared" si="1"/>
        <v>19.899999999999999</v>
      </c>
      <c r="E90" s="4">
        <f t="shared" si="1"/>
        <v>23.2</v>
      </c>
      <c r="F90" s="4">
        <f t="shared" si="1"/>
        <v>20.399999999999999</v>
      </c>
      <c r="G90" s="4">
        <f t="shared" si="1"/>
        <v>14.9</v>
      </c>
      <c r="H90" s="4">
        <f t="shared" si="1"/>
        <v>88.6</v>
      </c>
      <c r="I90" s="13">
        <f t="shared" si="2"/>
        <v>20864</v>
      </c>
      <c r="J90" s="4">
        <f t="shared" si="0"/>
        <v>14</v>
      </c>
      <c r="K90" s="4">
        <f t="shared" si="0"/>
        <v>23.7</v>
      </c>
      <c r="L90" s="4">
        <f t="shared" si="0"/>
        <v>23.6</v>
      </c>
      <c r="M90" s="4">
        <f t="shared" si="0"/>
        <v>17.8</v>
      </c>
      <c r="N90" s="4">
        <f t="shared" si="0"/>
        <v>11.8</v>
      </c>
      <c r="O90" s="4">
        <f t="shared" si="0"/>
        <v>90.9</v>
      </c>
      <c r="P90" s="13">
        <f t="shared" si="3"/>
        <v>17115</v>
      </c>
      <c r="Q90" s="4">
        <f t="shared" si="0"/>
        <v>11.9</v>
      </c>
      <c r="R90" s="4">
        <f t="shared" si="0"/>
        <v>21.6</v>
      </c>
      <c r="S90" s="4">
        <f t="shared" si="0"/>
        <v>23.4</v>
      </c>
      <c r="T90" s="4">
        <f t="shared" si="0"/>
        <v>19.3</v>
      </c>
      <c r="U90" s="4">
        <f t="shared" si="0"/>
        <v>13.5</v>
      </c>
      <c r="V90" s="4">
        <f t="shared" si="0"/>
        <v>89.6</v>
      </c>
      <c r="W90" s="13">
        <f t="shared" si="4"/>
        <v>37979</v>
      </c>
      <c r="AX90" s="78"/>
      <c r="AY90" s="78"/>
      <c r="AZ90" s="78"/>
      <c r="BA90" s="78"/>
      <c r="BB90" s="78"/>
      <c r="BC90" s="78"/>
      <c r="BD90" s="78"/>
      <c r="BE90" s="78"/>
      <c r="BF90" s="78"/>
      <c r="BG90" s="78"/>
      <c r="BH90" s="78"/>
      <c r="BI90" s="78"/>
      <c r="BJ90" s="78"/>
      <c r="BK90" s="78"/>
      <c r="BL90" s="78"/>
      <c r="BM90" s="78"/>
      <c r="BN90" s="78"/>
      <c r="BO90" s="78"/>
      <c r="BP90" s="78"/>
      <c r="BQ90" s="78"/>
      <c r="BR90" s="78"/>
    </row>
    <row r="91" spans="1:70" x14ac:dyDescent="0.2">
      <c r="B91" s="7" t="s">
        <v>14</v>
      </c>
      <c r="C91" s="4">
        <f t="shared" si="1"/>
        <v>15.5</v>
      </c>
      <c r="D91" s="4">
        <f t="shared" si="1"/>
        <v>24.4</v>
      </c>
      <c r="E91" s="4">
        <f t="shared" si="1"/>
        <v>23.2</v>
      </c>
      <c r="F91" s="4">
        <f t="shared" si="1"/>
        <v>17.399999999999999</v>
      </c>
      <c r="G91" s="4">
        <f t="shared" si="1"/>
        <v>10.4</v>
      </c>
      <c r="H91" s="4">
        <f t="shared" si="1"/>
        <v>90.9</v>
      </c>
      <c r="I91" s="13">
        <f t="shared" si="2"/>
        <v>4872</v>
      </c>
      <c r="J91" s="4">
        <f t="shared" si="0"/>
        <v>14.9</v>
      </c>
      <c r="K91" s="4">
        <f t="shared" si="0"/>
        <v>25.1</v>
      </c>
      <c r="L91" s="4">
        <f t="shared" si="0"/>
        <v>21.4</v>
      </c>
      <c r="M91" s="4">
        <f t="shared" si="0"/>
        <v>18.600000000000001</v>
      </c>
      <c r="N91" s="4">
        <f t="shared" si="0"/>
        <v>10.1</v>
      </c>
      <c r="O91" s="4">
        <f t="shared" si="0"/>
        <v>90.1</v>
      </c>
      <c r="P91" s="13">
        <f t="shared" si="3"/>
        <v>3460</v>
      </c>
      <c r="Q91" s="4">
        <f t="shared" si="0"/>
        <v>15.3</v>
      </c>
      <c r="R91" s="4">
        <f t="shared" si="0"/>
        <v>24.7</v>
      </c>
      <c r="S91" s="4">
        <f t="shared" si="0"/>
        <v>22.4</v>
      </c>
      <c r="T91" s="4">
        <f t="shared" si="0"/>
        <v>17.899999999999999</v>
      </c>
      <c r="U91" s="4">
        <f t="shared" si="0"/>
        <v>10.3</v>
      </c>
      <c r="V91" s="4">
        <f t="shared" si="0"/>
        <v>90.6</v>
      </c>
      <c r="W91" s="13">
        <f t="shared" si="4"/>
        <v>8332</v>
      </c>
      <c r="AX91" s="78"/>
      <c r="AY91" s="78"/>
      <c r="AZ91" s="78"/>
      <c r="BA91" s="78"/>
      <c r="BB91" s="78"/>
      <c r="BC91" s="78"/>
      <c r="BD91" s="78"/>
      <c r="BE91" s="78"/>
      <c r="BF91" s="78"/>
      <c r="BG91" s="78"/>
      <c r="BH91" s="78"/>
      <c r="BI91" s="78"/>
      <c r="BJ91" s="78"/>
      <c r="BK91" s="78"/>
      <c r="BL91" s="78"/>
      <c r="BM91" s="78"/>
      <c r="BN91" s="78"/>
      <c r="BO91" s="78"/>
      <c r="BP91" s="78"/>
      <c r="BQ91" s="78"/>
      <c r="BR91" s="78"/>
    </row>
    <row r="92" spans="1:70" x14ac:dyDescent="0.2">
      <c r="B92" s="7" t="s">
        <v>15</v>
      </c>
      <c r="C92" s="4">
        <f t="shared" si="1"/>
        <v>15.6</v>
      </c>
      <c r="D92" s="4">
        <f t="shared" si="1"/>
        <v>19.5</v>
      </c>
      <c r="E92" s="4">
        <f t="shared" si="1"/>
        <v>21.1</v>
      </c>
      <c r="F92" s="4">
        <f t="shared" si="1"/>
        <v>18.2</v>
      </c>
      <c r="G92" s="4">
        <f t="shared" si="1"/>
        <v>12.9</v>
      </c>
      <c r="H92" s="4">
        <f t="shared" si="1"/>
        <v>87.4</v>
      </c>
      <c r="I92" s="13">
        <f t="shared" si="2"/>
        <v>16266</v>
      </c>
      <c r="J92" s="4">
        <f t="shared" si="0"/>
        <v>14.3</v>
      </c>
      <c r="K92" s="4">
        <f t="shared" si="0"/>
        <v>18.5</v>
      </c>
      <c r="L92" s="4">
        <f t="shared" si="0"/>
        <v>20.5</v>
      </c>
      <c r="M92" s="4">
        <f t="shared" si="0"/>
        <v>19</v>
      </c>
      <c r="N92" s="4">
        <f t="shared" si="0"/>
        <v>13.6</v>
      </c>
      <c r="O92" s="4">
        <f t="shared" si="0"/>
        <v>85.9</v>
      </c>
      <c r="P92" s="13">
        <f t="shared" si="3"/>
        <v>19812</v>
      </c>
      <c r="Q92" s="4">
        <f t="shared" si="0"/>
        <v>14.9</v>
      </c>
      <c r="R92" s="4">
        <f t="shared" si="0"/>
        <v>19</v>
      </c>
      <c r="S92" s="4">
        <f t="shared" si="0"/>
        <v>20.8</v>
      </c>
      <c r="T92" s="4">
        <f t="shared" si="0"/>
        <v>18.600000000000001</v>
      </c>
      <c r="U92" s="4">
        <f t="shared" si="0"/>
        <v>13.3</v>
      </c>
      <c r="V92" s="4">
        <f t="shared" si="0"/>
        <v>86.6</v>
      </c>
      <c r="W92" s="13">
        <f t="shared" si="4"/>
        <v>36078</v>
      </c>
      <c r="AX92" s="78"/>
      <c r="AY92" s="78"/>
      <c r="AZ92" s="78"/>
      <c r="BA92" s="78"/>
      <c r="BB92" s="78"/>
      <c r="BC92" s="78"/>
      <c r="BD92" s="78"/>
      <c r="BE92" s="78"/>
      <c r="BF92" s="78"/>
      <c r="BG92" s="78"/>
      <c r="BH92" s="78"/>
      <c r="BI92" s="78"/>
      <c r="BJ92" s="78"/>
      <c r="BK92" s="78"/>
      <c r="BL92" s="78"/>
      <c r="BM92" s="78"/>
      <c r="BN92" s="78"/>
      <c r="BO92" s="78"/>
      <c r="BP92" s="78"/>
      <c r="BQ92" s="78"/>
      <c r="BR92" s="78"/>
    </row>
    <row r="93" spans="1:70" x14ac:dyDescent="0.2">
      <c r="B93" s="7" t="s">
        <v>16</v>
      </c>
      <c r="C93" s="4">
        <f t="shared" si="1"/>
        <v>11.6</v>
      </c>
      <c r="D93" s="4">
        <f t="shared" si="1"/>
        <v>11.3</v>
      </c>
      <c r="E93" s="4">
        <f t="shared" si="1"/>
        <v>17.2</v>
      </c>
      <c r="F93" s="4">
        <f t="shared" si="1"/>
        <v>16</v>
      </c>
      <c r="G93" s="4">
        <f t="shared" si="1"/>
        <v>14.3</v>
      </c>
      <c r="H93" s="4">
        <f t="shared" si="1"/>
        <v>70.400000000000006</v>
      </c>
      <c r="I93" s="13">
        <f t="shared" si="2"/>
        <v>3000</v>
      </c>
      <c r="J93" s="4">
        <f t="shared" ref="J93:O108" si="5">ROUND(J57,1)</f>
        <v>11.3</v>
      </c>
      <c r="K93" s="4">
        <f t="shared" si="5"/>
        <v>13</v>
      </c>
      <c r="L93" s="4">
        <f t="shared" si="5"/>
        <v>17</v>
      </c>
      <c r="M93" s="4">
        <f t="shared" si="5"/>
        <v>17.3</v>
      </c>
      <c r="N93" s="4">
        <f t="shared" si="5"/>
        <v>15.6</v>
      </c>
      <c r="O93" s="4">
        <f t="shared" si="5"/>
        <v>74.2</v>
      </c>
      <c r="P93" s="13">
        <f t="shared" si="3"/>
        <v>4253</v>
      </c>
      <c r="Q93" s="4">
        <f t="shared" ref="Q93:V108" si="6">ROUND(Q57,1)</f>
        <v>11.4</v>
      </c>
      <c r="R93" s="4">
        <f t="shared" si="6"/>
        <v>12.3</v>
      </c>
      <c r="S93" s="4">
        <f t="shared" si="6"/>
        <v>17.100000000000001</v>
      </c>
      <c r="T93" s="4">
        <f t="shared" si="6"/>
        <v>16.8</v>
      </c>
      <c r="U93" s="4">
        <f t="shared" si="6"/>
        <v>15.1</v>
      </c>
      <c r="V93" s="4">
        <f t="shared" si="6"/>
        <v>72.599999999999994</v>
      </c>
      <c r="W93" s="13">
        <f t="shared" si="4"/>
        <v>7253</v>
      </c>
      <c r="AX93" s="78"/>
      <c r="AY93" s="78"/>
      <c r="AZ93" s="78"/>
      <c r="BA93" s="78"/>
      <c r="BB93" s="78"/>
      <c r="BC93" s="78"/>
      <c r="BD93" s="78"/>
      <c r="BE93" s="78"/>
      <c r="BF93" s="78"/>
      <c r="BG93" s="78"/>
      <c r="BH93" s="78"/>
      <c r="BI93" s="78"/>
      <c r="BJ93" s="78"/>
      <c r="BK93" s="78"/>
      <c r="BL93" s="78"/>
      <c r="BM93" s="78"/>
      <c r="BN93" s="78"/>
      <c r="BO93" s="78"/>
      <c r="BP93" s="78"/>
      <c r="BQ93" s="78"/>
      <c r="BR93" s="78"/>
    </row>
    <row r="94" spans="1:70" x14ac:dyDescent="0.2">
      <c r="B94" s="7" t="s">
        <v>17</v>
      </c>
      <c r="C94" s="4">
        <f t="shared" ref="C94:H109" si="7">ROUND(C58,1)</f>
        <v>7.5</v>
      </c>
      <c r="D94" s="4">
        <f t="shared" si="7"/>
        <v>12.9</v>
      </c>
      <c r="E94" s="4">
        <f t="shared" si="7"/>
        <v>18</v>
      </c>
      <c r="F94" s="4">
        <f t="shared" si="7"/>
        <v>17.600000000000001</v>
      </c>
      <c r="G94" s="4">
        <f t="shared" si="7"/>
        <v>16.5</v>
      </c>
      <c r="H94" s="4">
        <f t="shared" si="7"/>
        <v>72.400000000000006</v>
      </c>
      <c r="I94" s="13">
        <f t="shared" si="2"/>
        <v>5470</v>
      </c>
      <c r="J94" s="4">
        <f t="shared" si="5"/>
        <v>12.3</v>
      </c>
      <c r="K94" s="4">
        <f t="shared" si="5"/>
        <v>19.600000000000001</v>
      </c>
      <c r="L94" s="4">
        <f t="shared" si="5"/>
        <v>19.8</v>
      </c>
      <c r="M94" s="4">
        <f t="shared" si="5"/>
        <v>18.3</v>
      </c>
      <c r="N94" s="4">
        <f t="shared" si="5"/>
        <v>13.2</v>
      </c>
      <c r="O94" s="4">
        <f t="shared" si="5"/>
        <v>83.1</v>
      </c>
      <c r="P94" s="13">
        <f t="shared" si="3"/>
        <v>16792</v>
      </c>
      <c r="Q94" s="4">
        <f t="shared" si="6"/>
        <v>11.1</v>
      </c>
      <c r="R94" s="4">
        <f t="shared" si="6"/>
        <v>18</v>
      </c>
      <c r="S94" s="4">
        <f t="shared" si="6"/>
        <v>19.399999999999999</v>
      </c>
      <c r="T94" s="4">
        <f t="shared" si="6"/>
        <v>18.100000000000001</v>
      </c>
      <c r="U94" s="4">
        <f t="shared" si="6"/>
        <v>14</v>
      </c>
      <c r="V94" s="4">
        <f t="shared" si="6"/>
        <v>80.5</v>
      </c>
      <c r="W94" s="13">
        <f t="shared" si="4"/>
        <v>22262</v>
      </c>
      <c r="AX94" s="78"/>
      <c r="AY94" s="78"/>
      <c r="AZ94" s="78"/>
      <c r="BA94" s="78"/>
      <c r="BB94" s="78"/>
      <c r="BC94" s="78"/>
      <c r="BD94" s="78"/>
      <c r="BE94" s="78"/>
      <c r="BF94" s="78"/>
      <c r="BG94" s="78"/>
      <c r="BH94" s="78"/>
      <c r="BI94" s="78"/>
      <c r="BJ94" s="78"/>
      <c r="BK94" s="78"/>
      <c r="BL94" s="78"/>
      <c r="BM94" s="78"/>
      <c r="BN94" s="78"/>
      <c r="BO94" s="78"/>
      <c r="BP94" s="78"/>
      <c r="BQ94" s="78"/>
      <c r="BR94" s="78"/>
    </row>
    <row r="95" spans="1:70" x14ac:dyDescent="0.2">
      <c r="B95" s="7" t="s">
        <v>18</v>
      </c>
      <c r="C95" s="4">
        <f t="shared" si="7"/>
        <v>9.1999999999999993</v>
      </c>
      <c r="D95" s="4">
        <f t="shared" si="7"/>
        <v>14.6</v>
      </c>
      <c r="E95" s="4">
        <f t="shared" si="7"/>
        <v>15.1</v>
      </c>
      <c r="F95" s="4">
        <f t="shared" si="7"/>
        <v>16.600000000000001</v>
      </c>
      <c r="G95" s="4">
        <f t="shared" si="7"/>
        <v>15.4</v>
      </c>
      <c r="H95" s="4">
        <f t="shared" si="7"/>
        <v>70.900000000000006</v>
      </c>
      <c r="I95" s="13">
        <f t="shared" si="2"/>
        <v>5361</v>
      </c>
      <c r="J95" s="4">
        <f t="shared" si="5"/>
        <v>12.7</v>
      </c>
      <c r="K95" s="4">
        <f t="shared" si="5"/>
        <v>17.899999999999999</v>
      </c>
      <c r="L95" s="4">
        <f t="shared" si="5"/>
        <v>16.8</v>
      </c>
      <c r="M95" s="4">
        <f t="shared" si="5"/>
        <v>16.399999999999999</v>
      </c>
      <c r="N95" s="4">
        <f t="shared" si="5"/>
        <v>14.5</v>
      </c>
      <c r="O95" s="4">
        <f t="shared" si="5"/>
        <v>78.2</v>
      </c>
      <c r="P95" s="13">
        <f t="shared" si="3"/>
        <v>16937</v>
      </c>
      <c r="Q95" s="4">
        <f t="shared" si="6"/>
        <v>11.9</v>
      </c>
      <c r="R95" s="4">
        <f t="shared" si="6"/>
        <v>17.100000000000001</v>
      </c>
      <c r="S95" s="4">
        <f t="shared" si="6"/>
        <v>16.399999999999999</v>
      </c>
      <c r="T95" s="4">
        <f t="shared" si="6"/>
        <v>16.399999999999999</v>
      </c>
      <c r="U95" s="4">
        <f t="shared" si="6"/>
        <v>14.7</v>
      </c>
      <c r="V95" s="4">
        <f t="shared" si="6"/>
        <v>76.400000000000006</v>
      </c>
      <c r="W95" s="13">
        <f t="shared" si="4"/>
        <v>22298</v>
      </c>
      <c r="AX95" s="78"/>
      <c r="AY95" s="78"/>
      <c r="AZ95" s="78"/>
      <c r="BA95" s="78"/>
      <c r="BB95" s="78"/>
      <c r="BC95" s="78"/>
      <c r="BD95" s="78"/>
      <c r="BE95" s="78"/>
      <c r="BF95" s="78"/>
      <c r="BG95" s="78"/>
      <c r="BH95" s="78"/>
      <c r="BI95" s="78"/>
      <c r="BJ95" s="78"/>
      <c r="BK95" s="78"/>
      <c r="BL95" s="78"/>
      <c r="BM95" s="78"/>
      <c r="BN95" s="78"/>
      <c r="BO95" s="78"/>
      <c r="BP95" s="78"/>
      <c r="BQ95" s="78"/>
      <c r="BR95" s="78"/>
    </row>
    <row r="96" spans="1:70" x14ac:dyDescent="0.2">
      <c r="B96" s="7" t="s">
        <v>19</v>
      </c>
      <c r="C96" s="4">
        <f t="shared" si="7"/>
        <v>13.1</v>
      </c>
      <c r="D96" s="4">
        <f t="shared" si="7"/>
        <v>18.100000000000001</v>
      </c>
      <c r="E96" s="4">
        <f t="shared" si="7"/>
        <v>18.100000000000001</v>
      </c>
      <c r="F96" s="4">
        <f t="shared" si="7"/>
        <v>14.7</v>
      </c>
      <c r="G96" s="4">
        <f t="shared" si="7"/>
        <v>13.7</v>
      </c>
      <c r="H96" s="4">
        <f t="shared" si="7"/>
        <v>77.599999999999994</v>
      </c>
      <c r="I96" s="13">
        <f t="shared" si="2"/>
        <v>796</v>
      </c>
      <c r="J96" s="4">
        <f t="shared" si="5"/>
        <v>15.7</v>
      </c>
      <c r="K96" s="4">
        <f t="shared" si="5"/>
        <v>14.8</v>
      </c>
      <c r="L96" s="4">
        <f t="shared" si="5"/>
        <v>17.899999999999999</v>
      </c>
      <c r="M96" s="4">
        <f t="shared" si="5"/>
        <v>16.7</v>
      </c>
      <c r="N96" s="4">
        <f t="shared" si="5"/>
        <v>13.6</v>
      </c>
      <c r="O96" s="4">
        <f t="shared" si="5"/>
        <v>78.599999999999994</v>
      </c>
      <c r="P96" s="13">
        <f t="shared" si="3"/>
        <v>861</v>
      </c>
      <c r="Q96" s="4">
        <f t="shared" si="6"/>
        <v>14.4</v>
      </c>
      <c r="R96" s="4">
        <f t="shared" si="6"/>
        <v>16.399999999999999</v>
      </c>
      <c r="S96" s="4">
        <f t="shared" si="6"/>
        <v>18</v>
      </c>
      <c r="T96" s="4">
        <f t="shared" si="6"/>
        <v>15.8</v>
      </c>
      <c r="U96" s="4">
        <f t="shared" si="6"/>
        <v>13.6</v>
      </c>
      <c r="V96" s="4">
        <f t="shared" si="6"/>
        <v>78.2</v>
      </c>
      <c r="W96" s="13">
        <f t="shared" si="4"/>
        <v>1657</v>
      </c>
      <c r="AX96" s="78"/>
      <c r="AY96" s="78"/>
      <c r="AZ96" s="78"/>
      <c r="BA96" s="78"/>
      <c r="BB96" s="78"/>
      <c r="BC96" s="78"/>
      <c r="BD96" s="78"/>
      <c r="BE96" s="78"/>
      <c r="BF96" s="78"/>
      <c r="BG96" s="78"/>
      <c r="BH96" s="78"/>
      <c r="BI96" s="78"/>
      <c r="BJ96" s="78"/>
      <c r="BK96" s="78"/>
      <c r="BL96" s="78"/>
      <c r="BM96" s="78"/>
      <c r="BN96" s="78"/>
      <c r="BO96" s="78"/>
      <c r="BP96" s="78"/>
      <c r="BQ96" s="78"/>
      <c r="BR96" s="78"/>
    </row>
    <row r="97" spans="2:70" x14ac:dyDescent="0.2">
      <c r="B97" s="7" t="s">
        <v>20</v>
      </c>
      <c r="C97" s="4">
        <f t="shared" si="7"/>
        <v>17.600000000000001</v>
      </c>
      <c r="D97" s="4">
        <f t="shared" si="7"/>
        <v>18</v>
      </c>
      <c r="E97" s="4">
        <f t="shared" si="7"/>
        <v>22.4</v>
      </c>
      <c r="F97" s="4">
        <f t="shared" si="7"/>
        <v>20.399999999999999</v>
      </c>
      <c r="G97" s="4">
        <f t="shared" si="7"/>
        <v>12</v>
      </c>
      <c r="H97" s="4">
        <f t="shared" si="7"/>
        <v>90.5</v>
      </c>
      <c r="I97" s="13">
        <f t="shared" si="2"/>
        <v>12518</v>
      </c>
      <c r="J97" s="4">
        <f t="shared" si="5"/>
        <v>21.1</v>
      </c>
      <c r="K97" s="4">
        <f t="shared" si="5"/>
        <v>21</v>
      </c>
      <c r="L97" s="4">
        <f t="shared" si="5"/>
        <v>24.1</v>
      </c>
      <c r="M97" s="4">
        <f t="shared" si="5"/>
        <v>18.3</v>
      </c>
      <c r="N97" s="4">
        <f t="shared" si="5"/>
        <v>9.5</v>
      </c>
      <c r="O97" s="4">
        <f t="shared" si="5"/>
        <v>93.9</v>
      </c>
      <c r="P97" s="13">
        <f t="shared" si="3"/>
        <v>19224</v>
      </c>
      <c r="Q97" s="4">
        <f t="shared" si="6"/>
        <v>19.7</v>
      </c>
      <c r="R97" s="4">
        <f t="shared" si="6"/>
        <v>19.8</v>
      </c>
      <c r="S97" s="4">
        <f t="shared" si="6"/>
        <v>23.4</v>
      </c>
      <c r="T97" s="4">
        <f t="shared" si="6"/>
        <v>19.100000000000001</v>
      </c>
      <c r="U97" s="4">
        <f t="shared" si="6"/>
        <v>10.5</v>
      </c>
      <c r="V97" s="4">
        <f t="shared" si="6"/>
        <v>92.6</v>
      </c>
      <c r="W97" s="13">
        <f t="shared" si="4"/>
        <v>31742</v>
      </c>
      <c r="AX97" s="78"/>
      <c r="AY97" s="78"/>
      <c r="AZ97" s="78"/>
      <c r="BA97" s="78"/>
      <c r="BB97" s="78"/>
      <c r="BC97" s="78"/>
      <c r="BD97" s="78"/>
      <c r="BE97" s="78"/>
      <c r="BF97" s="78"/>
      <c r="BG97" s="78"/>
      <c r="BH97" s="78"/>
      <c r="BI97" s="78"/>
      <c r="BJ97" s="78"/>
      <c r="BK97" s="78"/>
      <c r="BL97" s="78"/>
      <c r="BM97" s="78"/>
      <c r="BN97" s="78"/>
      <c r="BO97" s="78"/>
      <c r="BP97" s="78"/>
      <c r="BQ97" s="78"/>
      <c r="BR97" s="78"/>
    </row>
    <row r="98" spans="2:70" x14ac:dyDescent="0.2">
      <c r="B98" s="7" t="s">
        <v>21</v>
      </c>
      <c r="C98" s="4">
        <f t="shared" si="7"/>
        <v>10</v>
      </c>
      <c r="D98" s="4">
        <f t="shared" si="7"/>
        <v>13.5</v>
      </c>
      <c r="E98" s="4">
        <f t="shared" si="7"/>
        <v>19.100000000000001</v>
      </c>
      <c r="F98" s="4">
        <f t="shared" si="7"/>
        <v>20.8</v>
      </c>
      <c r="G98" s="4">
        <f t="shared" si="7"/>
        <v>17.2</v>
      </c>
      <c r="H98" s="4">
        <f t="shared" si="7"/>
        <v>80.599999999999994</v>
      </c>
      <c r="I98" s="13">
        <f t="shared" si="2"/>
        <v>2332</v>
      </c>
      <c r="J98" s="4">
        <f t="shared" si="5"/>
        <v>12.7</v>
      </c>
      <c r="K98" s="4">
        <f t="shared" si="5"/>
        <v>15.8</v>
      </c>
      <c r="L98" s="4">
        <f t="shared" si="5"/>
        <v>21.6</v>
      </c>
      <c r="M98" s="4">
        <f t="shared" si="5"/>
        <v>20.9</v>
      </c>
      <c r="N98" s="4">
        <f t="shared" si="5"/>
        <v>16.3</v>
      </c>
      <c r="O98" s="4">
        <f t="shared" si="5"/>
        <v>87.3</v>
      </c>
      <c r="P98" s="13">
        <f t="shared" si="3"/>
        <v>6422</v>
      </c>
      <c r="Q98" s="4">
        <f t="shared" si="6"/>
        <v>12</v>
      </c>
      <c r="R98" s="4">
        <f t="shared" si="6"/>
        <v>15.2</v>
      </c>
      <c r="S98" s="4">
        <f t="shared" si="6"/>
        <v>20.9</v>
      </c>
      <c r="T98" s="4">
        <f t="shared" si="6"/>
        <v>20.9</v>
      </c>
      <c r="U98" s="4">
        <f t="shared" si="6"/>
        <v>16.600000000000001</v>
      </c>
      <c r="V98" s="4">
        <f t="shared" si="6"/>
        <v>85.5</v>
      </c>
      <c r="W98" s="13">
        <f t="shared" si="4"/>
        <v>8754</v>
      </c>
      <c r="AX98" s="78"/>
      <c r="AY98" s="78"/>
      <c r="AZ98" s="78"/>
      <c r="BA98" s="78"/>
      <c r="BB98" s="78"/>
      <c r="BC98" s="78"/>
      <c r="BD98" s="78"/>
      <c r="BE98" s="78"/>
      <c r="BF98" s="78"/>
      <c r="BG98" s="78"/>
      <c r="BH98" s="78"/>
      <c r="BI98" s="78"/>
      <c r="BJ98" s="78"/>
      <c r="BK98" s="78"/>
      <c r="BL98" s="78"/>
      <c r="BM98" s="78"/>
      <c r="BN98" s="78"/>
      <c r="BO98" s="78"/>
      <c r="BP98" s="78"/>
      <c r="BQ98" s="78"/>
      <c r="BR98" s="78"/>
    </row>
    <row r="99" spans="2:70" x14ac:dyDescent="0.2">
      <c r="B99" s="7" t="s">
        <v>22</v>
      </c>
      <c r="C99" s="4">
        <f t="shared" si="7"/>
        <v>15.1</v>
      </c>
      <c r="D99" s="4">
        <f t="shared" si="7"/>
        <v>18.899999999999999</v>
      </c>
      <c r="E99" s="4">
        <f t="shared" si="7"/>
        <v>22.4</v>
      </c>
      <c r="F99" s="4">
        <f t="shared" si="7"/>
        <v>21</v>
      </c>
      <c r="G99" s="4">
        <f t="shared" si="7"/>
        <v>13.7</v>
      </c>
      <c r="H99" s="4">
        <f t="shared" si="7"/>
        <v>91.1</v>
      </c>
      <c r="I99" s="13">
        <f t="shared" si="2"/>
        <v>24948</v>
      </c>
      <c r="J99" s="4">
        <f t="shared" si="5"/>
        <v>14.3</v>
      </c>
      <c r="K99" s="4">
        <f t="shared" si="5"/>
        <v>19.100000000000001</v>
      </c>
      <c r="L99" s="4">
        <f t="shared" si="5"/>
        <v>23.2</v>
      </c>
      <c r="M99" s="4">
        <f t="shared" si="5"/>
        <v>21.8</v>
      </c>
      <c r="N99" s="4">
        <f t="shared" si="5"/>
        <v>14.2</v>
      </c>
      <c r="O99" s="4">
        <f t="shared" si="5"/>
        <v>92.6</v>
      </c>
      <c r="P99" s="13">
        <f t="shared" si="3"/>
        <v>55711</v>
      </c>
      <c r="Q99" s="4">
        <f t="shared" si="6"/>
        <v>14.6</v>
      </c>
      <c r="R99" s="4">
        <f t="shared" si="6"/>
        <v>19</v>
      </c>
      <c r="S99" s="4">
        <f t="shared" si="6"/>
        <v>23</v>
      </c>
      <c r="T99" s="4">
        <f t="shared" si="6"/>
        <v>21.5</v>
      </c>
      <c r="U99" s="4">
        <f t="shared" si="6"/>
        <v>14</v>
      </c>
      <c r="V99" s="4">
        <f t="shared" si="6"/>
        <v>92.1</v>
      </c>
      <c r="W99" s="13">
        <f t="shared" si="4"/>
        <v>80659</v>
      </c>
      <c r="AX99" s="78"/>
      <c r="AY99" s="78"/>
      <c r="AZ99" s="78"/>
      <c r="BA99" s="78"/>
      <c r="BB99" s="78"/>
      <c r="BC99" s="78"/>
      <c r="BD99" s="78"/>
      <c r="BE99" s="78"/>
      <c r="BF99" s="78"/>
      <c r="BG99" s="78"/>
      <c r="BH99" s="78"/>
      <c r="BI99" s="78"/>
      <c r="BJ99" s="78"/>
      <c r="BK99" s="78"/>
      <c r="BL99" s="78"/>
      <c r="BM99" s="78"/>
      <c r="BN99" s="78"/>
      <c r="BO99" s="78"/>
      <c r="BP99" s="78"/>
      <c r="BQ99" s="78"/>
      <c r="BR99" s="78"/>
    </row>
    <row r="100" spans="2:70" x14ac:dyDescent="0.2">
      <c r="B100" s="7" t="s">
        <v>51</v>
      </c>
      <c r="C100" s="4">
        <f t="shared" si="7"/>
        <v>9.4</v>
      </c>
      <c r="D100" s="4">
        <f t="shared" si="7"/>
        <v>15.8</v>
      </c>
      <c r="E100" s="4">
        <f t="shared" si="7"/>
        <v>28.5</v>
      </c>
      <c r="F100" s="4">
        <f t="shared" si="7"/>
        <v>24.5</v>
      </c>
      <c r="G100" s="4">
        <f t="shared" si="7"/>
        <v>13.8</v>
      </c>
      <c r="H100" s="4">
        <f t="shared" si="7"/>
        <v>92</v>
      </c>
      <c r="I100" s="13">
        <f t="shared" si="2"/>
        <v>3927</v>
      </c>
      <c r="J100" s="4">
        <f t="shared" si="5"/>
        <v>11.2</v>
      </c>
      <c r="K100" s="4">
        <f t="shared" si="5"/>
        <v>18.3</v>
      </c>
      <c r="L100" s="4">
        <f t="shared" si="5"/>
        <v>28.8</v>
      </c>
      <c r="M100" s="4">
        <f t="shared" si="5"/>
        <v>24.8</v>
      </c>
      <c r="N100" s="4">
        <f t="shared" si="5"/>
        <v>11.1</v>
      </c>
      <c r="O100" s="4">
        <f t="shared" si="5"/>
        <v>94.3</v>
      </c>
      <c r="P100" s="13">
        <f t="shared" si="3"/>
        <v>5027</v>
      </c>
      <c r="Q100" s="4">
        <f t="shared" si="6"/>
        <v>10.4</v>
      </c>
      <c r="R100" s="4">
        <f t="shared" si="6"/>
        <v>17.2</v>
      </c>
      <c r="S100" s="4">
        <f t="shared" si="6"/>
        <v>28.7</v>
      </c>
      <c r="T100" s="4">
        <f t="shared" si="6"/>
        <v>24.7</v>
      </c>
      <c r="U100" s="4">
        <f t="shared" si="6"/>
        <v>12.3</v>
      </c>
      <c r="V100" s="4">
        <f t="shared" si="6"/>
        <v>93.3</v>
      </c>
      <c r="W100" s="13">
        <f t="shared" si="4"/>
        <v>8954</v>
      </c>
      <c r="AX100" s="78"/>
      <c r="AY100" s="78"/>
      <c r="AZ100" s="78"/>
      <c r="BA100" s="78"/>
      <c r="BB100" s="78"/>
      <c r="BC100" s="78"/>
      <c r="BD100" s="78"/>
      <c r="BE100" s="78"/>
      <c r="BF100" s="78"/>
      <c r="BG100" s="78"/>
      <c r="BH100" s="78"/>
      <c r="BI100" s="78"/>
      <c r="BJ100" s="78"/>
      <c r="BK100" s="78"/>
      <c r="BL100" s="78"/>
      <c r="BM100" s="78"/>
      <c r="BN100" s="78"/>
      <c r="BO100" s="78"/>
      <c r="BP100" s="78"/>
      <c r="BQ100" s="78"/>
      <c r="BR100" s="78"/>
    </row>
    <row r="101" spans="2:70" x14ac:dyDescent="0.2">
      <c r="B101" s="7" t="s">
        <v>23</v>
      </c>
      <c r="C101" s="4">
        <f t="shared" si="7"/>
        <v>7.8</v>
      </c>
      <c r="D101" s="4">
        <f t="shared" si="7"/>
        <v>15.3</v>
      </c>
      <c r="E101" s="4">
        <f t="shared" si="7"/>
        <v>20.6</v>
      </c>
      <c r="F101" s="4">
        <f t="shared" si="7"/>
        <v>19.5</v>
      </c>
      <c r="G101" s="4">
        <f t="shared" si="7"/>
        <v>13.9</v>
      </c>
      <c r="H101" s="4">
        <f t="shared" si="7"/>
        <v>77.099999999999994</v>
      </c>
      <c r="I101" s="13">
        <f t="shared" si="2"/>
        <v>2553</v>
      </c>
      <c r="J101" s="4">
        <f t="shared" si="5"/>
        <v>10.7</v>
      </c>
      <c r="K101" s="4">
        <f t="shared" si="5"/>
        <v>21.4</v>
      </c>
      <c r="L101" s="4">
        <f t="shared" si="5"/>
        <v>26.7</v>
      </c>
      <c r="M101" s="4">
        <f t="shared" si="5"/>
        <v>18.600000000000001</v>
      </c>
      <c r="N101" s="4">
        <f t="shared" si="5"/>
        <v>10.6</v>
      </c>
      <c r="O101" s="4">
        <f t="shared" si="5"/>
        <v>88.1</v>
      </c>
      <c r="P101" s="13">
        <f t="shared" si="3"/>
        <v>5020</v>
      </c>
      <c r="Q101" s="4">
        <f t="shared" si="6"/>
        <v>9.6999999999999993</v>
      </c>
      <c r="R101" s="4">
        <f t="shared" si="6"/>
        <v>19.399999999999999</v>
      </c>
      <c r="S101" s="4">
        <f t="shared" si="6"/>
        <v>24.6</v>
      </c>
      <c r="T101" s="4">
        <f t="shared" si="6"/>
        <v>18.899999999999999</v>
      </c>
      <c r="U101" s="4">
        <f t="shared" si="6"/>
        <v>11.7</v>
      </c>
      <c r="V101" s="4">
        <f t="shared" si="6"/>
        <v>84.4</v>
      </c>
      <c r="W101" s="13">
        <f t="shared" si="4"/>
        <v>7573</v>
      </c>
      <c r="AX101" s="78"/>
      <c r="AY101" s="78"/>
      <c r="AZ101" s="78"/>
      <c r="BA101" s="78"/>
      <c r="BB101" s="78"/>
      <c r="BC101" s="78"/>
      <c r="BD101" s="78"/>
      <c r="BE101" s="78"/>
      <c r="BF101" s="78"/>
      <c r="BG101" s="78"/>
      <c r="BH101" s="78"/>
      <c r="BI101" s="78"/>
      <c r="BJ101" s="78"/>
      <c r="BK101" s="78"/>
      <c r="BL101" s="78"/>
      <c r="BM101" s="78"/>
      <c r="BN101" s="78"/>
      <c r="BO101" s="78"/>
      <c r="BP101" s="78"/>
      <c r="BQ101" s="78"/>
      <c r="BR101" s="78"/>
    </row>
    <row r="102" spans="2:70" x14ac:dyDescent="0.2">
      <c r="B102" s="7" t="s">
        <v>24</v>
      </c>
      <c r="C102" s="4">
        <f t="shared" si="7"/>
        <v>21.5</v>
      </c>
      <c r="D102" s="4">
        <f t="shared" si="7"/>
        <v>20.100000000000001</v>
      </c>
      <c r="E102" s="4">
        <f t="shared" si="7"/>
        <v>19.3</v>
      </c>
      <c r="F102" s="4">
        <f t="shared" si="7"/>
        <v>16.8</v>
      </c>
      <c r="G102" s="4">
        <f t="shared" si="7"/>
        <v>12</v>
      </c>
      <c r="H102" s="4">
        <f t="shared" si="7"/>
        <v>89.8</v>
      </c>
      <c r="I102" s="13">
        <f t="shared" si="2"/>
        <v>6413</v>
      </c>
      <c r="J102" s="4">
        <f t="shared" si="5"/>
        <v>19.600000000000001</v>
      </c>
      <c r="K102" s="4">
        <f t="shared" si="5"/>
        <v>20.100000000000001</v>
      </c>
      <c r="L102" s="4">
        <f t="shared" si="5"/>
        <v>20.100000000000001</v>
      </c>
      <c r="M102" s="4">
        <f t="shared" si="5"/>
        <v>17</v>
      </c>
      <c r="N102" s="4">
        <f t="shared" si="5"/>
        <v>12.6</v>
      </c>
      <c r="O102" s="4">
        <f t="shared" si="5"/>
        <v>89.4</v>
      </c>
      <c r="P102" s="13">
        <f t="shared" si="3"/>
        <v>14951</v>
      </c>
      <c r="Q102" s="4">
        <f t="shared" si="6"/>
        <v>20.2</v>
      </c>
      <c r="R102" s="4">
        <f t="shared" si="6"/>
        <v>20.100000000000001</v>
      </c>
      <c r="S102" s="4">
        <f t="shared" si="6"/>
        <v>19.8</v>
      </c>
      <c r="T102" s="4">
        <f t="shared" si="6"/>
        <v>16.899999999999999</v>
      </c>
      <c r="U102" s="4">
        <f t="shared" si="6"/>
        <v>12.4</v>
      </c>
      <c r="V102" s="4">
        <f t="shared" si="6"/>
        <v>89.5</v>
      </c>
      <c r="W102" s="13">
        <f t="shared" si="4"/>
        <v>21364</v>
      </c>
      <c r="AX102" s="78"/>
      <c r="AY102" s="78"/>
      <c r="AZ102" s="78"/>
      <c r="BA102" s="78"/>
      <c r="BB102" s="78"/>
      <c r="BC102" s="78"/>
      <c r="BD102" s="78"/>
      <c r="BE102" s="78"/>
      <c r="BF102" s="78"/>
      <c r="BG102" s="78"/>
      <c r="BH102" s="78"/>
      <c r="BI102" s="78"/>
      <c r="BJ102" s="78"/>
      <c r="BK102" s="78"/>
      <c r="BL102" s="78"/>
      <c r="BM102" s="78"/>
      <c r="BN102" s="78"/>
      <c r="BO102" s="78"/>
      <c r="BP102" s="78"/>
      <c r="BQ102" s="78"/>
      <c r="BR102" s="78"/>
    </row>
    <row r="103" spans="2:70" x14ac:dyDescent="0.2">
      <c r="B103" s="7" t="s">
        <v>25</v>
      </c>
      <c r="C103" s="4">
        <f t="shared" si="7"/>
        <v>27</v>
      </c>
      <c r="D103" s="4">
        <f t="shared" si="7"/>
        <v>18.3</v>
      </c>
      <c r="E103" s="4">
        <f t="shared" si="7"/>
        <v>17.399999999999999</v>
      </c>
      <c r="F103" s="4">
        <f t="shared" si="7"/>
        <v>15.8</v>
      </c>
      <c r="G103" s="4">
        <f t="shared" si="7"/>
        <v>11.6</v>
      </c>
      <c r="H103" s="4">
        <f t="shared" si="7"/>
        <v>90.1</v>
      </c>
      <c r="I103" s="13">
        <f t="shared" si="2"/>
        <v>2845</v>
      </c>
      <c r="J103" s="4">
        <f t="shared" si="5"/>
        <v>21.7</v>
      </c>
      <c r="K103" s="4">
        <f t="shared" si="5"/>
        <v>19.3</v>
      </c>
      <c r="L103" s="4">
        <f t="shared" si="5"/>
        <v>18.8</v>
      </c>
      <c r="M103" s="4">
        <f t="shared" si="5"/>
        <v>17.5</v>
      </c>
      <c r="N103" s="4">
        <f t="shared" si="5"/>
        <v>13.1</v>
      </c>
      <c r="O103" s="4">
        <f t="shared" si="5"/>
        <v>90.4</v>
      </c>
      <c r="P103" s="13">
        <f t="shared" si="3"/>
        <v>6139</v>
      </c>
      <c r="Q103" s="4">
        <f t="shared" si="6"/>
        <v>23.4</v>
      </c>
      <c r="R103" s="4">
        <f t="shared" si="6"/>
        <v>18.899999999999999</v>
      </c>
      <c r="S103" s="4">
        <f t="shared" si="6"/>
        <v>18.399999999999999</v>
      </c>
      <c r="T103" s="4">
        <f t="shared" si="6"/>
        <v>17</v>
      </c>
      <c r="U103" s="4">
        <f t="shared" si="6"/>
        <v>12.6</v>
      </c>
      <c r="V103" s="4">
        <f t="shared" si="6"/>
        <v>90.3</v>
      </c>
      <c r="W103" s="13">
        <f t="shared" si="4"/>
        <v>8984</v>
      </c>
      <c r="AX103" s="78"/>
      <c r="AY103" s="78"/>
      <c r="AZ103" s="78"/>
      <c r="BA103" s="78"/>
      <c r="BB103" s="78"/>
      <c r="BC103" s="78"/>
      <c r="BD103" s="78"/>
      <c r="BE103" s="78"/>
      <c r="BF103" s="78"/>
      <c r="BG103" s="78"/>
      <c r="BH103" s="78"/>
      <c r="BI103" s="78"/>
      <c r="BJ103" s="78"/>
      <c r="BK103" s="78"/>
      <c r="BL103" s="78"/>
      <c r="BM103" s="78"/>
      <c r="BN103" s="78"/>
      <c r="BO103" s="78"/>
      <c r="BP103" s="78"/>
      <c r="BQ103" s="78"/>
      <c r="BR103" s="78"/>
    </row>
    <row r="104" spans="2:70" x14ac:dyDescent="0.2">
      <c r="B104" s="7" t="s">
        <v>26</v>
      </c>
      <c r="C104" s="4">
        <f t="shared" si="7"/>
        <v>27.6</v>
      </c>
      <c r="D104" s="4">
        <f t="shared" si="7"/>
        <v>24.1</v>
      </c>
      <c r="E104" s="4">
        <f t="shared" si="7"/>
        <v>18.2</v>
      </c>
      <c r="F104" s="4">
        <f t="shared" si="7"/>
        <v>14.5</v>
      </c>
      <c r="G104" s="4">
        <f t="shared" si="7"/>
        <v>8.4</v>
      </c>
      <c r="H104" s="4">
        <f t="shared" si="7"/>
        <v>92.8</v>
      </c>
      <c r="I104" s="13">
        <f t="shared" si="2"/>
        <v>1268</v>
      </c>
      <c r="J104" s="4">
        <f t="shared" si="5"/>
        <v>22.4</v>
      </c>
      <c r="K104" s="4">
        <f t="shared" si="5"/>
        <v>19.899999999999999</v>
      </c>
      <c r="L104" s="4">
        <f t="shared" si="5"/>
        <v>19.399999999999999</v>
      </c>
      <c r="M104" s="4">
        <f t="shared" si="5"/>
        <v>17.399999999999999</v>
      </c>
      <c r="N104" s="4">
        <f t="shared" si="5"/>
        <v>10.7</v>
      </c>
      <c r="O104" s="4">
        <f t="shared" si="5"/>
        <v>89.7</v>
      </c>
      <c r="P104" s="13">
        <f t="shared" si="3"/>
        <v>3060</v>
      </c>
      <c r="Q104" s="4">
        <f t="shared" si="6"/>
        <v>23.9</v>
      </c>
      <c r="R104" s="4">
        <f t="shared" si="6"/>
        <v>21.2</v>
      </c>
      <c r="S104" s="4">
        <f t="shared" si="6"/>
        <v>19</v>
      </c>
      <c r="T104" s="4">
        <f t="shared" si="6"/>
        <v>16.5</v>
      </c>
      <c r="U104" s="4">
        <f t="shared" si="6"/>
        <v>10</v>
      </c>
      <c r="V104" s="4">
        <f t="shared" si="6"/>
        <v>90.6</v>
      </c>
      <c r="W104" s="13">
        <f t="shared" si="4"/>
        <v>4328</v>
      </c>
      <c r="AX104" s="78"/>
      <c r="AY104" s="78"/>
      <c r="AZ104" s="78"/>
      <c r="BA104" s="78"/>
      <c r="BB104" s="78"/>
      <c r="BC104" s="78"/>
      <c r="BD104" s="78"/>
      <c r="BE104" s="78"/>
      <c r="BF104" s="78"/>
      <c r="BG104" s="78"/>
      <c r="BH104" s="78"/>
      <c r="BI104" s="78"/>
      <c r="BJ104" s="78"/>
      <c r="BK104" s="78"/>
      <c r="BL104" s="78"/>
      <c r="BM104" s="78"/>
      <c r="BN104" s="78"/>
      <c r="BO104" s="78"/>
      <c r="BP104" s="78"/>
      <c r="BQ104" s="78"/>
      <c r="BR104" s="78"/>
    </row>
    <row r="105" spans="2:70" x14ac:dyDescent="0.2">
      <c r="B105" s="7" t="s">
        <v>27</v>
      </c>
      <c r="C105" s="4">
        <f t="shared" si="7"/>
        <v>29.2</v>
      </c>
      <c r="D105" s="4">
        <f t="shared" si="7"/>
        <v>22.7</v>
      </c>
      <c r="E105" s="4">
        <f t="shared" si="7"/>
        <v>16.8</v>
      </c>
      <c r="F105" s="4">
        <f t="shared" si="7"/>
        <v>11</v>
      </c>
      <c r="G105" s="4">
        <f t="shared" si="7"/>
        <v>6.9</v>
      </c>
      <c r="H105" s="4">
        <f t="shared" si="7"/>
        <v>86.6</v>
      </c>
      <c r="I105" s="13">
        <f t="shared" si="2"/>
        <v>1448</v>
      </c>
      <c r="J105" s="4">
        <f t="shared" si="5"/>
        <v>29.3</v>
      </c>
      <c r="K105" s="4">
        <f t="shared" si="5"/>
        <v>25.1</v>
      </c>
      <c r="L105" s="4">
        <f t="shared" si="5"/>
        <v>17.5</v>
      </c>
      <c r="M105" s="4">
        <f t="shared" si="5"/>
        <v>12.3</v>
      </c>
      <c r="N105" s="4">
        <f t="shared" si="5"/>
        <v>6.5</v>
      </c>
      <c r="O105" s="4">
        <f t="shared" si="5"/>
        <v>90.9</v>
      </c>
      <c r="P105" s="13">
        <f t="shared" si="3"/>
        <v>2025</v>
      </c>
      <c r="Q105" s="4">
        <f t="shared" si="6"/>
        <v>29.3</v>
      </c>
      <c r="R105" s="4">
        <f t="shared" si="6"/>
        <v>24.1</v>
      </c>
      <c r="S105" s="4">
        <f t="shared" si="6"/>
        <v>17.2</v>
      </c>
      <c r="T105" s="4">
        <f t="shared" si="6"/>
        <v>11.8</v>
      </c>
      <c r="U105" s="4">
        <f t="shared" si="6"/>
        <v>6.7</v>
      </c>
      <c r="V105" s="4">
        <f t="shared" si="6"/>
        <v>89.1</v>
      </c>
      <c r="W105" s="13">
        <f t="shared" si="4"/>
        <v>3473</v>
      </c>
      <c r="AX105" s="78"/>
      <c r="AY105" s="78"/>
      <c r="AZ105" s="78"/>
      <c r="BA105" s="78"/>
      <c r="BB105" s="78"/>
      <c r="BC105" s="78"/>
      <c r="BD105" s="78"/>
      <c r="BE105" s="78"/>
      <c r="BF105" s="78"/>
      <c r="BG105" s="78"/>
      <c r="BH105" s="78"/>
      <c r="BI105" s="78"/>
      <c r="BJ105" s="78"/>
      <c r="BK105" s="78"/>
      <c r="BL105" s="78"/>
      <c r="BM105" s="78"/>
      <c r="BN105" s="78"/>
      <c r="BO105" s="78"/>
      <c r="BP105" s="78"/>
      <c r="BQ105" s="78"/>
      <c r="BR105" s="78"/>
    </row>
    <row r="106" spans="2:70" x14ac:dyDescent="0.2">
      <c r="B106" s="7" t="s">
        <v>28</v>
      </c>
      <c r="C106" s="4">
        <f t="shared" si="7"/>
        <v>26.4</v>
      </c>
      <c r="D106" s="4">
        <f t="shared" si="7"/>
        <v>20.6</v>
      </c>
      <c r="E106" s="4">
        <f t="shared" si="7"/>
        <v>18.8</v>
      </c>
      <c r="F106" s="4">
        <f t="shared" si="7"/>
        <v>16.5</v>
      </c>
      <c r="G106" s="4">
        <f t="shared" si="7"/>
        <v>9.8000000000000007</v>
      </c>
      <c r="H106" s="4">
        <f t="shared" si="7"/>
        <v>92.1</v>
      </c>
      <c r="I106" s="13">
        <f t="shared" si="2"/>
        <v>2549</v>
      </c>
      <c r="J106" s="4">
        <f t="shared" si="5"/>
        <v>24.9</v>
      </c>
      <c r="K106" s="4">
        <f t="shared" si="5"/>
        <v>23.2</v>
      </c>
      <c r="L106" s="4">
        <f t="shared" si="5"/>
        <v>22.8</v>
      </c>
      <c r="M106" s="4">
        <f t="shared" si="5"/>
        <v>14.5</v>
      </c>
      <c r="N106" s="4">
        <f t="shared" si="5"/>
        <v>8</v>
      </c>
      <c r="O106" s="4">
        <f t="shared" si="5"/>
        <v>93.4</v>
      </c>
      <c r="P106" s="13">
        <f t="shared" si="3"/>
        <v>3546</v>
      </c>
      <c r="Q106" s="4">
        <f t="shared" si="6"/>
        <v>25.5</v>
      </c>
      <c r="R106" s="4">
        <f t="shared" si="6"/>
        <v>22.1</v>
      </c>
      <c r="S106" s="4">
        <f t="shared" si="6"/>
        <v>21.1</v>
      </c>
      <c r="T106" s="4">
        <f t="shared" si="6"/>
        <v>15.4</v>
      </c>
      <c r="U106" s="4">
        <f t="shared" si="6"/>
        <v>8.6999999999999993</v>
      </c>
      <c r="V106" s="4">
        <f t="shared" si="6"/>
        <v>92.8</v>
      </c>
      <c r="W106" s="13">
        <f t="shared" si="4"/>
        <v>6095</v>
      </c>
    </row>
    <row r="107" spans="2:70" x14ac:dyDescent="0.2">
      <c r="B107" s="7" t="s">
        <v>29</v>
      </c>
      <c r="C107" s="4">
        <f t="shared" si="7"/>
        <v>18</v>
      </c>
      <c r="D107" s="4">
        <f t="shared" si="7"/>
        <v>18.8</v>
      </c>
      <c r="E107" s="4">
        <f t="shared" si="7"/>
        <v>23.2</v>
      </c>
      <c r="F107" s="4">
        <f t="shared" si="7"/>
        <v>19.3</v>
      </c>
      <c r="G107" s="4">
        <f t="shared" si="7"/>
        <v>10.8</v>
      </c>
      <c r="H107" s="4">
        <f t="shared" si="7"/>
        <v>90.1</v>
      </c>
      <c r="I107" s="13">
        <f t="shared" si="2"/>
        <v>1846</v>
      </c>
      <c r="J107" s="4">
        <f t="shared" si="5"/>
        <v>13.8</v>
      </c>
      <c r="K107" s="4">
        <f t="shared" si="5"/>
        <v>18.100000000000001</v>
      </c>
      <c r="L107" s="4">
        <f t="shared" si="5"/>
        <v>24.8</v>
      </c>
      <c r="M107" s="4">
        <f t="shared" si="5"/>
        <v>21.4</v>
      </c>
      <c r="N107" s="4">
        <f t="shared" si="5"/>
        <v>12.8</v>
      </c>
      <c r="O107" s="4">
        <f t="shared" si="5"/>
        <v>90.8</v>
      </c>
      <c r="P107" s="13">
        <f t="shared" si="3"/>
        <v>5110</v>
      </c>
      <c r="Q107" s="4">
        <f t="shared" si="6"/>
        <v>14.9</v>
      </c>
      <c r="R107" s="4">
        <f t="shared" si="6"/>
        <v>18.3</v>
      </c>
      <c r="S107" s="4">
        <f t="shared" si="6"/>
        <v>24.4</v>
      </c>
      <c r="T107" s="4">
        <f t="shared" si="6"/>
        <v>20.9</v>
      </c>
      <c r="U107" s="4">
        <f t="shared" si="6"/>
        <v>12.2</v>
      </c>
      <c r="V107" s="4">
        <f t="shared" si="6"/>
        <v>90.7</v>
      </c>
      <c r="W107" s="13">
        <f t="shared" si="4"/>
        <v>6956</v>
      </c>
    </row>
    <row r="108" spans="2:70" x14ac:dyDescent="0.2">
      <c r="B108" s="7" t="s">
        <v>30</v>
      </c>
      <c r="C108" s="4">
        <f t="shared" si="7"/>
        <v>20.9</v>
      </c>
      <c r="D108" s="4">
        <f t="shared" si="7"/>
        <v>19.7</v>
      </c>
      <c r="E108" s="4">
        <f t="shared" si="7"/>
        <v>21.5</v>
      </c>
      <c r="F108" s="4">
        <f t="shared" si="7"/>
        <v>17.899999999999999</v>
      </c>
      <c r="G108" s="4">
        <f t="shared" si="7"/>
        <v>11.1</v>
      </c>
      <c r="H108" s="4">
        <f t="shared" si="7"/>
        <v>91.2</v>
      </c>
      <c r="I108" s="13">
        <f t="shared" si="2"/>
        <v>2333</v>
      </c>
      <c r="J108" s="4">
        <f t="shared" si="5"/>
        <v>18.899999999999999</v>
      </c>
      <c r="K108" s="4">
        <f t="shared" si="5"/>
        <v>21.1</v>
      </c>
      <c r="L108" s="4">
        <f t="shared" si="5"/>
        <v>24.2</v>
      </c>
      <c r="M108" s="4">
        <f t="shared" si="5"/>
        <v>19.100000000000001</v>
      </c>
      <c r="N108" s="4">
        <f t="shared" si="5"/>
        <v>10.3</v>
      </c>
      <c r="O108" s="4">
        <f t="shared" si="5"/>
        <v>93.7</v>
      </c>
      <c r="P108" s="13">
        <f t="shared" si="3"/>
        <v>3455</v>
      </c>
      <c r="Q108" s="4">
        <f t="shared" si="6"/>
        <v>19.7</v>
      </c>
      <c r="R108" s="4">
        <f t="shared" si="6"/>
        <v>20.5</v>
      </c>
      <c r="S108" s="4">
        <f t="shared" si="6"/>
        <v>23.1</v>
      </c>
      <c r="T108" s="4">
        <f t="shared" si="6"/>
        <v>18.600000000000001</v>
      </c>
      <c r="U108" s="4">
        <f t="shared" si="6"/>
        <v>10.7</v>
      </c>
      <c r="V108" s="4">
        <f t="shared" si="6"/>
        <v>92.7</v>
      </c>
      <c r="W108" s="13">
        <f t="shared" si="4"/>
        <v>5788</v>
      </c>
    </row>
    <row r="109" spans="2:70" x14ac:dyDescent="0.2">
      <c r="B109" s="7" t="s">
        <v>31</v>
      </c>
      <c r="C109" s="4">
        <f t="shared" si="7"/>
        <v>5.6</v>
      </c>
      <c r="D109" s="4">
        <f t="shared" si="7"/>
        <v>12.3</v>
      </c>
      <c r="E109" s="4">
        <f t="shared" si="7"/>
        <v>21.7</v>
      </c>
      <c r="F109" s="4">
        <f t="shared" si="7"/>
        <v>27.3</v>
      </c>
      <c r="G109" s="4">
        <f t="shared" si="7"/>
        <v>20.6</v>
      </c>
      <c r="H109" s="4">
        <f t="shared" si="7"/>
        <v>87.5</v>
      </c>
      <c r="I109" s="13">
        <f t="shared" si="2"/>
        <v>7248</v>
      </c>
      <c r="J109" s="4">
        <f t="shared" ref="J109:O111" si="8">ROUND(J73,1)</f>
        <v>12.5</v>
      </c>
      <c r="K109" s="4">
        <f t="shared" si="8"/>
        <v>17.100000000000001</v>
      </c>
      <c r="L109" s="4">
        <f t="shared" si="8"/>
        <v>22.3</v>
      </c>
      <c r="M109" s="4">
        <f t="shared" si="8"/>
        <v>23.2</v>
      </c>
      <c r="N109" s="4">
        <f t="shared" si="8"/>
        <v>14.7</v>
      </c>
      <c r="O109" s="4">
        <f t="shared" si="8"/>
        <v>89.8</v>
      </c>
      <c r="P109" s="13">
        <f t="shared" si="3"/>
        <v>4448</v>
      </c>
      <c r="Q109" s="4">
        <f t="shared" ref="Q109:V111" si="9">ROUND(Q73,1)</f>
        <v>8.1999999999999993</v>
      </c>
      <c r="R109" s="4">
        <f t="shared" si="9"/>
        <v>14.2</v>
      </c>
      <c r="S109" s="4">
        <f t="shared" si="9"/>
        <v>21.9</v>
      </c>
      <c r="T109" s="4">
        <f t="shared" si="9"/>
        <v>25.7</v>
      </c>
      <c r="U109" s="4">
        <f t="shared" si="9"/>
        <v>18.399999999999999</v>
      </c>
      <c r="V109" s="4">
        <f t="shared" si="9"/>
        <v>88.4</v>
      </c>
      <c r="W109" s="13">
        <f t="shared" si="4"/>
        <v>11696</v>
      </c>
    </row>
    <row r="110" spans="2:70" x14ac:dyDescent="0.2">
      <c r="B110" s="7" t="s">
        <v>32</v>
      </c>
      <c r="C110" s="4">
        <f t="shared" ref="C110:H111" si="10">ROUND(C74,1)</f>
        <v>15.2</v>
      </c>
      <c r="D110" s="4">
        <f t="shared" si="10"/>
        <v>17.5</v>
      </c>
      <c r="E110" s="4">
        <f t="shared" si="10"/>
        <v>19.100000000000001</v>
      </c>
      <c r="F110" s="4">
        <f t="shared" si="10"/>
        <v>18.7</v>
      </c>
      <c r="G110" s="4">
        <f t="shared" si="10"/>
        <v>14.6</v>
      </c>
      <c r="H110" s="4">
        <f t="shared" si="10"/>
        <v>85.1</v>
      </c>
      <c r="I110" s="13">
        <f t="shared" si="2"/>
        <v>35055</v>
      </c>
      <c r="J110" s="4">
        <f t="shared" si="8"/>
        <v>12</v>
      </c>
      <c r="K110" s="4">
        <f t="shared" si="8"/>
        <v>15.2</v>
      </c>
      <c r="L110" s="4">
        <f t="shared" si="8"/>
        <v>18.2</v>
      </c>
      <c r="M110" s="4">
        <f t="shared" si="8"/>
        <v>20</v>
      </c>
      <c r="N110" s="4">
        <f t="shared" si="8"/>
        <v>16.600000000000001</v>
      </c>
      <c r="O110" s="4">
        <f t="shared" si="8"/>
        <v>82</v>
      </c>
      <c r="P110" s="13">
        <f t="shared" si="3"/>
        <v>36687</v>
      </c>
      <c r="Q110" s="4">
        <f t="shared" si="9"/>
        <v>13.6</v>
      </c>
      <c r="R110" s="4">
        <f t="shared" si="9"/>
        <v>16.3</v>
      </c>
      <c r="S110" s="4">
        <f t="shared" si="9"/>
        <v>18.600000000000001</v>
      </c>
      <c r="T110" s="4">
        <f t="shared" si="9"/>
        <v>19.399999999999999</v>
      </c>
      <c r="U110" s="4">
        <f t="shared" si="9"/>
        <v>15.6</v>
      </c>
      <c r="V110" s="4">
        <f t="shared" si="9"/>
        <v>83.5</v>
      </c>
      <c r="W110" s="13">
        <f t="shared" si="4"/>
        <v>71742</v>
      </c>
    </row>
    <row r="111" spans="2:70" x14ac:dyDescent="0.2">
      <c r="B111" s="7" t="s">
        <v>46</v>
      </c>
      <c r="C111" s="4">
        <f t="shared" si="10"/>
        <v>16.5</v>
      </c>
      <c r="D111" s="4">
        <f t="shared" si="10"/>
        <v>18.399999999999999</v>
      </c>
      <c r="E111" s="4">
        <f t="shared" si="10"/>
        <v>19.8</v>
      </c>
      <c r="F111" s="4">
        <f t="shared" si="10"/>
        <v>18.3</v>
      </c>
      <c r="G111" s="4">
        <f t="shared" si="10"/>
        <v>13.5</v>
      </c>
      <c r="H111" s="4">
        <f t="shared" si="10"/>
        <v>86.4</v>
      </c>
      <c r="I111" s="13">
        <f t="shared" si="2"/>
        <v>313250</v>
      </c>
      <c r="J111" s="4">
        <f t="shared" si="8"/>
        <v>15.8</v>
      </c>
      <c r="K111" s="4">
        <f t="shared" si="8"/>
        <v>19.399999999999999</v>
      </c>
      <c r="L111" s="4">
        <f t="shared" si="8"/>
        <v>20.9</v>
      </c>
      <c r="M111" s="4">
        <f t="shared" si="8"/>
        <v>18.7</v>
      </c>
      <c r="N111" s="4">
        <f t="shared" si="8"/>
        <v>13.2</v>
      </c>
      <c r="O111" s="4">
        <f t="shared" si="8"/>
        <v>87.9</v>
      </c>
      <c r="P111" s="13">
        <f t="shared" si="3"/>
        <v>348913</v>
      </c>
      <c r="Q111" s="4">
        <f t="shared" si="9"/>
        <v>16.100000000000001</v>
      </c>
      <c r="R111" s="4">
        <f t="shared" si="9"/>
        <v>18.899999999999999</v>
      </c>
      <c r="S111" s="4">
        <f t="shared" si="9"/>
        <v>20.3</v>
      </c>
      <c r="T111" s="4">
        <f t="shared" si="9"/>
        <v>18.5</v>
      </c>
      <c r="U111" s="4">
        <f t="shared" si="9"/>
        <v>13.3</v>
      </c>
      <c r="V111" s="4">
        <f t="shared" si="9"/>
        <v>87.2</v>
      </c>
      <c r="W111" s="13">
        <f t="shared" si="4"/>
        <v>662163</v>
      </c>
    </row>
  </sheetData>
  <phoneticPr fontId="3" type="noConversion"/>
  <conditionalFormatting sqref="C5:Z39">
    <cfRule type="cellIs" dxfId="15" priority="1" operator="between">
      <formula>1</formula>
      <formula>2</formula>
    </cfRule>
  </conditionalFormatting>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BQ111"/>
  <sheetViews>
    <sheetView topLeftCell="A13" workbookViewId="0">
      <selection activeCell="A2" sqref="A2"/>
    </sheetView>
  </sheetViews>
  <sheetFormatPr defaultColWidth="9.140625" defaultRowHeight="11.25" x14ac:dyDescent="0.2"/>
  <cols>
    <col min="1" max="16384" width="9.140625" style="11"/>
  </cols>
  <sheetData>
    <row r="3" spans="2:26" ht="11.25" customHeight="1" x14ac:dyDescent="0.2">
      <c r="C3" s="29" t="s">
        <v>39</v>
      </c>
      <c r="D3" s="29"/>
      <c r="E3" s="29"/>
      <c r="F3" s="29"/>
      <c r="G3" s="29"/>
      <c r="H3" s="29"/>
      <c r="I3" s="29" t="s">
        <v>40</v>
      </c>
      <c r="J3" s="29"/>
      <c r="K3" s="29"/>
      <c r="L3" s="29"/>
      <c r="M3" s="29"/>
      <c r="N3" s="29"/>
      <c r="O3" s="29" t="s">
        <v>54</v>
      </c>
      <c r="P3" s="29"/>
      <c r="Q3" s="29"/>
      <c r="R3" s="29"/>
      <c r="S3" s="29"/>
      <c r="T3" s="29"/>
      <c r="U3" s="29" t="s">
        <v>41</v>
      </c>
      <c r="V3" s="29"/>
      <c r="W3" s="29"/>
      <c r="X3" s="29" t="s">
        <v>45</v>
      </c>
      <c r="Y3" s="29"/>
      <c r="Z3" s="29"/>
    </row>
    <row r="4" spans="2:26" x14ac:dyDescent="0.2">
      <c r="C4" s="11" t="s">
        <v>33</v>
      </c>
      <c r="D4" s="11" t="s">
        <v>34</v>
      </c>
      <c r="E4" s="11" t="s">
        <v>35</v>
      </c>
      <c r="F4" s="11" t="s">
        <v>36</v>
      </c>
      <c r="G4" s="11" t="s">
        <v>37</v>
      </c>
      <c r="H4" s="11" t="s">
        <v>38</v>
      </c>
      <c r="I4" s="11" t="s">
        <v>33</v>
      </c>
      <c r="J4" s="11" t="s">
        <v>34</v>
      </c>
      <c r="K4" s="11" t="s">
        <v>35</v>
      </c>
      <c r="L4" s="11" t="s">
        <v>36</v>
      </c>
      <c r="M4" s="11" t="s">
        <v>37</v>
      </c>
      <c r="N4" s="11" t="s">
        <v>38</v>
      </c>
      <c r="O4" s="11" t="s">
        <v>33</v>
      </c>
      <c r="P4" s="11" t="s">
        <v>34</v>
      </c>
      <c r="Q4" s="11" t="s">
        <v>35</v>
      </c>
      <c r="R4" s="11" t="s">
        <v>36</v>
      </c>
      <c r="S4" s="11" t="s">
        <v>37</v>
      </c>
      <c r="T4" s="11" t="s">
        <v>38</v>
      </c>
      <c r="U4" s="11" t="s">
        <v>42</v>
      </c>
      <c r="V4" s="11" t="s">
        <v>43</v>
      </c>
      <c r="W4" s="11" t="s">
        <v>44</v>
      </c>
      <c r="X4" s="11" t="s">
        <v>42</v>
      </c>
      <c r="Y4" s="11" t="s">
        <v>43</v>
      </c>
      <c r="Z4" s="11" t="s">
        <v>44</v>
      </c>
    </row>
    <row r="5" spans="2:26" x14ac:dyDescent="0.2">
      <c r="B5" s="10" t="s">
        <v>0</v>
      </c>
      <c r="C5" s="10">
        <v>2980</v>
      </c>
      <c r="D5" s="10">
        <v>3629</v>
      </c>
      <c r="E5" s="10">
        <v>3713</v>
      </c>
      <c r="F5" s="10">
        <v>3628</v>
      </c>
      <c r="G5" s="10">
        <v>3073</v>
      </c>
      <c r="H5" s="10">
        <v>2801</v>
      </c>
      <c r="I5" s="10">
        <v>4950</v>
      </c>
      <c r="J5" s="10">
        <v>5944</v>
      </c>
      <c r="K5" s="10">
        <v>5751</v>
      </c>
      <c r="L5" s="10">
        <v>5040</v>
      </c>
      <c r="M5" s="10">
        <v>4006</v>
      </c>
      <c r="N5" s="10">
        <v>3382</v>
      </c>
      <c r="O5" s="10">
        <v>7930</v>
      </c>
      <c r="P5" s="10">
        <v>9573</v>
      </c>
      <c r="Q5" s="10">
        <v>9464</v>
      </c>
      <c r="R5" s="10">
        <v>8668</v>
      </c>
      <c r="S5" s="10">
        <v>7079</v>
      </c>
      <c r="T5" s="10">
        <v>6183</v>
      </c>
      <c r="U5" s="11">
        <v>19824</v>
      </c>
      <c r="V5" s="11">
        <v>29073</v>
      </c>
      <c r="W5" s="11">
        <v>48897</v>
      </c>
      <c r="X5" s="11">
        <v>17023</v>
      </c>
      <c r="Y5" s="11">
        <v>25691</v>
      </c>
      <c r="Z5" s="11">
        <v>42714</v>
      </c>
    </row>
    <row r="6" spans="2:26" x14ac:dyDescent="0.2">
      <c r="B6" s="10" t="s">
        <v>1</v>
      </c>
      <c r="C6" s="10">
        <v>4731</v>
      </c>
      <c r="D6" s="10">
        <v>4038</v>
      </c>
      <c r="E6" s="10">
        <v>3787</v>
      </c>
      <c r="F6" s="10">
        <v>2948</v>
      </c>
      <c r="G6" s="10">
        <v>2294</v>
      </c>
      <c r="H6" s="10">
        <v>2334</v>
      </c>
      <c r="I6" s="10">
        <v>4037</v>
      </c>
      <c r="J6" s="10">
        <v>3745</v>
      </c>
      <c r="K6" s="10">
        <v>3150</v>
      </c>
      <c r="L6" s="10">
        <v>2535</v>
      </c>
      <c r="M6" s="10">
        <v>1802</v>
      </c>
      <c r="N6" s="10">
        <v>1702</v>
      </c>
      <c r="O6" s="10">
        <v>8768</v>
      </c>
      <c r="P6" s="10">
        <v>7783</v>
      </c>
      <c r="Q6" s="10">
        <v>6937</v>
      </c>
      <c r="R6" s="10">
        <v>5483</v>
      </c>
      <c r="S6" s="10">
        <v>4096</v>
      </c>
      <c r="T6" s="10">
        <v>4036</v>
      </c>
      <c r="U6" s="11">
        <v>20132</v>
      </c>
      <c r="V6" s="11">
        <v>16971</v>
      </c>
      <c r="W6" s="11">
        <v>37103</v>
      </c>
      <c r="X6" s="11">
        <v>17798</v>
      </c>
      <c r="Y6" s="11">
        <v>15269</v>
      </c>
      <c r="Z6" s="11">
        <v>33067</v>
      </c>
    </row>
    <row r="7" spans="2:26" x14ac:dyDescent="0.2">
      <c r="B7" s="10" t="s">
        <v>2</v>
      </c>
      <c r="C7" s="10">
        <v>5251</v>
      </c>
      <c r="D7" s="10">
        <v>4634</v>
      </c>
      <c r="E7" s="10">
        <v>4279</v>
      </c>
      <c r="F7" s="10">
        <v>3650</v>
      </c>
      <c r="G7" s="10">
        <v>2685</v>
      </c>
      <c r="H7" s="10">
        <v>2620</v>
      </c>
      <c r="I7" s="10">
        <v>1547</v>
      </c>
      <c r="J7" s="10">
        <v>1512</v>
      </c>
      <c r="K7" s="10">
        <v>1264</v>
      </c>
      <c r="L7" s="10">
        <v>959</v>
      </c>
      <c r="M7" s="10">
        <v>680</v>
      </c>
      <c r="N7" s="10">
        <v>591</v>
      </c>
      <c r="O7" s="10">
        <v>6798</v>
      </c>
      <c r="P7" s="10">
        <v>6146</v>
      </c>
      <c r="Q7" s="10">
        <v>5543</v>
      </c>
      <c r="R7" s="10">
        <v>4609</v>
      </c>
      <c r="S7" s="10">
        <v>3365</v>
      </c>
      <c r="T7" s="10">
        <v>3211</v>
      </c>
      <c r="U7" s="11">
        <v>23119</v>
      </c>
      <c r="V7" s="11">
        <v>6553</v>
      </c>
      <c r="W7" s="11">
        <v>29672</v>
      </c>
      <c r="X7" s="11">
        <v>20499</v>
      </c>
      <c r="Y7" s="11">
        <v>5962</v>
      </c>
      <c r="Z7" s="11">
        <v>26461</v>
      </c>
    </row>
    <row r="8" spans="2:26" x14ac:dyDescent="0.2">
      <c r="B8" s="10" t="s">
        <v>3</v>
      </c>
      <c r="C8" s="10">
        <v>328</v>
      </c>
      <c r="D8" s="10">
        <v>395</v>
      </c>
      <c r="E8" s="10">
        <v>583</v>
      </c>
      <c r="F8" s="10">
        <v>640</v>
      </c>
      <c r="G8" s="10">
        <v>434</v>
      </c>
      <c r="H8" s="10">
        <v>315</v>
      </c>
      <c r="I8" s="10">
        <v>190</v>
      </c>
      <c r="J8" s="10">
        <v>266</v>
      </c>
      <c r="K8" s="10">
        <v>301</v>
      </c>
      <c r="L8" s="10">
        <v>372</v>
      </c>
      <c r="M8" s="10">
        <v>290</v>
      </c>
      <c r="N8" s="10">
        <v>211</v>
      </c>
      <c r="O8" s="10">
        <v>518</v>
      </c>
      <c r="P8" s="10">
        <v>661</v>
      </c>
      <c r="Q8" s="10">
        <v>884</v>
      </c>
      <c r="R8" s="10">
        <v>1012</v>
      </c>
      <c r="S8" s="10">
        <v>724</v>
      </c>
      <c r="T8" s="10">
        <v>526</v>
      </c>
      <c r="U8" s="11">
        <v>2695</v>
      </c>
      <c r="V8" s="11">
        <v>1630</v>
      </c>
      <c r="W8" s="11">
        <v>4325</v>
      </c>
      <c r="X8" s="11">
        <v>2380</v>
      </c>
      <c r="Y8" s="11">
        <v>1419</v>
      </c>
      <c r="Z8" s="11">
        <v>3799</v>
      </c>
    </row>
    <row r="9" spans="2:26" x14ac:dyDescent="0.2">
      <c r="B9" s="10" t="s">
        <v>4</v>
      </c>
      <c r="C9" s="10">
        <v>9535</v>
      </c>
      <c r="D9" s="10">
        <v>6480</v>
      </c>
      <c r="E9" s="10">
        <v>6003</v>
      </c>
      <c r="F9" s="10">
        <v>5288</v>
      </c>
      <c r="G9" s="10">
        <v>4255</v>
      </c>
      <c r="H9" s="10">
        <v>4375</v>
      </c>
      <c r="I9" s="10">
        <v>5604</v>
      </c>
      <c r="J9" s="10">
        <v>4375</v>
      </c>
      <c r="K9" s="10">
        <v>3695</v>
      </c>
      <c r="L9" s="10">
        <v>2915</v>
      </c>
      <c r="M9" s="10">
        <v>2084</v>
      </c>
      <c r="N9" s="10">
        <v>1980</v>
      </c>
      <c r="O9" s="10">
        <v>15139</v>
      </c>
      <c r="P9" s="10">
        <v>10855</v>
      </c>
      <c r="Q9" s="10">
        <v>9698</v>
      </c>
      <c r="R9" s="10">
        <v>8203</v>
      </c>
      <c r="S9" s="10">
        <v>6339</v>
      </c>
      <c r="T9" s="10">
        <v>6355</v>
      </c>
      <c r="U9" s="11">
        <v>35936</v>
      </c>
      <c r="V9" s="11">
        <v>20653</v>
      </c>
      <c r="W9" s="11">
        <v>56589</v>
      </c>
      <c r="X9" s="11">
        <v>31561</v>
      </c>
      <c r="Y9" s="11">
        <v>18673</v>
      </c>
      <c r="Z9" s="11">
        <v>50234</v>
      </c>
    </row>
    <row r="10" spans="2:26" x14ac:dyDescent="0.2">
      <c r="B10" s="10" t="s">
        <v>5</v>
      </c>
      <c r="C10" s="10">
        <v>1923</v>
      </c>
      <c r="D10" s="10">
        <v>791</v>
      </c>
      <c r="E10" s="10">
        <v>469</v>
      </c>
      <c r="F10" s="10">
        <v>351</v>
      </c>
      <c r="G10" s="10">
        <v>195</v>
      </c>
      <c r="H10" s="10">
        <v>160</v>
      </c>
      <c r="I10" s="10">
        <v>629</v>
      </c>
      <c r="J10" s="10">
        <v>273</v>
      </c>
      <c r="K10" s="10">
        <v>188</v>
      </c>
      <c r="L10" s="10">
        <v>135</v>
      </c>
      <c r="M10" s="10">
        <v>52</v>
      </c>
      <c r="N10" s="10">
        <v>45</v>
      </c>
      <c r="O10" s="10">
        <v>2552</v>
      </c>
      <c r="P10" s="10">
        <v>1064</v>
      </c>
      <c r="Q10" s="10">
        <v>657</v>
      </c>
      <c r="R10" s="10">
        <v>486</v>
      </c>
      <c r="S10" s="10">
        <v>247</v>
      </c>
      <c r="T10" s="10">
        <v>205</v>
      </c>
      <c r="U10" s="11">
        <v>3889</v>
      </c>
      <c r="V10" s="11">
        <v>1322</v>
      </c>
      <c r="W10" s="11">
        <v>5211</v>
      </c>
      <c r="X10" s="11">
        <v>3729</v>
      </c>
      <c r="Y10" s="11">
        <v>1277</v>
      </c>
      <c r="Z10" s="11">
        <v>5006</v>
      </c>
    </row>
    <row r="11" spans="2:26" x14ac:dyDescent="0.2">
      <c r="B11" s="10" t="s">
        <v>6</v>
      </c>
      <c r="C11" s="10">
        <v>952</v>
      </c>
      <c r="D11" s="10">
        <v>1078</v>
      </c>
      <c r="E11" s="10">
        <v>1905</v>
      </c>
      <c r="F11" s="10">
        <v>1889</v>
      </c>
      <c r="G11" s="10">
        <v>1460</v>
      </c>
      <c r="H11" s="10">
        <v>1099</v>
      </c>
      <c r="I11" s="10">
        <v>366</v>
      </c>
      <c r="J11" s="10">
        <v>438</v>
      </c>
      <c r="K11" s="10">
        <v>656</v>
      </c>
      <c r="L11" s="10">
        <v>576</v>
      </c>
      <c r="M11" s="10">
        <v>339</v>
      </c>
      <c r="N11" s="10">
        <v>228</v>
      </c>
      <c r="O11" s="10">
        <v>1318</v>
      </c>
      <c r="P11" s="10">
        <v>1516</v>
      </c>
      <c r="Q11" s="10">
        <v>2561</v>
      </c>
      <c r="R11" s="10">
        <v>2465</v>
      </c>
      <c r="S11" s="10">
        <v>1799</v>
      </c>
      <c r="T11" s="10">
        <v>1327</v>
      </c>
      <c r="U11" s="11">
        <v>8383</v>
      </c>
      <c r="V11" s="11">
        <v>2603</v>
      </c>
      <c r="W11" s="11">
        <v>10986</v>
      </c>
      <c r="X11" s="11">
        <v>7284</v>
      </c>
      <c r="Y11" s="11">
        <v>2375</v>
      </c>
      <c r="Z11" s="11">
        <v>9659</v>
      </c>
    </row>
    <row r="12" spans="2:26" x14ac:dyDescent="0.2">
      <c r="B12" s="10" t="s">
        <v>168</v>
      </c>
      <c r="C12" s="10">
        <v>912</v>
      </c>
      <c r="D12" s="10">
        <v>1362</v>
      </c>
      <c r="E12" s="10">
        <v>2114</v>
      </c>
      <c r="F12" s="10">
        <v>2032</v>
      </c>
      <c r="G12" s="10">
        <v>1751</v>
      </c>
      <c r="H12" s="10">
        <v>2082</v>
      </c>
      <c r="I12" s="10">
        <v>119</v>
      </c>
      <c r="J12" s="10">
        <v>281</v>
      </c>
      <c r="K12" s="10">
        <v>466</v>
      </c>
      <c r="L12" s="10">
        <v>491</v>
      </c>
      <c r="M12" s="10">
        <v>429</v>
      </c>
      <c r="N12" s="10">
        <v>490</v>
      </c>
      <c r="O12" s="10">
        <v>1031</v>
      </c>
      <c r="P12" s="10">
        <v>1643</v>
      </c>
      <c r="Q12" s="10">
        <v>2580</v>
      </c>
      <c r="R12" s="10">
        <v>2523</v>
      </c>
      <c r="S12" s="10">
        <v>2180</v>
      </c>
      <c r="T12" s="10">
        <v>2572</v>
      </c>
      <c r="U12" s="11">
        <v>10253</v>
      </c>
      <c r="V12" s="11">
        <v>2276</v>
      </c>
      <c r="W12" s="11">
        <v>12529</v>
      </c>
      <c r="X12" s="11">
        <v>8171</v>
      </c>
      <c r="Y12" s="11">
        <v>1786</v>
      </c>
      <c r="Z12" s="11">
        <v>9957</v>
      </c>
    </row>
    <row r="13" spans="2:26" x14ac:dyDescent="0.2">
      <c r="B13" s="10" t="s">
        <v>8</v>
      </c>
      <c r="C13" s="10">
        <v>0</v>
      </c>
      <c r="D13" s="10">
        <v>0</v>
      </c>
      <c r="E13" s="10">
        <v>0</v>
      </c>
      <c r="F13" s="10">
        <v>0</v>
      </c>
      <c r="G13" s="10">
        <v>0</v>
      </c>
      <c r="H13" s="10">
        <v>0</v>
      </c>
      <c r="I13" s="10">
        <v>0</v>
      </c>
      <c r="J13" s="10">
        <v>0</v>
      </c>
      <c r="K13" s="10">
        <v>0</v>
      </c>
      <c r="L13" s="10">
        <v>0</v>
      </c>
      <c r="M13" s="10">
        <v>0</v>
      </c>
      <c r="N13" s="10">
        <v>0</v>
      </c>
      <c r="O13" s="10">
        <v>0</v>
      </c>
      <c r="P13" s="10">
        <v>0</v>
      </c>
      <c r="Q13" s="10">
        <v>0</v>
      </c>
      <c r="R13" s="10">
        <v>0</v>
      </c>
      <c r="S13" s="10">
        <v>0</v>
      </c>
      <c r="T13" s="10">
        <v>0</v>
      </c>
      <c r="U13" s="11">
        <v>0</v>
      </c>
      <c r="V13" s="11">
        <v>0</v>
      </c>
      <c r="W13" s="11">
        <v>0</v>
      </c>
      <c r="X13" s="11">
        <v>0</v>
      </c>
      <c r="Y13" s="11">
        <v>0</v>
      </c>
      <c r="Z13" s="11">
        <v>0</v>
      </c>
    </row>
    <row r="14" spans="2:26" x14ac:dyDescent="0.2">
      <c r="B14" s="10" t="s">
        <v>9</v>
      </c>
      <c r="C14" s="10">
        <v>4</v>
      </c>
      <c r="D14" s="10">
        <v>7</v>
      </c>
      <c r="E14" s="10">
        <v>20</v>
      </c>
      <c r="F14" s="10">
        <v>20</v>
      </c>
      <c r="G14" s="10">
        <v>14</v>
      </c>
      <c r="H14" s="10">
        <v>24</v>
      </c>
      <c r="I14" s="10">
        <v>192</v>
      </c>
      <c r="J14" s="10">
        <v>251</v>
      </c>
      <c r="K14" s="10">
        <v>338</v>
      </c>
      <c r="L14" s="10">
        <v>355</v>
      </c>
      <c r="M14" s="10">
        <v>250</v>
      </c>
      <c r="N14" s="10">
        <v>281</v>
      </c>
      <c r="O14" s="10">
        <v>196</v>
      </c>
      <c r="P14" s="10">
        <v>258</v>
      </c>
      <c r="Q14" s="10">
        <v>358</v>
      </c>
      <c r="R14" s="10">
        <v>375</v>
      </c>
      <c r="S14" s="10">
        <v>264</v>
      </c>
      <c r="T14" s="10">
        <v>305</v>
      </c>
      <c r="U14" s="11">
        <v>89</v>
      </c>
      <c r="V14" s="11">
        <v>1667</v>
      </c>
      <c r="W14" s="11">
        <v>1756</v>
      </c>
      <c r="X14" s="11">
        <v>65</v>
      </c>
      <c r="Y14" s="11">
        <v>1386</v>
      </c>
      <c r="Z14" s="11">
        <v>1451</v>
      </c>
    </row>
    <row r="15" spans="2:26" x14ac:dyDescent="0.2">
      <c r="B15" s="10" t="s">
        <v>10</v>
      </c>
      <c r="C15" s="10">
        <v>89</v>
      </c>
      <c r="D15" s="10">
        <v>162</v>
      </c>
      <c r="E15" s="10">
        <v>181</v>
      </c>
      <c r="F15" s="10">
        <v>161</v>
      </c>
      <c r="G15" s="10">
        <v>167</v>
      </c>
      <c r="H15" s="10">
        <v>389</v>
      </c>
      <c r="I15" s="10">
        <v>84</v>
      </c>
      <c r="J15" s="10">
        <v>116</v>
      </c>
      <c r="K15" s="10">
        <v>86</v>
      </c>
      <c r="L15" s="10">
        <v>92</v>
      </c>
      <c r="M15" s="10">
        <v>88</v>
      </c>
      <c r="N15" s="10">
        <v>254</v>
      </c>
      <c r="O15" s="10">
        <v>173</v>
      </c>
      <c r="P15" s="10">
        <v>278</v>
      </c>
      <c r="Q15" s="10">
        <v>267</v>
      </c>
      <c r="R15" s="10">
        <v>253</v>
      </c>
      <c r="S15" s="10">
        <v>255</v>
      </c>
      <c r="T15" s="10">
        <v>643</v>
      </c>
      <c r="U15" s="11">
        <v>1149</v>
      </c>
      <c r="V15" s="11">
        <v>720</v>
      </c>
      <c r="W15" s="11">
        <v>1869</v>
      </c>
      <c r="X15" s="11">
        <v>760</v>
      </c>
      <c r="Y15" s="11">
        <v>466</v>
      </c>
      <c r="Z15" s="11">
        <v>1226</v>
      </c>
    </row>
    <row r="16" spans="2:26" x14ac:dyDescent="0.2">
      <c r="B16" s="10" t="s">
        <v>11</v>
      </c>
      <c r="C16" s="10">
        <v>1285</v>
      </c>
      <c r="D16" s="10">
        <v>3124</v>
      </c>
      <c r="E16" s="10">
        <v>3958</v>
      </c>
      <c r="F16" s="10">
        <v>3416</v>
      </c>
      <c r="G16" s="10">
        <v>2246</v>
      </c>
      <c r="H16" s="10">
        <v>2033</v>
      </c>
      <c r="I16" s="10">
        <v>1177</v>
      </c>
      <c r="J16" s="10">
        <v>2826</v>
      </c>
      <c r="K16" s="10">
        <v>3297</v>
      </c>
      <c r="L16" s="10">
        <v>2740</v>
      </c>
      <c r="M16" s="10">
        <v>1776</v>
      </c>
      <c r="N16" s="10">
        <v>1768</v>
      </c>
      <c r="O16" s="10">
        <v>2462</v>
      </c>
      <c r="P16" s="10">
        <v>5950</v>
      </c>
      <c r="Q16" s="10">
        <v>7255</v>
      </c>
      <c r="R16" s="10">
        <v>6156</v>
      </c>
      <c r="S16" s="10">
        <v>4022</v>
      </c>
      <c r="T16" s="10">
        <v>3801</v>
      </c>
      <c r="U16" s="11">
        <v>16062</v>
      </c>
      <c r="V16" s="11">
        <v>13584</v>
      </c>
      <c r="W16" s="11">
        <v>29646</v>
      </c>
      <c r="X16" s="11">
        <v>14029</v>
      </c>
      <c r="Y16" s="11">
        <v>11816</v>
      </c>
      <c r="Z16" s="11">
        <v>25845</v>
      </c>
    </row>
    <row r="17" spans="2:26" x14ac:dyDescent="0.2">
      <c r="B17" s="10" t="s">
        <v>12</v>
      </c>
      <c r="C17" s="10">
        <v>2132</v>
      </c>
      <c r="D17" s="10">
        <v>2072</v>
      </c>
      <c r="E17" s="10">
        <v>2291</v>
      </c>
      <c r="F17" s="10">
        <v>2046</v>
      </c>
      <c r="G17" s="10">
        <v>1481</v>
      </c>
      <c r="H17" s="10">
        <v>1671</v>
      </c>
      <c r="I17" s="10">
        <v>1138</v>
      </c>
      <c r="J17" s="10">
        <v>1183</v>
      </c>
      <c r="K17" s="10">
        <v>1264</v>
      </c>
      <c r="L17" s="10">
        <v>1059</v>
      </c>
      <c r="M17" s="10">
        <v>839</v>
      </c>
      <c r="N17" s="10">
        <v>974</v>
      </c>
      <c r="O17" s="10">
        <v>3270</v>
      </c>
      <c r="P17" s="10">
        <v>3255</v>
      </c>
      <c r="Q17" s="10">
        <v>3555</v>
      </c>
      <c r="R17" s="10">
        <v>3105</v>
      </c>
      <c r="S17" s="10">
        <v>2320</v>
      </c>
      <c r="T17" s="10">
        <v>2645</v>
      </c>
      <c r="U17" s="11">
        <v>11693</v>
      </c>
      <c r="V17" s="11">
        <v>6457</v>
      </c>
      <c r="W17" s="11">
        <v>18150</v>
      </c>
      <c r="X17" s="11">
        <v>10022</v>
      </c>
      <c r="Y17" s="11">
        <v>5483</v>
      </c>
      <c r="Z17" s="11">
        <v>15505</v>
      </c>
    </row>
    <row r="18" spans="2:26" x14ac:dyDescent="0.2">
      <c r="B18" s="10" t="s">
        <v>13</v>
      </c>
      <c r="C18" s="10">
        <v>2760</v>
      </c>
      <c r="D18" s="10">
        <v>4389</v>
      </c>
      <c r="E18" s="10">
        <v>5002</v>
      </c>
      <c r="F18" s="10">
        <v>4159</v>
      </c>
      <c r="G18" s="10">
        <v>2743</v>
      </c>
      <c r="H18" s="10">
        <v>1950</v>
      </c>
      <c r="I18" s="10">
        <v>3202</v>
      </c>
      <c r="J18" s="10">
        <v>4162</v>
      </c>
      <c r="K18" s="10">
        <v>4037</v>
      </c>
      <c r="L18" s="10">
        <v>3084</v>
      </c>
      <c r="M18" s="10">
        <v>2009</v>
      </c>
      <c r="N18" s="10">
        <v>1335</v>
      </c>
      <c r="O18" s="10">
        <v>5962</v>
      </c>
      <c r="P18" s="10">
        <v>8551</v>
      </c>
      <c r="Q18" s="10">
        <v>9039</v>
      </c>
      <c r="R18" s="10">
        <v>7243</v>
      </c>
      <c r="S18" s="10">
        <v>4752</v>
      </c>
      <c r="T18" s="10">
        <v>3285</v>
      </c>
      <c r="U18" s="11">
        <v>21003</v>
      </c>
      <c r="V18" s="11">
        <v>17829</v>
      </c>
      <c r="W18" s="11">
        <v>38832</v>
      </c>
      <c r="X18" s="11">
        <v>19053</v>
      </c>
      <c r="Y18" s="11">
        <v>16494</v>
      </c>
      <c r="Z18" s="11">
        <v>35547</v>
      </c>
    </row>
    <row r="19" spans="2:26" x14ac:dyDescent="0.2">
      <c r="B19" s="10" t="s">
        <v>14</v>
      </c>
      <c r="C19" s="10">
        <v>875</v>
      </c>
      <c r="D19" s="10">
        <v>1008</v>
      </c>
      <c r="E19" s="10">
        <v>986</v>
      </c>
      <c r="F19" s="10">
        <v>758</v>
      </c>
      <c r="G19" s="10">
        <v>420</v>
      </c>
      <c r="H19" s="10">
        <v>401</v>
      </c>
      <c r="I19" s="10">
        <v>641</v>
      </c>
      <c r="J19" s="10">
        <v>755</v>
      </c>
      <c r="K19" s="10">
        <v>736</v>
      </c>
      <c r="L19" s="10">
        <v>562</v>
      </c>
      <c r="M19" s="10">
        <v>323</v>
      </c>
      <c r="N19" s="10">
        <v>284</v>
      </c>
      <c r="O19" s="10">
        <v>1516</v>
      </c>
      <c r="P19" s="10">
        <v>1763</v>
      </c>
      <c r="Q19" s="10">
        <v>1722</v>
      </c>
      <c r="R19" s="10">
        <v>1320</v>
      </c>
      <c r="S19" s="10">
        <v>743</v>
      </c>
      <c r="T19" s="10">
        <v>685</v>
      </c>
      <c r="U19" s="11">
        <v>4448</v>
      </c>
      <c r="V19" s="11">
        <v>3301</v>
      </c>
      <c r="W19" s="11">
        <v>7749</v>
      </c>
      <c r="X19" s="11">
        <v>4047</v>
      </c>
      <c r="Y19" s="11">
        <v>3017</v>
      </c>
      <c r="Z19" s="11">
        <v>7064</v>
      </c>
    </row>
    <row r="20" spans="2:26" x14ac:dyDescent="0.2">
      <c r="B20" s="10" t="s">
        <v>15</v>
      </c>
      <c r="C20" s="10">
        <v>2486</v>
      </c>
      <c r="D20" s="10">
        <v>3086</v>
      </c>
      <c r="E20" s="10">
        <v>3311</v>
      </c>
      <c r="F20" s="10">
        <v>2816</v>
      </c>
      <c r="G20" s="10">
        <v>1906</v>
      </c>
      <c r="H20" s="10">
        <v>1878</v>
      </c>
      <c r="I20" s="10">
        <v>2922</v>
      </c>
      <c r="J20" s="10">
        <v>3611</v>
      </c>
      <c r="K20" s="10">
        <v>3905</v>
      </c>
      <c r="L20" s="10">
        <v>3649</v>
      </c>
      <c r="M20" s="10">
        <v>2458</v>
      </c>
      <c r="N20" s="10">
        <v>2409</v>
      </c>
      <c r="O20" s="10">
        <v>5408</v>
      </c>
      <c r="P20" s="10">
        <v>6697</v>
      </c>
      <c r="Q20" s="10">
        <v>7216</v>
      </c>
      <c r="R20" s="10">
        <v>6465</v>
      </c>
      <c r="S20" s="10">
        <v>4364</v>
      </c>
      <c r="T20" s="10">
        <v>4287</v>
      </c>
      <c r="U20" s="11">
        <v>15483</v>
      </c>
      <c r="V20" s="11">
        <v>18954</v>
      </c>
      <c r="W20" s="11">
        <v>34437</v>
      </c>
      <c r="X20" s="11">
        <v>13605</v>
      </c>
      <c r="Y20" s="11">
        <v>16545</v>
      </c>
      <c r="Z20" s="11">
        <v>30150</v>
      </c>
    </row>
    <row r="21" spans="2:26" x14ac:dyDescent="0.2">
      <c r="B21" s="10" t="s">
        <v>16</v>
      </c>
      <c r="C21" s="10">
        <v>285</v>
      </c>
      <c r="D21" s="10">
        <v>334</v>
      </c>
      <c r="E21" s="10">
        <v>476</v>
      </c>
      <c r="F21" s="10">
        <v>524</v>
      </c>
      <c r="G21" s="10">
        <v>463</v>
      </c>
      <c r="H21" s="10">
        <v>849</v>
      </c>
      <c r="I21" s="10">
        <v>483</v>
      </c>
      <c r="J21" s="10">
        <v>525</v>
      </c>
      <c r="K21" s="10">
        <v>724</v>
      </c>
      <c r="L21" s="10">
        <v>730</v>
      </c>
      <c r="M21" s="10">
        <v>654</v>
      </c>
      <c r="N21" s="10">
        <v>1058</v>
      </c>
      <c r="O21" s="10">
        <v>768</v>
      </c>
      <c r="P21" s="10">
        <v>859</v>
      </c>
      <c r="Q21" s="10">
        <v>1200</v>
      </c>
      <c r="R21" s="10">
        <v>1254</v>
      </c>
      <c r="S21" s="10">
        <v>1117</v>
      </c>
      <c r="T21" s="10">
        <v>1907</v>
      </c>
      <c r="U21" s="11">
        <v>2931</v>
      </c>
      <c r="V21" s="11">
        <v>4174</v>
      </c>
      <c r="W21" s="11">
        <v>7105</v>
      </c>
      <c r="X21" s="11">
        <v>2082</v>
      </c>
      <c r="Y21" s="11">
        <v>3116</v>
      </c>
      <c r="Z21" s="11">
        <v>5198</v>
      </c>
    </row>
    <row r="22" spans="2:26" x14ac:dyDescent="0.2">
      <c r="B22" s="10" t="s">
        <v>17</v>
      </c>
      <c r="C22" s="10">
        <v>430</v>
      </c>
      <c r="D22" s="10">
        <v>787</v>
      </c>
      <c r="E22" s="10">
        <v>1078</v>
      </c>
      <c r="F22" s="10">
        <v>1128</v>
      </c>
      <c r="G22" s="10">
        <v>972</v>
      </c>
      <c r="H22" s="10">
        <v>1279</v>
      </c>
      <c r="I22" s="10">
        <v>2410</v>
      </c>
      <c r="J22" s="10">
        <v>3488</v>
      </c>
      <c r="K22" s="10">
        <v>4012</v>
      </c>
      <c r="L22" s="10">
        <v>3434</v>
      </c>
      <c r="M22" s="10">
        <v>2522</v>
      </c>
      <c r="N22" s="10">
        <v>2339</v>
      </c>
      <c r="O22" s="10">
        <v>2840</v>
      </c>
      <c r="P22" s="10">
        <v>4275</v>
      </c>
      <c r="Q22" s="10">
        <v>5090</v>
      </c>
      <c r="R22" s="10">
        <v>4562</v>
      </c>
      <c r="S22" s="10">
        <v>3494</v>
      </c>
      <c r="T22" s="10">
        <v>3618</v>
      </c>
      <c r="U22" s="11">
        <v>5674</v>
      </c>
      <c r="V22" s="11">
        <v>18205</v>
      </c>
      <c r="W22" s="11">
        <v>23879</v>
      </c>
      <c r="X22" s="11">
        <v>4395</v>
      </c>
      <c r="Y22" s="11">
        <v>15866</v>
      </c>
      <c r="Z22" s="11">
        <v>20261</v>
      </c>
    </row>
    <row r="23" spans="2:26" x14ac:dyDescent="0.2">
      <c r="B23" s="10" t="s">
        <v>18</v>
      </c>
      <c r="C23" s="10">
        <v>519</v>
      </c>
      <c r="D23" s="10">
        <v>847</v>
      </c>
      <c r="E23" s="10">
        <v>919</v>
      </c>
      <c r="F23" s="10">
        <v>782</v>
      </c>
      <c r="G23" s="10">
        <v>753</v>
      </c>
      <c r="H23" s="10">
        <v>1023</v>
      </c>
      <c r="I23" s="10">
        <v>2175</v>
      </c>
      <c r="J23" s="10">
        <v>3161</v>
      </c>
      <c r="K23" s="10">
        <v>3197</v>
      </c>
      <c r="L23" s="10">
        <v>2720</v>
      </c>
      <c r="M23" s="10">
        <v>2160</v>
      </c>
      <c r="N23" s="10">
        <v>2658</v>
      </c>
      <c r="O23" s="10">
        <v>2694</v>
      </c>
      <c r="P23" s="10">
        <v>4008</v>
      </c>
      <c r="Q23" s="10">
        <v>4116</v>
      </c>
      <c r="R23" s="10">
        <v>3502</v>
      </c>
      <c r="S23" s="10">
        <v>2913</v>
      </c>
      <c r="T23" s="10">
        <v>3681</v>
      </c>
      <c r="U23" s="11">
        <v>4843</v>
      </c>
      <c r="V23" s="11">
        <v>16071</v>
      </c>
      <c r="W23" s="11">
        <v>20914</v>
      </c>
      <c r="X23" s="11">
        <v>3820</v>
      </c>
      <c r="Y23" s="11">
        <v>13413</v>
      </c>
      <c r="Z23" s="11">
        <v>17233</v>
      </c>
    </row>
    <row r="24" spans="2:26" x14ac:dyDescent="0.2">
      <c r="B24" s="10" t="s">
        <v>19</v>
      </c>
      <c r="C24" s="10">
        <v>72</v>
      </c>
      <c r="D24" s="10">
        <v>92</v>
      </c>
      <c r="E24" s="10">
        <v>92</v>
      </c>
      <c r="F24" s="10">
        <v>120</v>
      </c>
      <c r="G24" s="10">
        <v>83</v>
      </c>
      <c r="H24" s="10">
        <v>156</v>
      </c>
      <c r="I24" s="10">
        <v>88</v>
      </c>
      <c r="J24" s="10">
        <v>104</v>
      </c>
      <c r="K24" s="10">
        <v>96</v>
      </c>
      <c r="L24" s="10">
        <v>116</v>
      </c>
      <c r="M24" s="10">
        <v>89</v>
      </c>
      <c r="N24" s="10">
        <v>149</v>
      </c>
      <c r="O24" s="10">
        <v>160</v>
      </c>
      <c r="P24" s="10">
        <v>196</v>
      </c>
      <c r="Q24" s="10">
        <v>188</v>
      </c>
      <c r="R24" s="10">
        <v>236</v>
      </c>
      <c r="S24" s="10">
        <v>172</v>
      </c>
      <c r="T24" s="10">
        <v>305</v>
      </c>
      <c r="U24" s="11">
        <v>615</v>
      </c>
      <c r="V24" s="11">
        <v>642</v>
      </c>
      <c r="W24" s="11">
        <v>1257</v>
      </c>
      <c r="X24" s="11">
        <v>459</v>
      </c>
      <c r="Y24" s="11">
        <v>493</v>
      </c>
      <c r="Z24" s="11">
        <v>952</v>
      </c>
    </row>
    <row r="25" spans="2:26" x14ac:dyDescent="0.2">
      <c r="B25" s="10" t="s">
        <v>20</v>
      </c>
      <c r="C25" s="10">
        <v>2487</v>
      </c>
      <c r="D25" s="10">
        <v>2356</v>
      </c>
      <c r="E25" s="10">
        <v>2927</v>
      </c>
      <c r="F25" s="10">
        <v>2436</v>
      </c>
      <c r="G25" s="10">
        <v>1573</v>
      </c>
      <c r="H25" s="10">
        <v>1159</v>
      </c>
      <c r="I25" s="10">
        <v>4986</v>
      </c>
      <c r="J25" s="10">
        <v>4308</v>
      </c>
      <c r="K25" s="10">
        <v>4961</v>
      </c>
      <c r="L25" s="10">
        <v>3581</v>
      </c>
      <c r="M25" s="10">
        <v>1862</v>
      </c>
      <c r="N25" s="10">
        <v>1179</v>
      </c>
      <c r="O25" s="10">
        <v>7473</v>
      </c>
      <c r="P25" s="10">
        <v>6664</v>
      </c>
      <c r="Q25" s="10">
        <v>7888</v>
      </c>
      <c r="R25" s="10">
        <v>6017</v>
      </c>
      <c r="S25" s="10">
        <v>3435</v>
      </c>
      <c r="T25" s="10">
        <v>2338</v>
      </c>
      <c r="U25" s="11">
        <v>12938</v>
      </c>
      <c r="V25" s="11">
        <v>20877</v>
      </c>
      <c r="W25" s="11">
        <v>33815</v>
      </c>
      <c r="X25" s="11">
        <v>11779</v>
      </c>
      <c r="Y25" s="11">
        <v>19698</v>
      </c>
      <c r="Z25" s="11">
        <v>31477</v>
      </c>
    </row>
    <row r="26" spans="2:26" x14ac:dyDescent="0.2">
      <c r="B26" s="10" t="s">
        <v>21</v>
      </c>
      <c r="C26" s="10">
        <v>272</v>
      </c>
      <c r="D26" s="10">
        <v>343</v>
      </c>
      <c r="E26" s="10">
        <v>586</v>
      </c>
      <c r="F26" s="10">
        <v>586</v>
      </c>
      <c r="G26" s="10">
        <v>399</v>
      </c>
      <c r="H26" s="10">
        <v>431</v>
      </c>
      <c r="I26" s="10">
        <v>945</v>
      </c>
      <c r="J26" s="10">
        <v>1218</v>
      </c>
      <c r="K26" s="10">
        <v>1874</v>
      </c>
      <c r="L26" s="10">
        <v>1594</v>
      </c>
      <c r="M26" s="10">
        <v>888</v>
      </c>
      <c r="N26" s="10">
        <v>724</v>
      </c>
      <c r="O26" s="10">
        <v>1217</v>
      </c>
      <c r="P26" s="10">
        <v>1561</v>
      </c>
      <c r="Q26" s="10">
        <v>2460</v>
      </c>
      <c r="R26" s="10">
        <v>2180</v>
      </c>
      <c r="S26" s="10">
        <v>1287</v>
      </c>
      <c r="T26" s="10">
        <v>1155</v>
      </c>
      <c r="U26" s="11">
        <v>2617</v>
      </c>
      <c r="V26" s="11">
        <v>7243</v>
      </c>
      <c r="W26" s="11">
        <v>9860</v>
      </c>
      <c r="X26" s="11">
        <v>2186</v>
      </c>
      <c r="Y26" s="11">
        <v>6519</v>
      </c>
      <c r="Z26" s="11">
        <v>8705</v>
      </c>
    </row>
    <row r="27" spans="2:26" x14ac:dyDescent="0.2">
      <c r="B27" s="10" t="s">
        <v>22</v>
      </c>
      <c r="C27" s="10">
        <v>3704</v>
      </c>
      <c r="D27" s="10">
        <v>4673</v>
      </c>
      <c r="E27" s="10">
        <v>5499</v>
      </c>
      <c r="F27" s="10">
        <v>4925</v>
      </c>
      <c r="G27" s="10">
        <v>3290</v>
      </c>
      <c r="H27" s="10">
        <v>2121</v>
      </c>
      <c r="I27" s="10">
        <v>8515</v>
      </c>
      <c r="J27" s="10">
        <v>10998</v>
      </c>
      <c r="K27" s="10">
        <v>13004</v>
      </c>
      <c r="L27" s="10">
        <v>12008</v>
      </c>
      <c r="M27" s="10">
        <v>7536</v>
      </c>
      <c r="N27" s="10">
        <v>4273</v>
      </c>
      <c r="O27" s="10">
        <v>12219</v>
      </c>
      <c r="P27" s="10">
        <v>15671</v>
      </c>
      <c r="Q27" s="10">
        <v>18503</v>
      </c>
      <c r="R27" s="10">
        <v>16933</v>
      </c>
      <c r="S27" s="10">
        <v>10826</v>
      </c>
      <c r="T27" s="10">
        <v>6394</v>
      </c>
      <c r="U27" s="11">
        <v>24212</v>
      </c>
      <c r="V27" s="11">
        <v>56334</v>
      </c>
      <c r="W27" s="11">
        <v>80546</v>
      </c>
      <c r="X27" s="11">
        <v>22091</v>
      </c>
      <c r="Y27" s="11">
        <v>52061</v>
      </c>
      <c r="Z27" s="11">
        <v>74152</v>
      </c>
    </row>
    <row r="28" spans="2:26" x14ac:dyDescent="0.2">
      <c r="B28" s="10" t="s">
        <v>51</v>
      </c>
      <c r="C28" s="10">
        <v>366</v>
      </c>
      <c r="D28" s="10">
        <v>635</v>
      </c>
      <c r="E28" s="10">
        <v>1273</v>
      </c>
      <c r="F28" s="10">
        <v>1212</v>
      </c>
      <c r="G28" s="10">
        <v>641</v>
      </c>
      <c r="H28" s="10">
        <v>352</v>
      </c>
      <c r="I28" s="10">
        <v>718</v>
      </c>
      <c r="J28" s="10">
        <v>1078</v>
      </c>
      <c r="K28" s="10">
        <v>1934</v>
      </c>
      <c r="L28" s="10">
        <v>1561</v>
      </c>
      <c r="M28" s="10">
        <v>703</v>
      </c>
      <c r="N28" s="10">
        <v>332</v>
      </c>
      <c r="O28" s="10">
        <v>1084</v>
      </c>
      <c r="P28" s="10">
        <v>1713</v>
      </c>
      <c r="Q28" s="10">
        <v>3207</v>
      </c>
      <c r="R28" s="10">
        <v>2773</v>
      </c>
      <c r="S28" s="10">
        <v>1344</v>
      </c>
      <c r="T28" s="10">
        <v>684</v>
      </c>
      <c r="U28" s="11">
        <v>4479</v>
      </c>
      <c r="V28" s="11">
        <v>6326</v>
      </c>
      <c r="W28" s="11">
        <v>10805</v>
      </c>
      <c r="X28" s="11">
        <v>4127</v>
      </c>
      <c r="Y28" s="11">
        <v>5994</v>
      </c>
      <c r="Z28" s="11">
        <v>10121</v>
      </c>
    </row>
    <row r="29" spans="2:26" x14ac:dyDescent="0.2">
      <c r="B29" s="10" t="s">
        <v>23</v>
      </c>
      <c r="C29" s="10">
        <v>176</v>
      </c>
      <c r="D29" s="10">
        <v>403</v>
      </c>
      <c r="E29" s="10">
        <v>495</v>
      </c>
      <c r="F29" s="10">
        <v>526</v>
      </c>
      <c r="G29" s="10">
        <v>382</v>
      </c>
      <c r="H29" s="10">
        <v>591</v>
      </c>
      <c r="I29" s="10">
        <v>609</v>
      </c>
      <c r="J29" s="10">
        <v>1088</v>
      </c>
      <c r="K29" s="10">
        <v>1321</v>
      </c>
      <c r="L29" s="10">
        <v>983</v>
      </c>
      <c r="M29" s="10">
        <v>545</v>
      </c>
      <c r="N29" s="10">
        <v>585</v>
      </c>
      <c r="O29" s="10">
        <v>785</v>
      </c>
      <c r="P29" s="10">
        <v>1491</v>
      </c>
      <c r="Q29" s="10">
        <v>1816</v>
      </c>
      <c r="R29" s="10">
        <v>1509</v>
      </c>
      <c r="S29" s="10">
        <v>927</v>
      </c>
      <c r="T29" s="10">
        <v>1176</v>
      </c>
      <c r="U29" s="11">
        <v>2573</v>
      </c>
      <c r="V29" s="11">
        <v>5131</v>
      </c>
      <c r="W29" s="11">
        <v>7704</v>
      </c>
      <c r="X29" s="11">
        <v>1982</v>
      </c>
      <c r="Y29" s="11">
        <v>4546</v>
      </c>
      <c r="Z29" s="11">
        <v>6528</v>
      </c>
    </row>
    <row r="30" spans="2:26" x14ac:dyDescent="0.2">
      <c r="B30" s="10" t="s">
        <v>24</v>
      </c>
      <c r="C30" s="10">
        <v>1451</v>
      </c>
      <c r="D30" s="10">
        <v>1248</v>
      </c>
      <c r="E30" s="10">
        <v>1166</v>
      </c>
      <c r="F30" s="10">
        <v>1023</v>
      </c>
      <c r="G30" s="10">
        <v>608</v>
      </c>
      <c r="H30" s="10">
        <v>403</v>
      </c>
      <c r="I30" s="10">
        <v>2840</v>
      </c>
      <c r="J30" s="10">
        <v>2848</v>
      </c>
      <c r="K30" s="10">
        <v>2666</v>
      </c>
      <c r="L30" s="10">
        <v>2397</v>
      </c>
      <c r="M30" s="10">
        <v>1715</v>
      </c>
      <c r="N30" s="10">
        <v>1264</v>
      </c>
      <c r="O30" s="10">
        <v>4291</v>
      </c>
      <c r="P30" s="10">
        <v>4096</v>
      </c>
      <c r="Q30" s="10">
        <v>3832</v>
      </c>
      <c r="R30" s="10">
        <v>3420</v>
      </c>
      <c r="S30" s="10">
        <v>2323</v>
      </c>
      <c r="T30" s="10">
        <v>1667</v>
      </c>
      <c r="U30" s="11">
        <v>5899</v>
      </c>
      <c r="V30" s="11">
        <v>13730</v>
      </c>
      <c r="W30" s="11">
        <v>19629</v>
      </c>
      <c r="X30" s="11">
        <v>5496</v>
      </c>
      <c r="Y30" s="11">
        <v>12466</v>
      </c>
      <c r="Z30" s="11">
        <v>17962</v>
      </c>
    </row>
    <row r="31" spans="2:26" x14ac:dyDescent="0.2">
      <c r="B31" s="10" t="s">
        <v>25</v>
      </c>
      <c r="C31" s="10">
        <v>831</v>
      </c>
      <c r="D31" s="10">
        <v>525</v>
      </c>
      <c r="E31" s="10">
        <v>522</v>
      </c>
      <c r="F31" s="10">
        <v>339</v>
      </c>
      <c r="G31" s="10">
        <v>287</v>
      </c>
      <c r="H31" s="10">
        <v>160</v>
      </c>
      <c r="I31" s="10">
        <v>1544</v>
      </c>
      <c r="J31" s="10">
        <v>1195</v>
      </c>
      <c r="K31" s="10">
        <v>1235</v>
      </c>
      <c r="L31" s="10">
        <v>1041</v>
      </c>
      <c r="M31" s="10">
        <v>705</v>
      </c>
      <c r="N31" s="10">
        <v>519</v>
      </c>
      <c r="O31" s="10">
        <v>2375</v>
      </c>
      <c r="P31" s="10">
        <v>1720</v>
      </c>
      <c r="Q31" s="10">
        <v>1757</v>
      </c>
      <c r="R31" s="10">
        <v>1380</v>
      </c>
      <c r="S31" s="10">
        <v>992</v>
      </c>
      <c r="T31" s="10">
        <v>679</v>
      </c>
      <c r="U31" s="11">
        <v>2664</v>
      </c>
      <c r="V31" s="11">
        <v>6239</v>
      </c>
      <c r="W31" s="11">
        <v>8903</v>
      </c>
      <c r="X31" s="11">
        <v>2504</v>
      </c>
      <c r="Y31" s="11">
        <v>5720</v>
      </c>
      <c r="Z31" s="11">
        <v>8224</v>
      </c>
    </row>
    <row r="32" spans="2:26" x14ac:dyDescent="0.2">
      <c r="B32" s="10" t="s">
        <v>26</v>
      </c>
      <c r="C32" s="10">
        <v>344</v>
      </c>
      <c r="D32" s="10">
        <v>313</v>
      </c>
      <c r="E32" s="10">
        <v>282</v>
      </c>
      <c r="F32" s="10">
        <v>159</v>
      </c>
      <c r="G32" s="10">
        <v>104</v>
      </c>
      <c r="H32" s="10">
        <v>83</v>
      </c>
      <c r="I32" s="10">
        <v>794</v>
      </c>
      <c r="J32" s="10">
        <v>693</v>
      </c>
      <c r="K32" s="10">
        <v>623</v>
      </c>
      <c r="L32" s="10">
        <v>480</v>
      </c>
      <c r="M32" s="10">
        <v>355</v>
      </c>
      <c r="N32" s="10">
        <v>269</v>
      </c>
      <c r="O32" s="10">
        <v>1138</v>
      </c>
      <c r="P32" s="10">
        <v>1006</v>
      </c>
      <c r="Q32" s="10">
        <v>905</v>
      </c>
      <c r="R32" s="10">
        <v>639</v>
      </c>
      <c r="S32" s="10">
        <v>459</v>
      </c>
      <c r="T32" s="10">
        <v>352</v>
      </c>
      <c r="U32" s="11">
        <v>1285</v>
      </c>
      <c r="V32" s="11">
        <v>3214</v>
      </c>
      <c r="W32" s="11">
        <v>4499</v>
      </c>
      <c r="X32" s="11">
        <v>1202</v>
      </c>
      <c r="Y32" s="11">
        <v>2945</v>
      </c>
      <c r="Z32" s="11">
        <v>4147</v>
      </c>
    </row>
    <row r="33" spans="1:69" x14ac:dyDescent="0.2">
      <c r="B33" s="10" t="s">
        <v>27</v>
      </c>
      <c r="C33" s="10">
        <v>477</v>
      </c>
      <c r="D33" s="10">
        <v>402</v>
      </c>
      <c r="E33" s="10">
        <v>272</v>
      </c>
      <c r="F33" s="10">
        <v>182</v>
      </c>
      <c r="G33" s="10">
        <v>96</v>
      </c>
      <c r="H33" s="10">
        <v>134</v>
      </c>
      <c r="I33" s="10">
        <v>655</v>
      </c>
      <c r="J33" s="10">
        <v>494</v>
      </c>
      <c r="K33" s="10">
        <v>325</v>
      </c>
      <c r="L33" s="10">
        <v>215</v>
      </c>
      <c r="M33" s="10">
        <v>88</v>
      </c>
      <c r="N33" s="10">
        <v>117</v>
      </c>
      <c r="O33" s="10">
        <v>1132</v>
      </c>
      <c r="P33" s="10">
        <v>896</v>
      </c>
      <c r="Q33" s="10">
        <v>597</v>
      </c>
      <c r="R33" s="10">
        <v>397</v>
      </c>
      <c r="S33" s="10">
        <v>184</v>
      </c>
      <c r="T33" s="10">
        <v>251</v>
      </c>
      <c r="U33" s="11">
        <v>1563</v>
      </c>
      <c r="V33" s="11">
        <v>1894</v>
      </c>
      <c r="W33" s="11">
        <v>3457</v>
      </c>
      <c r="X33" s="11">
        <v>1429</v>
      </c>
      <c r="Y33" s="11">
        <v>1777</v>
      </c>
      <c r="Z33" s="11">
        <v>3206</v>
      </c>
    </row>
    <row r="34" spans="1:69" x14ac:dyDescent="0.2">
      <c r="B34" s="10" t="s">
        <v>28</v>
      </c>
      <c r="C34" s="10">
        <v>654</v>
      </c>
      <c r="D34" s="10">
        <v>513</v>
      </c>
      <c r="E34" s="10">
        <v>450</v>
      </c>
      <c r="F34" s="10">
        <v>342</v>
      </c>
      <c r="G34" s="10">
        <v>224</v>
      </c>
      <c r="H34" s="10">
        <v>194</v>
      </c>
      <c r="I34" s="10">
        <v>917</v>
      </c>
      <c r="J34" s="10">
        <v>783</v>
      </c>
      <c r="K34" s="10">
        <v>698</v>
      </c>
      <c r="L34" s="10">
        <v>489</v>
      </c>
      <c r="M34" s="10">
        <v>271</v>
      </c>
      <c r="N34" s="10">
        <v>201</v>
      </c>
      <c r="O34" s="10">
        <v>1571</v>
      </c>
      <c r="P34" s="10">
        <v>1296</v>
      </c>
      <c r="Q34" s="10">
        <v>1148</v>
      </c>
      <c r="R34" s="10">
        <v>831</v>
      </c>
      <c r="S34" s="10">
        <v>495</v>
      </c>
      <c r="T34" s="10">
        <v>395</v>
      </c>
      <c r="U34" s="11">
        <v>2377</v>
      </c>
      <c r="V34" s="11">
        <v>3359</v>
      </c>
      <c r="W34" s="11">
        <v>5736</v>
      </c>
      <c r="X34" s="11">
        <v>2183</v>
      </c>
      <c r="Y34" s="11">
        <v>3158</v>
      </c>
      <c r="Z34" s="11">
        <v>5341</v>
      </c>
    </row>
    <row r="35" spans="1:69" x14ac:dyDescent="0.2">
      <c r="B35" s="10" t="s">
        <v>29</v>
      </c>
      <c r="C35" s="10">
        <v>281</v>
      </c>
      <c r="D35" s="10">
        <v>356</v>
      </c>
      <c r="E35" s="10">
        <v>373</v>
      </c>
      <c r="F35" s="10">
        <v>318</v>
      </c>
      <c r="G35" s="10">
        <v>183</v>
      </c>
      <c r="H35" s="10">
        <v>191</v>
      </c>
      <c r="I35" s="10">
        <v>767</v>
      </c>
      <c r="J35" s="10">
        <v>1058</v>
      </c>
      <c r="K35" s="10">
        <v>1159</v>
      </c>
      <c r="L35" s="10">
        <v>1016</v>
      </c>
      <c r="M35" s="10">
        <v>578</v>
      </c>
      <c r="N35" s="10">
        <v>460</v>
      </c>
      <c r="O35" s="10">
        <v>1048</v>
      </c>
      <c r="P35" s="10">
        <v>1414</v>
      </c>
      <c r="Q35" s="10">
        <v>1532</v>
      </c>
      <c r="R35" s="10">
        <v>1334</v>
      </c>
      <c r="S35" s="10">
        <v>761</v>
      </c>
      <c r="T35" s="10">
        <v>651</v>
      </c>
      <c r="U35" s="11">
        <v>1702</v>
      </c>
      <c r="V35" s="11">
        <v>5038</v>
      </c>
      <c r="W35" s="11">
        <v>6740</v>
      </c>
      <c r="X35" s="11">
        <v>1511</v>
      </c>
      <c r="Y35" s="11">
        <v>4578</v>
      </c>
      <c r="Z35" s="11">
        <v>6089</v>
      </c>
    </row>
    <row r="36" spans="1:69" x14ac:dyDescent="0.2">
      <c r="B36" s="10" t="s">
        <v>30</v>
      </c>
      <c r="C36" s="10">
        <v>473</v>
      </c>
      <c r="D36" s="10">
        <v>496</v>
      </c>
      <c r="E36" s="10">
        <v>529</v>
      </c>
      <c r="F36" s="10">
        <v>474</v>
      </c>
      <c r="G36" s="10">
        <v>258</v>
      </c>
      <c r="H36" s="10">
        <v>220</v>
      </c>
      <c r="I36" s="10">
        <v>725</v>
      </c>
      <c r="J36" s="10">
        <v>702</v>
      </c>
      <c r="K36" s="10">
        <v>845</v>
      </c>
      <c r="L36" s="10">
        <v>661</v>
      </c>
      <c r="M36" s="10">
        <v>401</v>
      </c>
      <c r="N36" s="10">
        <v>212</v>
      </c>
      <c r="O36" s="10">
        <v>1198</v>
      </c>
      <c r="P36" s="10">
        <v>1198</v>
      </c>
      <c r="Q36" s="10">
        <v>1374</v>
      </c>
      <c r="R36" s="10">
        <v>1135</v>
      </c>
      <c r="S36" s="10">
        <v>659</v>
      </c>
      <c r="T36" s="10">
        <v>432</v>
      </c>
      <c r="U36" s="11">
        <v>2450</v>
      </c>
      <c r="V36" s="11">
        <v>3546</v>
      </c>
      <c r="W36" s="11">
        <v>5996</v>
      </c>
      <c r="X36" s="11">
        <v>2230</v>
      </c>
      <c r="Y36" s="11">
        <v>3334</v>
      </c>
      <c r="Z36" s="11">
        <v>5564</v>
      </c>
    </row>
    <row r="37" spans="1:69" x14ac:dyDescent="0.2">
      <c r="B37" s="10" t="s">
        <v>31</v>
      </c>
      <c r="C37" s="10">
        <v>485</v>
      </c>
      <c r="D37" s="10">
        <v>899</v>
      </c>
      <c r="E37" s="10">
        <v>1844</v>
      </c>
      <c r="F37" s="10">
        <v>2235</v>
      </c>
      <c r="G37" s="10">
        <v>1799</v>
      </c>
      <c r="H37" s="10">
        <v>1053</v>
      </c>
      <c r="I37" s="10">
        <v>746</v>
      </c>
      <c r="J37" s="10">
        <v>849</v>
      </c>
      <c r="K37" s="10">
        <v>1221</v>
      </c>
      <c r="L37" s="10">
        <v>1193</v>
      </c>
      <c r="M37" s="10">
        <v>829</v>
      </c>
      <c r="N37" s="10">
        <v>527</v>
      </c>
      <c r="O37" s="10">
        <v>1231</v>
      </c>
      <c r="P37" s="10">
        <v>1748</v>
      </c>
      <c r="Q37" s="10">
        <v>3065</v>
      </c>
      <c r="R37" s="10">
        <v>3428</v>
      </c>
      <c r="S37" s="10">
        <v>2628</v>
      </c>
      <c r="T37" s="10">
        <v>1580</v>
      </c>
      <c r="U37" s="11">
        <v>8315</v>
      </c>
      <c r="V37" s="11">
        <v>5365</v>
      </c>
      <c r="W37" s="11">
        <v>13680</v>
      </c>
      <c r="X37" s="11">
        <v>7262</v>
      </c>
      <c r="Y37" s="11">
        <v>4838</v>
      </c>
      <c r="Z37" s="11">
        <v>12100</v>
      </c>
    </row>
    <row r="38" spans="1:69" x14ac:dyDescent="0.2">
      <c r="B38" s="10" t="s">
        <v>32</v>
      </c>
      <c r="C38" s="10">
        <v>5250</v>
      </c>
      <c r="D38" s="10">
        <v>6456</v>
      </c>
      <c r="E38" s="10">
        <v>7523</v>
      </c>
      <c r="F38" s="10">
        <v>7299</v>
      </c>
      <c r="G38" s="10">
        <v>5647</v>
      </c>
      <c r="H38" s="10">
        <v>5773</v>
      </c>
      <c r="I38" s="10">
        <v>5097</v>
      </c>
      <c r="J38" s="10">
        <v>6651</v>
      </c>
      <c r="K38" s="10">
        <v>8451</v>
      </c>
      <c r="L38" s="10">
        <v>8046</v>
      </c>
      <c r="M38" s="10">
        <v>6252</v>
      </c>
      <c r="N38" s="10">
        <v>6361</v>
      </c>
      <c r="O38" s="10">
        <v>10347</v>
      </c>
      <c r="P38" s="10">
        <v>13107</v>
      </c>
      <c r="Q38" s="10">
        <v>15974</v>
      </c>
      <c r="R38" s="10">
        <v>15345</v>
      </c>
      <c r="S38" s="10">
        <v>11899</v>
      </c>
      <c r="T38" s="10">
        <v>12134</v>
      </c>
      <c r="U38" s="11">
        <v>37948</v>
      </c>
      <c r="V38" s="11">
        <v>40858</v>
      </c>
      <c r="W38" s="11">
        <v>78806</v>
      </c>
      <c r="X38" s="11">
        <v>32175</v>
      </c>
      <c r="Y38" s="11">
        <v>34497</v>
      </c>
      <c r="Z38" s="11">
        <v>66672</v>
      </c>
    </row>
    <row r="39" spans="1:69" x14ac:dyDescent="0.2">
      <c r="B39" s="10" t="s">
        <v>46</v>
      </c>
      <c r="C39" s="10">
        <v>54800</v>
      </c>
      <c r="D39" s="10">
        <v>57933</v>
      </c>
      <c r="E39" s="10">
        <v>64908</v>
      </c>
      <c r="F39" s="10">
        <v>58412</v>
      </c>
      <c r="G39" s="10">
        <v>42886</v>
      </c>
      <c r="H39" s="10">
        <v>40304</v>
      </c>
      <c r="I39" s="10">
        <v>61812</v>
      </c>
      <c r="J39" s="10">
        <v>70979</v>
      </c>
      <c r="K39" s="10">
        <v>77480</v>
      </c>
      <c r="L39" s="10">
        <v>66829</v>
      </c>
      <c r="M39" s="10">
        <v>45578</v>
      </c>
      <c r="N39" s="10">
        <v>39161</v>
      </c>
      <c r="O39" s="10">
        <v>116612</v>
      </c>
      <c r="P39" s="10">
        <v>128912</v>
      </c>
      <c r="Q39" s="10">
        <v>142388</v>
      </c>
      <c r="R39" s="10">
        <v>125241</v>
      </c>
      <c r="S39" s="10">
        <v>88464</v>
      </c>
      <c r="T39" s="10">
        <v>79465</v>
      </c>
      <c r="U39" s="11">
        <v>319243</v>
      </c>
      <c r="V39" s="11">
        <v>361839</v>
      </c>
      <c r="W39" s="11">
        <v>681082</v>
      </c>
      <c r="X39" s="11">
        <v>278939</v>
      </c>
      <c r="Y39" s="11">
        <v>322678</v>
      </c>
      <c r="Z39" s="11">
        <v>601617</v>
      </c>
      <c r="AA39" s="118"/>
      <c r="AB39" s="118"/>
      <c r="AC39" s="118"/>
      <c r="AD39" s="118"/>
      <c r="AE39" s="118"/>
      <c r="AF39" s="118"/>
      <c r="AG39" s="118"/>
      <c r="AH39" s="118"/>
      <c r="AI39" s="118"/>
      <c r="AJ39" s="118"/>
      <c r="AK39" s="118"/>
      <c r="AL39" s="118"/>
      <c r="AM39" s="118"/>
      <c r="AN39" s="118"/>
      <c r="AO39" s="118"/>
      <c r="AP39" s="118"/>
      <c r="AQ39" s="118"/>
      <c r="AR39" s="118"/>
      <c r="AS39" s="118"/>
      <c r="AT39" s="118"/>
      <c r="AU39" s="118"/>
      <c r="AW39" s="119"/>
      <c r="AX39" s="119"/>
      <c r="AY39" s="119"/>
      <c r="AZ39" s="119"/>
      <c r="BA39" s="119"/>
      <c r="BB39" s="119"/>
      <c r="BC39" s="119"/>
      <c r="BD39" s="119"/>
      <c r="BE39" s="119"/>
      <c r="BF39" s="119"/>
      <c r="BG39" s="119"/>
      <c r="BH39" s="119"/>
      <c r="BI39" s="119"/>
      <c r="BJ39" s="119"/>
      <c r="BK39" s="119"/>
      <c r="BL39" s="119"/>
      <c r="BM39" s="119"/>
      <c r="BN39" s="119"/>
      <c r="BO39" s="119"/>
      <c r="BP39" s="119"/>
      <c r="BQ39" s="119"/>
    </row>
    <row r="40" spans="1:69" x14ac:dyDescent="0.2">
      <c r="AA40" s="74"/>
      <c r="AB40" s="74"/>
      <c r="AC40" s="74"/>
      <c r="AD40" s="74"/>
      <c r="AE40" s="74"/>
      <c r="AF40" s="74"/>
      <c r="AG40" s="74"/>
      <c r="AH40" s="74"/>
      <c r="AI40" s="74"/>
      <c r="AJ40" s="74"/>
      <c r="AK40" s="74"/>
      <c r="AL40" s="74"/>
      <c r="AM40" s="74"/>
      <c r="AN40" s="74"/>
      <c r="AO40" s="74"/>
      <c r="AP40" s="74"/>
      <c r="AQ40" s="74"/>
      <c r="AR40" s="74"/>
      <c r="AS40" s="74"/>
      <c r="AT40" s="74"/>
      <c r="AU40" s="74"/>
      <c r="AW40" s="77"/>
      <c r="AX40" s="77"/>
      <c r="AY40" s="77"/>
      <c r="AZ40" s="77"/>
      <c r="BA40" s="77"/>
      <c r="BB40" s="77"/>
      <c r="BC40" s="77"/>
      <c r="BD40" s="77"/>
      <c r="BE40" s="77"/>
      <c r="BF40" s="77"/>
      <c r="BG40" s="77"/>
      <c r="BH40" s="77"/>
      <c r="BI40" s="77"/>
      <c r="BJ40" s="77"/>
      <c r="BK40" s="77"/>
      <c r="BL40" s="77"/>
      <c r="BM40" s="77"/>
      <c r="BN40" s="77"/>
      <c r="BO40" s="77"/>
      <c r="BP40" s="77"/>
      <c r="BQ40" s="77"/>
    </row>
    <row r="41" spans="1:69" x14ac:dyDescent="0.2">
      <c r="A41" s="14"/>
      <c r="B41" s="10" t="s">
        <v>0</v>
      </c>
      <c r="C41" s="4">
        <v>15</v>
      </c>
      <c r="D41" s="4">
        <v>18.3</v>
      </c>
      <c r="E41" s="4">
        <v>18.7</v>
      </c>
      <c r="F41" s="4">
        <v>18.3</v>
      </c>
      <c r="G41" s="4">
        <v>15.5</v>
      </c>
      <c r="H41" s="4">
        <v>85.9</v>
      </c>
      <c r="I41" s="13">
        <v>19824</v>
      </c>
      <c r="J41" s="4">
        <v>17</v>
      </c>
      <c r="K41" s="4">
        <v>20.399999999999999</v>
      </c>
      <c r="L41" s="4">
        <v>19.8</v>
      </c>
      <c r="M41" s="4">
        <v>17.3</v>
      </c>
      <c r="N41" s="4">
        <v>13.8</v>
      </c>
      <c r="O41" s="4">
        <v>88.4</v>
      </c>
      <c r="P41" s="13">
        <v>29073</v>
      </c>
      <c r="Q41" s="4">
        <v>16.2</v>
      </c>
      <c r="R41" s="4">
        <v>19.600000000000001</v>
      </c>
      <c r="S41" s="4">
        <v>19.399999999999999</v>
      </c>
      <c r="T41" s="4">
        <v>17.7</v>
      </c>
      <c r="U41" s="4">
        <v>14.5</v>
      </c>
      <c r="V41" s="4">
        <v>87.4</v>
      </c>
      <c r="W41" s="13">
        <v>48897</v>
      </c>
      <c r="X41" s="14"/>
      <c r="Y41" s="14"/>
      <c r="Z41" s="14"/>
      <c r="AA41" s="74"/>
      <c r="AB41" s="74"/>
      <c r="AC41" s="74"/>
      <c r="AD41" s="74"/>
      <c r="AE41" s="74"/>
      <c r="AF41" s="74"/>
      <c r="AG41" s="74"/>
      <c r="AH41" s="74"/>
      <c r="AI41" s="74"/>
      <c r="AJ41" s="74"/>
      <c r="AK41" s="74"/>
      <c r="AL41" s="74"/>
      <c r="AM41" s="74"/>
      <c r="AN41" s="74"/>
      <c r="AO41" s="74"/>
      <c r="AP41" s="74"/>
      <c r="AQ41" s="74"/>
      <c r="AR41" s="74"/>
      <c r="AS41" s="74"/>
      <c r="AT41" s="74"/>
      <c r="AU41" s="74"/>
      <c r="AW41" s="77"/>
      <c r="AX41" s="77"/>
      <c r="AY41" s="77"/>
      <c r="AZ41" s="77"/>
      <c r="BA41" s="77"/>
      <c r="BB41" s="77"/>
      <c r="BC41" s="77"/>
      <c r="BD41" s="77"/>
      <c r="BE41" s="77"/>
      <c r="BF41" s="77"/>
      <c r="BG41" s="77"/>
      <c r="BH41" s="77"/>
      <c r="BI41" s="77"/>
      <c r="BJ41" s="77"/>
      <c r="BK41" s="77"/>
      <c r="BL41" s="77"/>
      <c r="BM41" s="77"/>
      <c r="BN41" s="77"/>
      <c r="BO41" s="77"/>
      <c r="BP41" s="77"/>
      <c r="BQ41" s="77"/>
    </row>
    <row r="42" spans="1:69" x14ac:dyDescent="0.2">
      <c r="A42" s="14"/>
      <c r="B42" s="10" t="s">
        <v>1</v>
      </c>
      <c r="C42" s="4">
        <v>23.5</v>
      </c>
      <c r="D42" s="4">
        <v>20.100000000000001</v>
      </c>
      <c r="E42" s="4">
        <v>18.8</v>
      </c>
      <c r="F42" s="4">
        <v>14.6</v>
      </c>
      <c r="G42" s="4">
        <v>11.4</v>
      </c>
      <c r="H42" s="4">
        <v>88.4</v>
      </c>
      <c r="I42" s="13">
        <v>20132</v>
      </c>
      <c r="J42" s="4">
        <v>23.8</v>
      </c>
      <c r="K42" s="4">
        <v>22.1</v>
      </c>
      <c r="L42" s="4">
        <v>18.600000000000001</v>
      </c>
      <c r="M42" s="4">
        <v>14.9</v>
      </c>
      <c r="N42" s="4">
        <v>10.6</v>
      </c>
      <c r="O42" s="4">
        <v>90</v>
      </c>
      <c r="P42" s="13">
        <v>16971</v>
      </c>
      <c r="Q42" s="4">
        <v>23.6</v>
      </c>
      <c r="R42" s="4">
        <v>21</v>
      </c>
      <c r="S42" s="4">
        <v>18.7</v>
      </c>
      <c r="T42" s="4">
        <v>14.8</v>
      </c>
      <c r="U42" s="4">
        <v>11</v>
      </c>
      <c r="V42" s="4">
        <v>89.1</v>
      </c>
      <c r="W42" s="13">
        <v>37103</v>
      </c>
      <c r="X42" s="14"/>
      <c r="Y42" s="14"/>
      <c r="Z42" s="14"/>
      <c r="AA42" s="74"/>
      <c r="AB42" s="74"/>
      <c r="AC42" s="74"/>
      <c r="AD42" s="74"/>
      <c r="AE42" s="74"/>
      <c r="AF42" s="74"/>
      <c r="AG42" s="74"/>
      <c r="AH42" s="74"/>
      <c r="AI42" s="74"/>
      <c r="AJ42" s="74"/>
      <c r="AK42" s="74"/>
      <c r="AL42" s="74"/>
      <c r="AM42" s="74"/>
      <c r="AN42" s="74"/>
      <c r="AO42" s="74"/>
      <c r="AP42" s="74"/>
      <c r="AQ42" s="74"/>
      <c r="AR42" s="74"/>
      <c r="AS42" s="74"/>
      <c r="AT42" s="74"/>
      <c r="AU42" s="74"/>
      <c r="AW42" s="77"/>
      <c r="AX42" s="77"/>
      <c r="AY42" s="77"/>
      <c r="AZ42" s="77"/>
      <c r="BA42" s="77"/>
      <c r="BB42" s="77"/>
      <c r="BC42" s="77"/>
      <c r="BD42" s="77"/>
      <c r="BE42" s="77"/>
      <c r="BF42" s="77"/>
      <c r="BG42" s="77"/>
      <c r="BH42" s="77"/>
      <c r="BI42" s="77"/>
      <c r="BJ42" s="77"/>
      <c r="BK42" s="77"/>
      <c r="BL42" s="77"/>
      <c r="BM42" s="77"/>
      <c r="BN42" s="77"/>
      <c r="BO42" s="77"/>
      <c r="BP42" s="77"/>
      <c r="BQ42" s="77"/>
    </row>
    <row r="43" spans="1:69" x14ac:dyDescent="0.2">
      <c r="A43" s="14"/>
      <c r="B43" s="10" t="s">
        <v>2</v>
      </c>
      <c r="C43" s="4">
        <v>22.7</v>
      </c>
      <c r="D43" s="4">
        <v>20</v>
      </c>
      <c r="E43" s="4">
        <v>18.5</v>
      </c>
      <c r="F43" s="4">
        <v>15.8</v>
      </c>
      <c r="G43" s="4">
        <v>11.6</v>
      </c>
      <c r="H43" s="4">
        <v>88.7</v>
      </c>
      <c r="I43" s="13">
        <v>23119</v>
      </c>
      <c r="J43" s="4">
        <v>23.6</v>
      </c>
      <c r="K43" s="4">
        <v>23.1</v>
      </c>
      <c r="L43" s="4">
        <v>19.3</v>
      </c>
      <c r="M43" s="4">
        <v>14.6</v>
      </c>
      <c r="N43" s="4">
        <v>10.4</v>
      </c>
      <c r="O43" s="4">
        <v>91</v>
      </c>
      <c r="P43" s="13">
        <v>6553</v>
      </c>
      <c r="Q43" s="4">
        <v>22.9</v>
      </c>
      <c r="R43" s="4">
        <v>20.7</v>
      </c>
      <c r="S43" s="4">
        <v>18.7</v>
      </c>
      <c r="T43" s="4">
        <v>15.5</v>
      </c>
      <c r="U43" s="4">
        <v>11.3</v>
      </c>
      <c r="V43" s="4">
        <v>89.2</v>
      </c>
      <c r="W43" s="13">
        <v>29672</v>
      </c>
      <c r="X43" s="14"/>
      <c r="Y43" s="14"/>
      <c r="Z43" s="14"/>
      <c r="AA43" s="74"/>
      <c r="AB43" s="74"/>
      <c r="AC43" s="74"/>
      <c r="AD43" s="74"/>
      <c r="AE43" s="74"/>
      <c r="AF43" s="74"/>
      <c r="AG43" s="74"/>
      <c r="AH43" s="74"/>
      <c r="AI43" s="74"/>
      <c r="AJ43" s="74"/>
      <c r="AK43" s="74"/>
      <c r="AL43" s="74"/>
      <c r="AM43" s="74"/>
      <c r="AN43" s="74"/>
      <c r="AO43" s="74"/>
      <c r="AP43" s="74"/>
      <c r="AQ43" s="74"/>
      <c r="AR43" s="74"/>
      <c r="AS43" s="74"/>
      <c r="AT43" s="74"/>
      <c r="AU43" s="74"/>
      <c r="AW43" s="77"/>
      <c r="AX43" s="77"/>
      <c r="AY43" s="77"/>
      <c r="AZ43" s="77"/>
      <c r="BA43" s="77"/>
      <c r="BB43" s="77"/>
      <c r="BC43" s="77"/>
      <c r="BD43" s="77"/>
      <c r="BE43" s="77"/>
      <c r="BF43" s="77"/>
      <c r="BG43" s="77"/>
      <c r="BH43" s="77"/>
      <c r="BI43" s="77"/>
      <c r="BJ43" s="77"/>
      <c r="BK43" s="77"/>
      <c r="BL43" s="77"/>
      <c r="BM43" s="77"/>
      <c r="BN43" s="77"/>
      <c r="BO43" s="77"/>
      <c r="BP43" s="77"/>
      <c r="BQ43" s="77"/>
    </row>
    <row r="44" spans="1:69" x14ac:dyDescent="0.2">
      <c r="A44" s="14"/>
      <c r="B44" s="10" t="s">
        <v>3</v>
      </c>
      <c r="C44" s="4">
        <v>12.2</v>
      </c>
      <c r="D44" s="4">
        <v>14.7</v>
      </c>
      <c r="E44" s="4">
        <v>21.6</v>
      </c>
      <c r="F44" s="4">
        <v>23.7</v>
      </c>
      <c r="G44" s="4">
        <v>16.100000000000001</v>
      </c>
      <c r="H44" s="4">
        <v>88.3</v>
      </c>
      <c r="I44" s="13">
        <v>2695</v>
      </c>
      <c r="J44" s="4">
        <v>11.7</v>
      </c>
      <c r="K44" s="4">
        <v>16.3</v>
      </c>
      <c r="L44" s="4">
        <v>18.5</v>
      </c>
      <c r="M44" s="4">
        <v>22.8</v>
      </c>
      <c r="N44" s="4">
        <v>17.8</v>
      </c>
      <c r="O44" s="4">
        <v>87.1</v>
      </c>
      <c r="P44" s="13">
        <v>1630</v>
      </c>
      <c r="Q44" s="4">
        <v>12</v>
      </c>
      <c r="R44" s="4">
        <v>15.3</v>
      </c>
      <c r="S44" s="4">
        <v>20.399999999999999</v>
      </c>
      <c r="T44" s="4">
        <v>23.4</v>
      </c>
      <c r="U44" s="4">
        <v>16.7</v>
      </c>
      <c r="V44" s="4">
        <v>87.8</v>
      </c>
      <c r="W44" s="13">
        <v>4325</v>
      </c>
      <c r="X44" s="14"/>
      <c r="Y44" s="14"/>
      <c r="Z44" s="14"/>
      <c r="AA44" s="74"/>
      <c r="AB44" s="74"/>
      <c r="AC44" s="74"/>
      <c r="AD44" s="74"/>
      <c r="AE44" s="74"/>
      <c r="AF44" s="74"/>
      <c r="AG44" s="74"/>
      <c r="AH44" s="74"/>
      <c r="AI44" s="74"/>
      <c r="AJ44" s="74"/>
      <c r="AK44" s="74"/>
      <c r="AL44" s="74"/>
      <c r="AM44" s="74"/>
      <c r="AN44" s="74"/>
      <c r="AO44" s="74"/>
      <c r="AP44" s="74"/>
      <c r="AQ44" s="74"/>
      <c r="AR44" s="74"/>
      <c r="AS44" s="74"/>
      <c r="AT44" s="74"/>
      <c r="AU44" s="74"/>
      <c r="AW44" s="77"/>
      <c r="AX44" s="77"/>
      <c r="AY44" s="77"/>
      <c r="AZ44" s="77"/>
      <c r="BA44" s="77"/>
      <c r="BB44" s="77"/>
      <c r="BC44" s="77"/>
      <c r="BD44" s="77"/>
      <c r="BE44" s="77"/>
      <c r="BF44" s="77"/>
      <c r="BG44" s="77"/>
      <c r="BH44" s="77"/>
      <c r="BI44" s="77"/>
      <c r="BJ44" s="77"/>
      <c r="BK44" s="77"/>
      <c r="BL44" s="77"/>
      <c r="BM44" s="77"/>
      <c r="BN44" s="77"/>
      <c r="BO44" s="77"/>
      <c r="BP44" s="77"/>
      <c r="BQ44" s="77"/>
    </row>
    <row r="45" spans="1:69" x14ac:dyDescent="0.2">
      <c r="A45" s="14"/>
      <c r="B45" s="10" t="s">
        <v>4</v>
      </c>
      <c r="C45" s="4">
        <v>26.5</v>
      </c>
      <c r="D45" s="4">
        <v>18</v>
      </c>
      <c r="E45" s="4">
        <v>16.7</v>
      </c>
      <c r="F45" s="4">
        <v>14.7</v>
      </c>
      <c r="G45" s="4">
        <v>11.8</v>
      </c>
      <c r="H45" s="4">
        <v>87.8</v>
      </c>
      <c r="I45" s="13">
        <v>35936</v>
      </c>
      <c r="J45" s="4">
        <v>27.1</v>
      </c>
      <c r="K45" s="4">
        <v>21.2</v>
      </c>
      <c r="L45" s="4">
        <v>17.899999999999999</v>
      </c>
      <c r="M45" s="4">
        <v>14.1</v>
      </c>
      <c r="N45" s="4">
        <v>10.1</v>
      </c>
      <c r="O45" s="4">
        <v>90.4</v>
      </c>
      <c r="P45" s="13">
        <v>20653</v>
      </c>
      <c r="Q45" s="4">
        <v>26.8</v>
      </c>
      <c r="R45" s="4">
        <v>19.2</v>
      </c>
      <c r="S45" s="4">
        <v>17.100000000000001</v>
      </c>
      <c r="T45" s="4">
        <v>14.5</v>
      </c>
      <c r="U45" s="4">
        <v>11.2</v>
      </c>
      <c r="V45" s="4">
        <v>88.8</v>
      </c>
      <c r="W45" s="13">
        <v>56589</v>
      </c>
      <c r="X45" s="14"/>
      <c r="Y45" s="14"/>
      <c r="Z45" s="14"/>
      <c r="AA45" s="74"/>
      <c r="AB45" s="74"/>
      <c r="AC45" s="74"/>
      <c r="AD45" s="74"/>
      <c r="AE45" s="74"/>
      <c r="AF45" s="74"/>
      <c r="AG45" s="74"/>
      <c r="AH45" s="74"/>
      <c r="AI45" s="74"/>
      <c r="AJ45" s="74"/>
      <c r="AK45" s="74"/>
      <c r="AL45" s="74"/>
      <c r="AM45" s="74"/>
      <c r="AN45" s="74"/>
      <c r="AO45" s="74"/>
      <c r="AP45" s="74"/>
      <c r="AQ45" s="74"/>
      <c r="AR45" s="74"/>
      <c r="AS45" s="74"/>
      <c r="AT45" s="74"/>
      <c r="AU45" s="74"/>
      <c r="AW45" s="77"/>
      <c r="AX45" s="77"/>
      <c r="AY45" s="77"/>
      <c r="AZ45" s="77"/>
      <c r="BA45" s="77"/>
      <c r="BB45" s="77"/>
      <c r="BC45" s="77"/>
      <c r="BD45" s="77"/>
      <c r="BE45" s="77"/>
      <c r="BF45" s="77"/>
      <c r="BG45" s="77"/>
      <c r="BH45" s="77"/>
      <c r="BI45" s="77"/>
      <c r="BJ45" s="77"/>
      <c r="BK45" s="77"/>
      <c r="BL45" s="77"/>
      <c r="BM45" s="77"/>
      <c r="BN45" s="77"/>
      <c r="BO45" s="77"/>
      <c r="BP45" s="77"/>
      <c r="BQ45" s="77"/>
    </row>
    <row r="46" spans="1:69" x14ac:dyDescent="0.2">
      <c r="A46" s="14"/>
      <c r="B46" s="10" t="s">
        <v>5</v>
      </c>
      <c r="C46" s="4">
        <v>49.4</v>
      </c>
      <c r="D46" s="4">
        <v>20.3</v>
      </c>
      <c r="E46" s="4">
        <v>12.1</v>
      </c>
      <c r="F46" s="4">
        <v>9</v>
      </c>
      <c r="G46" s="4">
        <v>5</v>
      </c>
      <c r="H46" s="4">
        <v>95.9</v>
      </c>
      <c r="I46" s="13">
        <v>3889</v>
      </c>
      <c r="J46" s="4">
        <v>47.6</v>
      </c>
      <c r="K46" s="4">
        <v>20.7</v>
      </c>
      <c r="L46" s="4">
        <v>14.2</v>
      </c>
      <c r="M46" s="4">
        <v>10.199999999999999</v>
      </c>
      <c r="N46" s="4">
        <v>3.9</v>
      </c>
      <c r="O46" s="4">
        <v>96.6</v>
      </c>
      <c r="P46" s="13">
        <v>1322</v>
      </c>
      <c r="Q46" s="4">
        <v>49</v>
      </c>
      <c r="R46" s="4">
        <v>20.399999999999999</v>
      </c>
      <c r="S46" s="4">
        <v>12.6</v>
      </c>
      <c r="T46" s="4">
        <v>9.3000000000000007</v>
      </c>
      <c r="U46" s="4">
        <v>4.7</v>
      </c>
      <c r="V46" s="4">
        <v>96.1</v>
      </c>
      <c r="W46" s="13">
        <v>5211</v>
      </c>
      <c r="X46" s="14"/>
      <c r="Y46" s="14"/>
      <c r="Z46" s="14"/>
      <c r="AA46" s="74"/>
      <c r="AB46" s="74"/>
      <c r="AC46" s="74"/>
      <c r="AD46" s="74"/>
      <c r="AE46" s="74"/>
      <c r="AF46" s="74"/>
      <c r="AG46" s="74"/>
      <c r="AH46" s="74"/>
      <c r="AI46" s="74"/>
      <c r="AJ46" s="74"/>
      <c r="AK46" s="74"/>
      <c r="AL46" s="74"/>
      <c r="AM46" s="74"/>
      <c r="AN46" s="74"/>
      <c r="AO46" s="74"/>
      <c r="AP46" s="74"/>
      <c r="AQ46" s="74"/>
      <c r="AR46" s="74"/>
      <c r="AS46" s="74"/>
      <c r="AT46" s="74"/>
      <c r="AU46" s="74"/>
      <c r="AW46" s="77"/>
      <c r="AX46" s="77"/>
      <c r="AY46" s="77"/>
      <c r="AZ46" s="77"/>
      <c r="BA46" s="77"/>
      <c r="BB46" s="77"/>
      <c r="BC46" s="77"/>
      <c r="BD46" s="77"/>
      <c r="BE46" s="77"/>
      <c r="BF46" s="77"/>
      <c r="BG46" s="77"/>
      <c r="BH46" s="77"/>
      <c r="BI46" s="77"/>
      <c r="BJ46" s="77"/>
      <c r="BK46" s="77"/>
      <c r="BL46" s="77"/>
      <c r="BM46" s="77"/>
      <c r="BN46" s="77"/>
      <c r="BO46" s="77"/>
      <c r="BP46" s="77"/>
      <c r="BQ46" s="77"/>
    </row>
    <row r="47" spans="1:69" x14ac:dyDescent="0.2">
      <c r="A47" s="14"/>
      <c r="B47" s="10" t="s">
        <v>6</v>
      </c>
      <c r="C47" s="4">
        <v>11.4</v>
      </c>
      <c r="D47" s="4">
        <v>12.9</v>
      </c>
      <c r="E47" s="4">
        <v>22.7</v>
      </c>
      <c r="F47" s="4">
        <v>22.5</v>
      </c>
      <c r="G47" s="4">
        <v>17.399999999999999</v>
      </c>
      <c r="H47" s="4">
        <v>86.9</v>
      </c>
      <c r="I47" s="13">
        <v>8383</v>
      </c>
      <c r="J47" s="4">
        <v>14.1</v>
      </c>
      <c r="K47" s="4">
        <v>16.8</v>
      </c>
      <c r="L47" s="4">
        <v>25.2</v>
      </c>
      <c r="M47" s="4">
        <v>22.1</v>
      </c>
      <c r="N47" s="4">
        <v>13</v>
      </c>
      <c r="O47" s="4">
        <v>91.2</v>
      </c>
      <c r="P47" s="13">
        <v>2603</v>
      </c>
      <c r="Q47" s="4">
        <v>12</v>
      </c>
      <c r="R47" s="4">
        <v>13.8</v>
      </c>
      <c r="S47" s="4">
        <v>23.3</v>
      </c>
      <c r="T47" s="4">
        <v>22.4</v>
      </c>
      <c r="U47" s="4">
        <v>16.399999999999999</v>
      </c>
      <c r="V47" s="4">
        <v>87.9</v>
      </c>
      <c r="W47" s="13">
        <v>10986</v>
      </c>
      <c r="X47" s="14"/>
      <c r="Y47" s="14"/>
      <c r="Z47" s="14"/>
      <c r="AA47" s="74"/>
      <c r="AB47" s="74"/>
      <c r="AC47" s="74"/>
      <c r="AD47" s="74"/>
      <c r="AE47" s="74"/>
      <c r="AF47" s="74"/>
      <c r="AG47" s="74"/>
      <c r="AH47" s="74"/>
      <c r="AI47" s="74"/>
      <c r="AJ47" s="74"/>
      <c r="AK47" s="74"/>
      <c r="AL47" s="74"/>
      <c r="AM47" s="74"/>
      <c r="AN47" s="74"/>
      <c r="AO47" s="74"/>
      <c r="AP47" s="74"/>
      <c r="AQ47" s="74"/>
      <c r="AR47" s="74"/>
      <c r="AS47" s="74"/>
      <c r="AT47" s="74"/>
      <c r="AU47" s="74"/>
      <c r="AW47" s="77"/>
      <c r="AX47" s="77"/>
      <c r="AY47" s="77"/>
      <c r="AZ47" s="77"/>
      <c r="BA47" s="77"/>
      <c r="BB47" s="77"/>
      <c r="BC47" s="77"/>
      <c r="BD47" s="77"/>
      <c r="BE47" s="77"/>
      <c r="BF47" s="77"/>
      <c r="BG47" s="77"/>
      <c r="BH47" s="77"/>
      <c r="BI47" s="77"/>
      <c r="BJ47" s="77"/>
      <c r="BK47" s="77"/>
      <c r="BL47" s="77"/>
      <c r="BM47" s="77"/>
      <c r="BN47" s="77"/>
      <c r="BO47" s="77"/>
      <c r="BP47" s="77"/>
      <c r="BQ47" s="77"/>
    </row>
    <row r="48" spans="1:69" x14ac:dyDescent="0.2">
      <c r="A48" s="14"/>
      <c r="B48" s="10" t="s">
        <v>168</v>
      </c>
      <c r="C48" s="4">
        <v>8.9</v>
      </c>
      <c r="D48" s="4">
        <v>13.3</v>
      </c>
      <c r="E48" s="4">
        <v>20.6</v>
      </c>
      <c r="F48" s="4">
        <v>19.8</v>
      </c>
      <c r="G48" s="4">
        <v>17.100000000000001</v>
      </c>
      <c r="H48" s="4">
        <v>79.7</v>
      </c>
      <c r="I48" s="13">
        <v>10253</v>
      </c>
      <c r="J48" s="4">
        <v>5.2</v>
      </c>
      <c r="K48" s="4">
        <v>12.3</v>
      </c>
      <c r="L48" s="4">
        <v>20.5</v>
      </c>
      <c r="M48" s="4">
        <v>21.6</v>
      </c>
      <c r="N48" s="4">
        <v>18.8</v>
      </c>
      <c r="O48" s="4">
        <v>78.5</v>
      </c>
      <c r="P48" s="13">
        <v>2276</v>
      </c>
      <c r="Q48" s="4">
        <v>8.1999999999999993</v>
      </c>
      <c r="R48" s="4">
        <v>13.1</v>
      </c>
      <c r="S48" s="4">
        <v>20.6</v>
      </c>
      <c r="T48" s="4">
        <v>20.100000000000001</v>
      </c>
      <c r="U48" s="4">
        <v>17.399999999999999</v>
      </c>
      <c r="V48" s="4">
        <v>79.5</v>
      </c>
      <c r="W48" s="13">
        <v>12529</v>
      </c>
      <c r="X48" s="14"/>
      <c r="Y48" s="14"/>
      <c r="Z48" s="14"/>
      <c r="AA48" s="74"/>
      <c r="AB48" s="74"/>
      <c r="AC48" s="74"/>
      <c r="AD48" s="74"/>
      <c r="AE48" s="74"/>
      <c r="AF48" s="74"/>
      <c r="AG48" s="74"/>
      <c r="AH48" s="74"/>
      <c r="AI48" s="74"/>
      <c r="AJ48" s="74"/>
      <c r="AK48" s="74"/>
      <c r="AL48" s="74"/>
      <c r="AM48" s="74"/>
      <c r="AN48" s="74"/>
      <c r="AO48" s="74"/>
      <c r="AP48" s="74"/>
      <c r="AQ48" s="74"/>
      <c r="AR48" s="74"/>
      <c r="AS48" s="74"/>
      <c r="AT48" s="74"/>
      <c r="AU48" s="74"/>
      <c r="AW48" s="77"/>
      <c r="AX48" s="77"/>
      <c r="AY48" s="77"/>
      <c r="AZ48" s="77"/>
      <c r="BA48" s="77"/>
      <c r="BB48" s="77"/>
      <c r="BC48" s="77"/>
      <c r="BD48" s="77"/>
      <c r="BE48" s="77"/>
      <c r="BF48" s="77"/>
      <c r="BG48" s="77"/>
      <c r="BH48" s="77"/>
      <c r="BI48" s="77"/>
      <c r="BJ48" s="77"/>
      <c r="BK48" s="77"/>
      <c r="BL48" s="77"/>
      <c r="BM48" s="77"/>
      <c r="BN48" s="77"/>
      <c r="BO48" s="77"/>
      <c r="BP48" s="77"/>
      <c r="BQ48" s="77"/>
    </row>
    <row r="49" spans="1:69" x14ac:dyDescent="0.2">
      <c r="A49" s="14"/>
      <c r="B49" s="10" t="s">
        <v>8</v>
      </c>
      <c r="C49" s="7">
        <v>0</v>
      </c>
      <c r="D49" s="7">
        <v>0</v>
      </c>
      <c r="E49" s="7">
        <v>0</v>
      </c>
      <c r="F49" s="7">
        <v>0</v>
      </c>
      <c r="G49" s="7">
        <v>0</v>
      </c>
      <c r="H49" s="7">
        <v>0</v>
      </c>
      <c r="I49" s="7">
        <v>0</v>
      </c>
      <c r="J49" s="7">
        <v>0</v>
      </c>
      <c r="K49" s="7">
        <v>0</v>
      </c>
      <c r="L49" s="7">
        <v>0</v>
      </c>
      <c r="M49" s="7">
        <v>0</v>
      </c>
      <c r="N49" s="7">
        <v>0</v>
      </c>
      <c r="O49" s="7">
        <v>0</v>
      </c>
      <c r="P49" s="7">
        <v>0</v>
      </c>
      <c r="Q49" s="7">
        <v>0</v>
      </c>
      <c r="R49" s="7">
        <v>0</v>
      </c>
      <c r="S49" s="7">
        <v>0</v>
      </c>
      <c r="T49" s="7">
        <v>0</v>
      </c>
      <c r="U49" s="7">
        <v>0</v>
      </c>
      <c r="V49" s="7">
        <v>0</v>
      </c>
      <c r="W49" s="7">
        <v>0</v>
      </c>
      <c r="X49" s="14"/>
      <c r="Y49" s="14"/>
      <c r="Z49" s="14"/>
      <c r="AA49" s="74"/>
      <c r="AB49" s="74"/>
      <c r="AC49" s="74"/>
      <c r="AD49" s="74"/>
      <c r="AE49" s="74"/>
      <c r="AF49" s="74"/>
      <c r="AG49" s="74"/>
      <c r="AH49" s="74"/>
      <c r="AI49" s="74"/>
      <c r="AJ49" s="74"/>
      <c r="AK49" s="74"/>
      <c r="AL49" s="74"/>
      <c r="AM49" s="74"/>
      <c r="AN49" s="74"/>
      <c r="AO49" s="74"/>
      <c r="AP49" s="74"/>
      <c r="AQ49" s="74"/>
      <c r="AR49" s="74"/>
      <c r="AS49" s="74"/>
      <c r="AT49" s="74"/>
      <c r="AU49" s="74"/>
      <c r="AW49" s="77"/>
      <c r="AX49" s="77"/>
      <c r="AY49" s="77"/>
      <c r="AZ49" s="77"/>
      <c r="BA49" s="77"/>
      <c r="BB49" s="77"/>
      <c r="BC49" s="77"/>
      <c r="BD49" s="77"/>
      <c r="BE49" s="77"/>
      <c r="BF49" s="77"/>
      <c r="BG49" s="77"/>
      <c r="BH49" s="77"/>
      <c r="BI49" s="77"/>
      <c r="BJ49" s="77"/>
      <c r="BK49" s="77"/>
      <c r="BL49" s="77"/>
      <c r="BM49" s="77"/>
      <c r="BN49" s="77"/>
      <c r="BO49" s="77"/>
      <c r="BP49" s="77"/>
      <c r="BQ49" s="77"/>
    </row>
    <row r="50" spans="1:69" x14ac:dyDescent="0.2">
      <c r="A50" s="14"/>
      <c r="B50" s="10" t="s">
        <v>9</v>
      </c>
      <c r="C50" s="4">
        <v>4.5</v>
      </c>
      <c r="D50" s="4">
        <v>7.9</v>
      </c>
      <c r="E50" s="4">
        <v>22.5</v>
      </c>
      <c r="F50" s="4">
        <v>22.5</v>
      </c>
      <c r="G50" s="4">
        <v>15.7</v>
      </c>
      <c r="H50" s="4">
        <v>73</v>
      </c>
      <c r="I50" s="13">
        <v>89</v>
      </c>
      <c r="J50" s="4">
        <v>11.5</v>
      </c>
      <c r="K50" s="4">
        <v>15.1</v>
      </c>
      <c r="L50" s="4">
        <v>20.3</v>
      </c>
      <c r="M50" s="4">
        <v>21.3</v>
      </c>
      <c r="N50" s="4">
        <v>15</v>
      </c>
      <c r="O50" s="4">
        <v>83.1</v>
      </c>
      <c r="P50" s="13">
        <v>1667</v>
      </c>
      <c r="Q50" s="4">
        <v>11.2</v>
      </c>
      <c r="R50" s="4">
        <v>14.7</v>
      </c>
      <c r="S50" s="4">
        <v>20.399999999999999</v>
      </c>
      <c r="T50" s="4">
        <v>21.4</v>
      </c>
      <c r="U50" s="4">
        <v>15</v>
      </c>
      <c r="V50" s="4">
        <v>82.6</v>
      </c>
      <c r="W50" s="13">
        <v>1756</v>
      </c>
      <c r="X50" s="14"/>
      <c r="Y50" s="14"/>
      <c r="Z50" s="14"/>
      <c r="AA50" s="74"/>
      <c r="AB50" s="74"/>
      <c r="AC50" s="74"/>
      <c r="AD50" s="74"/>
      <c r="AE50" s="74"/>
      <c r="AF50" s="74"/>
      <c r="AG50" s="74"/>
      <c r="AH50" s="74"/>
      <c r="AI50" s="74"/>
      <c r="AJ50" s="74"/>
      <c r="AK50" s="74"/>
      <c r="AL50" s="74"/>
      <c r="AM50" s="74"/>
      <c r="AN50" s="74"/>
      <c r="AO50" s="74"/>
      <c r="AP50" s="74"/>
      <c r="AQ50" s="74"/>
      <c r="AR50" s="74"/>
      <c r="AS50" s="74"/>
      <c r="AT50" s="74"/>
      <c r="AU50" s="74"/>
      <c r="AW50" s="77"/>
      <c r="AX50" s="77"/>
      <c r="AY50" s="77"/>
      <c r="AZ50" s="77"/>
      <c r="BA50" s="77"/>
      <c r="BB50" s="77"/>
      <c r="BC50" s="77"/>
      <c r="BD50" s="77"/>
      <c r="BE50" s="77"/>
      <c r="BF50" s="77"/>
      <c r="BG50" s="77"/>
      <c r="BH50" s="77"/>
      <c r="BI50" s="77"/>
      <c r="BJ50" s="77"/>
      <c r="BK50" s="77"/>
      <c r="BL50" s="77"/>
      <c r="BM50" s="77"/>
      <c r="BN50" s="77"/>
      <c r="BO50" s="77"/>
      <c r="BP50" s="77"/>
      <c r="BQ50" s="77"/>
    </row>
    <row r="51" spans="1:69" x14ac:dyDescent="0.2">
      <c r="A51" s="14"/>
      <c r="B51" s="10" t="s">
        <v>10</v>
      </c>
      <c r="C51" s="4">
        <v>7.7</v>
      </c>
      <c r="D51" s="4">
        <v>14.1</v>
      </c>
      <c r="E51" s="4">
        <v>15.8</v>
      </c>
      <c r="F51" s="4">
        <v>14</v>
      </c>
      <c r="G51" s="4">
        <v>14.5</v>
      </c>
      <c r="H51" s="4">
        <v>66.099999999999994</v>
      </c>
      <c r="I51" s="13">
        <v>1149</v>
      </c>
      <c r="J51" s="4">
        <v>11.7</v>
      </c>
      <c r="K51" s="4">
        <v>16.100000000000001</v>
      </c>
      <c r="L51" s="4">
        <v>11.9</v>
      </c>
      <c r="M51" s="4">
        <v>12.8</v>
      </c>
      <c r="N51" s="4">
        <v>12.2</v>
      </c>
      <c r="O51" s="4">
        <v>64.7</v>
      </c>
      <c r="P51" s="13">
        <v>720</v>
      </c>
      <c r="Q51" s="4">
        <v>9.3000000000000007</v>
      </c>
      <c r="R51" s="4">
        <v>14.9</v>
      </c>
      <c r="S51" s="4">
        <v>14.3</v>
      </c>
      <c r="T51" s="4">
        <v>13.5</v>
      </c>
      <c r="U51" s="4">
        <v>13.6</v>
      </c>
      <c r="V51" s="4">
        <v>65.599999999999994</v>
      </c>
      <c r="W51" s="13">
        <v>1869</v>
      </c>
      <c r="X51" s="14"/>
      <c r="Y51" s="14"/>
      <c r="Z51" s="14"/>
      <c r="AA51" s="74"/>
      <c r="AB51" s="74"/>
      <c r="AC51" s="74"/>
      <c r="AD51" s="74"/>
      <c r="AE51" s="74"/>
      <c r="AF51" s="74"/>
      <c r="AG51" s="74"/>
      <c r="AH51" s="74"/>
      <c r="AI51" s="74"/>
      <c r="AJ51" s="74"/>
      <c r="AK51" s="74"/>
      <c r="AL51" s="74"/>
      <c r="AM51" s="74"/>
      <c r="AN51" s="74"/>
      <c r="AO51" s="74"/>
      <c r="AP51" s="74"/>
      <c r="AQ51" s="74"/>
      <c r="AR51" s="74"/>
      <c r="AS51" s="74"/>
      <c r="AT51" s="74"/>
      <c r="AU51" s="74"/>
      <c r="AW51" s="77"/>
      <c r="AX51" s="77"/>
      <c r="AY51" s="77"/>
      <c r="AZ51" s="77"/>
      <c r="BA51" s="77"/>
      <c r="BB51" s="77"/>
      <c r="BC51" s="77"/>
      <c r="BD51" s="77"/>
      <c r="BE51" s="77"/>
      <c r="BF51" s="77"/>
      <c r="BG51" s="77"/>
      <c r="BH51" s="77"/>
      <c r="BI51" s="77"/>
      <c r="BJ51" s="77"/>
      <c r="BK51" s="77"/>
      <c r="BL51" s="77"/>
      <c r="BM51" s="77"/>
      <c r="BN51" s="77"/>
      <c r="BO51" s="77"/>
      <c r="BP51" s="77"/>
      <c r="BQ51" s="77"/>
    </row>
    <row r="52" spans="1:69" x14ac:dyDescent="0.2">
      <c r="A52" s="14"/>
      <c r="B52" s="10" t="s">
        <v>11</v>
      </c>
      <c r="C52" s="4">
        <v>8</v>
      </c>
      <c r="D52" s="4">
        <v>19.399999999999999</v>
      </c>
      <c r="E52" s="4">
        <v>24.6</v>
      </c>
      <c r="F52" s="4">
        <v>21.3</v>
      </c>
      <c r="G52" s="4">
        <v>14</v>
      </c>
      <c r="H52" s="4">
        <v>87.3</v>
      </c>
      <c r="I52" s="13">
        <v>16062</v>
      </c>
      <c r="J52" s="4">
        <v>8.6999999999999993</v>
      </c>
      <c r="K52" s="4">
        <v>20.8</v>
      </c>
      <c r="L52" s="4">
        <v>24.3</v>
      </c>
      <c r="M52" s="4">
        <v>20.2</v>
      </c>
      <c r="N52" s="4">
        <v>13.1</v>
      </c>
      <c r="O52" s="4">
        <v>87</v>
      </c>
      <c r="P52" s="13">
        <v>13584</v>
      </c>
      <c r="Q52" s="4">
        <v>8.3000000000000007</v>
      </c>
      <c r="R52" s="4">
        <v>20.100000000000001</v>
      </c>
      <c r="S52" s="4">
        <v>24.5</v>
      </c>
      <c r="T52" s="4">
        <v>20.8</v>
      </c>
      <c r="U52" s="4">
        <v>13.6</v>
      </c>
      <c r="V52" s="4">
        <v>87.2</v>
      </c>
      <c r="W52" s="13">
        <v>29646</v>
      </c>
      <c r="X52" s="14"/>
      <c r="Y52" s="14"/>
      <c r="Z52" s="14"/>
      <c r="AA52" s="74"/>
      <c r="AB52" s="74"/>
      <c r="AC52" s="74"/>
      <c r="AD52" s="74"/>
      <c r="AE52" s="74"/>
      <c r="AF52" s="74"/>
      <c r="AG52" s="74"/>
      <c r="AH52" s="74"/>
      <c r="AI52" s="74"/>
      <c r="AJ52" s="74"/>
      <c r="AK52" s="74"/>
      <c r="AL52" s="74"/>
      <c r="AM52" s="74"/>
      <c r="AN52" s="74"/>
      <c r="AO52" s="74"/>
      <c r="AP52" s="74"/>
      <c r="AQ52" s="74"/>
      <c r="AR52" s="74"/>
      <c r="AS52" s="74"/>
      <c r="AT52" s="74"/>
      <c r="AU52" s="74"/>
      <c r="AW52" s="77"/>
      <c r="AX52" s="77"/>
      <c r="AY52" s="77"/>
      <c r="AZ52" s="77"/>
      <c r="BA52" s="77"/>
      <c r="BB52" s="77"/>
      <c r="BC52" s="77"/>
      <c r="BD52" s="77"/>
      <c r="BE52" s="77"/>
      <c r="BF52" s="77"/>
      <c r="BG52" s="77"/>
      <c r="BH52" s="77"/>
      <c r="BI52" s="77"/>
      <c r="BJ52" s="77"/>
      <c r="BK52" s="77"/>
      <c r="BL52" s="77"/>
      <c r="BM52" s="77"/>
      <c r="BN52" s="77"/>
      <c r="BO52" s="77"/>
      <c r="BP52" s="77"/>
      <c r="BQ52" s="77"/>
    </row>
    <row r="53" spans="1:69" x14ac:dyDescent="0.2">
      <c r="A53" s="14"/>
      <c r="B53" s="10" t="s">
        <v>12</v>
      </c>
      <c r="C53" s="4">
        <v>18.2</v>
      </c>
      <c r="D53" s="4">
        <v>17.7</v>
      </c>
      <c r="E53" s="4">
        <v>19.600000000000001</v>
      </c>
      <c r="F53" s="4">
        <v>17.5</v>
      </c>
      <c r="G53" s="4">
        <v>12.7</v>
      </c>
      <c r="H53" s="4">
        <v>85.7</v>
      </c>
      <c r="I53" s="13">
        <v>11693</v>
      </c>
      <c r="J53" s="4">
        <v>17.600000000000001</v>
      </c>
      <c r="K53" s="4">
        <v>18.3</v>
      </c>
      <c r="L53" s="4">
        <v>19.600000000000001</v>
      </c>
      <c r="M53" s="4">
        <v>16.399999999999999</v>
      </c>
      <c r="N53" s="4">
        <v>13</v>
      </c>
      <c r="O53" s="4">
        <v>84.9</v>
      </c>
      <c r="P53" s="13">
        <v>6457</v>
      </c>
      <c r="Q53" s="4">
        <v>18</v>
      </c>
      <c r="R53" s="4">
        <v>17.899999999999999</v>
      </c>
      <c r="S53" s="4">
        <v>19.600000000000001</v>
      </c>
      <c r="T53" s="4">
        <v>17.100000000000001</v>
      </c>
      <c r="U53" s="4">
        <v>12.8</v>
      </c>
      <c r="V53" s="4">
        <v>85.4</v>
      </c>
      <c r="W53" s="13">
        <v>18150</v>
      </c>
      <c r="X53" s="14"/>
      <c r="Y53" s="14"/>
      <c r="Z53" s="14"/>
      <c r="AA53" s="74"/>
      <c r="AB53" s="74"/>
      <c r="AC53" s="74"/>
      <c r="AD53" s="74"/>
      <c r="AE53" s="74"/>
      <c r="AF53" s="74"/>
      <c r="AG53" s="74"/>
      <c r="AH53" s="74"/>
      <c r="AI53" s="74"/>
      <c r="AJ53" s="74"/>
      <c r="AK53" s="74"/>
      <c r="AL53" s="74"/>
      <c r="AM53" s="74"/>
      <c r="AN53" s="74"/>
      <c r="AO53" s="74"/>
      <c r="AP53" s="74"/>
      <c r="AQ53" s="74"/>
      <c r="AR53" s="74"/>
      <c r="AS53" s="74"/>
      <c r="AT53" s="74"/>
      <c r="AU53" s="74"/>
      <c r="AW53" s="77"/>
      <c r="AX53" s="77"/>
      <c r="AY53" s="77"/>
      <c r="AZ53" s="77"/>
      <c r="BA53" s="77"/>
      <c r="BB53" s="77"/>
      <c r="BC53" s="77"/>
      <c r="BD53" s="77"/>
      <c r="BE53" s="77"/>
      <c r="BF53" s="77"/>
      <c r="BG53" s="77"/>
      <c r="BH53" s="77"/>
      <c r="BI53" s="77"/>
      <c r="BJ53" s="77"/>
      <c r="BK53" s="77"/>
      <c r="BL53" s="77"/>
      <c r="BM53" s="77"/>
      <c r="BN53" s="77"/>
      <c r="BO53" s="77"/>
      <c r="BP53" s="77"/>
      <c r="BQ53" s="77"/>
    </row>
    <row r="54" spans="1:69" x14ac:dyDescent="0.2">
      <c r="A54" s="14"/>
      <c r="B54" s="10" t="s">
        <v>13</v>
      </c>
      <c r="C54" s="4">
        <v>13.1</v>
      </c>
      <c r="D54" s="4">
        <v>20.9</v>
      </c>
      <c r="E54" s="4">
        <v>23.8</v>
      </c>
      <c r="F54" s="4">
        <v>19.8</v>
      </c>
      <c r="G54" s="4">
        <v>13.1</v>
      </c>
      <c r="H54" s="4">
        <v>90.7</v>
      </c>
      <c r="I54" s="13">
        <v>21003</v>
      </c>
      <c r="J54" s="4">
        <v>18</v>
      </c>
      <c r="K54" s="4">
        <v>23.3</v>
      </c>
      <c r="L54" s="4">
        <v>22.6</v>
      </c>
      <c r="M54" s="4">
        <v>17.3</v>
      </c>
      <c r="N54" s="4">
        <v>11.3</v>
      </c>
      <c r="O54" s="4">
        <v>92.5</v>
      </c>
      <c r="P54" s="13">
        <v>17829</v>
      </c>
      <c r="Q54" s="4">
        <v>15.4</v>
      </c>
      <c r="R54" s="4">
        <v>22</v>
      </c>
      <c r="S54" s="4">
        <v>23.3</v>
      </c>
      <c r="T54" s="4">
        <v>18.7</v>
      </c>
      <c r="U54" s="4">
        <v>12.2</v>
      </c>
      <c r="V54" s="4">
        <v>91.5</v>
      </c>
      <c r="W54" s="13">
        <v>38832</v>
      </c>
      <c r="X54" s="14"/>
      <c r="Y54" s="14"/>
      <c r="Z54" s="14"/>
      <c r="AA54" s="74"/>
      <c r="AB54" s="74"/>
      <c r="AC54" s="74"/>
      <c r="AD54" s="74"/>
      <c r="AE54" s="74"/>
      <c r="AF54" s="74"/>
      <c r="AG54" s="74"/>
      <c r="AH54" s="74"/>
      <c r="AI54" s="74"/>
      <c r="AJ54" s="74"/>
      <c r="AK54" s="74"/>
      <c r="AL54" s="74"/>
      <c r="AM54" s="74"/>
      <c r="AN54" s="74"/>
      <c r="AO54" s="74"/>
      <c r="AP54" s="74"/>
      <c r="AQ54" s="74"/>
      <c r="AR54" s="74"/>
      <c r="AS54" s="74"/>
      <c r="AT54" s="74"/>
      <c r="AU54" s="74"/>
      <c r="AW54" s="77"/>
      <c r="AX54" s="77"/>
      <c r="AY54" s="77"/>
      <c r="AZ54" s="77"/>
      <c r="BA54" s="77"/>
      <c r="BB54" s="77"/>
      <c r="BC54" s="77"/>
      <c r="BD54" s="77"/>
      <c r="BE54" s="77"/>
      <c r="BF54" s="77"/>
      <c r="BG54" s="77"/>
      <c r="BH54" s="77"/>
      <c r="BI54" s="77"/>
      <c r="BJ54" s="77"/>
      <c r="BK54" s="77"/>
      <c r="BL54" s="77"/>
      <c r="BM54" s="77"/>
      <c r="BN54" s="77"/>
      <c r="BO54" s="77"/>
      <c r="BP54" s="77"/>
      <c r="BQ54" s="77"/>
    </row>
    <row r="55" spans="1:69" x14ac:dyDescent="0.2">
      <c r="A55" s="14"/>
      <c r="B55" s="10" t="s">
        <v>14</v>
      </c>
      <c r="C55" s="4">
        <v>19.7</v>
      </c>
      <c r="D55" s="4">
        <v>22.7</v>
      </c>
      <c r="E55" s="4">
        <v>22.2</v>
      </c>
      <c r="F55" s="4">
        <v>17</v>
      </c>
      <c r="G55" s="4">
        <v>9.4</v>
      </c>
      <c r="H55" s="4">
        <v>91</v>
      </c>
      <c r="I55" s="13">
        <v>4448</v>
      </c>
      <c r="J55" s="4">
        <v>19.399999999999999</v>
      </c>
      <c r="K55" s="4">
        <v>22.9</v>
      </c>
      <c r="L55" s="4">
        <v>22.3</v>
      </c>
      <c r="M55" s="4">
        <v>17</v>
      </c>
      <c r="N55" s="4">
        <v>9.8000000000000007</v>
      </c>
      <c r="O55" s="4">
        <v>91.4</v>
      </c>
      <c r="P55" s="13">
        <v>3301</v>
      </c>
      <c r="Q55" s="4">
        <v>19.600000000000001</v>
      </c>
      <c r="R55" s="4">
        <v>22.8</v>
      </c>
      <c r="S55" s="4">
        <v>22.2</v>
      </c>
      <c r="T55" s="4">
        <v>17</v>
      </c>
      <c r="U55" s="4">
        <v>9.6</v>
      </c>
      <c r="V55" s="4">
        <v>91.2</v>
      </c>
      <c r="W55" s="13">
        <v>7749</v>
      </c>
      <c r="X55" s="14"/>
      <c r="Y55" s="14"/>
      <c r="Z55" s="14"/>
      <c r="AA55" s="74"/>
      <c r="AB55" s="74"/>
      <c r="AC55" s="74"/>
      <c r="AD55" s="74"/>
      <c r="AE55" s="74"/>
      <c r="AF55" s="74"/>
      <c r="AG55" s="74"/>
      <c r="AH55" s="74"/>
      <c r="AI55" s="74"/>
      <c r="AJ55" s="74"/>
      <c r="AK55" s="74"/>
      <c r="AL55" s="74"/>
      <c r="AM55" s="74"/>
      <c r="AN55" s="74"/>
      <c r="AO55" s="74"/>
      <c r="AP55" s="74"/>
      <c r="AQ55" s="74"/>
      <c r="AR55" s="74"/>
      <c r="AS55" s="74"/>
      <c r="AT55" s="74"/>
      <c r="AU55" s="74"/>
      <c r="AW55" s="77"/>
      <c r="AX55" s="77"/>
      <c r="AY55" s="77"/>
      <c r="AZ55" s="77"/>
      <c r="BA55" s="77"/>
      <c r="BB55" s="77"/>
      <c r="BC55" s="77"/>
      <c r="BD55" s="77"/>
      <c r="BE55" s="77"/>
      <c r="BF55" s="77"/>
      <c r="BG55" s="77"/>
      <c r="BH55" s="77"/>
      <c r="BI55" s="77"/>
      <c r="BJ55" s="77"/>
      <c r="BK55" s="77"/>
      <c r="BL55" s="77"/>
      <c r="BM55" s="77"/>
      <c r="BN55" s="77"/>
      <c r="BO55" s="77"/>
      <c r="BP55" s="77"/>
      <c r="BQ55" s="77"/>
    </row>
    <row r="56" spans="1:69" x14ac:dyDescent="0.2">
      <c r="A56" s="14"/>
      <c r="B56" s="10" t="s">
        <v>15</v>
      </c>
      <c r="C56" s="4">
        <v>16.100000000000001</v>
      </c>
      <c r="D56" s="4">
        <v>19.899999999999999</v>
      </c>
      <c r="E56" s="4">
        <v>21.4</v>
      </c>
      <c r="F56" s="4">
        <v>18.2</v>
      </c>
      <c r="G56" s="4">
        <v>12.3</v>
      </c>
      <c r="H56" s="4">
        <v>87.9</v>
      </c>
      <c r="I56" s="13">
        <v>15483</v>
      </c>
      <c r="J56" s="4">
        <v>15.4</v>
      </c>
      <c r="K56" s="4">
        <v>19.100000000000001</v>
      </c>
      <c r="L56" s="4">
        <v>20.6</v>
      </c>
      <c r="M56" s="4">
        <v>19.3</v>
      </c>
      <c r="N56" s="4">
        <v>13</v>
      </c>
      <c r="O56" s="4">
        <v>87.3</v>
      </c>
      <c r="P56" s="13">
        <v>18954</v>
      </c>
      <c r="Q56" s="4">
        <v>15.7</v>
      </c>
      <c r="R56" s="4">
        <v>19.399999999999999</v>
      </c>
      <c r="S56" s="4">
        <v>21</v>
      </c>
      <c r="T56" s="4">
        <v>18.8</v>
      </c>
      <c r="U56" s="4">
        <v>12.7</v>
      </c>
      <c r="V56" s="4">
        <v>87.6</v>
      </c>
      <c r="W56" s="13">
        <v>34437</v>
      </c>
      <c r="X56" s="14"/>
      <c r="Y56" s="14"/>
      <c r="Z56" s="14"/>
      <c r="AA56" s="74"/>
      <c r="AB56" s="74"/>
      <c r="AC56" s="74"/>
      <c r="AD56" s="74"/>
      <c r="AE56" s="74"/>
      <c r="AF56" s="74"/>
      <c r="AG56" s="74"/>
      <c r="AH56" s="74"/>
      <c r="AI56" s="74"/>
      <c r="AJ56" s="74"/>
      <c r="AK56" s="74"/>
      <c r="AL56" s="74"/>
      <c r="AM56" s="74"/>
      <c r="AN56" s="74"/>
      <c r="AO56" s="74"/>
      <c r="AP56" s="74"/>
      <c r="AQ56" s="74"/>
      <c r="AR56" s="74"/>
      <c r="AS56" s="74"/>
      <c r="AT56" s="74"/>
      <c r="AU56" s="74"/>
      <c r="AW56" s="77"/>
      <c r="AX56" s="77"/>
      <c r="AY56" s="77"/>
      <c r="AZ56" s="77"/>
      <c r="BA56" s="77"/>
      <c r="BB56" s="77"/>
      <c r="BC56" s="77"/>
      <c r="BD56" s="77"/>
      <c r="BE56" s="77"/>
      <c r="BF56" s="77"/>
      <c r="BG56" s="77"/>
      <c r="BH56" s="77"/>
      <c r="BI56" s="77"/>
      <c r="BJ56" s="77"/>
      <c r="BK56" s="77"/>
      <c r="BL56" s="77"/>
      <c r="BM56" s="77"/>
      <c r="BN56" s="77"/>
      <c r="BO56" s="77"/>
      <c r="BP56" s="77"/>
      <c r="BQ56" s="77"/>
    </row>
    <row r="57" spans="1:69" x14ac:dyDescent="0.2">
      <c r="A57" s="14"/>
      <c r="B57" s="10" t="s">
        <v>16</v>
      </c>
      <c r="C57" s="4">
        <v>9.6999999999999993</v>
      </c>
      <c r="D57" s="4">
        <v>11.4</v>
      </c>
      <c r="E57" s="4">
        <v>16.2</v>
      </c>
      <c r="F57" s="4">
        <v>17.899999999999999</v>
      </c>
      <c r="G57" s="4">
        <v>15.8</v>
      </c>
      <c r="H57" s="4">
        <v>71</v>
      </c>
      <c r="I57" s="13">
        <v>2931</v>
      </c>
      <c r="J57" s="4">
        <v>11.6</v>
      </c>
      <c r="K57" s="4">
        <v>12.6</v>
      </c>
      <c r="L57" s="4">
        <v>17.3</v>
      </c>
      <c r="M57" s="4">
        <v>17.5</v>
      </c>
      <c r="N57" s="4">
        <v>15.7</v>
      </c>
      <c r="O57" s="4">
        <v>74.7</v>
      </c>
      <c r="P57" s="13">
        <v>4174</v>
      </c>
      <c r="Q57" s="4">
        <v>10.8</v>
      </c>
      <c r="R57" s="4">
        <v>12.1</v>
      </c>
      <c r="S57" s="4">
        <v>16.899999999999999</v>
      </c>
      <c r="T57" s="4">
        <v>17.600000000000001</v>
      </c>
      <c r="U57" s="4">
        <v>15.7</v>
      </c>
      <c r="V57" s="4">
        <v>73.2</v>
      </c>
      <c r="W57" s="13">
        <v>7105</v>
      </c>
      <c r="X57" s="14"/>
      <c r="Y57" s="14"/>
      <c r="Z57" s="14"/>
      <c r="AA57" s="74"/>
      <c r="AB57" s="74"/>
      <c r="AC57" s="74"/>
      <c r="AD57" s="74"/>
      <c r="AE57" s="74"/>
      <c r="AF57" s="74"/>
      <c r="AG57" s="74"/>
      <c r="AH57" s="74"/>
      <c r="AI57" s="74"/>
      <c r="AJ57" s="74"/>
      <c r="AK57" s="74"/>
      <c r="AL57" s="74"/>
      <c r="AM57" s="74"/>
      <c r="AN57" s="74"/>
      <c r="AO57" s="74"/>
      <c r="AP57" s="74"/>
      <c r="AQ57" s="74"/>
      <c r="AR57" s="74"/>
      <c r="AS57" s="74"/>
      <c r="AT57" s="74"/>
      <c r="AU57" s="74"/>
      <c r="AW57" s="77"/>
      <c r="AX57" s="77"/>
      <c r="AY57" s="77"/>
      <c r="AZ57" s="77"/>
      <c r="BA57" s="77"/>
      <c r="BB57" s="77"/>
      <c r="BC57" s="77"/>
      <c r="BD57" s="77"/>
      <c r="BE57" s="77"/>
      <c r="BF57" s="77"/>
      <c r="BG57" s="77"/>
      <c r="BH57" s="77"/>
      <c r="BI57" s="77"/>
      <c r="BJ57" s="77"/>
      <c r="BK57" s="77"/>
      <c r="BL57" s="77"/>
      <c r="BM57" s="77"/>
      <c r="BN57" s="77"/>
      <c r="BO57" s="77"/>
      <c r="BP57" s="77"/>
      <c r="BQ57" s="77"/>
    </row>
    <row r="58" spans="1:69" x14ac:dyDescent="0.2">
      <c r="A58" s="14"/>
      <c r="B58" s="10" t="s">
        <v>17</v>
      </c>
      <c r="C58" s="4">
        <v>7.6</v>
      </c>
      <c r="D58" s="4">
        <v>13.9</v>
      </c>
      <c r="E58" s="4">
        <v>19</v>
      </c>
      <c r="F58" s="4">
        <v>19.899999999999999</v>
      </c>
      <c r="G58" s="4">
        <v>17.100000000000001</v>
      </c>
      <c r="H58" s="4">
        <v>77.5</v>
      </c>
      <c r="I58" s="13">
        <v>5674</v>
      </c>
      <c r="J58" s="4">
        <v>13.2</v>
      </c>
      <c r="K58" s="4">
        <v>19.2</v>
      </c>
      <c r="L58" s="4">
        <v>22</v>
      </c>
      <c r="M58" s="4">
        <v>18.899999999999999</v>
      </c>
      <c r="N58" s="4">
        <v>13.9</v>
      </c>
      <c r="O58" s="4">
        <v>87.2</v>
      </c>
      <c r="P58" s="13">
        <v>18205</v>
      </c>
      <c r="Q58" s="4">
        <v>11.9</v>
      </c>
      <c r="R58" s="4">
        <v>17.899999999999999</v>
      </c>
      <c r="S58" s="4">
        <v>21.3</v>
      </c>
      <c r="T58" s="4">
        <v>19.100000000000001</v>
      </c>
      <c r="U58" s="4">
        <v>14.6</v>
      </c>
      <c r="V58" s="4">
        <v>84.8</v>
      </c>
      <c r="W58" s="13">
        <v>23879</v>
      </c>
      <c r="X58" s="14"/>
      <c r="Y58" s="14"/>
      <c r="Z58" s="14"/>
      <c r="AA58" s="74"/>
      <c r="AB58" s="74"/>
      <c r="AC58" s="74"/>
      <c r="AD58" s="74"/>
      <c r="AE58" s="74"/>
      <c r="AF58" s="74"/>
      <c r="AG58" s="74"/>
      <c r="AH58" s="74"/>
      <c r="AI58" s="74"/>
      <c r="AJ58" s="74"/>
      <c r="AK58" s="74"/>
      <c r="AL58" s="74"/>
      <c r="AM58" s="74"/>
      <c r="AN58" s="74"/>
      <c r="AO58" s="74"/>
      <c r="AP58" s="74"/>
      <c r="AQ58" s="74"/>
      <c r="AR58" s="74"/>
      <c r="AS58" s="74"/>
      <c r="AT58" s="74"/>
      <c r="AU58" s="74"/>
      <c r="AW58" s="77"/>
      <c r="AX58" s="77"/>
      <c r="AY58" s="77"/>
      <c r="AZ58" s="77"/>
      <c r="BA58" s="77"/>
      <c r="BB58" s="77"/>
      <c r="BC58" s="77"/>
      <c r="BD58" s="77"/>
      <c r="BE58" s="77"/>
      <c r="BF58" s="77"/>
      <c r="BG58" s="77"/>
      <c r="BH58" s="77"/>
      <c r="BI58" s="77"/>
      <c r="BJ58" s="77"/>
      <c r="BK58" s="77"/>
      <c r="BL58" s="77"/>
      <c r="BM58" s="77"/>
      <c r="BN58" s="77"/>
      <c r="BO58" s="77"/>
      <c r="BP58" s="77"/>
      <c r="BQ58" s="77"/>
    </row>
    <row r="59" spans="1:69" x14ac:dyDescent="0.2">
      <c r="A59" s="14"/>
      <c r="B59" s="10" t="s">
        <v>18</v>
      </c>
      <c r="C59" s="4">
        <v>10.7</v>
      </c>
      <c r="D59" s="4">
        <v>17.5</v>
      </c>
      <c r="E59" s="4">
        <v>19</v>
      </c>
      <c r="F59" s="4">
        <v>16.100000000000001</v>
      </c>
      <c r="G59" s="4">
        <v>15.5</v>
      </c>
      <c r="H59" s="4">
        <v>78.900000000000006</v>
      </c>
      <c r="I59" s="13">
        <v>4843</v>
      </c>
      <c r="J59" s="4">
        <v>13.5</v>
      </c>
      <c r="K59" s="4">
        <v>19.7</v>
      </c>
      <c r="L59" s="4">
        <v>19.899999999999999</v>
      </c>
      <c r="M59" s="4">
        <v>16.899999999999999</v>
      </c>
      <c r="N59" s="4">
        <v>13.4</v>
      </c>
      <c r="O59" s="4">
        <v>83.5</v>
      </c>
      <c r="P59" s="13">
        <v>16071</v>
      </c>
      <c r="Q59" s="4">
        <v>12.9</v>
      </c>
      <c r="R59" s="4">
        <v>19.2</v>
      </c>
      <c r="S59" s="4">
        <v>19.7</v>
      </c>
      <c r="T59" s="4">
        <v>16.7</v>
      </c>
      <c r="U59" s="4">
        <v>13.9</v>
      </c>
      <c r="V59" s="4">
        <v>82.4</v>
      </c>
      <c r="W59" s="13">
        <v>20914</v>
      </c>
      <c r="X59" s="14"/>
      <c r="Y59" s="14"/>
      <c r="Z59" s="14"/>
      <c r="AA59" s="74"/>
      <c r="AB59" s="74"/>
      <c r="AC59" s="74"/>
      <c r="AD59" s="74"/>
      <c r="AE59" s="74"/>
      <c r="AF59" s="74"/>
      <c r="AG59" s="74"/>
      <c r="AH59" s="74"/>
      <c r="AI59" s="74"/>
      <c r="AJ59" s="74"/>
      <c r="AK59" s="74"/>
      <c r="AL59" s="74"/>
      <c r="AM59" s="74"/>
      <c r="AN59" s="74"/>
      <c r="AO59" s="74"/>
      <c r="AP59" s="74"/>
      <c r="AQ59" s="74"/>
      <c r="AR59" s="74"/>
      <c r="AS59" s="74"/>
      <c r="AT59" s="74"/>
      <c r="AU59" s="74"/>
      <c r="AW59" s="77"/>
      <c r="AX59" s="77"/>
      <c r="AY59" s="77"/>
      <c r="AZ59" s="77"/>
      <c r="BA59" s="77"/>
      <c r="BB59" s="77"/>
      <c r="BC59" s="77"/>
      <c r="BD59" s="77"/>
      <c r="BE59" s="77"/>
      <c r="BF59" s="77"/>
      <c r="BG59" s="77"/>
      <c r="BH59" s="77"/>
      <c r="BI59" s="77"/>
      <c r="BJ59" s="77"/>
      <c r="BK59" s="77"/>
      <c r="BL59" s="77"/>
      <c r="BM59" s="77"/>
      <c r="BN59" s="77"/>
      <c r="BO59" s="77"/>
      <c r="BP59" s="77"/>
      <c r="BQ59" s="77"/>
    </row>
    <row r="60" spans="1:69" x14ac:dyDescent="0.2">
      <c r="A60" s="14"/>
      <c r="B60" s="10" t="s">
        <v>19</v>
      </c>
      <c r="C60" s="4">
        <v>11.7</v>
      </c>
      <c r="D60" s="4">
        <v>15</v>
      </c>
      <c r="E60" s="4">
        <v>15</v>
      </c>
      <c r="F60" s="4">
        <v>19.5</v>
      </c>
      <c r="G60" s="4">
        <v>13.5</v>
      </c>
      <c r="H60" s="4">
        <v>74.599999999999994</v>
      </c>
      <c r="I60" s="13">
        <v>615</v>
      </c>
      <c r="J60" s="4">
        <v>13.7</v>
      </c>
      <c r="K60" s="4">
        <v>16.2</v>
      </c>
      <c r="L60" s="4">
        <v>15</v>
      </c>
      <c r="M60" s="4">
        <v>18.100000000000001</v>
      </c>
      <c r="N60" s="4">
        <v>13.9</v>
      </c>
      <c r="O60" s="4">
        <v>76.8</v>
      </c>
      <c r="P60" s="13">
        <v>642</v>
      </c>
      <c r="Q60" s="4">
        <v>12.7</v>
      </c>
      <c r="R60" s="4">
        <v>15.6</v>
      </c>
      <c r="S60" s="4">
        <v>15</v>
      </c>
      <c r="T60" s="4">
        <v>18.8</v>
      </c>
      <c r="U60" s="4">
        <v>13.7</v>
      </c>
      <c r="V60" s="4">
        <v>75.7</v>
      </c>
      <c r="W60" s="13">
        <v>1257</v>
      </c>
      <c r="X60" s="14"/>
      <c r="Y60" s="14"/>
      <c r="Z60" s="14"/>
      <c r="AA60" s="74"/>
      <c r="AB60" s="74"/>
      <c r="AC60" s="74"/>
      <c r="AD60" s="74"/>
      <c r="AE60" s="74"/>
      <c r="AF60" s="74"/>
      <c r="AG60" s="74"/>
      <c r="AH60" s="74"/>
      <c r="AI60" s="74"/>
      <c r="AJ60" s="74"/>
      <c r="AK60" s="74"/>
      <c r="AL60" s="74"/>
      <c r="AM60" s="74"/>
      <c r="AN60" s="74"/>
      <c r="AO60" s="74"/>
      <c r="AP60" s="74"/>
      <c r="AQ60" s="74"/>
      <c r="AR60" s="74"/>
      <c r="AS60" s="74"/>
      <c r="AT60" s="74"/>
      <c r="AU60" s="74"/>
      <c r="AW60" s="77"/>
      <c r="AX60" s="77"/>
      <c r="AY60" s="77"/>
      <c r="AZ60" s="77"/>
      <c r="BA60" s="77"/>
      <c r="BB60" s="77"/>
      <c r="BC60" s="77"/>
      <c r="BD60" s="77"/>
      <c r="BE60" s="77"/>
      <c r="BF60" s="77"/>
      <c r="BG60" s="77"/>
      <c r="BH60" s="77"/>
      <c r="BI60" s="77"/>
      <c r="BJ60" s="77"/>
      <c r="BK60" s="77"/>
      <c r="BL60" s="77"/>
      <c r="BM60" s="77"/>
      <c r="BN60" s="77"/>
      <c r="BO60" s="77"/>
      <c r="BP60" s="77"/>
      <c r="BQ60" s="77"/>
    </row>
    <row r="61" spans="1:69" x14ac:dyDescent="0.2">
      <c r="A61" s="14"/>
      <c r="B61" s="10" t="s">
        <v>20</v>
      </c>
      <c r="C61" s="4">
        <v>19.2</v>
      </c>
      <c r="D61" s="4">
        <v>18.2</v>
      </c>
      <c r="E61" s="4">
        <v>22.6</v>
      </c>
      <c r="F61" s="4">
        <v>18.8</v>
      </c>
      <c r="G61" s="4">
        <v>12.2</v>
      </c>
      <c r="H61" s="4">
        <v>91</v>
      </c>
      <c r="I61" s="13">
        <v>12938</v>
      </c>
      <c r="J61" s="4">
        <v>23.9</v>
      </c>
      <c r="K61" s="4">
        <v>20.6</v>
      </c>
      <c r="L61" s="4">
        <v>23.8</v>
      </c>
      <c r="M61" s="4">
        <v>17.2</v>
      </c>
      <c r="N61" s="4">
        <v>8.9</v>
      </c>
      <c r="O61" s="4">
        <v>94.4</v>
      </c>
      <c r="P61" s="13">
        <v>20877</v>
      </c>
      <c r="Q61" s="4">
        <v>22.1</v>
      </c>
      <c r="R61" s="4">
        <v>19.7</v>
      </c>
      <c r="S61" s="4">
        <v>23.3</v>
      </c>
      <c r="T61" s="4">
        <v>17.8</v>
      </c>
      <c r="U61" s="4">
        <v>10.199999999999999</v>
      </c>
      <c r="V61" s="4">
        <v>93.1</v>
      </c>
      <c r="W61" s="13">
        <v>33815</v>
      </c>
      <c r="X61" s="14"/>
      <c r="Y61" s="14"/>
      <c r="Z61" s="14"/>
      <c r="AA61" s="74"/>
      <c r="AB61" s="74"/>
      <c r="AC61" s="74"/>
      <c r="AD61" s="74"/>
      <c r="AE61" s="74"/>
      <c r="AF61" s="74"/>
      <c r="AG61" s="74"/>
      <c r="AH61" s="74"/>
      <c r="AI61" s="74"/>
      <c r="AJ61" s="74"/>
      <c r="AK61" s="74"/>
      <c r="AL61" s="74"/>
      <c r="AM61" s="74"/>
      <c r="AN61" s="74"/>
      <c r="AO61" s="74"/>
      <c r="AP61" s="74"/>
      <c r="AQ61" s="74"/>
      <c r="AR61" s="74"/>
      <c r="AS61" s="74"/>
      <c r="AT61" s="74"/>
      <c r="AU61" s="74"/>
      <c r="AW61" s="77"/>
      <c r="AX61" s="77"/>
      <c r="AY61" s="77"/>
      <c r="AZ61" s="77"/>
      <c r="BA61" s="77"/>
      <c r="BB61" s="77"/>
      <c r="BC61" s="77"/>
      <c r="BD61" s="77"/>
      <c r="BE61" s="77"/>
      <c r="BF61" s="77"/>
      <c r="BG61" s="77"/>
      <c r="BH61" s="77"/>
      <c r="BI61" s="77"/>
      <c r="BJ61" s="77"/>
      <c r="BK61" s="77"/>
      <c r="BL61" s="77"/>
      <c r="BM61" s="77"/>
      <c r="BN61" s="77"/>
      <c r="BO61" s="77"/>
      <c r="BP61" s="77"/>
      <c r="BQ61" s="77"/>
    </row>
    <row r="62" spans="1:69" x14ac:dyDescent="0.2">
      <c r="A62" s="14"/>
      <c r="B62" s="10" t="s">
        <v>21</v>
      </c>
      <c r="C62" s="4">
        <v>10.4</v>
      </c>
      <c r="D62" s="4">
        <v>13.1</v>
      </c>
      <c r="E62" s="4">
        <v>22.4</v>
      </c>
      <c r="F62" s="4">
        <v>22.4</v>
      </c>
      <c r="G62" s="4">
        <v>15.2</v>
      </c>
      <c r="H62" s="4">
        <v>83.5</v>
      </c>
      <c r="I62" s="13">
        <v>2617</v>
      </c>
      <c r="J62" s="4">
        <v>13</v>
      </c>
      <c r="K62" s="4">
        <v>16.8</v>
      </c>
      <c r="L62" s="4">
        <v>25.9</v>
      </c>
      <c r="M62" s="4">
        <v>22</v>
      </c>
      <c r="N62" s="4">
        <v>12.3</v>
      </c>
      <c r="O62" s="4">
        <v>90</v>
      </c>
      <c r="P62" s="13">
        <v>7243</v>
      </c>
      <c r="Q62" s="4">
        <v>12.3</v>
      </c>
      <c r="R62" s="4">
        <v>15.8</v>
      </c>
      <c r="S62" s="4">
        <v>24.9</v>
      </c>
      <c r="T62" s="4">
        <v>22.1</v>
      </c>
      <c r="U62" s="4">
        <v>13.1</v>
      </c>
      <c r="V62" s="4">
        <v>88.3</v>
      </c>
      <c r="W62" s="13">
        <v>9860</v>
      </c>
      <c r="X62" s="14"/>
      <c r="Y62" s="14"/>
      <c r="Z62" s="14"/>
      <c r="AA62" s="74"/>
      <c r="AB62" s="74"/>
      <c r="AC62" s="74"/>
      <c r="AD62" s="74"/>
      <c r="AE62" s="74"/>
      <c r="AF62" s="74"/>
      <c r="AG62" s="74"/>
      <c r="AH62" s="74"/>
      <c r="AI62" s="74"/>
      <c r="AJ62" s="74"/>
      <c r="AK62" s="74"/>
      <c r="AL62" s="74"/>
      <c r="AM62" s="74"/>
      <c r="AN62" s="74"/>
      <c r="AO62" s="74"/>
      <c r="AP62" s="74"/>
      <c r="AQ62" s="74"/>
      <c r="AR62" s="74"/>
      <c r="AS62" s="74"/>
      <c r="AT62" s="74"/>
      <c r="AU62" s="74"/>
      <c r="AW62" s="77"/>
      <c r="AX62" s="77"/>
      <c r="AY62" s="77"/>
      <c r="AZ62" s="77"/>
      <c r="BA62" s="77"/>
      <c r="BB62" s="77"/>
      <c r="BC62" s="77"/>
      <c r="BD62" s="77"/>
      <c r="BE62" s="77"/>
      <c r="BF62" s="77"/>
      <c r="BG62" s="77"/>
      <c r="BH62" s="77"/>
      <c r="BI62" s="77"/>
      <c r="BJ62" s="77"/>
      <c r="BK62" s="77"/>
      <c r="BL62" s="77"/>
      <c r="BM62" s="77"/>
      <c r="BN62" s="77"/>
      <c r="BO62" s="77"/>
      <c r="BP62" s="77"/>
      <c r="BQ62" s="77"/>
    </row>
    <row r="63" spans="1:69" x14ac:dyDescent="0.2">
      <c r="A63" s="14"/>
      <c r="B63" s="10" t="s">
        <v>22</v>
      </c>
      <c r="C63" s="4">
        <v>15.3</v>
      </c>
      <c r="D63" s="4">
        <v>19.3</v>
      </c>
      <c r="E63" s="4">
        <v>22.7</v>
      </c>
      <c r="F63" s="4">
        <v>20.3</v>
      </c>
      <c r="G63" s="4">
        <v>13.6</v>
      </c>
      <c r="H63" s="4">
        <v>91.2</v>
      </c>
      <c r="I63" s="13">
        <v>24212</v>
      </c>
      <c r="J63" s="4">
        <v>15.1</v>
      </c>
      <c r="K63" s="4">
        <v>19.5</v>
      </c>
      <c r="L63" s="4">
        <v>23.1</v>
      </c>
      <c r="M63" s="4">
        <v>21.3</v>
      </c>
      <c r="N63" s="4">
        <v>13.4</v>
      </c>
      <c r="O63" s="4">
        <v>92.4</v>
      </c>
      <c r="P63" s="13">
        <v>56334</v>
      </c>
      <c r="Q63" s="4">
        <v>15.2</v>
      </c>
      <c r="R63" s="4">
        <v>19.5</v>
      </c>
      <c r="S63" s="4">
        <v>23</v>
      </c>
      <c r="T63" s="4">
        <v>21</v>
      </c>
      <c r="U63" s="4">
        <v>13.4</v>
      </c>
      <c r="V63" s="4">
        <v>92.1</v>
      </c>
      <c r="W63" s="13">
        <v>80546</v>
      </c>
      <c r="X63" s="14"/>
      <c r="Y63" s="14"/>
      <c r="Z63" s="14"/>
      <c r="AA63" s="74"/>
      <c r="AB63" s="74"/>
      <c r="AC63" s="74"/>
      <c r="AD63" s="74"/>
      <c r="AE63" s="74"/>
      <c r="AF63" s="74"/>
      <c r="AG63" s="74"/>
      <c r="AH63" s="74"/>
      <c r="AI63" s="74"/>
      <c r="AJ63" s="74"/>
      <c r="AK63" s="74"/>
      <c r="AL63" s="74"/>
      <c r="AM63" s="74"/>
      <c r="AN63" s="74"/>
      <c r="AO63" s="74"/>
      <c r="AP63" s="74"/>
      <c r="AQ63" s="74"/>
      <c r="AR63" s="74"/>
      <c r="AS63" s="74"/>
      <c r="AT63" s="74"/>
      <c r="AU63" s="74"/>
      <c r="AW63" s="77"/>
      <c r="AX63" s="77"/>
      <c r="AY63" s="77"/>
      <c r="AZ63" s="77"/>
      <c r="BA63" s="77"/>
      <c r="BB63" s="77"/>
      <c r="BC63" s="77"/>
      <c r="BD63" s="77"/>
      <c r="BE63" s="77"/>
      <c r="BF63" s="77"/>
      <c r="BG63" s="77"/>
      <c r="BH63" s="77"/>
      <c r="BI63" s="77"/>
      <c r="BJ63" s="77"/>
      <c r="BK63" s="77"/>
      <c r="BL63" s="77"/>
      <c r="BM63" s="77"/>
      <c r="BN63" s="77"/>
      <c r="BO63" s="77"/>
      <c r="BP63" s="77"/>
      <c r="BQ63" s="77"/>
    </row>
    <row r="64" spans="1:69" x14ac:dyDescent="0.2">
      <c r="A64" s="14"/>
      <c r="B64" s="10" t="s">
        <v>51</v>
      </c>
      <c r="C64" s="4">
        <v>8.1999999999999993</v>
      </c>
      <c r="D64" s="4">
        <v>14.2</v>
      </c>
      <c r="E64" s="4">
        <v>28.4</v>
      </c>
      <c r="F64" s="4">
        <v>27.1</v>
      </c>
      <c r="G64" s="4">
        <v>14.3</v>
      </c>
      <c r="H64" s="4">
        <v>92.1</v>
      </c>
      <c r="I64" s="13">
        <v>4479</v>
      </c>
      <c r="J64" s="4">
        <v>11.3</v>
      </c>
      <c r="K64" s="4">
        <v>17</v>
      </c>
      <c r="L64" s="4">
        <v>30.6</v>
      </c>
      <c r="M64" s="4">
        <v>24.7</v>
      </c>
      <c r="N64" s="4">
        <v>11.1</v>
      </c>
      <c r="O64" s="4">
        <v>94.8</v>
      </c>
      <c r="P64" s="13">
        <v>6326</v>
      </c>
      <c r="Q64" s="4">
        <v>10</v>
      </c>
      <c r="R64" s="4">
        <v>15.9</v>
      </c>
      <c r="S64" s="4">
        <v>29.7</v>
      </c>
      <c r="T64" s="4">
        <v>25.7</v>
      </c>
      <c r="U64" s="4">
        <v>12.4</v>
      </c>
      <c r="V64" s="4">
        <v>93.7</v>
      </c>
      <c r="W64" s="13">
        <v>10805</v>
      </c>
      <c r="X64" s="14"/>
      <c r="Y64" s="14"/>
      <c r="Z64" s="14"/>
      <c r="AA64" s="74"/>
      <c r="AB64" s="74"/>
      <c r="AC64" s="74"/>
      <c r="AD64" s="74"/>
      <c r="AE64" s="74"/>
      <c r="AF64" s="74"/>
      <c r="AG64" s="74"/>
      <c r="AH64" s="74"/>
      <c r="AI64" s="74"/>
      <c r="AJ64" s="74"/>
      <c r="AK64" s="74"/>
      <c r="AL64" s="74"/>
      <c r="AM64" s="74"/>
      <c r="AN64" s="74"/>
      <c r="AO64" s="74"/>
      <c r="AP64" s="74"/>
      <c r="AQ64" s="74"/>
      <c r="AR64" s="74"/>
      <c r="AS64" s="74"/>
      <c r="AT64" s="74"/>
      <c r="AU64" s="74"/>
      <c r="AW64" s="77"/>
      <c r="AX64" s="77"/>
      <c r="AY64" s="77"/>
      <c r="AZ64" s="77"/>
      <c r="BA64" s="77"/>
      <c r="BB64" s="77"/>
      <c r="BC64" s="77"/>
      <c r="BD64" s="77"/>
      <c r="BE64" s="77"/>
      <c r="BF64" s="77"/>
      <c r="BG64" s="77"/>
      <c r="BH64" s="77"/>
      <c r="BI64" s="77"/>
      <c r="BJ64" s="77"/>
      <c r="BK64" s="77"/>
      <c r="BL64" s="77"/>
      <c r="BM64" s="77"/>
      <c r="BN64" s="77"/>
      <c r="BO64" s="77"/>
      <c r="BP64" s="77"/>
      <c r="BQ64" s="77"/>
    </row>
    <row r="65" spans="1:69" x14ac:dyDescent="0.2">
      <c r="A65" s="14"/>
      <c r="B65" s="10" t="s">
        <v>23</v>
      </c>
      <c r="C65" s="4">
        <v>6.8</v>
      </c>
      <c r="D65" s="4">
        <v>15.7</v>
      </c>
      <c r="E65" s="4">
        <v>19.2</v>
      </c>
      <c r="F65" s="4">
        <v>20.399999999999999</v>
      </c>
      <c r="G65" s="4">
        <v>14.8</v>
      </c>
      <c r="H65" s="4">
        <v>77</v>
      </c>
      <c r="I65" s="13">
        <v>2573</v>
      </c>
      <c r="J65" s="4">
        <v>11.9</v>
      </c>
      <c r="K65" s="4">
        <v>21.2</v>
      </c>
      <c r="L65" s="4">
        <v>25.7</v>
      </c>
      <c r="M65" s="4">
        <v>19.2</v>
      </c>
      <c r="N65" s="4">
        <v>10.6</v>
      </c>
      <c r="O65" s="4">
        <v>88.6</v>
      </c>
      <c r="P65" s="13">
        <v>5131</v>
      </c>
      <c r="Q65" s="4">
        <v>10.199999999999999</v>
      </c>
      <c r="R65" s="4">
        <v>19.399999999999999</v>
      </c>
      <c r="S65" s="4">
        <v>23.6</v>
      </c>
      <c r="T65" s="4">
        <v>19.600000000000001</v>
      </c>
      <c r="U65" s="4">
        <v>12</v>
      </c>
      <c r="V65" s="4">
        <v>84.7</v>
      </c>
      <c r="W65" s="13">
        <v>7704</v>
      </c>
      <c r="X65" s="14"/>
      <c r="Y65" s="14"/>
      <c r="Z65" s="14"/>
      <c r="AA65" s="74"/>
      <c r="AB65" s="74"/>
      <c r="AC65" s="74"/>
      <c r="AD65" s="74"/>
      <c r="AE65" s="74"/>
      <c r="AF65" s="74"/>
      <c r="AG65" s="74"/>
      <c r="AH65" s="74"/>
      <c r="AI65" s="74"/>
      <c r="AJ65" s="74"/>
      <c r="AK65" s="74"/>
      <c r="AL65" s="74"/>
      <c r="AM65" s="74"/>
      <c r="AN65" s="74"/>
      <c r="AO65" s="74"/>
      <c r="AP65" s="74"/>
      <c r="AQ65" s="74"/>
      <c r="AR65" s="74"/>
      <c r="AS65" s="74"/>
      <c r="AT65" s="74"/>
      <c r="AU65" s="74"/>
      <c r="AW65" s="77"/>
      <c r="AX65" s="77"/>
      <c r="AY65" s="77"/>
      <c r="AZ65" s="77"/>
      <c r="BA65" s="77"/>
      <c r="BB65" s="77"/>
      <c r="BC65" s="77"/>
      <c r="BD65" s="77"/>
      <c r="BE65" s="77"/>
      <c r="BF65" s="77"/>
      <c r="BG65" s="77"/>
      <c r="BH65" s="77"/>
      <c r="BI65" s="77"/>
      <c r="BJ65" s="77"/>
      <c r="BK65" s="77"/>
      <c r="BL65" s="77"/>
      <c r="BM65" s="77"/>
      <c r="BN65" s="77"/>
      <c r="BO65" s="77"/>
      <c r="BP65" s="77"/>
      <c r="BQ65" s="77"/>
    </row>
    <row r="66" spans="1:69" x14ac:dyDescent="0.2">
      <c r="A66" s="14"/>
      <c r="B66" s="10" t="s">
        <v>24</v>
      </c>
      <c r="C66" s="4">
        <v>24.6</v>
      </c>
      <c r="D66" s="4">
        <v>21.2</v>
      </c>
      <c r="E66" s="4">
        <v>19.8</v>
      </c>
      <c r="F66" s="4">
        <v>17.3</v>
      </c>
      <c r="G66" s="4">
        <v>10.3</v>
      </c>
      <c r="H66" s="4">
        <v>93.2</v>
      </c>
      <c r="I66" s="13">
        <v>5899</v>
      </c>
      <c r="J66" s="4">
        <v>20.7</v>
      </c>
      <c r="K66" s="4">
        <v>20.7</v>
      </c>
      <c r="L66" s="4">
        <v>19.399999999999999</v>
      </c>
      <c r="M66" s="4">
        <v>17.5</v>
      </c>
      <c r="N66" s="4">
        <v>12.5</v>
      </c>
      <c r="O66" s="4">
        <v>90.8</v>
      </c>
      <c r="P66" s="13">
        <v>13730</v>
      </c>
      <c r="Q66" s="4">
        <v>21.9</v>
      </c>
      <c r="R66" s="4">
        <v>20.9</v>
      </c>
      <c r="S66" s="4">
        <v>19.5</v>
      </c>
      <c r="T66" s="4">
        <v>17.399999999999999</v>
      </c>
      <c r="U66" s="4">
        <v>11.8</v>
      </c>
      <c r="V66" s="4">
        <v>91.5</v>
      </c>
      <c r="W66" s="13">
        <v>19629</v>
      </c>
      <c r="X66" s="14"/>
      <c r="Y66" s="14"/>
      <c r="Z66" s="14"/>
      <c r="AA66" s="74"/>
      <c r="AB66" s="74"/>
      <c r="AC66" s="74"/>
      <c r="AD66" s="74"/>
      <c r="AE66" s="74"/>
      <c r="AF66" s="74"/>
      <c r="AG66" s="74"/>
      <c r="AH66" s="74"/>
      <c r="AI66" s="74"/>
      <c r="AJ66" s="74"/>
      <c r="AK66" s="74"/>
      <c r="AL66" s="74"/>
      <c r="AM66" s="74"/>
      <c r="AN66" s="74"/>
      <c r="AO66" s="74"/>
      <c r="AP66" s="74"/>
      <c r="AQ66" s="74"/>
      <c r="AR66" s="74"/>
      <c r="AS66" s="74"/>
      <c r="AT66" s="74"/>
      <c r="AU66" s="74"/>
      <c r="AW66" s="77"/>
      <c r="AX66" s="77"/>
      <c r="AY66" s="77"/>
      <c r="AZ66" s="77"/>
      <c r="BA66" s="77"/>
      <c r="BB66" s="77"/>
      <c r="BC66" s="77"/>
      <c r="BD66" s="77"/>
      <c r="BE66" s="77"/>
      <c r="BF66" s="77"/>
      <c r="BG66" s="77"/>
      <c r="BH66" s="77"/>
      <c r="BI66" s="77"/>
      <c r="BJ66" s="77"/>
      <c r="BK66" s="77"/>
      <c r="BL66" s="77"/>
      <c r="BM66" s="77"/>
      <c r="BN66" s="77"/>
      <c r="BO66" s="77"/>
      <c r="BP66" s="77"/>
      <c r="BQ66" s="77"/>
    </row>
    <row r="67" spans="1:69" x14ac:dyDescent="0.2">
      <c r="A67" s="14"/>
      <c r="B67" s="10" t="s">
        <v>25</v>
      </c>
      <c r="C67" s="4">
        <v>31.2</v>
      </c>
      <c r="D67" s="4">
        <v>19.7</v>
      </c>
      <c r="E67" s="4">
        <v>19.600000000000001</v>
      </c>
      <c r="F67" s="4">
        <v>12.7</v>
      </c>
      <c r="G67" s="4">
        <v>10.8</v>
      </c>
      <c r="H67" s="4">
        <v>94</v>
      </c>
      <c r="I67" s="13">
        <v>2664</v>
      </c>
      <c r="J67" s="4">
        <v>24.7</v>
      </c>
      <c r="K67" s="4">
        <v>19.2</v>
      </c>
      <c r="L67" s="4">
        <v>19.8</v>
      </c>
      <c r="M67" s="4">
        <v>16.7</v>
      </c>
      <c r="N67" s="4">
        <v>11.3</v>
      </c>
      <c r="O67" s="4">
        <v>91.7</v>
      </c>
      <c r="P67" s="13">
        <v>6239</v>
      </c>
      <c r="Q67" s="4">
        <v>26.7</v>
      </c>
      <c r="R67" s="4">
        <v>19.3</v>
      </c>
      <c r="S67" s="4">
        <v>19.7</v>
      </c>
      <c r="T67" s="4">
        <v>15.5</v>
      </c>
      <c r="U67" s="4">
        <v>11.1</v>
      </c>
      <c r="V67" s="4">
        <v>92.4</v>
      </c>
      <c r="W67" s="13">
        <v>8903</v>
      </c>
      <c r="X67" s="14"/>
      <c r="Y67" s="14"/>
      <c r="Z67" s="14"/>
      <c r="AA67" s="74"/>
      <c r="AB67" s="74"/>
      <c r="AC67" s="74"/>
      <c r="AD67" s="74"/>
      <c r="AE67" s="74"/>
      <c r="AF67" s="74"/>
      <c r="AG67" s="74"/>
      <c r="AH67" s="74"/>
      <c r="AI67" s="74"/>
      <c r="AJ67" s="74"/>
      <c r="AK67" s="74"/>
      <c r="AL67" s="74"/>
      <c r="AM67" s="74"/>
      <c r="AN67" s="74"/>
      <c r="AO67" s="74"/>
      <c r="AP67" s="74"/>
      <c r="AQ67" s="74"/>
      <c r="AR67" s="74"/>
      <c r="AS67" s="74"/>
      <c r="AT67" s="74"/>
      <c r="AU67" s="74"/>
      <c r="AW67" s="77"/>
      <c r="AX67" s="77"/>
      <c r="AY67" s="77"/>
      <c r="AZ67" s="77"/>
      <c r="BA67" s="77"/>
      <c r="BB67" s="77"/>
      <c r="BC67" s="77"/>
      <c r="BD67" s="77"/>
      <c r="BE67" s="77"/>
      <c r="BF67" s="77"/>
      <c r="BG67" s="77"/>
      <c r="BH67" s="77"/>
      <c r="BI67" s="77"/>
      <c r="BJ67" s="77"/>
      <c r="BK67" s="77"/>
      <c r="BL67" s="77"/>
      <c r="BM67" s="77"/>
      <c r="BN67" s="77"/>
      <c r="BO67" s="77"/>
      <c r="BP67" s="77"/>
      <c r="BQ67" s="77"/>
    </row>
    <row r="68" spans="1:69" x14ac:dyDescent="0.2">
      <c r="A68" s="14"/>
      <c r="B68" s="10" t="s">
        <v>26</v>
      </c>
      <c r="C68" s="4">
        <v>26.8</v>
      </c>
      <c r="D68" s="4">
        <v>24.4</v>
      </c>
      <c r="E68" s="4">
        <v>21.9</v>
      </c>
      <c r="F68" s="4">
        <v>12.4</v>
      </c>
      <c r="G68" s="4">
        <v>8.1</v>
      </c>
      <c r="H68" s="4">
        <v>93.5</v>
      </c>
      <c r="I68" s="13">
        <v>1285</v>
      </c>
      <c r="J68" s="4">
        <v>24.7</v>
      </c>
      <c r="K68" s="4">
        <v>21.6</v>
      </c>
      <c r="L68" s="4">
        <v>19.399999999999999</v>
      </c>
      <c r="M68" s="4">
        <v>14.9</v>
      </c>
      <c r="N68" s="4">
        <v>11</v>
      </c>
      <c r="O68" s="4">
        <v>91.6</v>
      </c>
      <c r="P68" s="13">
        <v>3214</v>
      </c>
      <c r="Q68" s="4">
        <v>25.3</v>
      </c>
      <c r="R68" s="4">
        <v>22.4</v>
      </c>
      <c r="S68" s="4">
        <v>20.100000000000001</v>
      </c>
      <c r="T68" s="4">
        <v>14.2</v>
      </c>
      <c r="U68" s="4">
        <v>10.199999999999999</v>
      </c>
      <c r="V68" s="4">
        <v>92.2</v>
      </c>
      <c r="W68" s="13">
        <v>4499</v>
      </c>
      <c r="X68" s="14"/>
      <c r="Y68" s="14"/>
      <c r="Z68" s="14"/>
      <c r="AA68" s="74"/>
      <c r="AB68" s="74"/>
      <c r="AC68" s="74"/>
      <c r="AD68" s="74"/>
      <c r="AE68" s="74"/>
      <c r="AF68" s="74"/>
      <c r="AG68" s="74"/>
      <c r="AH68" s="74"/>
      <c r="AI68" s="74"/>
      <c r="AJ68" s="74"/>
      <c r="AK68" s="74"/>
      <c r="AL68" s="74"/>
      <c r="AM68" s="74"/>
      <c r="AN68" s="74"/>
      <c r="AO68" s="74"/>
      <c r="AP68" s="74"/>
      <c r="AQ68" s="74"/>
      <c r="AR68" s="74"/>
      <c r="AS68" s="74"/>
      <c r="AT68" s="74"/>
      <c r="AU68" s="74"/>
      <c r="AW68" s="77"/>
      <c r="AX68" s="77"/>
      <c r="AY68" s="77"/>
      <c r="AZ68" s="77"/>
      <c r="BA68" s="77"/>
      <c r="BB68" s="77"/>
      <c r="BC68" s="77"/>
      <c r="BD68" s="77"/>
      <c r="BE68" s="77"/>
      <c r="BF68" s="77"/>
      <c r="BG68" s="77"/>
      <c r="BH68" s="77"/>
      <c r="BI68" s="77"/>
      <c r="BJ68" s="77"/>
      <c r="BK68" s="77"/>
      <c r="BL68" s="77"/>
      <c r="BM68" s="77"/>
      <c r="BN68" s="77"/>
      <c r="BO68" s="77"/>
      <c r="BP68" s="77"/>
      <c r="BQ68" s="77"/>
    </row>
    <row r="69" spans="1:69" x14ac:dyDescent="0.2">
      <c r="A69" s="14"/>
      <c r="B69" s="10" t="s">
        <v>27</v>
      </c>
      <c r="C69" s="4">
        <v>30.5</v>
      </c>
      <c r="D69" s="4">
        <v>25.7</v>
      </c>
      <c r="E69" s="4">
        <v>17.399999999999999</v>
      </c>
      <c r="F69" s="4">
        <v>11.6</v>
      </c>
      <c r="G69" s="4">
        <v>6.1</v>
      </c>
      <c r="H69" s="4">
        <v>91.4</v>
      </c>
      <c r="I69" s="13">
        <v>1563</v>
      </c>
      <c r="J69" s="4">
        <v>34.6</v>
      </c>
      <c r="K69" s="4">
        <v>26.1</v>
      </c>
      <c r="L69" s="4">
        <v>17.2</v>
      </c>
      <c r="M69" s="4">
        <v>11.4</v>
      </c>
      <c r="N69" s="4">
        <v>4.5999999999999996</v>
      </c>
      <c r="O69" s="4">
        <v>93.8</v>
      </c>
      <c r="P69" s="13">
        <v>1894</v>
      </c>
      <c r="Q69" s="4">
        <v>32.700000000000003</v>
      </c>
      <c r="R69" s="4">
        <v>25.9</v>
      </c>
      <c r="S69" s="4">
        <v>17.3</v>
      </c>
      <c r="T69" s="4">
        <v>11.5</v>
      </c>
      <c r="U69" s="4">
        <v>5.3</v>
      </c>
      <c r="V69" s="4">
        <v>92.7</v>
      </c>
      <c r="W69" s="13">
        <v>3457</v>
      </c>
      <c r="X69" s="14"/>
      <c r="Y69" s="14"/>
      <c r="Z69" s="14"/>
      <c r="AA69" s="74"/>
      <c r="AB69" s="74"/>
      <c r="AC69" s="74"/>
      <c r="AD69" s="74"/>
      <c r="AE69" s="74"/>
      <c r="AF69" s="74"/>
      <c r="AG69" s="74"/>
      <c r="AH69" s="74"/>
      <c r="AI69" s="74"/>
      <c r="AJ69" s="74"/>
      <c r="AK69" s="74"/>
      <c r="AL69" s="74"/>
      <c r="AM69" s="74"/>
      <c r="AN69" s="74"/>
      <c r="AO69" s="74"/>
      <c r="AP69" s="74"/>
      <c r="AQ69" s="74"/>
      <c r="AR69" s="74"/>
      <c r="AS69" s="74"/>
      <c r="AT69" s="74"/>
      <c r="AU69" s="74"/>
      <c r="AW69" s="77"/>
      <c r="AX69" s="77"/>
      <c r="AY69" s="77"/>
      <c r="AZ69" s="77"/>
      <c r="BA69" s="77"/>
      <c r="BB69" s="77"/>
      <c r="BC69" s="77"/>
      <c r="BD69" s="77"/>
      <c r="BE69" s="77"/>
      <c r="BF69" s="77"/>
      <c r="BG69" s="77"/>
      <c r="BH69" s="77"/>
      <c r="BI69" s="77"/>
      <c r="BJ69" s="77"/>
      <c r="BK69" s="77"/>
      <c r="BL69" s="77"/>
      <c r="BM69" s="77"/>
      <c r="BN69" s="77"/>
      <c r="BO69" s="77"/>
      <c r="BP69" s="77"/>
      <c r="BQ69" s="77"/>
    </row>
    <row r="70" spans="1:69" x14ac:dyDescent="0.2">
      <c r="A70" s="14"/>
      <c r="B70" s="10" t="s">
        <v>28</v>
      </c>
      <c r="C70" s="4">
        <v>27.5</v>
      </c>
      <c r="D70" s="4">
        <v>21.6</v>
      </c>
      <c r="E70" s="4">
        <v>18.899999999999999</v>
      </c>
      <c r="F70" s="4">
        <v>14.4</v>
      </c>
      <c r="G70" s="4">
        <v>9.4</v>
      </c>
      <c r="H70" s="4">
        <v>91.8</v>
      </c>
      <c r="I70" s="13">
        <v>2377</v>
      </c>
      <c r="J70" s="4">
        <v>27.3</v>
      </c>
      <c r="K70" s="4">
        <v>23.3</v>
      </c>
      <c r="L70" s="4">
        <v>20.8</v>
      </c>
      <c r="M70" s="4">
        <v>14.6</v>
      </c>
      <c r="N70" s="4">
        <v>8.1</v>
      </c>
      <c r="O70" s="4">
        <v>94</v>
      </c>
      <c r="P70" s="13">
        <v>3359</v>
      </c>
      <c r="Q70" s="4">
        <v>27.4</v>
      </c>
      <c r="R70" s="4">
        <v>22.6</v>
      </c>
      <c r="S70" s="4">
        <v>20</v>
      </c>
      <c r="T70" s="4">
        <v>14.5</v>
      </c>
      <c r="U70" s="4">
        <v>8.6</v>
      </c>
      <c r="V70" s="4">
        <v>93.1</v>
      </c>
      <c r="W70" s="13">
        <v>5736</v>
      </c>
      <c r="X70" s="14"/>
      <c r="Y70" s="14"/>
      <c r="Z70" s="14"/>
      <c r="AA70" s="74"/>
      <c r="AB70" s="74"/>
      <c r="AC70" s="74"/>
      <c r="AD70" s="74"/>
      <c r="AE70" s="74"/>
      <c r="AF70" s="74"/>
      <c r="AG70" s="74"/>
      <c r="AH70" s="74"/>
      <c r="AI70" s="74"/>
      <c r="AJ70" s="74"/>
      <c r="AK70" s="74"/>
      <c r="AL70" s="74"/>
      <c r="AM70" s="74"/>
      <c r="AN70" s="74"/>
      <c r="AO70" s="74"/>
      <c r="AP70" s="74"/>
      <c r="AQ70" s="74"/>
      <c r="AR70" s="74"/>
      <c r="AS70" s="74"/>
      <c r="AT70" s="74"/>
      <c r="AU70" s="74"/>
      <c r="AW70" s="77"/>
      <c r="AX70" s="77"/>
      <c r="AY70" s="77"/>
      <c r="AZ70" s="77"/>
      <c r="BA70" s="77"/>
      <c r="BB70" s="77"/>
      <c r="BC70" s="77"/>
      <c r="BD70" s="77"/>
      <c r="BE70" s="77"/>
      <c r="BF70" s="77"/>
      <c r="BG70" s="77"/>
      <c r="BH70" s="77"/>
      <c r="BI70" s="77"/>
      <c r="BJ70" s="77"/>
      <c r="BK70" s="77"/>
      <c r="BL70" s="77"/>
      <c r="BM70" s="77"/>
      <c r="BN70" s="77"/>
      <c r="BO70" s="77"/>
      <c r="BP70" s="77"/>
      <c r="BQ70" s="77"/>
    </row>
    <row r="71" spans="1:69" x14ac:dyDescent="0.2">
      <c r="A71" s="14"/>
      <c r="B71" s="10" t="s">
        <v>29</v>
      </c>
      <c r="C71" s="4">
        <v>16.5</v>
      </c>
      <c r="D71" s="4">
        <v>20.9</v>
      </c>
      <c r="E71" s="4">
        <v>21.9</v>
      </c>
      <c r="F71" s="4">
        <v>18.7</v>
      </c>
      <c r="G71" s="4">
        <v>10.8</v>
      </c>
      <c r="H71" s="4">
        <v>88.8</v>
      </c>
      <c r="I71" s="13">
        <v>1702</v>
      </c>
      <c r="J71" s="4">
        <v>15.2</v>
      </c>
      <c r="K71" s="4">
        <v>21</v>
      </c>
      <c r="L71" s="4">
        <v>23</v>
      </c>
      <c r="M71" s="4">
        <v>20.2</v>
      </c>
      <c r="N71" s="4">
        <v>11.5</v>
      </c>
      <c r="O71" s="4">
        <v>90.9</v>
      </c>
      <c r="P71" s="13">
        <v>5038</v>
      </c>
      <c r="Q71" s="4">
        <v>15.5</v>
      </c>
      <c r="R71" s="4">
        <v>21</v>
      </c>
      <c r="S71" s="4">
        <v>22.7</v>
      </c>
      <c r="T71" s="4">
        <v>19.8</v>
      </c>
      <c r="U71" s="4">
        <v>11.3</v>
      </c>
      <c r="V71" s="4">
        <v>90.3</v>
      </c>
      <c r="W71" s="13">
        <v>6740</v>
      </c>
      <c r="X71" s="14"/>
      <c r="Y71" s="14"/>
      <c r="Z71" s="14"/>
      <c r="AA71" s="74"/>
      <c r="AB71" s="74"/>
      <c r="AC71" s="74"/>
      <c r="AD71" s="74"/>
      <c r="AE71" s="74"/>
      <c r="AF71" s="74"/>
      <c r="AG71" s="74"/>
      <c r="AH71" s="74"/>
      <c r="AI71" s="74"/>
      <c r="AJ71" s="74"/>
      <c r="AK71" s="74"/>
      <c r="AL71" s="74"/>
      <c r="AM71" s="74"/>
      <c r="AN71" s="74"/>
      <c r="AO71" s="74"/>
      <c r="AP71" s="74"/>
      <c r="AQ71" s="74"/>
      <c r="AR71" s="74"/>
      <c r="AS71" s="74"/>
      <c r="AT71" s="74"/>
      <c r="AU71" s="74"/>
      <c r="AW71" s="77"/>
      <c r="AX71" s="77"/>
      <c r="AY71" s="77"/>
      <c r="AZ71" s="77"/>
      <c r="BA71" s="77"/>
      <c r="BB71" s="77"/>
      <c r="BC71" s="77"/>
      <c r="BD71" s="77"/>
      <c r="BE71" s="77"/>
      <c r="BF71" s="77"/>
      <c r="BG71" s="77"/>
      <c r="BH71" s="77"/>
      <c r="BI71" s="77"/>
      <c r="BJ71" s="77"/>
      <c r="BK71" s="77"/>
      <c r="BL71" s="77"/>
      <c r="BM71" s="77"/>
      <c r="BN71" s="77"/>
      <c r="BO71" s="77"/>
      <c r="BP71" s="77"/>
      <c r="BQ71" s="77"/>
    </row>
    <row r="72" spans="1:69" x14ac:dyDescent="0.2">
      <c r="A72" s="14"/>
      <c r="B72" s="10" t="s">
        <v>30</v>
      </c>
      <c r="C72" s="4">
        <v>19.3</v>
      </c>
      <c r="D72" s="4">
        <v>20.2</v>
      </c>
      <c r="E72" s="4">
        <v>21.6</v>
      </c>
      <c r="F72" s="4">
        <v>19.3</v>
      </c>
      <c r="G72" s="4">
        <v>10.5</v>
      </c>
      <c r="H72" s="4">
        <v>91</v>
      </c>
      <c r="I72" s="13">
        <v>2450</v>
      </c>
      <c r="J72" s="4">
        <v>20.399999999999999</v>
      </c>
      <c r="K72" s="4">
        <v>19.8</v>
      </c>
      <c r="L72" s="4">
        <v>23.8</v>
      </c>
      <c r="M72" s="4">
        <v>18.600000000000001</v>
      </c>
      <c r="N72" s="4">
        <v>11.3</v>
      </c>
      <c r="O72" s="4">
        <v>94</v>
      </c>
      <c r="P72" s="13">
        <v>3546</v>
      </c>
      <c r="Q72" s="4">
        <v>20</v>
      </c>
      <c r="R72" s="4">
        <v>20</v>
      </c>
      <c r="S72" s="4">
        <v>22.9</v>
      </c>
      <c r="T72" s="4">
        <v>18.899999999999999</v>
      </c>
      <c r="U72" s="4">
        <v>11</v>
      </c>
      <c r="V72" s="4">
        <v>92.8</v>
      </c>
      <c r="W72" s="13">
        <v>5996</v>
      </c>
      <c r="X72" s="14"/>
      <c r="Y72" s="14"/>
      <c r="Z72" s="14"/>
      <c r="AA72" s="74"/>
      <c r="AB72" s="74"/>
      <c r="AC72" s="74"/>
      <c r="AD72" s="74"/>
      <c r="AE72" s="74"/>
      <c r="AF72" s="74"/>
      <c r="AG72" s="74"/>
      <c r="AH72" s="74"/>
      <c r="AI72" s="74"/>
      <c r="AJ72" s="74"/>
      <c r="AK72" s="74"/>
      <c r="AL72" s="74"/>
      <c r="AM72" s="74"/>
      <c r="AN72" s="74"/>
      <c r="AO72" s="74"/>
      <c r="AP72" s="74"/>
      <c r="AQ72" s="74"/>
      <c r="AR72" s="74"/>
      <c r="AS72" s="74"/>
      <c r="AT72" s="74"/>
      <c r="AU72" s="74"/>
      <c r="AW72" s="77"/>
      <c r="AX72" s="77"/>
      <c r="AY72" s="77"/>
      <c r="AZ72" s="77"/>
      <c r="BA72" s="77"/>
      <c r="BB72" s="77"/>
      <c r="BC72" s="77"/>
      <c r="BD72" s="77"/>
      <c r="BE72" s="77"/>
      <c r="BF72" s="77"/>
      <c r="BG72" s="77"/>
      <c r="BH72" s="77"/>
      <c r="BI72" s="77"/>
      <c r="BJ72" s="77"/>
      <c r="BK72" s="77"/>
      <c r="BL72" s="77"/>
      <c r="BM72" s="77"/>
      <c r="BN72" s="77"/>
      <c r="BO72" s="77"/>
      <c r="BP72" s="77"/>
      <c r="BQ72" s="77"/>
    </row>
    <row r="73" spans="1:69" x14ac:dyDescent="0.2">
      <c r="A73" s="14"/>
      <c r="B73" s="10" t="s">
        <v>31</v>
      </c>
      <c r="C73" s="4">
        <v>5.8</v>
      </c>
      <c r="D73" s="4">
        <v>10.8</v>
      </c>
      <c r="E73" s="4">
        <v>22.2</v>
      </c>
      <c r="F73" s="4">
        <v>26.9</v>
      </c>
      <c r="G73" s="4">
        <v>21.6</v>
      </c>
      <c r="H73" s="4">
        <v>87.3</v>
      </c>
      <c r="I73" s="13">
        <v>8315</v>
      </c>
      <c r="J73" s="4">
        <v>13.9</v>
      </c>
      <c r="K73" s="4">
        <v>15.8</v>
      </c>
      <c r="L73" s="4">
        <v>22.8</v>
      </c>
      <c r="M73" s="4">
        <v>22.2</v>
      </c>
      <c r="N73" s="4">
        <v>15.5</v>
      </c>
      <c r="O73" s="4">
        <v>90.2</v>
      </c>
      <c r="P73" s="13">
        <v>5365</v>
      </c>
      <c r="Q73" s="4">
        <v>9</v>
      </c>
      <c r="R73" s="4">
        <v>12.8</v>
      </c>
      <c r="S73" s="4">
        <v>22.4</v>
      </c>
      <c r="T73" s="4">
        <v>25.1</v>
      </c>
      <c r="U73" s="4">
        <v>19.2</v>
      </c>
      <c r="V73" s="4">
        <v>88.5</v>
      </c>
      <c r="W73" s="13">
        <v>13680</v>
      </c>
      <c r="X73" s="14"/>
      <c r="Y73" s="14"/>
      <c r="Z73" s="14"/>
      <c r="AA73" s="74"/>
      <c r="AB73" s="74"/>
      <c r="AC73" s="74"/>
      <c r="AD73" s="74"/>
      <c r="AE73" s="74"/>
      <c r="AF73" s="74"/>
      <c r="AG73" s="74"/>
      <c r="AH73" s="74"/>
      <c r="AI73" s="74"/>
      <c r="AJ73" s="74"/>
      <c r="AK73" s="74"/>
      <c r="AL73" s="74"/>
      <c r="AM73" s="74"/>
      <c r="AN73" s="74"/>
      <c r="AO73" s="74"/>
      <c r="AP73" s="74"/>
      <c r="AQ73" s="74"/>
      <c r="AR73" s="74"/>
      <c r="AS73" s="74"/>
      <c r="AT73" s="74"/>
      <c r="AU73" s="74"/>
      <c r="AW73" s="77"/>
      <c r="AX73" s="77"/>
      <c r="AY73" s="77"/>
      <c r="AZ73" s="77"/>
      <c r="BA73" s="77"/>
      <c r="BB73" s="77"/>
      <c r="BC73" s="77"/>
      <c r="BD73" s="77"/>
      <c r="BE73" s="77"/>
      <c r="BF73" s="77"/>
      <c r="BG73" s="77"/>
      <c r="BH73" s="77"/>
      <c r="BI73" s="77"/>
      <c r="BJ73" s="77"/>
      <c r="BK73" s="77"/>
      <c r="BL73" s="77"/>
      <c r="BM73" s="77"/>
      <c r="BN73" s="77"/>
      <c r="BO73" s="77"/>
      <c r="BP73" s="77"/>
      <c r="BQ73" s="77"/>
    </row>
    <row r="74" spans="1:69" x14ac:dyDescent="0.2">
      <c r="A74" s="14"/>
      <c r="B74" s="10" t="s">
        <v>32</v>
      </c>
      <c r="C74" s="4">
        <v>13.8</v>
      </c>
      <c r="D74" s="4">
        <v>17</v>
      </c>
      <c r="E74" s="4">
        <v>19.8</v>
      </c>
      <c r="F74" s="4">
        <v>19.2</v>
      </c>
      <c r="G74" s="4">
        <v>14.9</v>
      </c>
      <c r="H74" s="4">
        <v>84.8</v>
      </c>
      <c r="I74" s="13">
        <v>37948</v>
      </c>
      <c r="J74" s="4">
        <v>12.5</v>
      </c>
      <c r="K74" s="4">
        <v>16.3</v>
      </c>
      <c r="L74" s="4">
        <v>20.7</v>
      </c>
      <c r="M74" s="4">
        <v>19.7</v>
      </c>
      <c r="N74" s="4">
        <v>15.3</v>
      </c>
      <c r="O74" s="4">
        <v>84.4</v>
      </c>
      <c r="P74" s="13">
        <v>40858</v>
      </c>
      <c r="Q74" s="4">
        <v>13.1</v>
      </c>
      <c r="R74" s="4">
        <v>16.600000000000001</v>
      </c>
      <c r="S74" s="4">
        <v>20.3</v>
      </c>
      <c r="T74" s="4">
        <v>19.5</v>
      </c>
      <c r="U74" s="4">
        <v>15.1</v>
      </c>
      <c r="V74" s="4">
        <v>84.6</v>
      </c>
      <c r="W74" s="13">
        <v>78806</v>
      </c>
      <c r="X74" s="14"/>
      <c r="Y74" s="14"/>
      <c r="Z74" s="14"/>
      <c r="AA74" s="74"/>
      <c r="AB74" s="74"/>
      <c r="AC74" s="74"/>
      <c r="AD74" s="74"/>
      <c r="AE74" s="74"/>
      <c r="AF74" s="74"/>
      <c r="AG74" s="74"/>
      <c r="AH74" s="74"/>
      <c r="AI74" s="74"/>
      <c r="AJ74" s="74"/>
      <c r="AK74" s="74"/>
      <c r="AL74" s="74"/>
      <c r="AM74" s="74"/>
      <c r="AN74" s="74"/>
      <c r="AO74" s="74"/>
      <c r="AP74" s="74"/>
      <c r="AQ74" s="74"/>
      <c r="AR74" s="74"/>
      <c r="AS74" s="74"/>
      <c r="AT74" s="74"/>
      <c r="AU74" s="74"/>
      <c r="AW74" s="77"/>
      <c r="AX74" s="77"/>
      <c r="AY74" s="77"/>
      <c r="AZ74" s="77"/>
      <c r="BA74" s="77"/>
      <c r="BB74" s="77"/>
      <c r="BC74" s="77"/>
      <c r="BD74" s="77"/>
      <c r="BE74" s="77"/>
      <c r="BF74" s="77"/>
      <c r="BG74" s="77"/>
      <c r="BH74" s="77"/>
      <c r="BI74" s="77"/>
      <c r="BJ74" s="77"/>
      <c r="BK74" s="77"/>
      <c r="BL74" s="77"/>
      <c r="BM74" s="77"/>
      <c r="BN74" s="77"/>
      <c r="BO74" s="77"/>
      <c r="BP74" s="77"/>
      <c r="BQ74" s="77"/>
    </row>
    <row r="75" spans="1:69" x14ac:dyDescent="0.2">
      <c r="A75" s="14"/>
      <c r="B75" s="10" t="s">
        <v>46</v>
      </c>
      <c r="C75" s="4">
        <v>17.2</v>
      </c>
      <c r="D75" s="4">
        <v>18.100000000000001</v>
      </c>
      <c r="E75" s="4">
        <v>20.3</v>
      </c>
      <c r="F75" s="4">
        <v>18.3</v>
      </c>
      <c r="G75" s="4">
        <v>13.4</v>
      </c>
      <c r="H75" s="4">
        <v>87.4</v>
      </c>
      <c r="I75" s="13">
        <v>319243</v>
      </c>
      <c r="J75" s="4">
        <v>17.100000000000001</v>
      </c>
      <c r="K75" s="4">
        <v>19.600000000000001</v>
      </c>
      <c r="L75" s="4">
        <v>21.4</v>
      </c>
      <c r="M75" s="4">
        <v>18.5</v>
      </c>
      <c r="N75" s="4">
        <v>12.6</v>
      </c>
      <c r="O75" s="4">
        <v>89.2</v>
      </c>
      <c r="P75" s="13">
        <v>361839</v>
      </c>
      <c r="Q75" s="4">
        <v>17.100000000000001</v>
      </c>
      <c r="R75" s="4">
        <v>18.899999999999999</v>
      </c>
      <c r="S75" s="4">
        <v>20.9</v>
      </c>
      <c r="T75" s="4">
        <v>18.399999999999999</v>
      </c>
      <c r="U75" s="4">
        <v>13</v>
      </c>
      <c r="V75" s="4">
        <v>88.3</v>
      </c>
      <c r="W75" s="13">
        <v>681082</v>
      </c>
      <c r="X75" s="14"/>
      <c r="Y75" s="14"/>
      <c r="Z75" s="14"/>
      <c r="AA75" s="74"/>
      <c r="AB75" s="74"/>
      <c r="AC75" s="74"/>
      <c r="AD75" s="74"/>
      <c r="AE75" s="74"/>
      <c r="AF75" s="74"/>
      <c r="AG75" s="74"/>
      <c r="AH75" s="74"/>
      <c r="AI75" s="74"/>
      <c r="AJ75" s="74"/>
      <c r="AK75" s="74"/>
      <c r="AL75" s="74"/>
      <c r="AM75" s="74"/>
      <c r="AN75" s="74"/>
      <c r="AO75" s="74"/>
      <c r="AP75" s="74"/>
      <c r="AQ75" s="74"/>
      <c r="AR75" s="74"/>
      <c r="AS75" s="74"/>
      <c r="AT75" s="74"/>
      <c r="AU75" s="74"/>
      <c r="AW75" s="77"/>
      <c r="AX75" s="77"/>
      <c r="AY75" s="77"/>
      <c r="AZ75" s="77"/>
      <c r="BA75" s="77"/>
      <c r="BB75" s="77"/>
      <c r="BC75" s="77"/>
      <c r="BD75" s="77"/>
      <c r="BE75" s="77"/>
      <c r="BF75" s="77"/>
      <c r="BG75" s="77"/>
      <c r="BH75" s="77"/>
      <c r="BI75" s="77"/>
      <c r="BJ75" s="77"/>
      <c r="BK75" s="77"/>
      <c r="BL75" s="77"/>
      <c r="BM75" s="77"/>
      <c r="BN75" s="77"/>
      <c r="BO75" s="77"/>
      <c r="BP75" s="77"/>
      <c r="BQ75" s="77"/>
    </row>
    <row r="76" spans="1:69" x14ac:dyDescent="0.2">
      <c r="A76" s="14"/>
      <c r="AW76" s="77"/>
      <c r="AX76" s="77"/>
      <c r="AY76" s="77"/>
      <c r="AZ76" s="77"/>
      <c r="BA76" s="77"/>
      <c r="BB76" s="77"/>
      <c r="BC76" s="77"/>
      <c r="BD76" s="77"/>
      <c r="BE76" s="77"/>
      <c r="BF76" s="77"/>
      <c r="BG76" s="77"/>
      <c r="BH76" s="77"/>
      <c r="BI76" s="77"/>
      <c r="BJ76" s="77"/>
      <c r="BK76" s="77"/>
      <c r="BL76" s="77"/>
      <c r="BM76" s="77"/>
      <c r="BN76" s="77"/>
      <c r="BO76" s="77"/>
      <c r="BP76" s="77"/>
      <c r="BQ76" s="77"/>
    </row>
    <row r="77" spans="1:69" x14ac:dyDescent="0.2">
      <c r="A77" s="14"/>
      <c r="B77" s="11" t="s">
        <v>0</v>
      </c>
      <c r="C77" s="4">
        <f>ROUND(C41,1)</f>
        <v>15</v>
      </c>
      <c r="D77" s="4">
        <f t="shared" ref="D77:V92" si="0">ROUND(D41,1)</f>
        <v>18.3</v>
      </c>
      <c r="E77" s="4">
        <f t="shared" si="0"/>
        <v>18.7</v>
      </c>
      <c r="F77" s="4">
        <f t="shared" si="0"/>
        <v>18.3</v>
      </c>
      <c r="G77" s="4">
        <f t="shared" si="0"/>
        <v>15.5</v>
      </c>
      <c r="H77" s="4">
        <f t="shared" si="0"/>
        <v>85.9</v>
      </c>
      <c r="I77" s="13">
        <f>ROUND(I41,0)</f>
        <v>19824</v>
      </c>
      <c r="J77" s="4">
        <f t="shared" si="0"/>
        <v>17</v>
      </c>
      <c r="K77" s="4">
        <f t="shared" si="0"/>
        <v>20.399999999999999</v>
      </c>
      <c r="L77" s="4">
        <f t="shared" si="0"/>
        <v>19.8</v>
      </c>
      <c r="M77" s="4">
        <f t="shared" si="0"/>
        <v>17.3</v>
      </c>
      <c r="N77" s="4">
        <f t="shared" si="0"/>
        <v>13.8</v>
      </c>
      <c r="O77" s="4">
        <f t="shared" si="0"/>
        <v>88.4</v>
      </c>
      <c r="P77" s="13">
        <f>ROUND(P41,0)</f>
        <v>29073</v>
      </c>
      <c r="Q77" s="4">
        <f t="shared" si="0"/>
        <v>16.2</v>
      </c>
      <c r="R77" s="4">
        <f t="shared" si="0"/>
        <v>19.600000000000001</v>
      </c>
      <c r="S77" s="4">
        <f t="shared" si="0"/>
        <v>19.399999999999999</v>
      </c>
      <c r="T77" s="4">
        <f t="shared" si="0"/>
        <v>17.7</v>
      </c>
      <c r="U77" s="4">
        <f t="shared" si="0"/>
        <v>14.5</v>
      </c>
      <c r="V77" s="4">
        <f t="shared" si="0"/>
        <v>87.4</v>
      </c>
      <c r="W77" s="13">
        <f>ROUND(W41,0)</f>
        <v>48897</v>
      </c>
      <c r="AW77" s="77"/>
      <c r="AX77" s="77"/>
      <c r="AY77" s="77"/>
      <c r="AZ77" s="77"/>
      <c r="BA77" s="77"/>
      <c r="BB77" s="77"/>
      <c r="BC77" s="77"/>
      <c r="BD77" s="77"/>
      <c r="BE77" s="77"/>
      <c r="BF77" s="77"/>
      <c r="BG77" s="77"/>
      <c r="BH77" s="77"/>
      <c r="BI77" s="77"/>
      <c r="BJ77" s="77"/>
      <c r="BK77" s="77"/>
      <c r="BL77" s="77"/>
      <c r="BM77" s="77"/>
      <c r="BN77" s="77"/>
      <c r="BO77" s="77"/>
      <c r="BP77" s="77"/>
      <c r="BQ77" s="77"/>
    </row>
    <row r="78" spans="1:69" x14ac:dyDescent="0.2">
      <c r="A78" s="14"/>
      <c r="B78" s="11" t="s">
        <v>1</v>
      </c>
      <c r="C78" s="4">
        <f t="shared" ref="C78:H93" si="1">ROUND(C42,1)</f>
        <v>23.5</v>
      </c>
      <c r="D78" s="4">
        <f t="shared" si="1"/>
        <v>20.100000000000001</v>
      </c>
      <c r="E78" s="4">
        <f t="shared" si="1"/>
        <v>18.8</v>
      </c>
      <c r="F78" s="4">
        <f t="shared" si="1"/>
        <v>14.6</v>
      </c>
      <c r="G78" s="4">
        <f t="shared" si="1"/>
        <v>11.4</v>
      </c>
      <c r="H78" s="4">
        <f t="shared" si="1"/>
        <v>88.4</v>
      </c>
      <c r="I78" s="13">
        <f t="shared" ref="I78:I111" si="2">ROUND(I42,0)</f>
        <v>20132</v>
      </c>
      <c r="J78" s="4">
        <f t="shared" si="0"/>
        <v>23.8</v>
      </c>
      <c r="K78" s="4">
        <f t="shared" si="0"/>
        <v>22.1</v>
      </c>
      <c r="L78" s="4">
        <f t="shared" si="0"/>
        <v>18.600000000000001</v>
      </c>
      <c r="M78" s="4">
        <f t="shared" si="0"/>
        <v>14.9</v>
      </c>
      <c r="N78" s="4">
        <f t="shared" si="0"/>
        <v>10.6</v>
      </c>
      <c r="O78" s="4">
        <f t="shared" si="0"/>
        <v>90</v>
      </c>
      <c r="P78" s="13">
        <f t="shared" ref="P78:P111" si="3">ROUND(P42,0)</f>
        <v>16971</v>
      </c>
      <c r="Q78" s="4">
        <f t="shared" si="0"/>
        <v>23.6</v>
      </c>
      <c r="R78" s="4">
        <f t="shared" si="0"/>
        <v>21</v>
      </c>
      <c r="S78" s="4">
        <f t="shared" si="0"/>
        <v>18.7</v>
      </c>
      <c r="T78" s="4">
        <f t="shared" si="0"/>
        <v>14.8</v>
      </c>
      <c r="U78" s="4">
        <f t="shared" si="0"/>
        <v>11</v>
      </c>
      <c r="V78" s="4">
        <f t="shared" si="0"/>
        <v>89.1</v>
      </c>
      <c r="W78" s="13">
        <f t="shared" ref="W78:W111" si="4">ROUND(W42,0)</f>
        <v>37103</v>
      </c>
      <c r="AW78" s="77"/>
      <c r="AX78" s="77"/>
      <c r="AY78" s="77"/>
      <c r="AZ78" s="77"/>
      <c r="BA78" s="77"/>
      <c r="BB78" s="77"/>
      <c r="BC78" s="77"/>
      <c r="BD78" s="77"/>
      <c r="BE78" s="77"/>
      <c r="BF78" s="77"/>
      <c r="BG78" s="77"/>
      <c r="BH78" s="77"/>
      <c r="BI78" s="77"/>
      <c r="BJ78" s="77"/>
      <c r="BK78" s="77"/>
      <c r="BL78" s="77"/>
      <c r="BM78" s="77"/>
      <c r="BN78" s="77"/>
      <c r="BO78" s="77"/>
      <c r="BP78" s="77"/>
      <c r="BQ78" s="77"/>
    </row>
    <row r="79" spans="1:69" x14ac:dyDescent="0.2">
      <c r="A79" s="14"/>
      <c r="B79" s="11" t="s">
        <v>2</v>
      </c>
      <c r="C79" s="4">
        <f t="shared" si="1"/>
        <v>22.7</v>
      </c>
      <c r="D79" s="4">
        <f t="shared" si="1"/>
        <v>20</v>
      </c>
      <c r="E79" s="4">
        <f t="shared" si="1"/>
        <v>18.5</v>
      </c>
      <c r="F79" s="4">
        <f t="shared" si="1"/>
        <v>15.8</v>
      </c>
      <c r="G79" s="4">
        <f t="shared" si="1"/>
        <v>11.6</v>
      </c>
      <c r="H79" s="4">
        <f t="shared" si="1"/>
        <v>88.7</v>
      </c>
      <c r="I79" s="13">
        <f t="shared" si="2"/>
        <v>23119</v>
      </c>
      <c r="J79" s="4">
        <f t="shared" si="0"/>
        <v>23.6</v>
      </c>
      <c r="K79" s="4">
        <f t="shared" si="0"/>
        <v>23.1</v>
      </c>
      <c r="L79" s="4">
        <f t="shared" si="0"/>
        <v>19.3</v>
      </c>
      <c r="M79" s="4">
        <f t="shared" si="0"/>
        <v>14.6</v>
      </c>
      <c r="N79" s="4">
        <f t="shared" si="0"/>
        <v>10.4</v>
      </c>
      <c r="O79" s="4">
        <f t="shared" si="0"/>
        <v>91</v>
      </c>
      <c r="P79" s="13">
        <f t="shared" si="3"/>
        <v>6553</v>
      </c>
      <c r="Q79" s="4">
        <f t="shared" si="0"/>
        <v>22.9</v>
      </c>
      <c r="R79" s="4">
        <f t="shared" si="0"/>
        <v>20.7</v>
      </c>
      <c r="S79" s="4">
        <f t="shared" si="0"/>
        <v>18.7</v>
      </c>
      <c r="T79" s="4">
        <f t="shared" si="0"/>
        <v>15.5</v>
      </c>
      <c r="U79" s="4">
        <f t="shared" si="0"/>
        <v>11.3</v>
      </c>
      <c r="V79" s="4">
        <f t="shared" si="0"/>
        <v>89.2</v>
      </c>
      <c r="W79" s="13">
        <f t="shared" si="4"/>
        <v>29672</v>
      </c>
      <c r="AW79" s="77"/>
      <c r="AX79" s="77"/>
      <c r="AY79" s="77"/>
      <c r="AZ79" s="77"/>
      <c r="BA79" s="77"/>
      <c r="BB79" s="77"/>
      <c r="BC79" s="77"/>
      <c r="BD79" s="77"/>
      <c r="BE79" s="77"/>
      <c r="BF79" s="77"/>
      <c r="BG79" s="77"/>
      <c r="BH79" s="77"/>
      <c r="BI79" s="77"/>
      <c r="BJ79" s="77"/>
      <c r="BK79" s="77"/>
      <c r="BL79" s="77"/>
      <c r="BM79" s="77"/>
      <c r="BN79" s="77"/>
      <c r="BO79" s="77"/>
      <c r="BP79" s="77"/>
      <c r="BQ79" s="77"/>
    </row>
    <row r="80" spans="1:69" x14ac:dyDescent="0.2">
      <c r="A80" s="14"/>
      <c r="B80" s="11" t="s">
        <v>3</v>
      </c>
      <c r="C80" s="4">
        <f t="shared" si="1"/>
        <v>12.2</v>
      </c>
      <c r="D80" s="4">
        <f t="shared" si="1"/>
        <v>14.7</v>
      </c>
      <c r="E80" s="4">
        <f t="shared" si="1"/>
        <v>21.6</v>
      </c>
      <c r="F80" s="4">
        <f t="shared" si="1"/>
        <v>23.7</v>
      </c>
      <c r="G80" s="4">
        <f t="shared" si="1"/>
        <v>16.100000000000001</v>
      </c>
      <c r="H80" s="4">
        <f t="shared" si="1"/>
        <v>88.3</v>
      </c>
      <c r="I80" s="13">
        <f t="shared" si="2"/>
        <v>2695</v>
      </c>
      <c r="J80" s="4">
        <f t="shared" si="0"/>
        <v>11.7</v>
      </c>
      <c r="K80" s="4">
        <f t="shared" si="0"/>
        <v>16.3</v>
      </c>
      <c r="L80" s="4">
        <f t="shared" si="0"/>
        <v>18.5</v>
      </c>
      <c r="M80" s="4">
        <f t="shared" si="0"/>
        <v>22.8</v>
      </c>
      <c r="N80" s="4">
        <f t="shared" si="0"/>
        <v>17.8</v>
      </c>
      <c r="O80" s="4">
        <f t="shared" si="0"/>
        <v>87.1</v>
      </c>
      <c r="P80" s="13">
        <f t="shared" si="3"/>
        <v>1630</v>
      </c>
      <c r="Q80" s="4">
        <f t="shared" si="0"/>
        <v>12</v>
      </c>
      <c r="R80" s="4">
        <f t="shared" si="0"/>
        <v>15.3</v>
      </c>
      <c r="S80" s="4">
        <f t="shared" si="0"/>
        <v>20.399999999999999</v>
      </c>
      <c r="T80" s="4">
        <f t="shared" si="0"/>
        <v>23.4</v>
      </c>
      <c r="U80" s="4">
        <f t="shared" si="0"/>
        <v>16.7</v>
      </c>
      <c r="V80" s="4">
        <f t="shared" si="0"/>
        <v>87.8</v>
      </c>
      <c r="W80" s="13">
        <f t="shared" si="4"/>
        <v>4325</v>
      </c>
      <c r="AW80" s="77"/>
      <c r="AX80" s="77"/>
      <c r="AY80" s="77"/>
      <c r="AZ80" s="77"/>
      <c r="BA80" s="77"/>
      <c r="BB80" s="77"/>
      <c r="BC80" s="77"/>
      <c r="BD80" s="77"/>
      <c r="BE80" s="77"/>
      <c r="BF80" s="77"/>
      <c r="BG80" s="77"/>
      <c r="BH80" s="77"/>
      <c r="BI80" s="77"/>
      <c r="BJ80" s="77"/>
      <c r="BK80" s="77"/>
      <c r="BL80" s="77"/>
      <c r="BM80" s="77"/>
      <c r="BN80" s="77"/>
      <c r="BO80" s="77"/>
      <c r="BP80" s="77"/>
      <c r="BQ80" s="77"/>
    </row>
    <row r="81" spans="1:69" x14ac:dyDescent="0.2">
      <c r="A81" s="14"/>
      <c r="B81" s="11" t="s">
        <v>4</v>
      </c>
      <c r="C81" s="4">
        <f t="shared" si="1"/>
        <v>26.5</v>
      </c>
      <c r="D81" s="4">
        <f t="shared" si="1"/>
        <v>18</v>
      </c>
      <c r="E81" s="4">
        <f t="shared" si="1"/>
        <v>16.7</v>
      </c>
      <c r="F81" s="4">
        <f t="shared" si="1"/>
        <v>14.7</v>
      </c>
      <c r="G81" s="4">
        <f t="shared" si="1"/>
        <v>11.8</v>
      </c>
      <c r="H81" s="4">
        <f t="shared" si="1"/>
        <v>87.8</v>
      </c>
      <c r="I81" s="13">
        <f t="shared" si="2"/>
        <v>35936</v>
      </c>
      <c r="J81" s="4">
        <f t="shared" si="0"/>
        <v>27.1</v>
      </c>
      <c r="K81" s="4">
        <f t="shared" si="0"/>
        <v>21.2</v>
      </c>
      <c r="L81" s="4">
        <f t="shared" si="0"/>
        <v>17.899999999999999</v>
      </c>
      <c r="M81" s="4">
        <f t="shared" si="0"/>
        <v>14.1</v>
      </c>
      <c r="N81" s="4">
        <f t="shared" si="0"/>
        <v>10.1</v>
      </c>
      <c r="O81" s="4">
        <f t="shared" si="0"/>
        <v>90.4</v>
      </c>
      <c r="P81" s="13">
        <f t="shared" si="3"/>
        <v>20653</v>
      </c>
      <c r="Q81" s="4">
        <f t="shared" si="0"/>
        <v>26.8</v>
      </c>
      <c r="R81" s="4">
        <f t="shared" si="0"/>
        <v>19.2</v>
      </c>
      <c r="S81" s="4">
        <f t="shared" si="0"/>
        <v>17.100000000000001</v>
      </c>
      <c r="T81" s="4">
        <f t="shared" si="0"/>
        <v>14.5</v>
      </c>
      <c r="U81" s="4">
        <f t="shared" si="0"/>
        <v>11.2</v>
      </c>
      <c r="V81" s="4">
        <f t="shared" si="0"/>
        <v>88.8</v>
      </c>
      <c r="W81" s="13">
        <f t="shared" si="4"/>
        <v>56589</v>
      </c>
      <c r="AW81" s="77"/>
      <c r="AX81" s="77"/>
      <c r="AY81" s="77"/>
      <c r="AZ81" s="77"/>
      <c r="BA81" s="77"/>
      <c r="BB81" s="77"/>
      <c r="BC81" s="77"/>
      <c r="BD81" s="77"/>
      <c r="BE81" s="77"/>
      <c r="BF81" s="77"/>
      <c r="BG81" s="77"/>
      <c r="BH81" s="77"/>
      <c r="BI81" s="77"/>
      <c r="BJ81" s="77"/>
      <c r="BK81" s="77"/>
      <c r="BL81" s="77"/>
      <c r="BM81" s="77"/>
      <c r="BN81" s="77"/>
      <c r="BO81" s="77"/>
      <c r="BP81" s="77"/>
      <c r="BQ81" s="77"/>
    </row>
    <row r="82" spans="1:69" x14ac:dyDescent="0.2">
      <c r="A82" s="14"/>
      <c r="B82" s="11" t="s">
        <v>5</v>
      </c>
      <c r="C82" s="4">
        <f t="shared" si="1"/>
        <v>49.4</v>
      </c>
      <c r="D82" s="4">
        <f t="shared" si="1"/>
        <v>20.3</v>
      </c>
      <c r="E82" s="4">
        <f t="shared" si="1"/>
        <v>12.1</v>
      </c>
      <c r="F82" s="4">
        <f t="shared" si="1"/>
        <v>9</v>
      </c>
      <c r="G82" s="4">
        <f t="shared" si="1"/>
        <v>5</v>
      </c>
      <c r="H82" s="4">
        <f t="shared" si="1"/>
        <v>95.9</v>
      </c>
      <c r="I82" s="13">
        <f t="shared" si="2"/>
        <v>3889</v>
      </c>
      <c r="J82" s="4">
        <f t="shared" si="0"/>
        <v>47.6</v>
      </c>
      <c r="K82" s="4">
        <f t="shared" si="0"/>
        <v>20.7</v>
      </c>
      <c r="L82" s="4">
        <f t="shared" si="0"/>
        <v>14.2</v>
      </c>
      <c r="M82" s="4">
        <f t="shared" si="0"/>
        <v>10.199999999999999</v>
      </c>
      <c r="N82" s="4">
        <f t="shared" si="0"/>
        <v>3.9</v>
      </c>
      <c r="O82" s="4">
        <f t="shared" si="0"/>
        <v>96.6</v>
      </c>
      <c r="P82" s="13">
        <f t="shared" si="3"/>
        <v>1322</v>
      </c>
      <c r="Q82" s="4">
        <f t="shared" si="0"/>
        <v>49</v>
      </c>
      <c r="R82" s="4">
        <f t="shared" si="0"/>
        <v>20.399999999999999</v>
      </c>
      <c r="S82" s="4">
        <f t="shared" si="0"/>
        <v>12.6</v>
      </c>
      <c r="T82" s="4">
        <f t="shared" si="0"/>
        <v>9.3000000000000007</v>
      </c>
      <c r="U82" s="4">
        <f t="shared" si="0"/>
        <v>4.7</v>
      </c>
      <c r="V82" s="4">
        <f t="shared" si="0"/>
        <v>96.1</v>
      </c>
      <c r="W82" s="13">
        <f t="shared" si="4"/>
        <v>5211</v>
      </c>
      <c r="AW82" s="77"/>
      <c r="AX82" s="77"/>
      <c r="AY82" s="77"/>
      <c r="AZ82" s="77"/>
      <c r="BA82" s="77"/>
      <c r="BB82" s="77"/>
      <c r="BC82" s="77"/>
      <c r="BD82" s="77"/>
      <c r="BE82" s="77"/>
      <c r="BF82" s="77"/>
      <c r="BG82" s="77"/>
      <c r="BH82" s="77"/>
      <c r="BI82" s="77"/>
      <c r="BJ82" s="77"/>
      <c r="BK82" s="77"/>
      <c r="BL82" s="77"/>
      <c r="BM82" s="77"/>
      <c r="BN82" s="77"/>
      <c r="BO82" s="77"/>
      <c r="BP82" s="77"/>
      <c r="BQ82" s="77"/>
    </row>
    <row r="83" spans="1:69" x14ac:dyDescent="0.2">
      <c r="B83" s="11" t="s">
        <v>6</v>
      </c>
      <c r="C83" s="4">
        <f t="shared" si="1"/>
        <v>11.4</v>
      </c>
      <c r="D83" s="4">
        <f t="shared" si="1"/>
        <v>12.9</v>
      </c>
      <c r="E83" s="4">
        <f t="shared" si="1"/>
        <v>22.7</v>
      </c>
      <c r="F83" s="4">
        <f t="shared" si="1"/>
        <v>22.5</v>
      </c>
      <c r="G83" s="4">
        <f t="shared" si="1"/>
        <v>17.399999999999999</v>
      </c>
      <c r="H83" s="4">
        <f t="shared" si="1"/>
        <v>86.9</v>
      </c>
      <c r="I83" s="13">
        <f t="shared" si="2"/>
        <v>8383</v>
      </c>
      <c r="J83" s="4">
        <f t="shared" si="0"/>
        <v>14.1</v>
      </c>
      <c r="K83" s="4">
        <f t="shared" si="0"/>
        <v>16.8</v>
      </c>
      <c r="L83" s="4">
        <f t="shared" si="0"/>
        <v>25.2</v>
      </c>
      <c r="M83" s="4">
        <f t="shared" si="0"/>
        <v>22.1</v>
      </c>
      <c r="N83" s="4">
        <f t="shared" si="0"/>
        <v>13</v>
      </c>
      <c r="O83" s="4">
        <f t="shared" si="0"/>
        <v>91.2</v>
      </c>
      <c r="P83" s="13">
        <f t="shared" si="3"/>
        <v>2603</v>
      </c>
      <c r="Q83" s="4">
        <f t="shared" si="0"/>
        <v>12</v>
      </c>
      <c r="R83" s="4">
        <f t="shared" si="0"/>
        <v>13.8</v>
      </c>
      <c r="S83" s="4">
        <f t="shared" si="0"/>
        <v>23.3</v>
      </c>
      <c r="T83" s="4">
        <f t="shared" si="0"/>
        <v>22.4</v>
      </c>
      <c r="U83" s="4">
        <f t="shared" si="0"/>
        <v>16.399999999999999</v>
      </c>
      <c r="V83" s="4">
        <f t="shared" si="0"/>
        <v>87.9</v>
      </c>
      <c r="W83" s="13">
        <f t="shared" si="4"/>
        <v>10986</v>
      </c>
      <c r="AW83" s="77"/>
      <c r="AX83" s="77"/>
      <c r="AY83" s="77"/>
      <c r="AZ83" s="77"/>
      <c r="BA83" s="77"/>
      <c r="BB83" s="77"/>
      <c r="BC83" s="77"/>
      <c r="BD83" s="77"/>
      <c r="BE83" s="77"/>
      <c r="BF83" s="77"/>
      <c r="BG83" s="77"/>
      <c r="BH83" s="77"/>
      <c r="BI83" s="77"/>
      <c r="BJ83" s="77"/>
      <c r="BK83" s="77"/>
      <c r="BL83" s="77"/>
      <c r="BM83" s="77"/>
      <c r="BN83" s="77"/>
      <c r="BO83" s="77"/>
      <c r="BP83" s="77"/>
      <c r="BQ83" s="77"/>
    </row>
    <row r="84" spans="1:69" x14ac:dyDescent="0.2">
      <c r="B84" s="11" t="s">
        <v>7</v>
      </c>
      <c r="C84" s="4">
        <f t="shared" si="1"/>
        <v>8.9</v>
      </c>
      <c r="D84" s="4">
        <f t="shared" si="1"/>
        <v>13.3</v>
      </c>
      <c r="E84" s="4">
        <f t="shared" si="1"/>
        <v>20.6</v>
      </c>
      <c r="F84" s="4">
        <f t="shared" si="1"/>
        <v>19.8</v>
      </c>
      <c r="G84" s="4">
        <f t="shared" si="1"/>
        <v>17.100000000000001</v>
      </c>
      <c r="H84" s="4">
        <f t="shared" si="1"/>
        <v>79.7</v>
      </c>
      <c r="I84" s="13">
        <f t="shared" si="2"/>
        <v>10253</v>
      </c>
      <c r="J84" s="4">
        <f t="shared" si="0"/>
        <v>5.2</v>
      </c>
      <c r="K84" s="4">
        <f t="shared" si="0"/>
        <v>12.3</v>
      </c>
      <c r="L84" s="4">
        <f t="shared" si="0"/>
        <v>20.5</v>
      </c>
      <c r="M84" s="4">
        <f t="shared" si="0"/>
        <v>21.6</v>
      </c>
      <c r="N84" s="4">
        <f t="shared" si="0"/>
        <v>18.8</v>
      </c>
      <c r="O84" s="4">
        <f t="shared" si="0"/>
        <v>78.5</v>
      </c>
      <c r="P84" s="13">
        <f t="shared" si="3"/>
        <v>2276</v>
      </c>
      <c r="Q84" s="4">
        <f t="shared" si="0"/>
        <v>8.1999999999999993</v>
      </c>
      <c r="R84" s="4">
        <f t="shared" si="0"/>
        <v>13.1</v>
      </c>
      <c r="S84" s="4">
        <f t="shared" si="0"/>
        <v>20.6</v>
      </c>
      <c r="T84" s="4">
        <f t="shared" si="0"/>
        <v>20.100000000000001</v>
      </c>
      <c r="U84" s="4">
        <f t="shared" si="0"/>
        <v>17.399999999999999</v>
      </c>
      <c r="V84" s="4">
        <f t="shared" si="0"/>
        <v>79.5</v>
      </c>
      <c r="W84" s="13">
        <f t="shared" si="4"/>
        <v>12529</v>
      </c>
      <c r="AW84" s="77"/>
      <c r="AX84" s="77"/>
      <c r="AY84" s="77"/>
      <c r="AZ84" s="77"/>
      <c r="BA84" s="77"/>
      <c r="BB84" s="77"/>
      <c r="BC84" s="77"/>
      <c r="BD84" s="77"/>
      <c r="BE84" s="77"/>
      <c r="BF84" s="77"/>
      <c r="BG84" s="77"/>
      <c r="BH84" s="77"/>
      <c r="BI84" s="77"/>
      <c r="BJ84" s="77"/>
      <c r="BK84" s="77"/>
      <c r="BL84" s="77"/>
      <c r="BM84" s="77"/>
      <c r="BN84" s="77"/>
      <c r="BO84" s="77"/>
      <c r="BP84" s="77"/>
      <c r="BQ84" s="77"/>
    </row>
    <row r="85" spans="1:69" x14ac:dyDescent="0.2">
      <c r="B85" s="11" t="s">
        <v>8</v>
      </c>
      <c r="C85" s="4">
        <f t="shared" si="1"/>
        <v>0</v>
      </c>
      <c r="D85" s="4">
        <f t="shared" si="1"/>
        <v>0</v>
      </c>
      <c r="E85" s="4">
        <f t="shared" si="1"/>
        <v>0</v>
      </c>
      <c r="F85" s="4">
        <f t="shared" si="1"/>
        <v>0</v>
      </c>
      <c r="G85" s="4">
        <f t="shared" si="1"/>
        <v>0</v>
      </c>
      <c r="H85" s="4">
        <f t="shared" si="1"/>
        <v>0</v>
      </c>
      <c r="I85" s="13">
        <f t="shared" si="2"/>
        <v>0</v>
      </c>
      <c r="J85" s="4">
        <f t="shared" si="0"/>
        <v>0</v>
      </c>
      <c r="K85" s="4">
        <f t="shared" si="0"/>
        <v>0</v>
      </c>
      <c r="L85" s="4">
        <f t="shared" si="0"/>
        <v>0</v>
      </c>
      <c r="M85" s="4">
        <f t="shared" si="0"/>
        <v>0</v>
      </c>
      <c r="N85" s="4">
        <f t="shared" si="0"/>
        <v>0</v>
      </c>
      <c r="O85" s="4">
        <f t="shared" si="0"/>
        <v>0</v>
      </c>
      <c r="P85" s="13">
        <f t="shared" si="3"/>
        <v>0</v>
      </c>
      <c r="Q85" s="4">
        <f t="shared" si="0"/>
        <v>0</v>
      </c>
      <c r="R85" s="4">
        <f t="shared" si="0"/>
        <v>0</v>
      </c>
      <c r="S85" s="4">
        <f t="shared" si="0"/>
        <v>0</v>
      </c>
      <c r="T85" s="4">
        <f t="shared" si="0"/>
        <v>0</v>
      </c>
      <c r="U85" s="4">
        <f t="shared" si="0"/>
        <v>0</v>
      </c>
      <c r="V85" s="4">
        <f t="shared" si="0"/>
        <v>0</v>
      </c>
      <c r="W85" s="13">
        <f t="shared" si="4"/>
        <v>0</v>
      </c>
      <c r="AW85" s="77"/>
      <c r="AX85" s="77"/>
      <c r="AY85" s="77"/>
      <c r="AZ85" s="77"/>
      <c r="BA85" s="77"/>
      <c r="BB85" s="77"/>
      <c r="BC85" s="77"/>
      <c r="BD85" s="77"/>
      <c r="BE85" s="77"/>
      <c r="BF85" s="77"/>
      <c r="BG85" s="77"/>
      <c r="BH85" s="77"/>
      <c r="BI85" s="77"/>
      <c r="BJ85" s="77"/>
      <c r="BK85" s="77"/>
      <c r="BL85" s="77"/>
      <c r="BM85" s="77"/>
      <c r="BN85" s="77"/>
      <c r="BO85" s="77"/>
      <c r="BP85" s="77"/>
      <c r="BQ85" s="77"/>
    </row>
    <row r="86" spans="1:69" x14ac:dyDescent="0.2">
      <c r="B86" s="11" t="s">
        <v>9</v>
      </c>
      <c r="C86" s="4">
        <f t="shared" si="1"/>
        <v>4.5</v>
      </c>
      <c r="D86" s="4">
        <f t="shared" si="1"/>
        <v>7.9</v>
      </c>
      <c r="E86" s="4">
        <f t="shared" si="1"/>
        <v>22.5</v>
      </c>
      <c r="F86" s="4">
        <f t="shared" si="1"/>
        <v>22.5</v>
      </c>
      <c r="G86" s="4">
        <f t="shared" si="1"/>
        <v>15.7</v>
      </c>
      <c r="H86" s="4">
        <f t="shared" si="1"/>
        <v>73</v>
      </c>
      <c r="I86" s="13">
        <f t="shared" si="2"/>
        <v>89</v>
      </c>
      <c r="J86" s="4">
        <f t="shared" si="0"/>
        <v>11.5</v>
      </c>
      <c r="K86" s="4">
        <f t="shared" si="0"/>
        <v>15.1</v>
      </c>
      <c r="L86" s="4">
        <f t="shared" si="0"/>
        <v>20.3</v>
      </c>
      <c r="M86" s="4">
        <f t="shared" si="0"/>
        <v>21.3</v>
      </c>
      <c r="N86" s="4">
        <f t="shared" si="0"/>
        <v>15</v>
      </c>
      <c r="O86" s="4">
        <f t="shared" si="0"/>
        <v>83.1</v>
      </c>
      <c r="P86" s="13">
        <f t="shared" si="3"/>
        <v>1667</v>
      </c>
      <c r="Q86" s="4">
        <f t="shared" si="0"/>
        <v>11.2</v>
      </c>
      <c r="R86" s="4">
        <f t="shared" si="0"/>
        <v>14.7</v>
      </c>
      <c r="S86" s="4">
        <f t="shared" si="0"/>
        <v>20.399999999999999</v>
      </c>
      <c r="T86" s="4">
        <f t="shared" si="0"/>
        <v>21.4</v>
      </c>
      <c r="U86" s="4">
        <f t="shared" si="0"/>
        <v>15</v>
      </c>
      <c r="V86" s="4">
        <f t="shared" si="0"/>
        <v>82.6</v>
      </c>
      <c r="W86" s="13">
        <f t="shared" si="4"/>
        <v>1756</v>
      </c>
      <c r="AW86" s="77"/>
      <c r="AX86" s="77"/>
      <c r="AY86" s="77"/>
      <c r="AZ86" s="77"/>
      <c r="BA86" s="77"/>
      <c r="BB86" s="77"/>
      <c r="BC86" s="77"/>
      <c r="BD86" s="77"/>
      <c r="BE86" s="77"/>
      <c r="BF86" s="77"/>
      <c r="BG86" s="77"/>
      <c r="BH86" s="77"/>
      <c r="BI86" s="77"/>
      <c r="BJ86" s="77"/>
      <c r="BK86" s="77"/>
      <c r="BL86" s="77"/>
      <c r="BM86" s="77"/>
      <c r="BN86" s="77"/>
      <c r="BO86" s="77"/>
      <c r="BP86" s="77"/>
      <c r="BQ86" s="77"/>
    </row>
    <row r="87" spans="1:69" x14ac:dyDescent="0.2">
      <c r="B87" s="11" t="s">
        <v>10</v>
      </c>
      <c r="C87" s="4">
        <f t="shared" si="1"/>
        <v>7.7</v>
      </c>
      <c r="D87" s="4">
        <f t="shared" si="1"/>
        <v>14.1</v>
      </c>
      <c r="E87" s="4">
        <f t="shared" si="1"/>
        <v>15.8</v>
      </c>
      <c r="F87" s="4">
        <f t="shared" si="1"/>
        <v>14</v>
      </c>
      <c r="G87" s="4">
        <f t="shared" si="1"/>
        <v>14.5</v>
      </c>
      <c r="H87" s="4">
        <f t="shared" si="1"/>
        <v>66.099999999999994</v>
      </c>
      <c r="I87" s="13">
        <f t="shared" si="2"/>
        <v>1149</v>
      </c>
      <c r="J87" s="4">
        <f t="shared" si="0"/>
        <v>11.7</v>
      </c>
      <c r="K87" s="4">
        <f t="shared" si="0"/>
        <v>16.100000000000001</v>
      </c>
      <c r="L87" s="4">
        <f t="shared" si="0"/>
        <v>11.9</v>
      </c>
      <c r="M87" s="4">
        <f t="shared" si="0"/>
        <v>12.8</v>
      </c>
      <c r="N87" s="4">
        <f t="shared" si="0"/>
        <v>12.2</v>
      </c>
      <c r="O87" s="4">
        <f t="shared" si="0"/>
        <v>64.7</v>
      </c>
      <c r="P87" s="13">
        <f t="shared" si="3"/>
        <v>720</v>
      </c>
      <c r="Q87" s="4">
        <f t="shared" si="0"/>
        <v>9.3000000000000007</v>
      </c>
      <c r="R87" s="4">
        <f t="shared" si="0"/>
        <v>14.9</v>
      </c>
      <c r="S87" s="4">
        <f t="shared" si="0"/>
        <v>14.3</v>
      </c>
      <c r="T87" s="4">
        <f t="shared" si="0"/>
        <v>13.5</v>
      </c>
      <c r="U87" s="4">
        <f t="shared" si="0"/>
        <v>13.6</v>
      </c>
      <c r="V87" s="4">
        <f t="shared" si="0"/>
        <v>65.599999999999994</v>
      </c>
      <c r="W87" s="13">
        <f t="shared" si="4"/>
        <v>1869</v>
      </c>
      <c r="AW87" s="77"/>
      <c r="AX87" s="77"/>
      <c r="AY87" s="77"/>
      <c r="AZ87" s="77"/>
      <c r="BA87" s="77"/>
      <c r="BB87" s="77"/>
      <c r="BC87" s="77"/>
      <c r="BD87" s="77"/>
      <c r="BE87" s="77"/>
      <c r="BF87" s="77"/>
      <c r="BG87" s="77"/>
      <c r="BH87" s="77"/>
      <c r="BI87" s="77"/>
      <c r="BJ87" s="77"/>
      <c r="BK87" s="77"/>
      <c r="BL87" s="77"/>
      <c r="BM87" s="77"/>
      <c r="BN87" s="77"/>
      <c r="BO87" s="77"/>
      <c r="BP87" s="77"/>
      <c r="BQ87" s="77"/>
    </row>
    <row r="88" spans="1:69" x14ac:dyDescent="0.2">
      <c r="B88" s="11" t="s">
        <v>11</v>
      </c>
      <c r="C88" s="4">
        <f t="shared" si="1"/>
        <v>8</v>
      </c>
      <c r="D88" s="4">
        <f t="shared" si="1"/>
        <v>19.399999999999999</v>
      </c>
      <c r="E88" s="4">
        <f t="shared" si="1"/>
        <v>24.6</v>
      </c>
      <c r="F88" s="4">
        <f t="shared" si="1"/>
        <v>21.3</v>
      </c>
      <c r="G88" s="4">
        <f t="shared" si="1"/>
        <v>14</v>
      </c>
      <c r="H88" s="4">
        <f t="shared" si="1"/>
        <v>87.3</v>
      </c>
      <c r="I88" s="13">
        <f t="shared" si="2"/>
        <v>16062</v>
      </c>
      <c r="J88" s="4">
        <f t="shared" si="0"/>
        <v>8.6999999999999993</v>
      </c>
      <c r="K88" s="4">
        <f t="shared" si="0"/>
        <v>20.8</v>
      </c>
      <c r="L88" s="4">
        <f t="shared" si="0"/>
        <v>24.3</v>
      </c>
      <c r="M88" s="4">
        <f t="shared" si="0"/>
        <v>20.2</v>
      </c>
      <c r="N88" s="4">
        <f t="shared" si="0"/>
        <v>13.1</v>
      </c>
      <c r="O88" s="4">
        <f t="shared" si="0"/>
        <v>87</v>
      </c>
      <c r="P88" s="13">
        <f t="shared" si="3"/>
        <v>13584</v>
      </c>
      <c r="Q88" s="4">
        <f t="shared" si="0"/>
        <v>8.3000000000000007</v>
      </c>
      <c r="R88" s="4">
        <f t="shared" si="0"/>
        <v>20.100000000000001</v>
      </c>
      <c r="S88" s="4">
        <f t="shared" si="0"/>
        <v>24.5</v>
      </c>
      <c r="T88" s="4">
        <f t="shared" si="0"/>
        <v>20.8</v>
      </c>
      <c r="U88" s="4">
        <f t="shared" si="0"/>
        <v>13.6</v>
      </c>
      <c r="V88" s="4">
        <f t="shared" si="0"/>
        <v>87.2</v>
      </c>
      <c r="W88" s="13">
        <f t="shared" si="4"/>
        <v>29646</v>
      </c>
      <c r="AW88" s="77"/>
      <c r="AX88" s="77"/>
      <c r="AY88" s="77"/>
      <c r="AZ88" s="77"/>
      <c r="BA88" s="77"/>
      <c r="BB88" s="77"/>
      <c r="BC88" s="77"/>
      <c r="BD88" s="77"/>
      <c r="BE88" s="77"/>
      <c r="BF88" s="77"/>
      <c r="BG88" s="77"/>
      <c r="BH88" s="77"/>
      <c r="BI88" s="77"/>
      <c r="BJ88" s="77"/>
      <c r="BK88" s="77"/>
      <c r="BL88" s="77"/>
      <c r="BM88" s="77"/>
      <c r="BN88" s="77"/>
      <c r="BO88" s="77"/>
      <c r="BP88" s="77"/>
      <c r="BQ88" s="77"/>
    </row>
    <row r="89" spans="1:69" x14ac:dyDescent="0.2">
      <c r="B89" s="11" t="s">
        <v>12</v>
      </c>
      <c r="C89" s="4">
        <f t="shared" si="1"/>
        <v>18.2</v>
      </c>
      <c r="D89" s="4">
        <f t="shared" si="1"/>
        <v>17.7</v>
      </c>
      <c r="E89" s="4">
        <f t="shared" si="1"/>
        <v>19.600000000000001</v>
      </c>
      <c r="F89" s="4">
        <f t="shared" si="1"/>
        <v>17.5</v>
      </c>
      <c r="G89" s="4">
        <f t="shared" si="1"/>
        <v>12.7</v>
      </c>
      <c r="H89" s="4">
        <f t="shared" si="1"/>
        <v>85.7</v>
      </c>
      <c r="I89" s="13">
        <f t="shared" si="2"/>
        <v>11693</v>
      </c>
      <c r="J89" s="4">
        <f t="shared" si="0"/>
        <v>17.600000000000001</v>
      </c>
      <c r="K89" s="4">
        <f t="shared" si="0"/>
        <v>18.3</v>
      </c>
      <c r="L89" s="4">
        <f t="shared" si="0"/>
        <v>19.600000000000001</v>
      </c>
      <c r="M89" s="4">
        <f t="shared" si="0"/>
        <v>16.399999999999999</v>
      </c>
      <c r="N89" s="4">
        <f t="shared" si="0"/>
        <v>13</v>
      </c>
      <c r="O89" s="4">
        <f t="shared" si="0"/>
        <v>84.9</v>
      </c>
      <c r="P89" s="13">
        <f t="shared" si="3"/>
        <v>6457</v>
      </c>
      <c r="Q89" s="4">
        <f t="shared" si="0"/>
        <v>18</v>
      </c>
      <c r="R89" s="4">
        <f t="shared" si="0"/>
        <v>17.899999999999999</v>
      </c>
      <c r="S89" s="4">
        <f t="shared" si="0"/>
        <v>19.600000000000001</v>
      </c>
      <c r="T89" s="4">
        <f t="shared" si="0"/>
        <v>17.100000000000001</v>
      </c>
      <c r="U89" s="4">
        <f t="shared" si="0"/>
        <v>12.8</v>
      </c>
      <c r="V89" s="4">
        <f t="shared" si="0"/>
        <v>85.4</v>
      </c>
      <c r="W89" s="13">
        <f t="shared" si="4"/>
        <v>18150</v>
      </c>
      <c r="AW89" s="77"/>
      <c r="AX89" s="77"/>
      <c r="AY89" s="77"/>
      <c r="AZ89" s="77"/>
      <c r="BA89" s="77"/>
      <c r="BB89" s="77"/>
      <c r="BC89" s="77"/>
      <c r="BD89" s="77"/>
      <c r="BE89" s="77"/>
      <c r="BF89" s="77"/>
      <c r="BG89" s="77"/>
      <c r="BH89" s="77"/>
      <c r="BI89" s="77"/>
      <c r="BJ89" s="77"/>
      <c r="BK89" s="77"/>
      <c r="BL89" s="77"/>
      <c r="BM89" s="77"/>
      <c r="BN89" s="77"/>
      <c r="BO89" s="77"/>
      <c r="BP89" s="77"/>
      <c r="BQ89" s="77"/>
    </row>
    <row r="90" spans="1:69" x14ac:dyDescent="0.2">
      <c r="B90" s="11" t="s">
        <v>13</v>
      </c>
      <c r="C90" s="4">
        <f t="shared" si="1"/>
        <v>13.1</v>
      </c>
      <c r="D90" s="4">
        <f t="shared" si="1"/>
        <v>20.9</v>
      </c>
      <c r="E90" s="4">
        <f t="shared" si="1"/>
        <v>23.8</v>
      </c>
      <c r="F90" s="4">
        <f t="shared" si="1"/>
        <v>19.8</v>
      </c>
      <c r="G90" s="4">
        <f t="shared" si="1"/>
        <v>13.1</v>
      </c>
      <c r="H90" s="4">
        <f t="shared" si="1"/>
        <v>90.7</v>
      </c>
      <c r="I90" s="13">
        <f t="shared" si="2"/>
        <v>21003</v>
      </c>
      <c r="J90" s="4">
        <f t="shared" si="0"/>
        <v>18</v>
      </c>
      <c r="K90" s="4">
        <f t="shared" si="0"/>
        <v>23.3</v>
      </c>
      <c r="L90" s="4">
        <f t="shared" si="0"/>
        <v>22.6</v>
      </c>
      <c r="M90" s="4">
        <f t="shared" si="0"/>
        <v>17.3</v>
      </c>
      <c r="N90" s="4">
        <f t="shared" si="0"/>
        <v>11.3</v>
      </c>
      <c r="O90" s="4">
        <f t="shared" si="0"/>
        <v>92.5</v>
      </c>
      <c r="P90" s="13">
        <f t="shared" si="3"/>
        <v>17829</v>
      </c>
      <c r="Q90" s="4">
        <f t="shared" si="0"/>
        <v>15.4</v>
      </c>
      <c r="R90" s="4">
        <f t="shared" si="0"/>
        <v>22</v>
      </c>
      <c r="S90" s="4">
        <f t="shared" si="0"/>
        <v>23.3</v>
      </c>
      <c r="T90" s="4">
        <f t="shared" si="0"/>
        <v>18.7</v>
      </c>
      <c r="U90" s="4">
        <f t="shared" si="0"/>
        <v>12.2</v>
      </c>
      <c r="V90" s="4">
        <f t="shared" si="0"/>
        <v>91.5</v>
      </c>
      <c r="W90" s="13">
        <f t="shared" si="4"/>
        <v>38832</v>
      </c>
      <c r="AW90" s="77"/>
      <c r="AX90" s="77"/>
      <c r="AY90" s="77"/>
      <c r="AZ90" s="77"/>
      <c r="BA90" s="77"/>
      <c r="BB90" s="77"/>
      <c r="BC90" s="77"/>
      <c r="BD90" s="77"/>
      <c r="BE90" s="77"/>
      <c r="BF90" s="77"/>
      <c r="BG90" s="77"/>
      <c r="BH90" s="77"/>
      <c r="BI90" s="77"/>
      <c r="BJ90" s="77"/>
      <c r="BK90" s="77"/>
      <c r="BL90" s="77"/>
      <c r="BM90" s="77"/>
      <c r="BN90" s="77"/>
      <c r="BO90" s="77"/>
      <c r="BP90" s="77"/>
      <c r="BQ90" s="77"/>
    </row>
    <row r="91" spans="1:69" x14ac:dyDescent="0.2">
      <c r="B91" s="11" t="s">
        <v>14</v>
      </c>
      <c r="C91" s="4">
        <f t="shared" si="1"/>
        <v>19.7</v>
      </c>
      <c r="D91" s="4">
        <f t="shared" si="1"/>
        <v>22.7</v>
      </c>
      <c r="E91" s="4">
        <f t="shared" si="1"/>
        <v>22.2</v>
      </c>
      <c r="F91" s="4">
        <f t="shared" si="1"/>
        <v>17</v>
      </c>
      <c r="G91" s="4">
        <f t="shared" si="1"/>
        <v>9.4</v>
      </c>
      <c r="H91" s="4">
        <f t="shared" si="1"/>
        <v>91</v>
      </c>
      <c r="I91" s="13">
        <f t="shared" si="2"/>
        <v>4448</v>
      </c>
      <c r="J91" s="4">
        <f t="shared" si="0"/>
        <v>19.399999999999999</v>
      </c>
      <c r="K91" s="4">
        <f t="shared" si="0"/>
        <v>22.9</v>
      </c>
      <c r="L91" s="4">
        <f t="shared" si="0"/>
        <v>22.3</v>
      </c>
      <c r="M91" s="4">
        <f t="shared" si="0"/>
        <v>17</v>
      </c>
      <c r="N91" s="4">
        <f t="shared" si="0"/>
        <v>9.8000000000000007</v>
      </c>
      <c r="O91" s="4">
        <f t="shared" si="0"/>
        <v>91.4</v>
      </c>
      <c r="P91" s="13">
        <f t="shared" si="3"/>
        <v>3301</v>
      </c>
      <c r="Q91" s="4">
        <f t="shared" si="0"/>
        <v>19.600000000000001</v>
      </c>
      <c r="R91" s="4">
        <f t="shared" si="0"/>
        <v>22.8</v>
      </c>
      <c r="S91" s="4">
        <f t="shared" si="0"/>
        <v>22.2</v>
      </c>
      <c r="T91" s="4">
        <f t="shared" si="0"/>
        <v>17</v>
      </c>
      <c r="U91" s="4">
        <f t="shared" si="0"/>
        <v>9.6</v>
      </c>
      <c r="V91" s="4">
        <f t="shared" si="0"/>
        <v>91.2</v>
      </c>
      <c r="W91" s="13">
        <f t="shared" si="4"/>
        <v>7749</v>
      </c>
      <c r="AW91" s="77"/>
      <c r="AX91" s="77"/>
      <c r="AY91" s="77"/>
      <c r="AZ91" s="77"/>
      <c r="BA91" s="77"/>
      <c r="BB91" s="77"/>
      <c r="BC91" s="77"/>
      <c r="BD91" s="77"/>
      <c r="BE91" s="77"/>
      <c r="BF91" s="77"/>
      <c r="BG91" s="77"/>
      <c r="BH91" s="77"/>
      <c r="BI91" s="77"/>
      <c r="BJ91" s="77"/>
      <c r="BK91" s="77"/>
      <c r="BL91" s="77"/>
      <c r="BM91" s="77"/>
      <c r="BN91" s="77"/>
      <c r="BO91" s="77"/>
      <c r="BP91" s="77"/>
      <c r="BQ91" s="77"/>
    </row>
    <row r="92" spans="1:69" x14ac:dyDescent="0.2">
      <c r="B92" s="11" t="s">
        <v>15</v>
      </c>
      <c r="C92" s="4">
        <f t="shared" si="1"/>
        <v>16.100000000000001</v>
      </c>
      <c r="D92" s="4">
        <f t="shared" si="1"/>
        <v>19.899999999999999</v>
      </c>
      <c r="E92" s="4">
        <f t="shared" si="1"/>
        <v>21.4</v>
      </c>
      <c r="F92" s="4">
        <f t="shared" si="1"/>
        <v>18.2</v>
      </c>
      <c r="G92" s="4">
        <f t="shared" si="1"/>
        <v>12.3</v>
      </c>
      <c r="H92" s="4">
        <f t="shared" si="1"/>
        <v>87.9</v>
      </c>
      <c r="I92" s="13">
        <f t="shared" si="2"/>
        <v>15483</v>
      </c>
      <c r="J92" s="4">
        <f t="shared" si="0"/>
        <v>15.4</v>
      </c>
      <c r="K92" s="4">
        <f t="shared" si="0"/>
        <v>19.100000000000001</v>
      </c>
      <c r="L92" s="4">
        <f t="shared" si="0"/>
        <v>20.6</v>
      </c>
      <c r="M92" s="4">
        <f t="shared" si="0"/>
        <v>19.3</v>
      </c>
      <c r="N92" s="4">
        <f t="shared" si="0"/>
        <v>13</v>
      </c>
      <c r="O92" s="4">
        <f t="shared" si="0"/>
        <v>87.3</v>
      </c>
      <c r="P92" s="13">
        <f t="shared" si="3"/>
        <v>18954</v>
      </c>
      <c r="Q92" s="4">
        <f t="shared" si="0"/>
        <v>15.7</v>
      </c>
      <c r="R92" s="4">
        <f t="shared" si="0"/>
        <v>19.399999999999999</v>
      </c>
      <c r="S92" s="4">
        <f t="shared" si="0"/>
        <v>21</v>
      </c>
      <c r="T92" s="4">
        <f t="shared" si="0"/>
        <v>18.8</v>
      </c>
      <c r="U92" s="4">
        <f t="shared" si="0"/>
        <v>12.7</v>
      </c>
      <c r="V92" s="4">
        <f t="shared" si="0"/>
        <v>87.6</v>
      </c>
      <c r="W92" s="13">
        <f t="shared" si="4"/>
        <v>34437</v>
      </c>
      <c r="AW92" s="77"/>
      <c r="AX92" s="77"/>
      <c r="AY92" s="77"/>
      <c r="AZ92" s="77"/>
      <c r="BA92" s="77"/>
      <c r="BB92" s="77"/>
      <c r="BC92" s="77"/>
      <c r="BD92" s="77"/>
      <c r="BE92" s="77"/>
      <c r="BF92" s="77"/>
      <c r="BG92" s="77"/>
      <c r="BH92" s="77"/>
      <c r="BI92" s="77"/>
      <c r="BJ92" s="77"/>
      <c r="BK92" s="77"/>
      <c r="BL92" s="77"/>
      <c r="BM92" s="77"/>
      <c r="BN92" s="77"/>
      <c r="BO92" s="77"/>
      <c r="BP92" s="77"/>
      <c r="BQ92" s="77"/>
    </row>
    <row r="93" spans="1:69" x14ac:dyDescent="0.2">
      <c r="B93" s="11" t="s">
        <v>16</v>
      </c>
      <c r="C93" s="4">
        <f t="shared" si="1"/>
        <v>9.6999999999999993</v>
      </c>
      <c r="D93" s="4">
        <f t="shared" si="1"/>
        <v>11.4</v>
      </c>
      <c r="E93" s="4">
        <f t="shared" si="1"/>
        <v>16.2</v>
      </c>
      <c r="F93" s="4">
        <f t="shared" si="1"/>
        <v>17.899999999999999</v>
      </c>
      <c r="G93" s="4">
        <f t="shared" si="1"/>
        <v>15.8</v>
      </c>
      <c r="H93" s="4">
        <f t="shared" si="1"/>
        <v>71</v>
      </c>
      <c r="I93" s="13">
        <f t="shared" si="2"/>
        <v>2931</v>
      </c>
      <c r="J93" s="4">
        <f t="shared" ref="J93:O108" si="5">ROUND(J57,1)</f>
        <v>11.6</v>
      </c>
      <c r="K93" s="4">
        <f t="shared" si="5"/>
        <v>12.6</v>
      </c>
      <c r="L93" s="4">
        <f t="shared" si="5"/>
        <v>17.3</v>
      </c>
      <c r="M93" s="4">
        <f t="shared" si="5"/>
        <v>17.5</v>
      </c>
      <c r="N93" s="4">
        <f t="shared" si="5"/>
        <v>15.7</v>
      </c>
      <c r="O93" s="4">
        <f t="shared" si="5"/>
        <v>74.7</v>
      </c>
      <c r="P93" s="13">
        <f t="shared" si="3"/>
        <v>4174</v>
      </c>
      <c r="Q93" s="4">
        <f t="shared" ref="Q93:V108" si="6">ROUND(Q57,1)</f>
        <v>10.8</v>
      </c>
      <c r="R93" s="4">
        <f t="shared" si="6"/>
        <v>12.1</v>
      </c>
      <c r="S93" s="4">
        <f t="shared" si="6"/>
        <v>16.899999999999999</v>
      </c>
      <c r="T93" s="4">
        <f t="shared" si="6"/>
        <v>17.600000000000001</v>
      </c>
      <c r="U93" s="4">
        <f t="shared" si="6"/>
        <v>15.7</v>
      </c>
      <c r="V93" s="4">
        <f t="shared" si="6"/>
        <v>73.2</v>
      </c>
      <c r="W93" s="13">
        <f t="shared" si="4"/>
        <v>7105</v>
      </c>
      <c r="AW93" s="77"/>
      <c r="AX93" s="77"/>
      <c r="AY93" s="77"/>
      <c r="AZ93" s="77"/>
      <c r="BA93" s="77"/>
      <c r="BB93" s="77"/>
      <c r="BC93" s="77"/>
      <c r="BD93" s="77"/>
      <c r="BE93" s="77"/>
      <c r="BF93" s="77"/>
      <c r="BG93" s="77"/>
      <c r="BH93" s="77"/>
      <c r="BI93" s="77"/>
      <c r="BJ93" s="77"/>
      <c r="BK93" s="77"/>
      <c r="BL93" s="77"/>
      <c r="BM93" s="77"/>
      <c r="BN93" s="77"/>
      <c r="BO93" s="77"/>
      <c r="BP93" s="77"/>
      <c r="BQ93" s="77"/>
    </row>
    <row r="94" spans="1:69" x14ac:dyDescent="0.2">
      <c r="B94" s="11" t="s">
        <v>17</v>
      </c>
      <c r="C94" s="4">
        <f t="shared" ref="C94:H109" si="7">ROUND(C58,1)</f>
        <v>7.6</v>
      </c>
      <c r="D94" s="4">
        <f t="shared" si="7"/>
        <v>13.9</v>
      </c>
      <c r="E94" s="4">
        <f t="shared" si="7"/>
        <v>19</v>
      </c>
      <c r="F94" s="4">
        <f t="shared" si="7"/>
        <v>19.899999999999999</v>
      </c>
      <c r="G94" s="4">
        <f t="shared" si="7"/>
        <v>17.100000000000001</v>
      </c>
      <c r="H94" s="4">
        <f t="shared" si="7"/>
        <v>77.5</v>
      </c>
      <c r="I94" s="13">
        <f t="shared" si="2"/>
        <v>5674</v>
      </c>
      <c r="J94" s="4">
        <f t="shared" si="5"/>
        <v>13.2</v>
      </c>
      <c r="K94" s="4">
        <f t="shared" si="5"/>
        <v>19.2</v>
      </c>
      <c r="L94" s="4">
        <f t="shared" si="5"/>
        <v>22</v>
      </c>
      <c r="M94" s="4">
        <f t="shared" si="5"/>
        <v>18.899999999999999</v>
      </c>
      <c r="N94" s="4">
        <f t="shared" si="5"/>
        <v>13.9</v>
      </c>
      <c r="O94" s="4">
        <f t="shared" si="5"/>
        <v>87.2</v>
      </c>
      <c r="P94" s="13">
        <f t="shared" si="3"/>
        <v>18205</v>
      </c>
      <c r="Q94" s="4">
        <f t="shared" si="6"/>
        <v>11.9</v>
      </c>
      <c r="R94" s="4">
        <f t="shared" si="6"/>
        <v>17.899999999999999</v>
      </c>
      <c r="S94" s="4">
        <f t="shared" si="6"/>
        <v>21.3</v>
      </c>
      <c r="T94" s="4">
        <f t="shared" si="6"/>
        <v>19.100000000000001</v>
      </c>
      <c r="U94" s="4">
        <f t="shared" si="6"/>
        <v>14.6</v>
      </c>
      <c r="V94" s="4">
        <f t="shared" si="6"/>
        <v>84.8</v>
      </c>
      <c r="W94" s="13">
        <f t="shared" si="4"/>
        <v>23879</v>
      </c>
      <c r="AW94" s="77"/>
      <c r="AX94" s="77"/>
      <c r="AY94" s="77"/>
      <c r="AZ94" s="77"/>
      <c r="BA94" s="77"/>
      <c r="BB94" s="77"/>
      <c r="BC94" s="77"/>
      <c r="BD94" s="77"/>
      <c r="BE94" s="77"/>
      <c r="BF94" s="77"/>
      <c r="BG94" s="77"/>
      <c r="BH94" s="77"/>
      <c r="BI94" s="77"/>
      <c r="BJ94" s="77"/>
      <c r="BK94" s="77"/>
      <c r="BL94" s="77"/>
      <c r="BM94" s="77"/>
      <c r="BN94" s="77"/>
      <c r="BO94" s="77"/>
      <c r="BP94" s="77"/>
      <c r="BQ94" s="77"/>
    </row>
    <row r="95" spans="1:69" x14ac:dyDescent="0.2">
      <c r="B95" s="11" t="s">
        <v>18</v>
      </c>
      <c r="C95" s="4">
        <f t="shared" si="7"/>
        <v>10.7</v>
      </c>
      <c r="D95" s="4">
        <f t="shared" si="7"/>
        <v>17.5</v>
      </c>
      <c r="E95" s="4">
        <f t="shared" si="7"/>
        <v>19</v>
      </c>
      <c r="F95" s="4">
        <f t="shared" si="7"/>
        <v>16.100000000000001</v>
      </c>
      <c r="G95" s="4">
        <f t="shared" si="7"/>
        <v>15.5</v>
      </c>
      <c r="H95" s="4">
        <f t="shared" si="7"/>
        <v>78.900000000000006</v>
      </c>
      <c r="I95" s="13">
        <f t="shared" si="2"/>
        <v>4843</v>
      </c>
      <c r="J95" s="4">
        <f t="shared" si="5"/>
        <v>13.5</v>
      </c>
      <c r="K95" s="4">
        <f t="shared" si="5"/>
        <v>19.7</v>
      </c>
      <c r="L95" s="4">
        <f t="shared" si="5"/>
        <v>19.899999999999999</v>
      </c>
      <c r="M95" s="4">
        <f t="shared" si="5"/>
        <v>16.899999999999999</v>
      </c>
      <c r="N95" s="4">
        <f t="shared" si="5"/>
        <v>13.4</v>
      </c>
      <c r="O95" s="4">
        <f t="shared" si="5"/>
        <v>83.5</v>
      </c>
      <c r="P95" s="13">
        <f t="shared" si="3"/>
        <v>16071</v>
      </c>
      <c r="Q95" s="4">
        <f t="shared" si="6"/>
        <v>12.9</v>
      </c>
      <c r="R95" s="4">
        <f t="shared" si="6"/>
        <v>19.2</v>
      </c>
      <c r="S95" s="4">
        <f t="shared" si="6"/>
        <v>19.7</v>
      </c>
      <c r="T95" s="4">
        <f t="shared" si="6"/>
        <v>16.7</v>
      </c>
      <c r="U95" s="4">
        <f t="shared" si="6"/>
        <v>13.9</v>
      </c>
      <c r="V95" s="4">
        <f t="shared" si="6"/>
        <v>82.4</v>
      </c>
      <c r="W95" s="13">
        <f t="shared" si="4"/>
        <v>20914</v>
      </c>
      <c r="AW95" s="77"/>
      <c r="AX95" s="77"/>
      <c r="AY95" s="77"/>
      <c r="AZ95" s="77"/>
      <c r="BA95" s="77"/>
      <c r="BB95" s="77"/>
      <c r="BC95" s="77"/>
      <c r="BD95" s="77"/>
      <c r="BE95" s="77"/>
      <c r="BF95" s="77"/>
      <c r="BG95" s="77"/>
      <c r="BH95" s="77"/>
      <c r="BI95" s="77"/>
      <c r="BJ95" s="77"/>
      <c r="BK95" s="77"/>
      <c r="BL95" s="77"/>
      <c r="BM95" s="77"/>
      <c r="BN95" s="77"/>
      <c r="BO95" s="77"/>
      <c r="BP95" s="77"/>
      <c r="BQ95" s="77"/>
    </row>
    <row r="96" spans="1:69" x14ac:dyDescent="0.2">
      <c r="B96" s="11" t="s">
        <v>19</v>
      </c>
      <c r="C96" s="4">
        <f t="shared" si="7"/>
        <v>11.7</v>
      </c>
      <c r="D96" s="4">
        <f t="shared" si="7"/>
        <v>15</v>
      </c>
      <c r="E96" s="4">
        <f t="shared" si="7"/>
        <v>15</v>
      </c>
      <c r="F96" s="4">
        <f t="shared" si="7"/>
        <v>19.5</v>
      </c>
      <c r="G96" s="4">
        <f t="shared" si="7"/>
        <v>13.5</v>
      </c>
      <c r="H96" s="4">
        <f t="shared" si="7"/>
        <v>74.599999999999994</v>
      </c>
      <c r="I96" s="13">
        <f t="shared" si="2"/>
        <v>615</v>
      </c>
      <c r="J96" s="4">
        <f t="shared" si="5"/>
        <v>13.7</v>
      </c>
      <c r="K96" s="4">
        <f t="shared" si="5"/>
        <v>16.2</v>
      </c>
      <c r="L96" s="4">
        <f t="shared" si="5"/>
        <v>15</v>
      </c>
      <c r="M96" s="4">
        <f t="shared" si="5"/>
        <v>18.100000000000001</v>
      </c>
      <c r="N96" s="4">
        <f t="shared" si="5"/>
        <v>13.9</v>
      </c>
      <c r="O96" s="4">
        <f t="shared" si="5"/>
        <v>76.8</v>
      </c>
      <c r="P96" s="13">
        <f t="shared" si="3"/>
        <v>642</v>
      </c>
      <c r="Q96" s="4">
        <f t="shared" si="6"/>
        <v>12.7</v>
      </c>
      <c r="R96" s="4">
        <f t="shared" si="6"/>
        <v>15.6</v>
      </c>
      <c r="S96" s="4">
        <f t="shared" si="6"/>
        <v>15</v>
      </c>
      <c r="T96" s="4">
        <f t="shared" si="6"/>
        <v>18.8</v>
      </c>
      <c r="U96" s="4">
        <f t="shared" si="6"/>
        <v>13.7</v>
      </c>
      <c r="V96" s="4">
        <f t="shared" si="6"/>
        <v>75.7</v>
      </c>
      <c r="W96" s="13">
        <f t="shared" si="4"/>
        <v>1257</v>
      </c>
      <c r="AW96" s="77"/>
      <c r="AX96" s="77"/>
      <c r="AY96" s="77"/>
      <c r="AZ96" s="77"/>
      <c r="BA96" s="77"/>
      <c r="BB96" s="77"/>
      <c r="BC96" s="77"/>
      <c r="BD96" s="77"/>
      <c r="BE96" s="77"/>
      <c r="BF96" s="77"/>
      <c r="BG96" s="77"/>
      <c r="BH96" s="77"/>
      <c r="BI96" s="77"/>
      <c r="BJ96" s="77"/>
      <c r="BK96" s="77"/>
      <c r="BL96" s="77"/>
      <c r="BM96" s="77"/>
      <c r="BN96" s="77"/>
      <c r="BO96" s="77"/>
      <c r="BP96" s="77"/>
      <c r="BQ96" s="77"/>
    </row>
    <row r="97" spans="2:69" x14ac:dyDescent="0.2">
      <c r="B97" s="11" t="s">
        <v>20</v>
      </c>
      <c r="C97" s="4">
        <f t="shared" si="7"/>
        <v>19.2</v>
      </c>
      <c r="D97" s="4">
        <f t="shared" si="7"/>
        <v>18.2</v>
      </c>
      <c r="E97" s="4">
        <f t="shared" si="7"/>
        <v>22.6</v>
      </c>
      <c r="F97" s="4">
        <f t="shared" si="7"/>
        <v>18.8</v>
      </c>
      <c r="G97" s="4">
        <f t="shared" si="7"/>
        <v>12.2</v>
      </c>
      <c r="H97" s="4">
        <f t="shared" si="7"/>
        <v>91</v>
      </c>
      <c r="I97" s="13">
        <f t="shared" si="2"/>
        <v>12938</v>
      </c>
      <c r="J97" s="4">
        <f t="shared" si="5"/>
        <v>23.9</v>
      </c>
      <c r="K97" s="4">
        <f t="shared" si="5"/>
        <v>20.6</v>
      </c>
      <c r="L97" s="4">
        <f t="shared" si="5"/>
        <v>23.8</v>
      </c>
      <c r="M97" s="4">
        <f t="shared" si="5"/>
        <v>17.2</v>
      </c>
      <c r="N97" s="4">
        <f t="shared" si="5"/>
        <v>8.9</v>
      </c>
      <c r="O97" s="4">
        <f t="shared" si="5"/>
        <v>94.4</v>
      </c>
      <c r="P97" s="13">
        <f t="shared" si="3"/>
        <v>20877</v>
      </c>
      <c r="Q97" s="4">
        <f t="shared" si="6"/>
        <v>22.1</v>
      </c>
      <c r="R97" s="4">
        <f t="shared" si="6"/>
        <v>19.7</v>
      </c>
      <c r="S97" s="4">
        <f t="shared" si="6"/>
        <v>23.3</v>
      </c>
      <c r="T97" s="4">
        <f t="shared" si="6"/>
        <v>17.8</v>
      </c>
      <c r="U97" s="4">
        <f t="shared" si="6"/>
        <v>10.199999999999999</v>
      </c>
      <c r="V97" s="4">
        <f t="shared" si="6"/>
        <v>93.1</v>
      </c>
      <c r="W97" s="13">
        <f t="shared" si="4"/>
        <v>33815</v>
      </c>
      <c r="AW97" s="77"/>
      <c r="AX97" s="77"/>
      <c r="AY97" s="77"/>
      <c r="AZ97" s="77"/>
      <c r="BA97" s="77"/>
      <c r="BB97" s="77"/>
      <c r="BC97" s="77"/>
      <c r="BD97" s="77"/>
      <c r="BE97" s="77"/>
      <c r="BF97" s="77"/>
      <c r="BG97" s="77"/>
      <c r="BH97" s="77"/>
      <c r="BI97" s="77"/>
      <c r="BJ97" s="77"/>
      <c r="BK97" s="77"/>
      <c r="BL97" s="77"/>
      <c r="BM97" s="77"/>
      <c r="BN97" s="77"/>
      <c r="BO97" s="77"/>
      <c r="BP97" s="77"/>
      <c r="BQ97" s="77"/>
    </row>
    <row r="98" spans="2:69" x14ac:dyDescent="0.2">
      <c r="B98" s="11" t="s">
        <v>21</v>
      </c>
      <c r="C98" s="4">
        <f t="shared" si="7"/>
        <v>10.4</v>
      </c>
      <c r="D98" s="4">
        <f t="shared" si="7"/>
        <v>13.1</v>
      </c>
      <c r="E98" s="4">
        <f t="shared" si="7"/>
        <v>22.4</v>
      </c>
      <c r="F98" s="4">
        <f t="shared" si="7"/>
        <v>22.4</v>
      </c>
      <c r="G98" s="4">
        <f t="shared" si="7"/>
        <v>15.2</v>
      </c>
      <c r="H98" s="4">
        <f t="shared" si="7"/>
        <v>83.5</v>
      </c>
      <c r="I98" s="13">
        <f t="shared" si="2"/>
        <v>2617</v>
      </c>
      <c r="J98" s="4">
        <f t="shared" si="5"/>
        <v>13</v>
      </c>
      <c r="K98" s="4">
        <f t="shared" si="5"/>
        <v>16.8</v>
      </c>
      <c r="L98" s="4">
        <f t="shared" si="5"/>
        <v>25.9</v>
      </c>
      <c r="M98" s="4">
        <f t="shared" si="5"/>
        <v>22</v>
      </c>
      <c r="N98" s="4">
        <f t="shared" si="5"/>
        <v>12.3</v>
      </c>
      <c r="O98" s="4">
        <f t="shared" si="5"/>
        <v>90</v>
      </c>
      <c r="P98" s="13">
        <f t="shared" si="3"/>
        <v>7243</v>
      </c>
      <c r="Q98" s="4">
        <f t="shared" si="6"/>
        <v>12.3</v>
      </c>
      <c r="R98" s="4">
        <f t="shared" si="6"/>
        <v>15.8</v>
      </c>
      <c r="S98" s="4">
        <f t="shared" si="6"/>
        <v>24.9</v>
      </c>
      <c r="T98" s="4">
        <f t="shared" si="6"/>
        <v>22.1</v>
      </c>
      <c r="U98" s="4">
        <f t="shared" si="6"/>
        <v>13.1</v>
      </c>
      <c r="V98" s="4">
        <f t="shared" si="6"/>
        <v>88.3</v>
      </c>
      <c r="W98" s="13">
        <f t="shared" si="4"/>
        <v>9860</v>
      </c>
      <c r="AW98" s="77"/>
      <c r="AX98" s="77"/>
      <c r="AY98" s="77"/>
      <c r="AZ98" s="77"/>
      <c r="BA98" s="77"/>
      <c r="BB98" s="77"/>
      <c r="BC98" s="77"/>
      <c r="BD98" s="77"/>
      <c r="BE98" s="77"/>
      <c r="BF98" s="77"/>
      <c r="BG98" s="77"/>
      <c r="BH98" s="77"/>
      <c r="BI98" s="77"/>
      <c r="BJ98" s="77"/>
      <c r="BK98" s="77"/>
      <c r="BL98" s="77"/>
      <c r="BM98" s="77"/>
      <c r="BN98" s="77"/>
      <c r="BO98" s="77"/>
      <c r="BP98" s="77"/>
      <c r="BQ98" s="77"/>
    </row>
    <row r="99" spans="2:69" x14ac:dyDescent="0.2">
      <c r="B99" s="11" t="s">
        <v>22</v>
      </c>
      <c r="C99" s="4">
        <f t="shared" si="7"/>
        <v>15.3</v>
      </c>
      <c r="D99" s="4">
        <f t="shared" si="7"/>
        <v>19.3</v>
      </c>
      <c r="E99" s="4">
        <f t="shared" si="7"/>
        <v>22.7</v>
      </c>
      <c r="F99" s="4">
        <f t="shared" si="7"/>
        <v>20.3</v>
      </c>
      <c r="G99" s="4">
        <f t="shared" si="7"/>
        <v>13.6</v>
      </c>
      <c r="H99" s="4">
        <f t="shared" si="7"/>
        <v>91.2</v>
      </c>
      <c r="I99" s="13">
        <f t="shared" si="2"/>
        <v>24212</v>
      </c>
      <c r="J99" s="4">
        <f t="shared" si="5"/>
        <v>15.1</v>
      </c>
      <c r="K99" s="4">
        <f t="shared" si="5"/>
        <v>19.5</v>
      </c>
      <c r="L99" s="4">
        <f t="shared" si="5"/>
        <v>23.1</v>
      </c>
      <c r="M99" s="4">
        <f t="shared" si="5"/>
        <v>21.3</v>
      </c>
      <c r="N99" s="4">
        <f t="shared" si="5"/>
        <v>13.4</v>
      </c>
      <c r="O99" s="4">
        <f t="shared" si="5"/>
        <v>92.4</v>
      </c>
      <c r="P99" s="13">
        <f t="shared" si="3"/>
        <v>56334</v>
      </c>
      <c r="Q99" s="4">
        <f t="shared" si="6"/>
        <v>15.2</v>
      </c>
      <c r="R99" s="4">
        <f t="shared" si="6"/>
        <v>19.5</v>
      </c>
      <c r="S99" s="4">
        <f t="shared" si="6"/>
        <v>23</v>
      </c>
      <c r="T99" s="4">
        <f t="shared" si="6"/>
        <v>21</v>
      </c>
      <c r="U99" s="4">
        <f t="shared" si="6"/>
        <v>13.4</v>
      </c>
      <c r="V99" s="4">
        <f t="shared" si="6"/>
        <v>92.1</v>
      </c>
      <c r="W99" s="13">
        <f t="shared" si="4"/>
        <v>80546</v>
      </c>
      <c r="AW99" s="77"/>
      <c r="AX99" s="77"/>
      <c r="AY99" s="77"/>
      <c r="AZ99" s="77"/>
      <c r="BA99" s="77"/>
      <c r="BB99" s="77"/>
      <c r="BC99" s="77"/>
      <c r="BD99" s="77"/>
      <c r="BE99" s="77"/>
      <c r="BF99" s="77"/>
      <c r="BG99" s="77"/>
      <c r="BH99" s="77"/>
      <c r="BI99" s="77"/>
      <c r="BJ99" s="77"/>
      <c r="BK99" s="77"/>
      <c r="BL99" s="77"/>
      <c r="BM99" s="77"/>
      <c r="BN99" s="77"/>
      <c r="BO99" s="77"/>
      <c r="BP99" s="77"/>
      <c r="BQ99" s="77"/>
    </row>
    <row r="100" spans="2:69" x14ac:dyDescent="0.2">
      <c r="B100" s="11" t="s">
        <v>51</v>
      </c>
      <c r="C100" s="4">
        <f t="shared" si="7"/>
        <v>8.1999999999999993</v>
      </c>
      <c r="D100" s="4">
        <f t="shared" si="7"/>
        <v>14.2</v>
      </c>
      <c r="E100" s="4">
        <f t="shared" si="7"/>
        <v>28.4</v>
      </c>
      <c r="F100" s="4">
        <f t="shared" si="7"/>
        <v>27.1</v>
      </c>
      <c r="G100" s="4">
        <f t="shared" si="7"/>
        <v>14.3</v>
      </c>
      <c r="H100" s="4">
        <f t="shared" si="7"/>
        <v>92.1</v>
      </c>
      <c r="I100" s="13">
        <f t="shared" si="2"/>
        <v>4479</v>
      </c>
      <c r="J100" s="4">
        <f t="shared" si="5"/>
        <v>11.3</v>
      </c>
      <c r="K100" s="4">
        <f t="shared" si="5"/>
        <v>17</v>
      </c>
      <c r="L100" s="4">
        <f t="shared" si="5"/>
        <v>30.6</v>
      </c>
      <c r="M100" s="4">
        <f t="shared" si="5"/>
        <v>24.7</v>
      </c>
      <c r="N100" s="4">
        <f t="shared" si="5"/>
        <v>11.1</v>
      </c>
      <c r="O100" s="4">
        <f t="shared" si="5"/>
        <v>94.8</v>
      </c>
      <c r="P100" s="13">
        <f t="shared" si="3"/>
        <v>6326</v>
      </c>
      <c r="Q100" s="4">
        <f t="shared" si="6"/>
        <v>10</v>
      </c>
      <c r="R100" s="4">
        <f t="shared" si="6"/>
        <v>15.9</v>
      </c>
      <c r="S100" s="4">
        <f t="shared" si="6"/>
        <v>29.7</v>
      </c>
      <c r="T100" s="4">
        <f t="shared" si="6"/>
        <v>25.7</v>
      </c>
      <c r="U100" s="4">
        <f t="shared" si="6"/>
        <v>12.4</v>
      </c>
      <c r="V100" s="4">
        <f t="shared" si="6"/>
        <v>93.7</v>
      </c>
      <c r="W100" s="13">
        <f t="shared" si="4"/>
        <v>10805</v>
      </c>
      <c r="AW100" s="77"/>
      <c r="AX100" s="77"/>
      <c r="AY100" s="77"/>
      <c r="AZ100" s="77"/>
      <c r="BA100" s="77"/>
      <c r="BB100" s="77"/>
      <c r="BC100" s="77"/>
      <c r="BD100" s="77"/>
      <c r="BE100" s="77"/>
      <c r="BF100" s="77"/>
      <c r="BG100" s="77"/>
      <c r="BH100" s="77"/>
      <c r="BI100" s="77"/>
      <c r="BJ100" s="77"/>
      <c r="BK100" s="77"/>
      <c r="BL100" s="77"/>
      <c r="BM100" s="77"/>
      <c r="BN100" s="77"/>
      <c r="BO100" s="77"/>
      <c r="BP100" s="77"/>
      <c r="BQ100" s="77"/>
    </row>
    <row r="101" spans="2:69" x14ac:dyDescent="0.2">
      <c r="B101" s="11" t="s">
        <v>23</v>
      </c>
      <c r="C101" s="4">
        <f t="shared" si="7"/>
        <v>6.8</v>
      </c>
      <c r="D101" s="4">
        <f t="shared" si="7"/>
        <v>15.7</v>
      </c>
      <c r="E101" s="4">
        <f t="shared" si="7"/>
        <v>19.2</v>
      </c>
      <c r="F101" s="4">
        <f t="shared" si="7"/>
        <v>20.399999999999999</v>
      </c>
      <c r="G101" s="4">
        <f t="shared" si="7"/>
        <v>14.8</v>
      </c>
      <c r="H101" s="4">
        <f t="shared" si="7"/>
        <v>77</v>
      </c>
      <c r="I101" s="13">
        <f t="shared" si="2"/>
        <v>2573</v>
      </c>
      <c r="J101" s="4">
        <f t="shared" si="5"/>
        <v>11.9</v>
      </c>
      <c r="K101" s="4">
        <f t="shared" si="5"/>
        <v>21.2</v>
      </c>
      <c r="L101" s="4">
        <f t="shared" si="5"/>
        <v>25.7</v>
      </c>
      <c r="M101" s="4">
        <f t="shared" si="5"/>
        <v>19.2</v>
      </c>
      <c r="N101" s="4">
        <f t="shared" si="5"/>
        <v>10.6</v>
      </c>
      <c r="O101" s="4">
        <f t="shared" si="5"/>
        <v>88.6</v>
      </c>
      <c r="P101" s="13">
        <f t="shared" si="3"/>
        <v>5131</v>
      </c>
      <c r="Q101" s="4">
        <f t="shared" si="6"/>
        <v>10.199999999999999</v>
      </c>
      <c r="R101" s="4">
        <f t="shared" si="6"/>
        <v>19.399999999999999</v>
      </c>
      <c r="S101" s="4">
        <f t="shared" si="6"/>
        <v>23.6</v>
      </c>
      <c r="T101" s="4">
        <f t="shared" si="6"/>
        <v>19.600000000000001</v>
      </c>
      <c r="U101" s="4">
        <f t="shared" si="6"/>
        <v>12</v>
      </c>
      <c r="V101" s="4">
        <f t="shared" si="6"/>
        <v>84.7</v>
      </c>
      <c r="W101" s="13">
        <f t="shared" si="4"/>
        <v>7704</v>
      </c>
      <c r="AW101" s="77"/>
      <c r="AX101" s="77"/>
      <c r="AY101" s="77"/>
      <c r="AZ101" s="77"/>
      <c r="BA101" s="77"/>
      <c r="BB101" s="77"/>
      <c r="BC101" s="77"/>
      <c r="BD101" s="77"/>
      <c r="BE101" s="77"/>
      <c r="BF101" s="77"/>
      <c r="BG101" s="77"/>
      <c r="BH101" s="77"/>
      <c r="BI101" s="77"/>
      <c r="BJ101" s="77"/>
      <c r="BK101" s="77"/>
      <c r="BL101" s="77"/>
      <c r="BM101" s="77"/>
      <c r="BN101" s="77"/>
      <c r="BO101" s="77"/>
      <c r="BP101" s="77"/>
      <c r="BQ101" s="77"/>
    </row>
    <row r="102" spans="2:69" x14ac:dyDescent="0.2">
      <c r="B102" s="11" t="s">
        <v>24</v>
      </c>
      <c r="C102" s="4">
        <f t="shared" si="7"/>
        <v>24.6</v>
      </c>
      <c r="D102" s="4">
        <f t="shared" si="7"/>
        <v>21.2</v>
      </c>
      <c r="E102" s="4">
        <f t="shared" si="7"/>
        <v>19.8</v>
      </c>
      <c r="F102" s="4">
        <f t="shared" si="7"/>
        <v>17.3</v>
      </c>
      <c r="G102" s="4">
        <f t="shared" si="7"/>
        <v>10.3</v>
      </c>
      <c r="H102" s="4">
        <f t="shared" si="7"/>
        <v>93.2</v>
      </c>
      <c r="I102" s="13">
        <f t="shared" si="2"/>
        <v>5899</v>
      </c>
      <c r="J102" s="4">
        <f t="shared" si="5"/>
        <v>20.7</v>
      </c>
      <c r="K102" s="4">
        <f t="shared" si="5"/>
        <v>20.7</v>
      </c>
      <c r="L102" s="4">
        <f t="shared" si="5"/>
        <v>19.399999999999999</v>
      </c>
      <c r="M102" s="4">
        <f t="shared" si="5"/>
        <v>17.5</v>
      </c>
      <c r="N102" s="4">
        <f t="shared" si="5"/>
        <v>12.5</v>
      </c>
      <c r="O102" s="4">
        <f t="shared" si="5"/>
        <v>90.8</v>
      </c>
      <c r="P102" s="13">
        <f t="shared" si="3"/>
        <v>13730</v>
      </c>
      <c r="Q102" s="4">
        <f t="shared" si="6"/>
        <v>21.9</v>
      </c>
      <c r="R102" s="4">
        <f t="shared" si="6"/>
        <v>20.9</v>
      </c>
      <c r="S102" s="4">
        <f t="shared" si="6"/>
        <v>19.5</v>
      </c>
      <c r="T102" s="4">
        <f t="shared" si="6"/>
        <v>17.399999999999999</v>
      </c>
      <c r="U102" s="4">
        <f t="shared" si="6"/>
        <v>11.8</v>
      </c>
      <c r="V102" s="4">
        <f t="shared" si="6"/>
        <v>91.5</v>
      </c>
      <c r="W102" s="13">
        <f t="shared" si="4"/>
        <v>19629</v>
      </c>
      <c r="AW102" s="77"/>
      <c r="AX102" s="77"/>
      <c r="AY102" s="77"/>
      <c r="AZ102" s="77"/>
      <c r="BA102" s="77"/>
      <c r="BB102" s="77"/>
      <c r="BC102" s="77"/>
      <c r="BD102" s="77"/>
      <c r="BE102" s="77"/>
      <c r="BF102" s="77"/>
      <c r="BG102" s="77"/>
      <c r="BH102" s="77"/>
      <c r="BI102" s="77"/>
      <c r="BJ102" s="77"/>
      <c r="BK102" s="77"/>
      <c r="BL102" s="77"/>
      <c r="BM102" s="77"/>
      <c r="BN102" s="77"/>
      <c r="BO102" s="77"/>
      <c r="BP102" s="77"/>
      <c r="BQ102" s="77"/>
    </row>
    <row r="103" spans="2:69" x14ac:dyDescent="0.2">
      <c r="B103" s="11" t="s">
        <v>25</v>
      </c>
      <c r="C103" s="4">
        <f t="shared" si="7"/>
        <v>31.2</v>
      </c>
      <c r="D103" s="4">
        <f t="shared" si="7"/>
        <v>19.7</v>
      </c>
      <c r="E103" s="4">
        <f t="shared" si="7"/>
        <v>19.600000000000001</v>
      </c>
      <c r="F103" s="4">
        <f t="shared" si="7"/>
        <v>12.7</v>
      </c>
      <c r="G103" s="4">
        <f t="shared" si="7"/>
        <v>10.8</v>
      </c>
      <c r="H103" s="4">
        <f t="shared" si="7"/>
        <v>94</v>
      </c>
      <c r="I103" s="13">
        <f t="shared" si="2"/>
        <v>2664</v>
      </c>
      <c r="J103" s="4">
        <f t="shared" si="5"/>
        <v>24.7</v>
      </c>
      <c r="K103" s="4">
        <f t="shared" si="5"/>
        <v>19.2</v>
      </c>
      <c r="L103" s="4">
        <f t="shared" si="5"/>
        <v>19.8</v>
      </c>
      <c r="M103" s="4">
        <f t="shared" si="5"/>
        <v>16.7</v>
      </c>
      <c r="N103" s="4">
        <f t="shared" si="5"/>
        <v>11.3</v>
      </c>
      <c r="O103" s="4">
        <f t="shared" si="5"/>
        <v>91.7</v>
      </c>
      <c r="P103" s="13">
        <f t="shared" si="3"/>
        <v>6239</v>
      </c>
      <c r="Q103" s="4">
        <f t="shared" si="6"/>
        <v>26.7</v>
      </c>
      <c r="R103" s="4">
        <f t="shared" si="6"/>
        <v>19.3</v>
      </c>
      <c r="S103" s="4">
        <f t="shared" si="6"/>
        <v>19.7</v>
      </c>
      <c r="T103" s="4">
        <f t="shared" si="6"/>
        <v>15.5</v>
      </c>
      <c r="U103" s="4">
        <f t="shared" si="6"/>
        <v>11.1</v>
      </c>
      <c r="V103" s="4">
        <f t="shared" si="6"/>
        <v>92.4</v>
      </c>
      <c r="W103" s="13">
        <f t="shared" si="4"/>
        <v>8903</v>
      </c>
      <c r="AW103" s="77"/>
      <c r="AX103" s="77"/>
      <c r="AY103" s="77"/>
      <c r="AZ103" s="77"/>
      <c r="BA103" s="77"/>
      <c r="BB103" s="77"/>
      <c r="BC103" s="77"/>
      <c r="BD103" s="77"/>
      <c r="BE103" s="77"/>
      <c r="BF103" s="77"/>
      <c r="BG103" s="77"/>
      <c r="BH103" s="77"/>
      <c r="BI103" s="77"/>
      <c r="BJ103" s="77"/>
      <c r="BK103" s="77"/>
      <c r="BL103" s="77"/>
      <c r="BM103" s="77"/>
      <c r="BN103" s="77"/>
      <c r="BO103" s="77"/>
      <c r="BP103" s="77"/>
      <c r="BQ103" s="77"/>
    </row>
    <row r="104" spans="2:69" x14ac:dyDescent="0.2">
      <c r="B104" s="11" t="s">
        <v>26</v>
      </c>
      <c r="C104" s="4">
        <f t="shared" si="7"/>
        <v>26.8</v>
      </c>
      <c r="D104" s="4">
        <f t="shared" si="7"/>
        <v>24.4</v>
      </c>
      <c r="E104" s="4">
        <f t="shared" si="7"/>
        <v>21.9</v>
      </c>
      <c r="F104" s="4">
        <f t="shared" si="7"/>
        <v>12.4</v>
      </c>
      <c r="G104" s="4">
        <f t="shared" si="7"/>
        <v>8.1</v>
      </c>
      <c r="H104" s="4">
        <f t="shared" si="7"/>
        <v>93.5</v>
      </c>
      <c r="I104" s="13">
        <f t="shared" si="2"/>
        <v>1285</v>
      </c>
      <c r="J104" s="4">
        <f t="shared" si="5"/>
        <v>24.7</v>
      </c>
      <c r="K104" s="4">
        <f t="shared" si="5"/>
        <v>21.6</v>
      </c>
      <c r="L104" s="4">
        <f t="shared" si="5"/>
        <v>19.399999999999999</v>
      </c>
      <c r="M104" s="4">
        <f t="shared" si="5"/>
        <v>14.9</v>
      </c>
      <c r="N104" s="4">
        <f t="shared" si="5"/>
        <v>11</v>
      </c>
      <c r="O104" s="4">
        <f t="shared" si="5"/>
        <v>91.6</v>
      </c>
      <c r="P104" s="13">
        <f t="shared" si="3"/>
        <v>3214</v>
      </c>
      <c r="Q104" s="4">
        <f t="shared" si="6"/>
        <v>25.3</v>
      </c>
      <c r="R104" s="4">
        <f t="shared" si="6"/>
        <v>22.4</v>
      </c>
      <c r="S104" s="4">
        <f t="shared" si="6"/>
        <v>20.100000000000001</v>
      </c>
      <c r="T104" s="4">
        <f t="shared" si="6"/>
        <v>14.2</v>
      </c>
      <c r="U104" s="4">
        <f t="shared" si="6"/>
        <v>10.199999999999999</v>
      </c>
      <c r="V104" s="4">
        <f t="shared" si="6"/>
        <v>92.2</v>
      </c>
      <c r="W104" s="13">
        <f t="shared" si="4"/>
        <v>4499</v>
      </c>
      <c r="AW104" s="77"/>
      <c r="AX104" s="77"/>
      <c r="AY104" s="77"/>
      <c r="AZ104" s="77"/>
      <c r="BA104" s="77"/>
      <c r="BB104" s="77"/>
      <c r="BC104" s="77"/>
      <c r="BD104" s="77"/>
      <c r="BE104" s="77"/>
      <c r="BF104" s="77"/>
      <c r="BG104" s="77"/>
      <c r="BH104" s="77"/>
      <c r="BI104" s="77"/>
      <c r="BJ104" s="77"/>
      <c r="BK104" s="77"/>
      <c r="BL104" s="77"/>
      <c r="BM104" s="77"/>
      <c r="BN104" s="77"/>
      <c r="BO104" s="77"/>
      <c r="BP104" s="77"/>
      <c r="BQ104" s="77"/>
    </row>
    <row r="105" spans="2:69" x14ac:dyDescent="0.2">
      <c r="B105" s="11" t="s">
        <v>27</v>
      </c>
      <c r="C105" s="4">
        <f t="shared" si="7"/>
        <v>30.5</v>
      </c>
      <c r="D105" s="4">
        <f t="shared" si="7"/>
        <v>25.7</v>
      </c>
      <c r="E105" s="4">
        <f t="shared" si="7"/>
        <v>17.399999999999999</v>
      </c>
      <c r="F105" s="4">
        <f t="shared" si="7"/>
        <v>11.6</v>
      </c>
      <c r="G105" s="4">
        <f t="shared" si="7"/>
        <v>6.1</v>
      </c>
      <c r="H105" s="4">
        <f t="shared" si="7"/>
        <v>91.4</v>
      </c>
      <c r="I105" s="13">
        <f t="shared" si="2"/>
        <v>1563</v>
      </c>
      <c r="J105" s="4">
        <f t="shared" si="5"/>
        <v>34.6</v>
      </c>
      <c r="K105" s="4">
        <f t="shared" si="5"/>
        <v>26.1</v>
      </c>
      <c r="L105" s="4">
        <f t="shared" si="5"/>
        <v>17.2</v>
      </c>
      <c r="M105" s="4">
        <f t="shared" si="5"/>
        <v>11.4</v>
      </c>
      <c r="N105" s="4">
        <f t="shared" si="5"/>
        <v>4.5999999999999996</v>
      </c>
      <c r="O105" s="4">
        <f t="shared" si="5"/>
        <v>93.8</v>
      </c>
      <c r="P105" s="13">
        <f t="shared" si="3"/>
        <v>1894</v>
      </c>
      <c r="Q105" s="4">
        <f t="shared" si="6"/>
        <v>32.700000000000003</v>
      </c>
      <c r="R105" s="4">
        <f t="shared" si="6"/>
        <v>25.9</v>
      </c>
      <c r="S105" s="4">
        <f t="shared" si="6"/>
        <v>17.3</v>
      </c>
      <c r="T105" s="4">
        <f t="shared" si="6"/>
        <v>11.5</v>
      </c>
      <c r="U105" s="4">
        <f t="shared" si="6"/>
        <v>5.3</v>
      </c>
      <c r="V105" s="4">
        <f t="shared" si="6"/>
        <v>92.7</v>
      </c>
      <c r="W105" s="13">
        <f t="shared" si="4"/>
        <v>3457</v>
      </c>
      <c r="AW105" s="77"/>
      <c r="AX105" s="77"/>
      <c r="AY105" s="77"/>
      <c r="AZ105" s="77"/>
      <c r="BA105" s="77"/>
      <c r="BB105" s="77"/>
      <c r="BC105" s="77"/>
      <c r="BD105" s="77"/>
      <c r="BE105" s="77"/>
      <c r="BF105" s="77"/>
      <c r="BG105" s="77"/>
      <c r="BH105" s="77"/>
      <c r="BI105" s="77"/>
      <c r="BJ105" s="77"/>
      <c r="BK105" s="77"/>
      <c r="BL105" s="77"/>
      <c r="BM105" s="77"/>
      <c r="BN105" s="77"/>
      <c r="BO105" s="77"/>
      <c r="BP105" s="77"/>
      <c r="BQ105" s="77"/>
    </row>
    <row r="106" spans="2:69" x14ac:dyDescent="0.2">
      <c r="B106" s="11" t="s">
        <v>28</v>
      </c>
      <c r="C106" s="4">
        <f t="shared" si="7"/>
        <v>27.5</v>
      </c>
      <c r="D106" s="4">
        <f t="shared" si="7"/>
        <v>21.6</v>
      </c>
      <c r="E106" s="4">
        <f t="shared" si="7"/>
        <v>18.899999999999999</v>
      </c>
      <c r="F106" s="4">
        <f t="shared" si="7"/>
        <v>14.4</v>
      </c>
      <c r="G106" s="4">
        <f t="shared" si="7"/>
        <v>9.4</v>
      </c>
      <c r="H106" s="4">
        <f t="shared" si="7"/>
        <v>91.8</v>
      </c>
      <c r="I106" s="13">
        <f t="shared" si="2"/>
        <v>2377</v>
      </c>
      <c r="J106" s="4">
        <f t="shared" si="5"/>
        <v>27.3</v>
      </c>
      <c r="K106" s="4">
        <f t="shared" si="5"/>
        <v>23.3</v>
      </c>
      <c r="L106" s="4">
        <f t="shared" si="5"/>
        <v>20.8</v>
      </c>
      <c r="M106" s="4">
        <f t="shared" si="5"/>
        <v>14.6</v>
      </c>
      <c r="N106" s="4">
        <f t="shared" si="5"/>
        <v>8.1</v>
      </c>
      <c r="O106" s="4">
        <f t="shared" si="5"/>
        <v>94</v>
      </c>
      <c r="P106" s="13">
        <f t="shared" si="3"/>
        <v>3359</v>
      </c>
      <c r="Q106" s="4">
        <f t="shared" si="6"/>
        <v>27.4</v>
      </c>
      <c r="R106" s="4">
        <f t="shared" si="6"/>
        <v>22.6</v>
      </c>
      <c r="S106" s="4">
        <f t="shared" si="6"/>
        <v>20</v>
      </c>
      <c r="T106" s="4">
        <f t="shared" si="6"/>
        <v>14.5</v>
      </c>
      <c r="U106" s="4">
        <f t="shared" si="6"/>
        <v>8.6</v>
      </c>
      <c r="V106" s="4">
        <f t="shared" si="6"/>
        <v>93.1</v>
      </c>
      <c r="W106" s="13">
        <f t="shared" si="4"/>
        <v>5736</v>
      </c>
      <c r="AW106" s="77"/>
      <c r="AX106" s="77"/>
      <c r="AY106" s="77"/>
      <c r="AZ106" s="77"/>
      <c r="BA106" s="77"/>
      <c r="BB106" s="77"/>
      <c r="BC106" s="77"/>
      <c r="BD106" s="77"/>
      <c r="BE106" s="77"/>
      <c r="BF106" s="77"/>
      <c r="BG106" s="77"/>
      <c r="BH106" s="77"/>
      <c r="BI106" s="77"/>
      <c r="BJ106" s="77"/>
      <c r="BK106" s="77"/>
      <c r="BL106" s="77"/>
      <c r="BM106" s="77"/>
      <c r="BN106" s="77"/>
      <c r="BO106" s="77"/>
      <c r="BP106" s="77"/>
      <c r="BQ106" s="77"/>
    </row>
    <row r="107" spans="2:69" x14ac:dyDescent="0.2">
      <c r="B107" s="11" t="s">
        <v>29</v>
      </c>
      <c r="C107" s="4">
        <f t="shared" si="7"/>
        <v>16.5</v>
      </c>
      <c r="D107" s="4">
        <f t="shared" si="7"/>
        <v>20.9</v>
      </c>
      <c r="E107" s="4">
        <f t="shared" si="7"/>
        <v>21.9</v>
      </c>
      <c r="F107" s="4">
        <f t="shared" si="7"/>
        <v>18.7</v>
      </c>
      <c r="G107" s="4">
        <f t="shared" si="7"/>
        <v>10.8</v>
      </c>
      <c r="H107" s="4">
        <f t="shared" si="7"/>
        <v>88.8</v>
      </c>
      <c r="I107" s="13">
        <f t="shared" si="2"/>
        <v>1702</v>
      </c>
      <c r="J107" s="4">
        <f t="shared" si="5"/>
        <v>15.2</v>
      </c>
      <c r="K107" s="4">
        <f t="shared" si="5"/>
        <v>21</v>
      </c>
      <c r="L107" s="4">
        <f t="shared" si="5"/>
        <v>23</v>
      </c>
      <c r="M107" s="4">
        <f t="shared" si="5"/>
        <v>20.2</v>
      </c>
      <c r="N107" s="4">
        <f t="shared" si="5"/>
        <v>11.5</v>
      </c>
      <c r="O107" s="4">
        <f t="shared" si="5"/>
        <v>90.9</v>
      </c>
      <c r="P107" s="13">
        <f t="shared" si="3"/>
        <v>5038</v>
      </c>
      <c r="Q107" s="4">
        <f t="shared" si="6"/>
        <v>15.5</v>
      </c>
      <c r="R107" s="4">
        <f t="shared" si="6"/>
        <v>21</v>
      </c>
      <c r="S107" s="4">
        <f t="shared" si="6"/>
        <v>22.7</v>
      </c>
      <c r="T107" s="4">
        <f t="shared" si="6"/>
        <v>19.8</v>
      </c>
      <c r="U107" s="4">
        <f t="shared" si="6"/>
        <v>11.3</v>
      </c>
      <c r="V107" s="4">
        <f t="shared" si="6"/>
        <v>90.3</v>
      </c>
      <c r="W107" s="13">
        <f t="shared" si="4"/>
        <v>6740</v>
      </c>
      <c r="AW107" s="77"/>
      <c r="AX107" s="77"/>
      <c r="AY107" s="77"/>
      <c r="AZ107" s="77"/>
      <c r="BA107" s="77"/>
      <c r="BB107" s="77"/>
      <c r="BC107" s="77"/>
      <c r="BD107" s="77"/>
      <c r="BE107" s="77"/>
      <c r="BF107" s="77"/>
      <c r="BG107" s="77"/>
      <c r="BH107" s="77"/>
      <c r="BI107" s="77"/>
      <c r="BJ107" s="77"/>
      <c r="BK107" s="77"/>
      <c r="BL107" s="77"/>
      <c r="BM107" s="77"/>
      <c r="BN107" s="77"/>
      <c r="BO107" s="77"/>
      <c r="BP107" s="77"/>
      <c r="BQ107" s="77"/>
    </row>
    <row r="108" spans="2:69" x14ac:dyDescent="0.2">
      <c r="B108" s="11" t="s">
        <v>30</v>
      </c>
      <c r="C108" s="4">
        <f t="shared" si="7"/>
        <v>19.3</v>
      </c>
      <c r="D108" s="4">
        <f t="shared" si="7"/>
        <v>20.2</v>
      </c>
      <c r="E108" s="4">
        <f t="shared" si="7"/>
        <v>21.6</v>
      </c>
      <c r="F108" s="4">
        <f t="shared" si="7"/>
        <v>19.3</v>
      </c>
      <c r="G108" s="4">
        <f t="shared" si="7"/>
        <v>10.5</v>
      </c>
      <c r="H108" s="4">
        <f t="shared" si="7"/>
        <v>91</v>
      </c>
      <c r="I108" s="13">
        <f t="shared" si="2"/>
        <v>2450</v>
      </c>
      <c r="J108" s="4">
        <f t="shared" si="5"/>
        <v>20.399999999999999</v>
      </c>
      <c r="K108" s="4">
        <f t="shared" si="5"/>
        <v>19.8</v>
      </c>
      <c r="L108" s="4">
        <f t="shared" si="5"/>
        <v>23.8</v>
      </c>
      <c r="M108" s="4">
        <f t="shared" si="5"/>
        <v>18.600000000000001</v>
      </c>
      <c r="N108" s="4">
        <f t="shared" si="5"/>
        <v>11.3</v>
      </c>
      <c r="O108" s="4">
        <f t="shared" si="5"/>
        <v>94</v>
      </c>
      <c r="P108" s="13">
        <f t="shared" si="3"/>
        <v>3546</v>
      </c>
      <c r="Q108" s="4">
        <f t="shared" si="6"/>
        <v>20</v>
      </c>
      <c r="R108" s="4">
        <f t="shared" si="6"/>
        <v>20</v>
      </c>
      <c r="S108" s="4">
        <f t="shared" si="6"/>
        <v>22.9</v>
      </c>
      <c r="T108" s="4">
        <f t="shared" si="6"/>
        <v>18.899999999999999</v>
      </c>
      <c r="U108" s="4">
        <f t="shared" si="6"/>
        <v>11</v>
      </c>
      <c r="V108" s="4">
        <f t="shared" si="6"/>
        <v>92.8</v>
      </c>
      <c r="W108" s="13">
        <f t="shared" si="4"/>
        <v>5996</v>
      </c>
      <c r="AW108" s="77"/>
      <c r="AX108" s="77"/>
      <c r="AY108" s="77"/>
      <c r="AZ108" s="77"/>
      <c r="BA108" s="77"/>
      <c r="BB108" s="77"/>
      <c r="BC108" s="77"/>
      <c r="BD108" s="77"/>
      <c r="BE108" s="77"/>
      <c r="BF108" s="77"/>
      <c r="BG108" s="77"/>
      <c r="BH108" s="77"/>
      <c r="BI108" s="77"/>
      <c r="BJ108" s="77"/>
      <c r="BK108" s="77"/>
      <c r="BL108" s="77"/>
      <c r="BM108" s="77"/>
      <c r="BN108" s="77"/>
      <c r="BO108" s="77"/>
      <c r="BP108" s="77"/>
      <c r="BQ108" s="77"/>
    </row>
    <row r="109" spans="2:69" x14ac:dyDescent="0.2">
      <c r="B109" s="11" t="s">
        <v>31</v>
      </c>
      <c r="C109" s="4">
        <f t="shared" si="7"/>
        <v>5.8</v>
      </c>
      <c r="D109" s="4">
        <f t="shared" si="7"/>
        <v>10.8</v>
      </c>
      <c r="E109" s="4">
        <f t="shared" si="7"/>
        <v>22.2</v>
      </c>
      <c r="F109" s="4">
        <f t="shared" si="7"/>
        <v>26.9</v>
      </c>
      <c r="G109" s="4">
        <f t="shared" si="7"/>
        <v>21.6</v>
      </c>
      <c r="H109" s="4">
        <f t="shared" si="7"/>
        <v>87.3</v>
      </c>
      <c r="I109" s="13">
        <f t="shared" si="2"/>
        <v>8315</v>
      </c>
      <c r="J109" s="4">
        <f t="shared" ref="J109:O111" si="8">ROUND(J73,1)</f>
        <v>13.9</v>
      </c>
      <c r="K109" s="4">
        <f t="shared" si="8"/>
        <v>15.8</v>
      </c>
      <c r="L109" s="4">
        <f t="shared" si="8"/>
        <v>22.8</v>
      </c>
      <c r="M109" s="4">
        <f t="shared" si="8"/>
        <v>22.2</v>
      </c>
      <c r="N109" s="4">
        <f t="shared" si="8"/>
        <v>15.5</v>
      </c>
      <c r="O109" s="4">
        <f t="shared" si="8"/>
        <v>90.2</v>
      </c>
      <c r="P109" s="13">
        <f t="shared" si="3"/>
        <v>5365</v>
      </c>
      <c r="Q109" s="4">
        <f t="shared" ref="Q109:V111" si="9">ROUND(Q73,1)</f>
        <v>9</v>
      </c>
      <c r="R109" s="4">
        <f t="shared" si="9"/>
        <v>12.8</v>
      </c>
      <c r="S109" s="4">
        <f t="shared" si="9"/>
        <v>22.4</v>
      </c>
      <c r="T109" s="4">
        <f t="shared" si="9"/>
        <v>25.1</v>
      </c>
      <c r="U109" s="4">
        <f t="shared" si="9"/>
        <v>19.2</v>
      </c>
      <c r="V109" s="4">
        <f t="shared" si="9"/>
        <v>88.5</v>
      </c>
      <c r="W109" s="13">
        <f t="shared" si="4"/>
        <v>13680</v>
      </c>
      <c r="AW109" s="77"/>
      <c r="AX109" s="77"/>
      <c r="AY109" s="77"/>
      <c r="AZ109" s="77"/>
      <c r="BA109" s="77"/>
      <c r="BB109" s="77"/>
      <c r="BC109" s="77"/>
      <c r="BD109" s="77"/>
      <c r="BE109" s="77"/>
      <c r="BF109" s="77"/>
      <c r="BG109" s="77"/>
      <c r="BH109" s="77"/>
      <c r="BI109" s="77"/>
      <c r="BJ109" s="77"/>
      <c r="BK109" s="77"/>
      <c r="BL109" s="77"/>
      <c r="BM109" s="77"/>
      <c r="BN109" s="77"/>
      <c r="BO109" s="77"/>
      <c r="BP109" s="77"/>
      <c r="BQ109" s="77"/>
    </row>
    <row r="110" spans="2:69" x14ac:dyDescent="0.2">
      <c r="B110" s="11" t="s">
        <v>32</v>
      </c>
      <c r="C110" s="4">
        <f t="shared" ref="C110:H111" si="10">ROUND(C74,1)</f>
        <v>13.8</v>
      </c>
      <c r="D110" s="4">
        <f t="shared" si="10"/>
        <v>17</v>
      </c>
      <c r="E110" s="4">
        <f t="shared" si="10"/>
        <v>19.8</v>
      </c>
      <c r="F110" s="4">
        <f t="shared" si="10"/>
        <v>19.2</v>
      </c>
      <c r="G110" s="4">
        <f t="shared" si="10"/>
        <v>14.9</v>
      </c>
      <c r="H110" s="4">
        <f t="shared" si="10"/>
        <v>84.8</v>
      </c>
      <c r="I110" s="13">
        <f t="shared" si="2"/>
        <v>37948</v>
      </c>
      <c r="J110" s="4">
        <f t="shared" si="8"/>
        <v>12.5</v>
      </c>
      <c r="K110" s="4">
        <f t="shared" si="8"/>
        <v>16.3</v>
      </c>
      <c r="L110" s="4">
        <f t="shared" si="8"/>
        <v>20.7</v>
      </c>
      <c r="M110" s="4">
        <f t="shared" si="8"/>
        <v>19.7</v>
      </c>
      <c r="N110" s="4">
        <f t="shared" si="8"/>
        <v>15.3</v>
      </c>
      <c r="O110" s="4">
        <f t="shared" si="8"/>
        <v>84.4</v>
      </c>
      <c r="P110" s="13">
        <f t="shared" si="3"/>
        <v>40858</v>
      </c>
      <c r="Q110" s="4">
        <f t="shared" si="9"/>
        <v>13.1</v>
      </c>
      <c r="R110" s="4">
        <f t="shared" si="9"/>
        <v>16.600000000000001</v>
      </c>
      <c r="S110" s="4">
        <f t="shared" si="9"/>
        <v>20.3</v>
      </c>
      <c r="T110" s="4">
        <f t="shared" si="9"/>
        <v>19.5</v>
      </c>
      <c r="U110" s="4">
        <f t="shared" si="9"/>
        <v>15.1</v>
      </c>
      <c r="V110" s="4">
        <f t="shared" si="9"/>
        <v>84.6</v>
      </c>
      <c r="W110" s="13">
        <f t="shared" si="4"/>
        <v>78806</v>
      </c>
      <c r="AW110" s="77"/>
      <c r="AX110" s="77"/>
      <c r="AY110" s="77"/>
      <c r="AZ110" s="77"/>
      <c r="BA110" s="77"/>
      <c r="BB110" s="77"/>
      <c r="BC110" s="77"/>
      <c r="BD110" s="77"/>
      <c r="BE110" s="77"/>
      <c r="BF110" s="77"/>
      <c r="BG110" s="77"/>
      <c r="BH110" s="77"/>
      <c r="BI110" s="77"/>
      <c r="BJ110" s="77"/>
      <c r="BK110" s="77"/>
      <c r="BL110" s="77"/>
      <c r="BM110" s="77"/>
      <c r="BN110" s="77"/>
      <c r="BO110" s="77"/>
      <c r="BP110" s="77"/>
      <c r="BQ110" s="77"/>
    </row>
    <row r="111" spans="2:69" x14ac:dyDescent="0.2">
      <c r="B111" s="11" t="s">
        <v>46</v>
      </c>
      <c r="C111" s="4">
        <f t="shared" si="10"/>
        <v>17.2</v>
      </c>
      <c r="D111" s="4">
        <f t="shared" si="10"/>
        <v>18.100000000000001</v>
      </c>
      <c r="E111" s="4">
        <f t="shared" si="10"/>
        <v>20.3</v>
      </c>
      <c r="F111" s="4">
        <f t="shared" si="10"/>
        <v>18.3</v>
      </c>
      <c r="G111" s="4">
        <f t="shared" si="10"/>
        <v>13.4</v>
      </c>
      <c r="H111" s="4">
        <f t="shared" si="10"/>
        <v>87.4</v>
      </c>
      <c r="I111" s="13">
        <f t="shared" si="2"/>
        <v>319243</v>
      </c>
      <c r="J111" s="4">
        <f t="shared" si="8"/>
        <v>17.100000000000001</v>
      </c>
      <c r="K111" s="4">
        <f t="shared" si="8"/>
        <v>19.600000000000001</v>
      </c>
      <c r="L111" s="4">
        <f t="shared" si="8"/>
        <v>21.4</v>
      </c>
      <c r="M111" s="4">
        <f t="shared" si="8"/>
        <v>18.5</v>
      </c>
      <c r="N111" s="4">
        <f t="shared" si="8"/>
        <v>12.6</v>
      </c>
      <c r="O111" s="4">
        <f t="shared" si="8"/>
        <v>89.2</v>
      </c>
      <c r="P111" s="13">
        <f t="shared" si="3"/>
        <v>361839</v>
      </c>
      <c r="Q111" s="4">
        <f t="shared" si="9"/>
        <v>17.100000000000001</v>
      </c>
      <c r="R111" s="4">
        <f t="shared" si="9"/>
        <v>18.899999999999999</v>
      </c>
      <c r="S111" s="4">
        <f t="shared" si="9"/>
        <v>20.9</v>
      </c>
      <c r="T111" s="4">
        <f t="shared" si="9"/>
        <v>18.399999999999999</v>
      </c>
      <c r="U111" s="4">
        <f t="shared" si="9"/>
        <v>13</v>
      </c>
      <c r="V111" s="4">
        <f t="shared" si="9"/>
        <v>88.3</v>
      </c>
      <c r="W111" s="13">
        <f t="shared" si="4"/>
        <v>681082</v>
      </c>
    </row>
  </sheetData>
  <phoneticPr fontId="3" type="noConversion"/>
  <conditionalFormatting sqref="C5:Z39">
    <cfRule type="cellIs" dxfId="14" priority="1" operator="between">
      <formula>1</formula>
      <formula>2</formula>
    </cfRule>
  </conditionalFormatting>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BT111"/>
  <sheetViews>
    <sheetView topLeftCell="A16" workbookViewId="0">
      <selection activeCell="A2" sqref="A2"/>
    </sheetView>
  </sheetViews>
  <sheetFormatPr defaultColWidth="9.140625" defaultRowHeight="11.25" x14ac:dyDescent="0.2"/>
  <cols>
    <col min="1" max="16384" width="9.140625" style="11"/>
  </cols>
  <sheetData>
    <row r="3" spans="2:26" ht="11.25" customHeight="1" x14ac:dyDescent="0.2">
      <c r="C3" s="29" t="s">
        <v>39</v>
      </c>
      <c r="D3" s="29"/>
      <c r="E3" s="29"/>
      <c r="F3" s="29"/>
      <c r="G3" s="29"/>
      <c r="H3" s="29"/>
      <c r="I3" s="29" t="s">
        <v>40</v>
      </c>
      <c r="J3" s="29"/>
      <c r="K3" s="29"/>
      <c r="L3" s="29"/>
      <c r="M3" s="29"/>
      <c r="N3" s="29"/>
      <c r="O3" s="29" t="s">
        <v>54</v>
      </c>
      <c r="P3" s="29"/>
      <c r="Q3" s="29"/>
      <c r="R3" s="29"/>
      <c r="S3" s="29"/>
      <c r="T3" s="29"/>
      <c r="U3" s="29" t="s">
        <v>41</v>
      </c>
      <c r="V3" s="29"/>
      <c r="W3" s="29"/>
      <c r="X3" s="29" t="s">
        <v>45</v>
      </c>
      <c r="Y3" s="29"/>
      <c r="Z3" s="29"/>
    </row>
    <row r="4" spans="2:26" x14ac:dyDescent="0.2">
      <c r="C4" s="11" t="s">
        <v>33</v>
      </c>
      <c r="D4" s="11" t="s">
        <v>34</v>
      </c>
      <c r="E4" s="11" t="s">
        <v>35</v>
      </c>
      <c r="F4" s="11" t="s">
        <v>36</v>
      </c>
      <c r="G4" s="11" t="s">
        <v>37</v>
      </c>
      <c r="H4" s="11" t="s">
        <v>38</v>
      </c>
      <c r="I4" s="11" t="s">
        <v>33</v>
      </c>
      <c r="J4" s="11" t="s">
        <v>34</v>
      </c>
      <c r="K4" s="11" t="s">
        <v>35</v>
      </c>
      <c r="L4" s="11" t="s">
        <v>36</v>
      </c>
      <c r="M4" s="11" t="s">
        <v>37</v>
      </c>
      <c r="N4" s="11" t="s">
        <v>38</v>
      </c>
      <c r="O4" s="11" t="s">
        <v>33</v>
      </c>
      <c r="P4" s="11" t="s">
        <v>34</v>
      </c>
      <c r="Q4" s="11" t="s">
        <v>35</v>
      </c>
      <c r="R4" s="11" t="s">
        <v>36</v>
      </c>
      <c r="S4" s="11" t="s">
        <v>37</v>
      </c>
      <c r="T4" s="11" t="s">
        <v>38</v>
      </c>
      <c r="U4" s="11" t="s">
        <v>42</v>
      </c>
      <c r="V4" s="11" t="s">
        <v>43</v>
      </c>
      <c r="W4" s="11" t="s">
        <v>44</v>
      </c>
      <c r="X4" s="11" t="s">
        <v>42</v>
      </c>
      <c r="Y4" s="11" t="s">
        <v>43</v>
      </c>
      <c r="Z4" s="11" t="s">
        <v>44</v>
      </c>
    </row>
    <row r="5" spans="2:26" x14ac:dyDescent="0.2">
      <c r="B5" s="10" t="s">
        <v>0</v>
      </c>
      <c r="C5" s="10">
        <v>3011</v>
      </c>
      <c r="D5" s="10">
        <v>3317</v>
      </c>
      <c r="E5" s="10">
        <v>3589</v>
      </c>
      <c r="F5" s="10">
        <v>3445</v>
      </c>
      <c r="G5" s="10">
        <v>2742</v>
      </c>
      <c r="H5" s="10">
        <v>2435</v>
      </c>
      <c r="I5" s="10">
        <v>5201</v>
      </c>
      <c r="J5" s="10">
        <v>5753</v>
      </c>
      <c r="K5" s="10">
        <v>5712</v>
      </c>
      <c r="L5" s="10">
        <v>4996</v>
      </c>
      <c r="M5" s="10">
        <v>3858</v>
      </c>
      <c r="N5" s="10">
        <v>3133</v>
      </c>
      <c r="O5" s="10">
        <v>8212</v>
      </c>
      <c r="P5" s="10">
        <v>9070</v>
      </c>
      <c r="Q5" s="10">
        <v>9301</v>
      </c>
      <c r="R5" s="10">
        <v>8441</v>
      </c>
      <c r="S5" s="10">
        <v>6600</v>
      </c>
      <c r="T5" s="10">
        <v>5568</v>
      </c>
      <c r="U5" s="11">
        <v>18539</v>
      </c>
      <c r="V5" s="11">
        <v>28653</v>
      </c>
      <c r="W5" s="11">
        <v>47192</v>
      </c>
      <c r="X5" s="11">
        <v>16104</v>
      </c>
      <c r="Y5" s="11">
        <v>25520</v>
      </c>
      <c r="Z5" s="11">
        <v>41624</v>
      </c>
    </row>
    <row r="6" spans="2:26" x14ac:dyDescent="0.2">
      <c r="B6" s="10" t="s">
        <v>1</v>
      </c>
      <c r="C6" s="10">
        <v>4634</v>
      </c>
      <c r="D6" s="10">
        <v>3937</v>
      </c>
      <c r="E6" s="10">
        <v>3497</v>
      </c>
      <c r="F6" s="10">
        <v>2869</v>
      </c>
      <c r="G6" s="10">
        <v>2080</v>
      </c>
      <c r="H6" s="10">
        <v>1941</v>
      </c>
      <c r="I6" s="10">
        <v>4249</v>
      </c>
      <c r="J6" s="10">
        <v>3802</v>
      </c>
      <c r="K6" s="10">
        <v>3259</v>
      </c>
      <c r="L6" s="10">
        <v>2470</v>
      </c>
      <c r="M6" s="10">
        <v>1679</v>
      </c>
      <c r="N6" s="10">
        <v>1414</v>
      </c>
      <c r="O6" s="10">
        <v>8883</v>
      </c>
      <c r="P6" s="10">
        <v>7739</v>
      </c>
      <c r="Q6" s="10">
        <v>6756</v>
      </c>
      <c r="R6" s="10">
        <v>5339</v>
      </c>
      <c r="S6" s="10">
        <v>3759</v>
      </c>
      <c r="T6" s="10">
        <v>3355</v>
      </c>
      <c r="U6" s="11">
        <v>18958</v>
      </c>
      <c r="V6" s="11">
        <v>16873</v>
      </c>
      <c r="W6" s="11">
        <v>35831</v>
      </c>
      <c r="X6" s="11">
        <v>17017</v>
      </c>
      <c r="Y6" s="11">
        <v>15459</v>
      </c>
      <c r="Z6" s="11">
        <v>32476</v>
      </c>
    </row>
    <row r="7" spans="2:26" x14ac:dyDescent="0.2">
      <c r="B7" s="10" t="s">
        <v>2</v>
      </c>
      <c r="C7" s="10">
        <v>5488</v>
      </c>
      <c r="D7" s="10">
        <v>4468</v>
      </c>
      <c r="E7" s="10">
        <v>4238</v>
      </c>
      <c r="F7" s="10">
        <v>3592</v>
      </c>
      <c r="G7" s="10">
        <v>2671</v>
      </c>
      <c r="H7" s="10">
        <v>2374</v>
      </c>
      <c r="I7" s="10">
        <v>1726</v>
      </c>
      <c r="J7" s="10">
        <v>1458</v>
      </c>
      <c r="K7" s="10">
        <v>1307</v>
      </c>
      <c r="L7" s="10">
        <v>960</v>
      </c>
      <c r="M7" s="10">
        <v>680</v>
      </c>
      <c r="N7" s="10">
        <v>590</v>
      </c>
      <c r="O7" s="10">
        <v>7214</v>
      </c>
      <c r="P7" s="10">
        <v>5926</v>
      </c>
      <c r="Q7" s="10">
        <v>5545</v>
      </c>
      <c r="R7" s="10">
        <v>4552</v>
      </c>
      <c r="S7" s="10">
        <v>3351</v>
      </c>
      <c r="T7" s="10">
        <v>2964</v>
      </c>
      <c r="U7" s="11">
        <v>22831</v>
      </c>
      <c r="V7" s="11">
        <v>6721</v>
      </c>
      <c r="W7" s="11">
        <v>29552</v>
      </c>
      <c r="X7" s="11">
        <v>20457</v>
      </c>
      <c r="Y7" s="11">
        <v>6131</v>
      </c>
      <c r="Z7" s="11">
        <v>26588</v>
      </c>
    </row>
    <row r="8" spans="2:26" x14ac:dyDescent="0.2">
      <c r="B8" s="10" t="s">
        <v>3</v>
      </c>
      <c r="C8" s="10">
        <v>332</v>
      </c>
      <c r="D8" s="10">
        <v>417</v>
      </c>
      <c r="E8" s="10">
        <v>526</v>
      </c>
      <c r="F8" s="10">
        <v>576</v>
      </c>
      <c r="G8" s="10">
        <v>405</v>
      </c>
      <c r="H8" s="10">
        <v>361</v>
      </c>
      <c r="I8" s="10">
        <v>206</v>
      </c>
      <c r="J8" s="10">
        <v>206</v>
      </c>
      <c r="K8" s="10">
        <v>357</v>
      </c>
      <c r="L8" s="10">
        <v>332</v>
      </c>
      <c r="M8" s="10">
        <v>231</v>
      </c>
      <c r="N8" s="10">
        <v>175</v>
      </c>
      <c r="O8" s="10">
        <v>538</v>
      </c>
      <c r="P8" s="10">
        <v>623</v>
      </c>
      <c r="Q8" s="10">
        <v>883</v>
      </c>
      <c r="R8" s="10">
        <v>908</v>
      </c>
      <c r="S8" s="10">
        <v>636</v>
      </c>
      <c r="T8" s="10">
        <v>536</v>
      </c>
      <c r="U8" s="11">
        <v>2617</v>
      </c>
      <c r="V8" s="11">
        <v>1507</v>
      </c>
      <c r="W8" s="11">
        <v>4124</v>
      </c>
      <c r="X8" s="11">
        <v>2256</v>
      </c>
      <c r="Y8" s="11">
        <v>1332</v>
      </c>
      <c r="Z8" s="11">
        <v>3588</v>
      </c>
    </row>
    <row r="9" spans="2:26" x14ac:dyDescent="0.2">
      <c r="B9" s="10" t="s">
        <v>4</v>
      </c>
      <c r="C9" s="10">
        <v>9485</v>
      </c>
      <c r="D9" s="10">
        <v>6368</v>
      </c>
      <c r="E9" s="10">
        <v>5957</v>
      </c>
      <c r="F9" s="10">
        <v>5153</v>
      </c>
      <c r="G9" s="10">
        <v>4300</v>
      </c>
      <c r="H9" s="10">
        <v>4359</v>
      </c>
      <c r="I9" s="10">
        <v>5665</v>
      </c>
      <c r="J9" s="10">
        <v>4270</v>
      </c>
      <c r="K9" s="10">
        <v>3605</v>
      </c>
      <c r="L9" s="10">
        <v>2927</v>
      </c>
      <c r="M9" s="10">
        <v>2103</v>
      </c>
      <c r="N9" s="10">
        <v>1908</v>
      </c>
      <c r="O9" s="10">
        <v>15150</v>
      </c>
      <c r="P9" s="10">
        <v>10638</v>
      </c>
      <c r="Q9" s="10">
        <v>9562</v>
      </c>
      <c r="R9" s="10">
        <v>8080</v>
      </c>
      <c r="S9" s="10">
        <v>6403</v>
      </c>
      <c r="T9" s="10">
        <v>6267</v>
      </c>
      <c r="U9" s="11">
        <v>35622</v>
      </c>
      <c r="V9" s="11">
        <v>20478</v>
      </c>
      <c r="W9" s="11">
        <v>56100</v>
      </c>
      <c r="X9" s="11">
        <v>31263</v>
      </c>
      <c r="Y9" s="11">
        <v>18570</v>
      </c>
      <c r="Z9" s="11">
        <v>49833</v>
      </c>
    </row>
    <row r="10" spans="2:26" x14ac:dyDescent="0.2">
      <c r="B10" s="10" t="s">
        <v>5</v>
      </c>
      <c r="C10" s="10">
        <v>1826</v>
      </c>
      <c r="D10" s="10">
        <v>739</v>
      </c>
      <c r="E10" s="10">
        <v>508</v>
      </c>
      <c r="F10" s="10">
        <v>306</v>
      </c>
      <c r="G10" s="10">
        <v>193</v>
      </c>
      <c r="H10" s="10">
        <v>193</v>
      </c>
      <c r="I10" s="10">
        <v>709</v>
      </c>
      <c r="J10" s="10">
        <v>264</v>
      </c>
      <c r="K10" s="10">
        <v>169</v>
      </c>
      <c r="L10" s="10">
        <v>116</v>
      </c>
      <c r="M10" s="10">
        <v>76</v>
      </c>
      <c r="N10" s="10">
        <v>46</v>
      </c>
      <c r="O10" s="10">
        <v>2535</v>
      </c>
      <c r="P10" s="10">
        <v>1003</v>
      </c>
      <c r="Q10" s="10">
        <v>677</v>
      </c>
      <c r="R10" s="10">
        <v>422</v>
      </c>
      <c r="S10" s="10">
        <v>269</v>
      </c>
      <c r="T10" s="10">
        <v>239</v>
      </c>
      <c r="U10" s="11">
        <v>3765</v>
      </c>
      <c r="V10" s="11">
        <v>1380</v>
      </c>
      <c r="W10" s="11">
        <v>5145</v>
      </c>
      <c r="X10" s="11">
        <v>3572</v>
      </c>
      <c r="Y10" s="11">
        <v>1334</v>
      </c>
      <c r="Z10" s="11">
        <v>4906</v>
      </c>
    </row>
    <row r="11" spans="2:26" x14ac:dyDescent="0.2">
      <c r="B11" s="10" t="s">
        <v>6</v>
      </c>
      <c r="C11" s="10">
        <v>1124</v>
      </c>
      <c r="D11" s="10">
        <v>1179</v>
      </c>
      <c r="E11" s="10">
        <v>2081</v>
      </c>
      <c r="F11" s="10">
        <v>2011</v>
      </c>
      <c r="G11" s="10">
        <v>1252</v>
      </c>
      <c r="H11" s="10">
        <v>850</v>
      </c>
      <c r="I11" s="10">
        <v>441</v>
      </c>
      <c r="J11" s="10">
        <v>504</v>
      </c>
      <c r="K11" s="10">
        <v>796</v>
      </c>
      <c r="L11" s="10">
        <v>630</v>
      </c>
      <c r="M11" s="10">
        <v>355</v>
      </c>
      <c r="N11" s="10">
        <v>189</v>
      </c>
      <c r="O11" s="10">
        <v>1565</v>
      </c>
      <c r="P11" s="10">
        <v>1683</v>
      </c>
      <c r="Q11" s="10">
        <v>2877</v>
      </c>
      <c r="R11" s="10">
        <v>2641</v>
      </c>
      <c r="S11" s="10">
        <v>1607</v>
      </c>
      <c r="T11" s="10">
        <v>1039</v>
      </c>
      <c r="U11" s="11">
        <v>8497</v>
      </c>
      <c r="V11" s="11">
        <v>2915</v>
      </c>
      <c r="W11" s="11">
        <v>11412</v>
      </c>
      <c r="X11" s="11">
        <v>7647</v>
      </c>
      <c r="Y11" s="11">
        <v>2726</v>
      </c>
      <c r="Z11" s="11">
        <v>10373</v>
      </c>
    </row>
    <row r="12" spans="2:26" x14ac:dyDescent="0.2">
      <c r="B12" s="10" t="s">
        <v>168</v>
      </c>
      <c r="C12" s="10">
        <v>927</v>
      </c>
      <c r="D12" s="10">
        <v>1159</v>
      </c>
      <c r="E12" s="10">
        <v>1592</v>
      </c>
      <c r="F12" s="10">
        <v>1793</v>
      </c>
      <c r="G12" s="10">
        <v>1519</v>
      </c>
      <c r="H12" s="10">
        <v>1928</v>
      </c>
      <c r="I12" s="10">
        <v>87</v>
      </c>
      <c r="J12" s="10">
        <v>139</v>
      </c>
      <c r="K12" s="10">
        <v>265</v>
      </c>
      <c r="L12" s="10">
        <v>298</v>
      </c>
      <c r="M12" s="10">
        <v>318</v>
      </c>
      <c r="N12" s="10">
        <v>410</v>
      </c>
      <c r="O12" s="10">
        <v>1014</v>
      </c>
      <c r="P12" s="10">
        <v>1298</v>
      </c>
      <c r="Q12" s="10">
        <v>1857</v>
      </c>
      <c r="R12" s="10">
        <v>2091</v>
      </c>
      <c r="S12" s="10">
        <v>1837</v>
      </c>
      <c r="T12" s="10">
        <v>2338</v>
      </c>
      <c r="U12" s="11">
        <v>8918</v>
      </c>
      <c r="V12" s="11">
        <v>1517</v>
      </c>
      <c r="W12" s="11">
        <v>10435</v>
      </c>
      <c r="X12" s="11">
        <v>6990</v>
      </c>
      <c r="Y12" s="11">
        <v>1107</v>
      </c>
      <c r="Z12" s="11">
        <v>8097</v>
      </c>
    </row>
    <row r="13" spans="2:26" x14ac:dyDescent="0.2">
      <c r="B13" s="10" t="s">
        <v>8</v>
      </c>
      <c r="C13" s="10">
        <v>171</v>
      </c>
      <c r="D13" s="10">
        <v>378</v>
      </c>
      <c r="E13" s="10">
        <v>662</v>
      </c>
      <c r="F13" s="10">
        <v>790</v>
      </c>
      <c r="G13" s="10">
        <v>589</v>
      </c>
      <c r="H13" s="10">
        <v>280</v>
      </c>
      <c r="I13" s="10">
        <v>94</v>
      </c>
      <c r="J13" s="10">
        <v>245</v>
      </c>
      <c r="K13" s="10">
        <v>389</v>
      </c>
      <c r="L13" s="10">
        <v>365</v>
      </c>
      <c r="M13" s="10">
        <v>195</v>
      </c>
      <c r="N13" s="10">
        <v>106</v>
      </c>
      <c r="O13" s="10">
        <v>265</v>
      </c>
      <c r="P13" s="10">
        <v>623</v>
      </c>
      <c r="Q13" s="10">
        <v>1051</v>
      </c>
      <c r="R13" s="10">
        <v>1155</v>
      </c>
      <c r="S13" s="10">
        <v>784</v>
      </c>
      <c r="T13" s="10">
        <v>386</v>
      </c>
      <c r="U13" s="11">
        <v>2870</v>
      </c>
      <c r="V13" s="11">
        <v>1394</v>
      </c>
      <c r="W13" s="11">
        <v>4264</v>
      </c>
      <c r="X13" s="11">
        <v>2590</v>
      </c>
      <c r="Y13" s="11">
        <v>1288</v>
      </c>
      <c r="Z13" s="11">
        <v>3878</v>
      </c>
    </row>
    <row r="14" spans="2:26" x14ac:dyDescent="0.2">
      <c r="B14" s="10" t="s">
        <v>9</v>
      </c>
      <c r="C14" s="10">
        <v>10</v>
      </c>
      <c r="D14" s="10">
        <v>5</v>
      </c>
      <c r="E14" s="10">
        <v>16</v>
      </c>
      <c r="F14" s="10">
        <v>21</v>
      </c>
      <c r="G14" s="10">
        <v>23</v>
      </c>
      <c r="H14" s="10">
        <v>27</v>
      </c>
      <c r="I14" s="10">
        <v>181</v>
      </c>
      <c r="J14" s="10">
        <v>241</v>
      </c>
      <c r="K14" s="10">
        <v>323</v>
      </c>
      <c r="L14" s="10">
        <v>310</v>
      </c>
      <c r="M14" s="10">
        <v>249</v>
      </c>
      <c r="N14" s="10">
        <v>258</v>
      </c>
      <c r="O14" s="10">
        <v>191</v>
      </c>
      <c r="P14" s="10">
        <v>246</v>
      </c>
      <c r="Q14" s="10">
        <v>339</v>
      </c>
      <c r="R14" s="10">
        <v>331</v>
      </c>
      <c r="S14" s="10">
        <v>272</v>
      </c>
      <c r="T14" s="10">
        <v>285</v>
      </c>
      <c r="U14" s="11">
        <v>102</v>
      </c>
      <c r="V14" s="11">
        <v>1562</v>
      </c>
      <c r="W14" s="11">
        <v>1664</v>
      </c>
      <c r="X14" s="11">
        <v>75</v>
      </c>
      <c r="Y14" s="11">
        <v>1304</v>
      </c>
      <c r="Z14" s="11">
        <v>1379</v>
      </c>
    </row>
    <row r="15" spans="2:26" x14ac:dyDescent="0.2">
      <c r="B15" s="10" t="s">
        <v>10</v>
      </c>
      <c r="C15" s="10">
        <v>100</v>
      </c>
      <c r="D15" s="10">
        <v>193</v>
      </c>
      <c r="E15" s="10">
        <v>178</v>
      </c>
      <c r="F15" s="10">
        <v>181</v>
      </c>
      <c r="G15" s="10">
        <v>152</v>
      </c>
      <c r="H15" s="10">
        <v>399</v>
      </c>
      <c r="I15" s="10">
        <v>87</v>
      </c>
      <c r="J15" s="10">
        <v>129</v>
      </c>
      <c r="K15" s="10">
        <v>143</v>
      </c>
      <c r="L15" s="10">
        <v>129</v>
      </c>
      <c r="M15" s="10">
        <v>104</v>
      </c>
      <c r="N15" s="10">
        <v>204</v>
      </c>
      <c r="O15" s="10">
        <v>187</v>
      </c>
      <c r="P15" s="10">
        <v>322</v>
      </c>
      <c r="Q15" s="10">
        <v>321</v>
      </c>
      <c r="R15" s="10">
        <v>310</v>
      </c>
      <c r="S15" s="10">
        <v>256</v>
      </c>
      <c r="T15" s="10">
        <v>603</v>
      </c>
      <c r="U15" s="11">
        <v>1203</v>
      </c>
      <c r="V15" s="11">
        <v>796</v>
      </c>
      <c r="W15" s="11">
        <v>1999</v>
      </c>
      <c r="X15" s="11">
        <v>804</v>
      </c>
      <c r="Y15" s="11">
        <v>592</v>
      </c>
      <c r="Z15" s="11">
        <v>1396</v>
      </c>
    </row>
    <row r="16" spans="2:26" x14ac:dyDescent="0.2">
      <c r="B16" s="10" t="s">
        <v>11</v>
      </c>
      <c r="C16" s="10">
        <v>1424</v>
      </c>
      <c r="D16" s="10">
        <v>3322</v>
      </c>
      <c r="E16" s="10">
        <v>4272</v>
      </c>
      <c r="F16" s="10">
        <v>3478</v>
      </c>
      <c r="G16" s="10">
        <v>2183</v>
      </c>
      <c r="H16" s="10">
        <v>2035</v>
      </c>
      <c r="I16" s="10">
        <v>1323</v>
      </c>
      <c r="J16" s="10">
        <v>2814</v>
      </c>
      <c r="K16" s="10">
        <v>3411</v>
      </c>
      <c r="L16" s="10">
        <v>2817</v>
      </c>
      <c r="M16" s="10">
        <v>1854</v>
      </c>
      <c r="N16" s="10">
        <v>1690</v>
      </c>
      <c r="O16" s="10">
        <v>2747</v>
      </c>
      <c r="P16" s="10">
        <v>6136</v>
      </c>
      <c r="Q16" s="10">
        <v>7683</v>
      </c>
      <c r="R16" s="10">
        <v>6295</v>
      </c>
      <c r="S16" s="10">
        <v>4037</v>
      </c>
      <c r="T16" s="10">
        <v>3725</v>
      </c>
      <c r="U16" s="11">
        <v>16714</v>
      </c>
      <c r="V16" s="11">
        <v>13909</v>
      </c>
      <c r="W16" s="11">
        <v>30623</v>
      </c>
      <c r="X16" s="11">
        <v>14679</v>
      </c>
      <c r="Y16" s="11">
        <v>12219</v>
      </c>
      <c r="Z16" s="11">
        <v>26898</v>
      </c>
    </row>
    <row r="17" spans="2:26" x14ac:dyDescent="0.2">
      <c r="B17" s="10" t="s">
        <v>12</v>
      </c>
      <c r="C17" s="10">
        <v>2322</v>
      </c>
      <c r="D17" s="10">
        <v>2208</v>
      </c>
      <c r="E17" s="10">
        <v>2319</v>
      </c>
      <c r="F17" s="10">
        <v>2071</v>
      </c>
      <c r="G17" s="10">
        <v>1498</v>
      </c>
      <c r="H17" s="10">
        <v>1366</v>
      </c>
      <c r="I17" s="10">
        <v>1189</v>
      </c>
      <c r="J17" s="10">
        <v>1158</v>
      </c>
      <c r="K17" s="10">
        <v>1314</v>
      </c>
      <c r="L17" s="10">
        <v>1137</v>
      </c>
      <c r="M17" s="10">
        <v>888</v>
      </c>
      <c r="N17" s="10">
        <v>829</v>
      </c>
      <c r="O17" s="10">
        <v>3511</v>
      </c>
      <c r="P17" s="10">
        <v>3366</v>
      </c>
      <c r="Q17" s="10">
        <v>3633</v>
      </c>
      <c r="R17" s="10">
        <v>3208</v>
      </c>
      <c r="S17" s="10">
        <v>2386</v>
      </c>
      <c r="T17" s="10">
        <v>2195</v>
      </c>
      <c r="U17" s="11">
        <v>11784</v>
      </c>
      <c r="V17" s="11">
        <v>6515</v>
      </c>
      <c r="W17" s="11">
        <v>18299</v>
      </c>
      <c r="X17" s="11">
        <v>10418</v>
      </c>
      <c r="Y17" s="11">
        <v>5686</v>
      </c>
      <c r="Z17" s="11">
        <v>16104</v>
      </c>
    </row>
    <row r="18" spans="2:26" x14ac:dyDescent="0.2">
      <c r="B18" s="10" t="s">
        <v>13</v>
      </c>
      <c r="C18" s="10">
        <v>2948</v>
      </c>
      <c r="D18" s="10">
        <v>4216</v>
      </c>
      <c r="E18" s="10">
        <v>4741</v>
      </c>
      <c r="F18" s="10">
        <v>4031</v>
      </c>
      <c r="G18" s="10">
        <v>2547</v>
      </c>
      <c r="H18" s="10">
        <v>1644</v>
      </c>
      <c r="I18" s="10">
        <v>3250</v>
      </c>
      <c r="J18" s="10">
        <v>3946</v>
      </c>
      <c r="K18" s="10">
        <v>3934</v>
      </c>
      <c r="L18" s="10">
        <v>2976</v>
      </c>
      <c r="M18" s="10">
        <v>1694</v>
      </c>
      <c r="N18" s="10">
        <v>1127</v>
      </c>
      <c r="O18" s="10">
        <v>6198</v>
      </c>
      <c r="P18" s="10">
        <v>8162</v>
      </c>
      <c r="Q18" s="10">
        <v>8675</v>
      </c>
      <c r="R18" s="10">
        <v>7007</v>
      </c>
      <c r="S18" s="10">
        <v>4241</v>
      </c>
      <c r="T18" s="10">
        <v>2771</v>
      </c>
      <c r="U18" s="11">
        <v>20127</v>
      </c>
      <c r="V18" s="11">
        <v>16927</v>
      </c>
      <c r="W18" s="11">
        <v>37054</v>
      </c>
      <c r="X18" s="11">
        <v>18483</v>
      </c>
      <c r="Y18" s="11">
        <v>15800</v>
      </c>
      <c r="Z18" s="11">
        <v>34283</v>
      </c>
    </row>
    <row r="19" spans="2:26" x14ac:dyDescent="0.2">
      <c r="B19" s="10" t="s">
        <v>14</v>
      </c>
      <c r="C19" s="10">
        <v>942</v>
      </c>
      <c r="D19" s="10">
        <v>978</v>
      </c>
      <c r="E19" s="10">
        <v>952</v>
      </c>
      <c r="F19" s="10">
        <v>766</v>
      </c>
      <c r="G19" s="10">
        <v>415</v>
      </c>
      <c r="H19" s="10">
        <v>371</v>
      </c>
      <c r="I19" s="10">
        <v>681</v>
      </c>
      <c r="J19" s="10">
        <v>706</v>
      </c>
      <c r="K19" s="10">
        <v>715</v>
      </c>
      <c r="L19" s="10">
        <v>505</v>
      </c>
      <c r="M19" s="10">
        <v>315</v>
      </c>
      <c r="N19" s="10">
        <v>261</v>
      </c>
      <c r="O19" s="10">
        <v>1623</v>
      </c>
      <c r="P19" s="10">
        <v>1684</v>
      </c>
      <c r="Q19" s="10">
        <v>1667</v>
      </c>
      <c r="R19" s="10">
        <v>1271</v>
      </c>
      <c r="S19" s="10">
        <v>730</v>
      </c>
      <c r="T19" s="10">
        <v>632</v>
      </c>
      <c r="U19" s="11">
        <v>4424</v>
      </c>
      <c r="V19" s="11">
        <v>3183</v>
      </c>
      <c r="W19" s="11">
        <v>7607</v>
      </c>
      <c r="X19" s="11">
        <v>4053</v>
      </c>
      <c r="Y19" s="11">
        <v>2922</v>
      </c>
      <c r="Z19" s="11">
        <v>6975</v>
      </c>
    </row>
    <row r="20" spans="2:26" x14ac:dyDescent="0.2">
      <c r="B20" s="10" t="s">
        <v>15</v>
      </c>
      <c r="C20" s="10">
        <v>2680</v>
      </c>
      <c r="D20" s="10">
        <v>3096</v>
      </c>
      <c r="E20" s="10">
        <v>3334</v>
      </c>
      <c r="F20" s="10">
        <v>2726</v>
      </c>
      <c r="G20" s="10">
        <v>1640</v>
      </c>
      <c r="H20" s="10">
        <v>1711</v>
      </c>
      <c r="I20" s="10">
        <v>3045</v>
      </c>
      <c r="J20" s="10">
        <v>3563</v>
      </c>
      <c r="K20" s="10">
        <v>3944</v>
      </c>
      <c r="L20" s="10">
        <v>3311</v>
      </c>
      <c r="M20" s="10">
        <v>2187</v>
      </c>
      <c r="N20" s="10">
        <v>2169</v>
      </c>
      <c r="O20" s="10">
        <v>5725</v>
      </c>
      <c r="P20" s="10">
        <v>6659</v>
      </c>
      <c r="Q20" s="10">
        <v>7278</v>
      </c>
      <c r="R20" s="10">
        <v>6037</v>
      </c>
      <c r="S20" s="10">
        <v>3827</v>
      </c>
      <c r="T20" s="10">
        <v>3880</v>
      </c>
      <c r="U20" s="11">
        <v>15187</v>
      </c>
      <c r="V20" s="11">
        <v>18219</v>
      </c>
      <c r="W20" s="11">
        <v>33406</v>
      </c>
      <c r="X20" s="11">
        <v>13476</v>
      </c>
      <c r="Y20" s="11">
        <v>16050</v>
      </c>
      <c r="Z20" s="11">
        <v>29526</v>
      </c>
    </row>
    <row r="21" spans="2:26" x14ac:dyDescent="0.2">
      <c r="B21" s="10" t="s">
        <v>16</v>
      </c>
      <c r="C21" s="10">
        <v>296</v>
      </c>
      <c r="D21" s="10">
        <v>372</v>
      </c>
      <c r="E21" s="10">
        <v>482</v>
      </c>
      <c r="F21" s="10">
        <v>548</v>
      </c>
      <c r="G21" s="10">
        <v>458</v>
      </c>
      <c r="H21" s="10">
        <v>744</v>
      </c>
      <c r="I21" s="10">
        <v>518</v>
      </c>
      <c r="J21" s="10">
        <v>638</v>
      </c>
      <c r="K21" s="10">
        <v>746</v>
      </c>
      <c r="L21" s="10">
        <v>800</v>
      </c>
      <c r="M21" s="10">
        <v>580</v>
      </c>
      <c r="N21" s="10">
        <v>1035</v>
      </c>
      <c r="O21" s="10">
        <v>814</v>
      </c>
      <c r="P21" s="10">
        <v>1010</v>
      </c>
      <c r="Q21" s="10">
        <v>1228</v>
      </c>
      <c r="R21" s="10">
        <v>1348</v>
      </c>
      <c r="S21" s="10">
        <v>1038</v>
      </c>
      <c r="T21" s="10">
        <v>1779</v>
      </c>
      <c r="U21" s="11">
        <v>2900</v>
      </c>
      <c r="V21" s="11">
        <v>4317</v>
      </c>
      <c r="W21" s="11">
        <v>7217</v>
      </c>
      <c r="X21" s="11">
        <v>2156</v>
      </c>
      <c r="Y21" s="11">
        <v>3282</v>
      </c>
      <c r="Z21" s="11">
        <v>5438</v>
      </c>
    </row>
    <row r="22" spans="2:26" x14ac:dyDescent="0.2">
      <c r="B22" s="10" t="s">
        <v>17</v>
      </c>
      <c r="C22" s="10">
        <v>446</v>
      </c>
      <c r="D22" s="10">
        <v>847</v>
      </c>
      <c r="E22" s="10">
        <v>1114</v>
      </c>
      <c r="F22" s="10">
        <v>1039</v>
      </c>
      <c r="G22" s="10">
        <v>889</v>
      </c>
      <c r="H22" s="10">
        <v>1063</v>
      </c>
      <c r="I22" s="10">
        <v>2620</v>
      </c>
      <c r="J22" s="10">
        <v>3737</v>
      </c>
      <c r="K22" s="10">
        <v>4078</v>
      </c>
      <c r="L22" s="10">
        <v>3412</v>
      </c>
      <c r="M22" s="10">
        <v>2407</v>
      </c>
      <c r="N22" s="10">
        <v>2157</v>
      </c>
      <c r="O22" s="10">
        <v>3066</v>
      </c>
      <c r="P22" s="10">
        <v>4584</v>
      </c>
      <c r="Q22" s="10">
        <v>5192</v>
      </c>
      <c r="R22" s="10">
        <v>4451</v>
      </c>
      <c r="S22" s="10">
        <v>3296</v>
      </c>
      <c r="T22" s="10">
        <v>3220</v>
      </c>
      <c r="U22" s="11">
        <v>5398</v>
      </c>
      <c r="V22" s="11">
        <v>18411</v>
      </c>
      <c r="W22" s="11">
        <v>23809</v>
      </c>
      <c r="X22" s="11">
        <v>4335</v>
      </c>
      <c r="Y22" s="11">
        <v>16254</v>
      </c>
      <c r="Z22" s="11">
        <v>20589</v>
      </c>
    </row>
    <row r="23" spans="2:26" x14ac:dyDescent="0.2">
      <c r="B23" s="10" t="s">
        <v>18</v>
      </c>
      <c r="C23" s="10">
        <v>526</v>
      </c>
      <c r="D23" s="10">
        <v>872</v>
      </c>
      <c r="E23" s="10">
        <v>896</v>
      </c>
      <c r="F23" s="10">
        <v>775</v>
      </c>
      <c r="G23" s="10">
        <v>729</v>
      </c>
      <c r="H23" s="10">
        <v>883</v>
      </c>
      <c r="I23" s="10">
        <v>2196</v>
      </c>
      <c r="J23" s="10">
        <v>3068</v>
      </c>
      <c r="K23" s="10">
        <v>3070</v>
      </c>
      <c r="L23" s="10">
        <v>2454</v>
      </c>
      <c r="M23" s="10">
        <v>2096</v>
      </c>
      <c r="N23" s="10">
        <v>2210</v>
      </c>
      <c r="O23" s="10">
        <v>2722</v>
      </c>
      <c r="P23" s="10">
        <v>3940</v>
      </c>
      <c r="Q23" s="10">
        <v>3966</v>
      </c>
      <c r="R23" s="10">
        <v>3229</v>
      </c>
      <c r="S23" s="10">
        <v>2825</v>
      </c>
      <c r="T23" s="10">
        <v>3093</v>
      </c>
      <c r="U23" s="11">
        <v>4681</v>
      </c>
      <c r="V23" s="11">
        <v>15094</v>
      </c>
      <c r="W23" s="11">
        <v>19775</v>
      </c>
      <c r="X23" s="11">
        <v>3798</v>
      </c>
      <c r="Y23" s="11">
        <v>12884</v>
      </c>
      <c r="Z23" s="11">
        <v>16682</v>
      </c>
    </row>
    <row r="24" spans="2:26" x14ac:dyDescent="0.2">
      <c r="B24" s="10" t="s">
        <v>19</v>
      </c>
      <c r="C24" s="10">
        <v>132</v>
      </c>
      <c r="D24" s="10">
        <v>230</v>
      </c>
      <c r="E24" s="10">
        <v>245</v>
      </c>
      <c r="F24" s="10">
        <v>201</v>
      </c>
      <c r="G24" s="10">
        <v>137</v>
      </c>
      <c r="H24" s="10">
        <v>168</v>
      </c>
      <c r="I24" s="10">
        <v>234</v>
      </c>
      <c r="J24" s="10">
        <v>487</v>
      </c>
      <c r="K24" s="10">
        <v>586</v>
      </c>
      <c r="L24" s="10">
        <v>402</v>
      </c>
      <c r="M24" s="10">
        <v>184</v>
      </c>
      <c r="N24" s="10">
        <v>190</v>
      </c>
      <c r="O24" s="10">
        <v>366</v>
      </c>
      <c r="P24" s="10">
        <v>717</v>
      </c>
      <c r="Q24" s="10">
        <v>831</v>
      </c>
      <c r="R24" s="10">
        <v>603</v>
      </c>
      <c r="S24" s="10">
        <v>321</v>
      </c>
      <c r="T24" s="10">
        <v>358</v>
      </c>
      <c r="U24" s="11">
        <v>1113</v>
      </c>
      <c r="V24" s="11">
        <v>2083</v>
      </c>
      <c r="W24" s="11">
        <v>3196</v>
      </c>
      <c r="X24" s="11">
        <v>945</v>
      </c>
      <c r="Y24" s="11">
        <v>1893</v>
      </c>
      <c r="Z24" s="11">
        <v>2838</v>
      </c>
    </row>
    <row r="25" spans="2:26" x14ac:dyDescent="0.2">
      <c r="B25" s="10" t="s">
        <v>20</v>
      </c>
      <c r="C25" s="10">
        <v>2556</v>
      </c>
      <c r="D25" s="10">
        <v>2412</v>
      </c>
      <c r="E25" s="10">
        <v>3010</v>
      </c>
      <c r="F25" s="10">
        <v>2499</v>
      </c>
      <c r="G25" s="10">
        <v>1545</v>
      </c>
      <c r="H25" s="10">
        <v>1160</v>
      </c>
      <c r="I25" s="10">
        <v>5342</v>
      </c>
      <c r="J25" s="10">
        <v>4587</v>
      </c>
      <c r="K25" s="10">
        <v>5111</v>
      </c>
      <c r="L25" s="10">
        <v>3589</v>
      </c>
      <c r="M25" s="10">
        <v>1713</v>
      </c>
      <c r="N25" s="10">
        <v>1116</v>
      </c>
      <c r="O25" s="10">
        <v>7898</v>
      </c>
      <c r="P25" s="10">
        <v>6999</v>
      </c>
      <c r="Q25" s="10">
        <v>8121</v>
      </c>
      <c r="R25" s="10">
        <v>6088</v>
      </c>
      <c r="S25" s="10">
        <v>3258</v>
      </c>
      <c r="T25" s="10">
        <v>2276</v>
      </c>
      <c r="U25" s="11">
        <v>13182</v>
      </c>
      <c r="V25" s="11">
        <v>21458</v>
      </c>
      <c r="W25" s="11">
        <v>34640</v>
      </c>
      <c r="X25" s="11">
        <v>12022</v>
      </c>
      <c r="Y25" s="11">
        <v>20342</v>
      </c>
      <c r="Z25" s="11">
        <v>32364</v>
      </c>
    </row>
    <row r="26" spans="2:26" x14ac:dyDescent="0.2">
      <c r="B26" s="10" t="s">
        <v>21</v>
      </c>
      <c r="C26" s="10">
        <v>356</v>
      </c>
      <c r="D26" s="10">
        <v>400</v>
      </c>
      <c r="E26" s="10">
        <v>752</v>
      </c>
      <c r="F26" s="10">
        <v>603</v>
      </c>
      <c r="G26" s="10">
        <v>439</v>
      </c>
      <c r="H26" s="10">
        <v>370</v>
      </c>
      <c r="I26" s="10">
        <v>1102</v>
      </c>
      <c r="J26" s="10">
        <v>1439</v>
      </c>
      <c r="K26" s="10">
        <v>2092</v>
      </c>
      <c r="L26" s="10">
        <v>1582</v>
      </c>
      <c r="M26" s="10">
        <v>917</v>
      </c>
      <c r="N26" s="10">
        <v>601</v>
      </c>
      <c r="O26" s="10">
        <v>1458</v>
      </c>
      <c r="P26" s="10">
        <v>1839</v>
      </c>
      <c r="Q26" s="10">
        <v>2844</v>
      </c>
      <c r="R26" s="10">
        <v>2185</v>
      </c>
      <c r="S26" s="10">
        <v>1356</v>
      </c>
      <c r="T26" s="10">
        <v>971</v>
      </c>
      <c r="U26" s="11">
        <v>2920</v>
      </c>
      <c r="V26" s="11">
        <v>7733</v>
      </c>
      <c r="W26" s="11">
        <v>10653</v>
      </c>
      <c r="X26" s="11">
        <v>2550</v>
      </c>
      <c r="Y26" s="11">
        <v>7132</v>
      </c>
      <c r="Z26" s="11">
        <v>9682</v>
      </c>
    </row>
    <row r="27" spans="2:26" x14ac:dyDescent="0.2">
      <c r="B27" s="10" t="s">
        <v>22</v>
      </c>
      <c r="C27" s="10">
        <v>3751</v>
      </c>
      <c r="D27" s="10">
        <v>4748</v>
      </c>
      <c r="E27" s="10">
        <v>5223</v>
      </c>
      <c r="F27" s="10">
        <v>4495</v>
      </c>
      <c r="G27" s="10">
        <v>2935</v>
      </c>
      <c r="H27" s="10">
        <v>1809</v>
      </c>
      <c r="I27" s="10">
        <v>8192</v>
      </c>
      <c r="J27" s="10">
        <v>10424</v>
      </c>
      <c r="K27" s="10">
        <v>13210</v>
      </c>
      <c r="L27" s="10">
        <v>11805</v>
      </c>
      <c r="M27" s="10">
        <v>7310</v>
      </c>
      <c r="N27" s="10">
        <v>3756</v>
      </c>
      <c r="O27" s="10">
        <v>11943</v>
      </c>
      <c r="P27" s="10">
        <v>15172</v>
      </c>
      <c r="Q27" s="10">
        <v>18433</v>
      </c>
      <c r="R27" s="10">
        <v>16300</v>
      </c>
      <c r="S27" s="10">
        <v>10245</v>
      </c>
      <c r="T27" s="10">
        <v>5565</v>
      </c>
      <c r="U27" s="11">
        <v>22961</v>
      </c>
      <c r="V27" s="11">
        <v>54697</v>
      </c>
      <c r="W27" s="11">
        <v>77658</v>
      </c>
      <c r="X27" s="11">
        <v>21152</v>
      </c>
      <c r="Y27" s="11">
        <v>50941</v>
      </c>
      <c r="Z27" s="11">
        <v>72093</v>
      </c>
    </row>
    <row r="28" spans="2:26" x14ac:dyDescent="0.2">
      <c r="B28" s="10" t="s">
        <v>51</v>
      </c>
      <c r="C28" s="10">
        <v>409</v>
      </c>
      <c r="D28" s="10">
        <v>707</v>
      </c>
      <c r="E28" s="10">
        <v>1324</v>
      </c>
      <c r="F28" s="10">
        <v>1216</v>
      </c>
      <c r="G28" s="10">
        <v>647</v>
      </c>
      <c r="H28" s="10">
        <v>353</v>
      </c>
      <c r="I28" s="10">
        <v>634</v>
      </c>
      <c r="J28" s="10">
        <v>1234</v>
      </c>
      <c r="K28" s="10">
        <v>2242</v>
      </c>
      <c r="L28" s="10">
        <v>1657</v>
      </c>
      <c r="M28" s="10">
        <v>649</v>
      </c>
      <c r="N28" s="10">
        <v>302</v>
      </c>
      <c r="O28" s="10">
        <v>1043</v>
      </c>
      <c r="P28" s="10">
        <v>1941</v>
      </c>
      <c r="Q28" s="10">
        <v>3566</v>
      </c>
      <c r="R28" s="10">
        <v>2873</v>
      </c>
      <c r="S28" s="10">
        <v>1296</v>
      </c>
      <c r="T28" s="10">
        <v>655</v>
      </c>
      <c r="U28" s="11">
        <v>4656</v>
      </c>
      <c r="V28" s="11">
        <v>6718</v>
      </c>
      <c r="W28" s="11">
        <v>11374</v>
      </c>
      <c r="X28" s="11">
        <v>4303</v>
      </c>
      <c r="Y28" s="11">
        <v>6416</v>
      </c>
      <c r="Z28" s="11">
        <v>10719</v>
      </c>
    </row>
    <row r="29" spans="2:26" x14ac:dyDescent="0.2">
      <c r="B29" s="10" t="s">
        <v>23</v>
      </c>
      <c r="C29" s="10">
        <v>203</v>
      </c>
      <c r="D29" s="10">
        <v>382</v>
      </c>
      <c r="E29" s="10">
        <v>474</v>
      </c>
      <c r="F29" s="10">
        <v>513</v>
      </c>
      <c r="G29" s="10">
        <v>346</v>
      </c>
      <c r="H29" s="10">
        <v>476</v>
      </c>
      <c r="I29" s="10">
        <v>508</v>
      </c>
      <c r="J29" s="10">
        <v>1008</v>
      </c>
      <c r="K29" s="10">
        <v>1215</v>
      </c>
      <c r="L29" s="10">
        <v>991</v>
      </c>
      <c r="M29" s="10">
        <v>541</v>
      </c>
      <c r="N29" s="10">
        <v>512</v>
      </c>
      <c r="O29" s="10">
        <v>711</v>
      </c>
      <c r="P29" s="10">
        <v>1390</v>
      </c>
      <c r="Q29" s="10">
        <v>1689</v>
      </c>
      <c r="R29" s="10">
        <v>1504</v>
      </c>
      <c r="S29" s="10">
        <v>887</v>
      </c>
      <c r="T29" s="10">
        <v>988</v>
      </c>
      <c r="U29" s="11">
        <v>2394</v>
      </c>
      <c r="V29" s="11">
        <v>4775</v>
      </c>
      <c r="W29" s="11">
        <v>7169</v>
      </c>
      <c r="X29" s="11">
        <v>1918</v>
      </c>
      <c r="Y29" s="11">
        <v>4263</v>
      </c>
      <c r="Z29" s="11">
        <v>6181</v>
      </c>
    </row>
    <row r="30" spans="2:26" x14ac:dyDescent="0.2">
      <c r="B30" s="10" t="s">
        <v>24</v>
      </c>
      <c r="C30" s="10">
        <v>1341</v>
      </c>
      <c r="D30" s="10">
        <v>1086</v>
      </c>
      <c r="E30" s="10">
        <v>1074</v>
      </c>
      <c r="F30" s="10">
        <v>809</v>
      </c>
      <c r="G30" s="10">
        <v>546</v>
      </c>
      <c r="H30" s="10">
        <v>412</v>
      </c>
      <c r="I30" s="10">
        <v>2786</v>
      </c>
      <c r="J30" s="10">
        <v>2594</v>
      </c>
      <c r="K30" s="10">
        <v>2507</v>
      </c>
      <c r="L30" s="10">
        <v>2126</v>
      </c>
      <c r="M30" s="10">
        <v>1502</v>
      </c>
      <c r="N30" s="10">
        <v>991</v>
      </c>
      <c r="O30" s="10">
        <v>4127</v>
      </c>
      <c r="P30" s="10">
        <v>3680</v>
      </c>
      <c r="Q30" s="10">
        <v>3581</v>
      </c>
      <c r="R30" s="10">
        <v>2935</v>
      </c>
      <c r="S30" s="10">
        <v>2048</v>
      </c>
      <c r="T30" s="10">
        <v>1403</v>
      </c>
      <c r="U30" s="11">
        <v>5268</v>
      </c>
      <c r="V30" s="11">
        <v>12506</v>
      </c>
      <c r="W30" s="11">
        <v>17774</v>
      </c>
      <c r="X30" s="11">
        <v>4856</v>
      </c>
      <c r="Y30" s="11">
        <v>11515</v>
      </c>
      <c r="Z30" s="11">
        <v>16371</v>
      </c>
    </row>
    <row r="31" spans="2:26" x14ac:dyDescent="0.2">
      <c r="B31" s="10" t="s">
        <v>25</v>
      </c>
      <c r="C31" s="10">
        <v>878</v>
      </c>
      <c r="D31" s="10">
        <v>515</v>
      </c>
      <c r="E31" s="10">
        <v>457</v>
      </c>
      <c r="F31" s="10">
        <v>341</v>
      </c>
      <c r="G31" s="10">
        <v>250</v>
      </c>
      <c r="H31" s="10">
        <v>158</v>
      </c>
      <c r="I31" s="10">
        <v>1454</v>
      </c>
      <c r="J31" s="10">
        <v>1163</v>
      </c>
      <c r="K31" s="10">
        <v>1133</v>
      </c>
      <c r="L31" s="10">
        <v>959</v>
      </c>
      <c r="M31" s="10">
        <v>735</v>
      </c>
      <c r="N31" s="10">
        <v>484</v>
      </c>
      <c r="O31" s="10">
        <v>2332</v>
      </c>
      <c r="P31" s="10">
        <v>1678</v>
      </c>
      <c r="Q31" s="10">
        <v>1590</v>
      </c>
      <c r="R31" s="10">
        <v>1300</v>
      </c>
      <c r="S31" s="10">
        <v>985</v>
      </c>
      <c r="T31" s="10">
        <v>642</v>
      </c>
      <c r="U31" s="11">
        <v>2599</v>
      </c>
      <c r="V31" s="11">
        <v>5928</v>
      </c>
      <c r="W31" s="11">
        <v>8527</v>
      </c>
      <c r="X31" s="11">
        <v>2441</v>
      </c>
      <c r="Y31" s="11">
        <v>5444</v>
      </c>
      <c r="Z31" s="11">
        <v>7885</v>
      </c>
    </row>
    <row r="32" spans="2:26" x14ac:dyDescent="0.2">
      <c r="B32" s="10" t="s">
        <v>26</v>
      </c>
      <c r="C32" s="10">
        <v>341</v>
      </c>
      <c r="D32" s="10">
        <v>326</v>
      </c>
      <c r="E32" s="10">
        <v>256</v>
      </c>
      <c r="F32" s="10">
        <v>184</v>
      </c>
      <c r="G32" s="10">
        <v>119</v>
      </c>
      <c r="H32" s="10">
        <v>79</v>
      </c>
      <c r="I32" s="10">
        <v>765</v>
      </c>
      <c r="J32" s="10">
        <v>777</v>
      </c>
      <c r="K32" s="10">
        <v>700</v>
      </c>
      <c r="L32" s="10">
        <v>566</v>
      </c>
      <c r="M32" s="10">
        <v>289</v>
      </c>
      <c r="N32" s="10">
        <v>238</v>
      </c>
      <c r="O32" s="10">
        <v>1106</v>
      </c>
      <c r="P32" s="10">
        <v>1103</v>
      </c>
      <c r="Q32" s="10">
        <v>956</v>
      </c>
      <c r="R32" s="10">
        <v>750</v>
      </c>
      <c r="S32" s="10">
        <v>408</v>
      </c>
      <c r="T32" s="10">
        <v>317</v>
      </c>
      <c r="U32" s="11">
        <v>1305</v>
      </c>
      <c r="V32" s="11">
        <v>3335</v>
      </c>
      <c r="W32" s="11">
        <v>4640</v>
      </c>
      <c r="X32" s="11">
        <v>1226</v>
      </c>
      <c r="Y32" s="11">
        <v>3097</v>
      </c>
      <c r="Z32" s="11">
        <v>4323</v>
      </c>
    </row>
    <row r="33" spans="1:72" x14ac:dyDescent="0.2">
      <c r="B33" s="10" t="s">
        <v>27</v>
      </c>
      <c r="C33" s="10">
        <v>478</v>
      </c>
      <c r="D33" s="10">
        <v>370</v>
      </c>
      <c r="E33" s="10">
        <v>281</v>
      </c>
      <c r="F33" s="10">
        <v>173</v>
      </c>
      <c r="G33" s="10">
        <v>103</v>
      </c>
      <c r="H33" s="10">
        <v>128</v>
      </c>
      <c r="I33" s="10">
        <v>743</v>
      </c>
      <c r="J33" s="10">
        <v>495</v>
      </c>
      <c r="K33" s="10">
        <v>337</v>
      </c>
      <c r="L33" s="10">
        <v>187</v>
      </c>
      <c r="M33" s="10">
        <v>102</v>
      </c>
      <c r="N33" s="10">
        <v>102</v>
      </c>
      <c r="O33" s="10">
        <v>1221</v>
      </c>
      <c r="P33" s="10">
        <v>865</v>
      </c>
      <c r="Q33" s="10">
        <v>618</v>
      </c>
      <c r="R33" s="10">
        <v>360</v>
      </c>
      <c r="S33" s="10">
        <v>205</v>
      </c>
      <c r="T33" s="10">
        <v>230</v>
      </c>
      <c r="U33" s="11">
        <v>1533</v>
      </c>
      <c r="V33" s="11">
        <v>1966</v>
      </c>
      <c r="W33" s="11">
        <v>3499</v>
      </c>
      <c r="X33" s="11">
        <v>1405</v>
      </c>
      <c r="Y33" s="11">
        <v>1864</v>
      </c>
      <c r="Z33" s="11">
        <v>3269</v>
      </c>
    </row>
    <row r="34" spans="1:72" x14ac:dyDescent="0.2">
      <c r="B34" s="10" t="s">
        <v>28</v>
      </c>
      <c r="C34" s="10">
        <v>581</v>
      </c>
      <c r="D34" s="10">
        <v>453</v>
      </c>
      <c r="E34" s="10">
        <v>386</v>
      </c>
      <c r="F34" s="10">
        <v>315</v>
      </c>
      <c r="G34" s="10">
        <v>200</v>
      </c>
      <c r="H34" s="10">
        <v>152</v>
      </c>
      <c r="I34" s="10">
        <v>862</v>
      </c>
      <c r="J34" s="10">
        <v>771</v>
      </c>
      <c r="K34" s="10">
        <v>683</v>
      </c>
      <c r="L34" s="10">
        <v>368</v>
      </c>
      <c r="M34" s="10">
        <v>213</v>
      </c>
      <c r="N34" s="10">
        <v>163</v>
      </c>
      <c r="O34" s="10">
        <v>1443</v>
      </c>
      <c r="P34" s="10">
        <v>1224</v>
      </c>
      <c r="Q34" s="10">
        <v>1069</v>
      </c>
      <c r="R34" s="10">
        <v>683</v>
      </c>
      <c r="S34" s="10">
        <v>413</v>
      </c>
      <c r="T34" s="10">
        <v>315</v>
      </c>
      <c r="U34" s="11">
        <v>2087</v>
      </c>
      <c r="V34" s="11">
        <v>3060</v>
      </c>
      <c r="W34" s="11">
        <v>5147</v>
      </c>
      <c r="X34" s="11">
        <v>1935</v>
      </c>
      <c r="Y34" s="11">
        <v>2897</v>
      </c>
      <c r="Z34" s="11">
        <v>4832</v>
      </c>
    </row>
    <row r="35" spans="1:72" x14ac:dyDescent="0.2">
      <c r="B35" s="10" t="s">
        <v>29</v>
      </c>
      <c r="C35" s="10">
        <v>275</v>
      </c>
      <c r="D35" s="10">
        <v>255</v>
      </c>
      <c r="E35" s="10">
        <v>259</v>
      </c>
      <c r="F35" s="10">
        <v>201</v>
      </c>
      <c r="G35" s="10">
        <v>164</v>
      </c>
      <c r="H35" s="10">
        <v>167</v>
      </c>
      <c r="I35" s="10">
        <v>693</v>
      </c>
      <c r="J35" s="10">
        <v>694</v>
      </c>
      <c r="K35" s="10">
        <v>841</v>
      </c>
      <c r="L35" s="10">
        <v>674</v>
      </c>
      <c r="M35" s="10">
        <v>405</v>
      </c>
      <c r="N35" s="10">
        <v>416</v>
      </c>
      <c r="O35" s="10">
        <v>968</v>
      </c>
      <c r="P35" s="10">
        <v>949</v>
      </c>
      <c r="Q35" s="10">
        <v>1100</v>
      </c>
      <c r="R35" s="10">
        <v>875</v>
      </c>
      <c r="S35" s="10">
        <v>569</v>
      </c>
      <c r="T35" s="10">
        <v>583</v>
      </c>
      <c r="U35" s="11">
        <v>1321</v>
      </c>
      <c r="V35" s="11">
        <v>3723</v>
      </c>
      <c r="W35" s="11">
        <v>5044</v>
      </c>
      <c r="X35" s="11">
        <v>1154</v>
      </c>
      <c r="Y35" s="11">
        <v>3307</v>
      </c>
      <c r="Z35" s="11">
        <v>4461</v>
      </c>
    </row>
    <row r="36" spans="1:72" x14ac:dyDescent="0.2">
      <c r="B36" s="10" t="s">
        <v>30</v>
      </c>
      <c r="C36" s="10">
        <v>529</v>
      </c>
      <c r="D36" s="10">
        <v>492</v>
      </c>
      <c r="E36" s="10">
        <v>659</v>
      </c>
      <c r="F36" s="10">
        <v>501</v>
      </c>
      <c r="G36" s="10">
        <v>298</v>
      </c>
      <c r="H36" s="10">
        <v>193</v>
      </c>
      <c r="I36" s="10">
        <v>760</v>
      </c>
      <c r="J36" s="10">
        <v>726</v>
      </c>
      <c r="K36" s="10">
        <v>874</v>
      </c>
      <c r="L36" s="10">
        <v>674</v>
      </c>
      <c r="M36" s="10">
        <v>317</v>
      </c>
      <c r="N36" s="10">
        <v>195</v>
      </c>
      <c r="O36" s="10">
        <v>1289</v>
      </c>
      <c r="P36" s="10">
        <v>1218</v>
      </c>
      <c r="Q36" s="10">
        <v>1533</v>
      </c>
      <c r="R36" s="10">
        <v>1175</v>
      </c>
      <c r="S36" s="10">
        <v>615</v>
      </c>
      <c r="T36" s="10">
        <v>388</v>
      </c>
      <c r="U36" s="11">
        <v>2672</v>
      </c>
      <c r="V36" s="11">
        <v>3546</v>
      </c>
      <c r="W36" s="11">
        <v>6218</v>
      </c>
      <c r="X36" s="11">
        <v>2479</v>
      </c>
      <c r="Y36" s="11">
        <v>3351</v>
      </c>
      <c r="Z36" s="11">
        <v>5830</v>
      </c>
    </row>
    <row r="37" spans="1:72" x14ac:dyDescent="0.2">
      <c r="B37" s="10" t="s">
        <v>31</v>
      </c>
      <c r="C37" s="10">
        <v>606</v>
      </c>
      <c r="D37" s="10">
        <v>1001</v>
      </c>
      <c r="E37" s="10">
        <v>1984</v>
      </c>
      <c r="F37" s="10">
        <v>2421</v>
      </c>
      <c r="G37" s="10">
        <v>1862</v>
      </c>
      <c r="H37" s="10">
        <v>995</v>
      </c>
      <c r="I37" s="10">
        <v>940</v>
      </c>
      <c r="J37" s="10">
        <v>971</v>
      </c>
      <c r="K37" s="10">
        <v>1416</v>
      </c>
      <c r="L37" s="10">
        <v>1264</v>
      </c>
      <c r="M37" s="10">
        <v>806</v>
      </c>
      <c r="N37" s="10">
        <v>474</v>
      </c>
      <c r="O37" s="10">
        <v>1546</v>
      </c>
      <c r="P37" s="10">
        <v>1972</v>
      </c>
      <c r="Q37" s="10">
        <v>3400</v>
      </c>
      <c r="R37" s="10">
        <v>3685</v>
      </c>
      <c r="S37" s="10">
        <v>2668</v>
      </c>
      <c r="T37" s="10">
        <v>1469</v>
      </c>
      <c r="U37" s="11">
        <v>8869</v>
      </c>
      <c r="V37" s="11">
        <v>5871</v>
      </c>
      <c r="W37" s="11">
        <v>14740</v>
      </c>
      <c r="X37" s="11">
        <v>7874</v>
      </c>
      <c r="Y37" s="11">
        <v>5397</v>
      </c>
      <c r="Z37" s="11">
        <v>13271</v>
      </c>
    </row>
    <row r="38" spans="1:72" x14ac:dyDescent="0.2">
      <c r="B38" s="10" t="s">
        <v>32</v>
      </c>
      <c r="C38" s="10">
        <v>5629</v>
      </c>
      <c r="D38" s="10">
        <v>7215</v>
      </c>
      <c r="E38" s="10">
        <v>7865</v>
      </c>
      <c r="F38" s="10">
        <v>7753</v>
      </c>
      <c r="G38" s="10">
        <v>5935</v>
      </c>
      <c r="H38" s="10">
        <v>5925</v>
      </c>
      <c r="I38" s="10">
        <v>4943</v>
      </c>
      <c r="J38" s="10">
        <v>6955</v>
      </c>
      <c r="K38" s="10">
        <v>8372</v>
      </c>
      <c r="L38" s="10">
        <v>8801</v>
      </c>
      <c r="M38" s="10">
        <v>7279</v>
      </c>
      <c r="N38" s="10">
        <v>7589</v>
      </c>
      <c r="O38" s="10">
        <v>10572</v>
      </c>
      <c r="P38" s="10">
        <v>14170</v>
      </c>
      <c r="Q38" s="10">
        <v>16237</v>
      </c>
      <c r="R38" s="10">
        <v>16554</v>
      </c>
      <c r="S38" s="10">
        <v>13214</v>
      </c>
      <c r="T38" s="10">
        <v>13514</v>
      </c>
      <c r="U38" s="11">
        <v>40322</v>
      </c>
      <c r="V38" s="11">
        <v>43939</v>
      </c>
      <c r="W38" s="11">
        <v>84261</v>
      </c>
      <c r="X38" s="11">
        <v>34397</v>
      </c>
      <c r="Y38" s="11">
        <v>36350</v>
      </c>
      <c r="Z38" s="11">
        <v>70747</v>
      </c>
    </row>
    <row r="39" spans="1:72" x14ac:dyDescent="0.2">
      <c r="B39" s="10" t="s">
        <v>46</v>
      </c>
      <c r="C39" s="10">
        <v>56757</v>
      </c>
      <c r="D39" s="10">
        <v>58663</v>
      </c>
      <c r="E39" s="10">
        <v>65203</v>
      </c>
      <c r="F39" s="10">
        <v>58396</v>
      </c>
      <c r="G39" s="10">
        <v>41811</v>
      </c>
      <c r="H39" s="10">
        <v>37509</v>
      </c>
      <c r="I39" s="10">
        <v>63426</v>
      </c>
      <c r="J39" s="10">
        <v>70966</v>
      </c>
      <c r="K39" s="10">
        <v>78856</v>
      </c>
      <c r="L39" s="10">
        <v>66590</v>
      </c>
      <c r="M39" s="10">
        <v>44831</v>
      </c>
      <c r="N39" s="10">
        <v>37040</v>
      </c>
      <c r="O39" s="10">
        <v>120183</v>
      </c>
      <c r="P39" s="10">
        <v>129629</v>
      </c>
      <c r="Q39" s="10">
        <v>144059</v>
      </c>
      <c r="R39" s="10">
        <v>124986</v>
      </c>
      <c r="S39" s="10">
        <v>86642</v>
      </c>
      <c r="T39" s="10">
        <v>74549</v>
      </c>
      <c r="U39" s="11">
        <v>318339</v>
      </c>
      <c r="V39" s="11">
        <v>361709</v>
      </c>
      <c r="W39" s="11">
        <v>680048</v>
      </c>
      <c r="X39" s="11">
        <v>280830</v>
      </c>
      <c r="Y39" s="11">
        <v>324669</v>
      </c>
      <c r="Z39" s="11">
        <v>605499</v>
      </c>
      <c r="AC39" s="118"/>
      <c r="AD39" s="118"/>
      <c r="AE39" s="118"/>
      <c r="AF39" s="118"/>
      <c r="AG39" s="118"/>
      <c r="AH39" s="118"/>
      <c r="AI39" s="118"/>
      <c r="AJ39" s="118"/>
      <c r="AK39" s="118"/>
      <c r="AL39" s="118"/>
      <c r="AM39" s="118"/>
      <c r="AN39" s="118"/>
      <c r="AO39" s="118"/>
      <c r="AP39" s="118"/>
      <c r="AQ39" s="118"/>
      <c r="AR39" s="118"/>
      <c r="AS39" s="118"/>
      <c r="AT39" s="118"/>
      <c r="AU39" s="118"/>
      <c r="AV39" s="118"/>
      <c r="AW39" s="118"/>
      <c r="AZ39" s="119"/>
      <c r="BA39" s="119"/>
      <c r="BB39" s="119"/>
      <c r="BC39" s="119"/>
      <c r="BD39" s="119"/>
      <c r="BE39" s="119"/>
      <c r="BF39" s="119"/>
      <c r="BG39" s="119"/>
      <c r="BH39" s="119"/>
      <c r="BI39" s="119"/>
      <c r="BJ39" s="119"/>
      <c r="BK39" s="119"/>
      <c r="BL39" s="119"/>
      <c r="BM39" s="119"/>
      <c r="BN39" s="119"/>
      <c r="BO39" s="119"/>
      <c r="BP39" s="119"/>
      <c r="BQ39" s="119"/>
      <c r="BR39" s="119"/>
      <c r="BS39" s="119"/>
      <c r="BT39" s="119"/>
    </row>
    <row r="40" spans="1:72" x14ac:dyDescent="0.2">
      <c r="AC40" s="74"/>
      <c r="AD40" s="74"/>
      <c r="AE40" s="74"/>
      <c r="AF40" s="74"/>
      <c r="AG40" s="74"/>
      <c r="AH40" s="74"/>
      <c r="AI40" s="74"/>
      <c r="AJ40" s="74"/>
      <c r="AK40" s="74"/>
      <c r="AL40" s="74"/>
      <c r="AM40" s="74"/>
      <c r="AN40" s="74"/>
      <c r="AO40" s="74"/>
      <c r="AP40" s="74"/>
      <c r="AQ40" s="74"/>
      <c r="AR40" s="74"/>
      <c r="AS40" s="74"/>
      <c r="AT40" s="74"/>
      <c r="AU40" s="74"/>
      <c r="AV40" s="74"/>
      <c r="AW40" s="74"/>
      <c r="AZ40" s="77"/>
      <c r="BA40" s="77"/>
      <c r="BB40" s="77"/>
      <c r="BC40" s="77"/>
      <c r="BD40" s="77"/>
      <c r="BE40" s="77"/>
      <c r="BF40" s="77"/>
      <c r="BG40" s="77"/>
      <c r="BH40" s="77"/>
      <c r="BI40" s="77"/>
      <c r="BJ40" s="77"/>
      <c r="BK40" s="77"/>
      <c r="BL40" s="77"/>
      <c r="BM40" s="77"/>
      <c r="BN40" s="77"/>
      <c r="BO40" s="77"/>
      <c r="BP40" s="77"/>
      <c r="BQ40" s="77"/>
      <c r="BR40" s="77"/>
      <c r="BS40" s="77"/>
      <c r="BT40" s="77"/>
    </row>
    <row r="41" spans="1:72" x14ac:dyDescent="0.2">
      <c r="A41" s="14"/>
      <c r="B41" s="10" t="s">
        <v>0</v>
      </c>
      <c r="C41" s="4">
        <v>16.2</v>
      </c>
      <c r="D41" s="4">
        <v>17.899999999999999</v>
      </c>
      <c r="E41" s="4">
        <v>19.399999999999999</v>
      </c>
      <c r="F41" s="4">
        <v>18.600000000000001</v>
      </c>
      <c r="G41" s="4">
        <v>14.8</v>
      </c>
      <c r="H41" s="4">
        <v>86.9</v>
      </c>
      <c r="I41" s="13">
        <v>18539</v>
      </c>
      <c r="J41" s="4">
        <v>18.2</v>
      </c>
      <c r="K41" s="4">
        <v>20.100000000000001</v>
      </c>
      <c r="L41" s="4">
        <v>19.899999999999999</v>
      </c>
      <c r="M41" s="4">
        <v>17.399999999999999</v>
      </c>
      <c r="N41" s="4">
        <v>13.5</v>
      </c>
      <c r="O41" s="4">
        <v>89.1</v>
      </c>
      <c r="P41" s="13">
        <v>28653</v>
      </c>
      <c r="Q41" s="4">
        <v>17.399999999999999</v>
      </c>
      <c r="R41" s="4">
        <v>19.2</v>
      </c>
      <c r="S41" s="4">
        <v>19.7</v>
      </c>
      <c r="T41" s="4">
        <v>17.899999999999999</v>
      </c>
      <c r="U41" s="4">
        <v>14</v>
      </c>
      <c r="V41" s="4">
        <v>88.2</v>
      </c>
      <c r="W41" s="13">
        <v>47192</v>
      </c>
      <c r="X41" s="14"/>
      <c r="Y41" s="14"/>
      <c r="Z41" s="14"/>
      <c r="AB41" s="74"/>
      <c r="AC41" s="93"/>
      <c r="AD41" s="93"/>
      <c r="AE41" s="93"/>
      <c r="AF41" s="93"/>
      <c r="AG41" s="93"/>
      <c r="AH41" s="93"/>
      <c r="AI41" s="96"/>
      <c r="AJ41" s="93"/>
      <c r="AK41" s="93"/>
      <c r="AL41" s="93"/>
      <c r="AM41" s="93"/>
      <c r="AN41" s="93"/>
      <c r="AO41" s="93"/>
      <c r="AP41" s="96"/>
      <c r="AQ41" s="93"/>
      <c r="AR41" s="93"/>
      <c r="AS41" s="93"/>
      <c r="AT41" s="93"/>
      <c r="AU41" s="93"/>
      <c r="AV41" s="93"/>
      <c r="AW41" s="96"/>
      <c r="AY41" s="77"/>
      <c r="AZ41" s="80"/>
      <c r="BA41" s="80"/>
      <c r="BB41" s="80"/>
      <c r="BC41" s="80"/>
      <c r="BD41" s="80"/>
      <c r="BE41" s="80"/>
      <c r="BF41" s="80"/>
      <c r="BG41" s="80"/>
      <c r="BH41" s="80"/>
      <c r="BI41" s="80"/>
      <c r="BJ41" s="80"/>
      <c r="BK41" s="80"/>
      <c r="BL41" s="80"/>
      <c r="BM41" s="80"/>
      <c r="BN41" s="80"/>
      <c r="BO41" s="80"/>
      <c r="BP41" s="80"/>
      <c r="BQ41" s="80"/>
      <c r="BR41" s="80"/>
      <c r="BS41" s="80"/>
      <c r="BT41" s="80"/>
    </row>
    <row r="42" spans="1:72" x14ac:dyDescent="0.2">
      <c r="A42" s="14"/>
      <c r="B42" s="10" t="s">
        <v>1</v>
      </c>
      <c r="C42" s="4">
        <v>24.4</v>
      </c>
      <c r="D42" s="4">
        <v>20.8</v>
      </c>
      <c r="E42" s="4">
        <v>18.399999999999999</v>
      </c>
      <c r="F42" s="4">
        <v>15.1</v>
      </c>
      <c r="G42" s="4">
        <v>11</v>
      </c>
      <c r="H42" s="4">
        <v>89.8</v>
      </c>
      <c r="I42" s="13">
        <v>18958</v>
      </c>
      <c r="J42" s="4">
        <v>25.2</v>
      </c>
      <c r="K42" s="4">
        <v>22.5</v>
      </c>
      <c r="L42" s="4">
        <v>19.3</v>
      </c>
      <c r="M42" s="4">
        <v>14.6</v>
      </c>
      <c r="N42" s="4">
        <v>10</v>
      </c>
      <c r="O42" s="4">
        <v>91.6</v>
      </c>
      <c r="P42" s="13">
        <v>16873</v>
      </c>
      <c r="Q42" s="4">
        <v>24.8</v>
      </c>
      <c r="R42" s="4">
        <v>21.6</v>
      </c>
      <c r="S42" s="4">
        <v>18.899999999999999</v>
      </c>
      <c r="T42" s="4">
        <v>14.9</v>
      </c>
      <c r="U42" s="4">
        <v>10.5</v>
      </c>
      <c r="V42" s="4">
        <v>90.6</v>
      </c>
      <c r="W42" s="13">
        <v>35831</v>
      </c>
      <c r="X42" s="14"/>
      <c r="Y42" s="14"/>
      <c r="Z42" s="14"/>
      <c r="AB42" s="74"/>
      <c r="AC42" s="93"/>
      <c r="AD42" s="93"/>
      <c r="AE42" s="93"/>
      <c r="AF42" s="93"/>
      <c r="AG42" s="93"/>
      <c r="AH42" s="93"/>
      <c r="AI42" s="96"/>
      <c r="AJ42" s="93"/>
      <c r="AK42" s="93"/>
      <c r="AL42" s="93"/>
      <c r="AM42" s="93"/>
      <c r="AN42" s="93"/>
      <c r="AO42" s="93"/>
      <c r="AP42" s="96"/>
      <c r="AQ42" s="93"/>
      <c r="AR42" s="93"/>
      <c r="AS42" s="93"/>
      <c r="AT42" s="93"/>
      <c r="AU42" s="93"/>
      <c r="AV42" s="93"/>
      <c r="AW42" s="96"/>
      <c r="AY42" s="77"/>
      <c r="AZ42" s="80"/>
      <c r="BA42" s="80"/>
      <c r="BB42" s="80"/>
      <c r="BC42" s="80"/>
      <c r="BD42" s="80"/>
      <c r="BE42" s="80"/>
      <c r="BF42" s="80"/>
      <c r="BG42" s="80"/>
      <c r="BH42" s="80"/>
      <c r="BI42" s="80"/>
      <c r="BJ42" s="80"/>
      <c r="BK42" s="80"/>
      <c r="BL42" s="80"/>
      <c r="BM42" s="80"/>
      <c r="BN42" s="80"/>
      <c r="BO42" s="80"/>
      <c r="BP42" s="80"/>
      <c r="BQ42" s="80"/>
      <c r="BR42" s="80"/>
      <c r="BS42" s="80"/>
      <c r="BT42" s="80"/>
    </row>
    <row r="43" spans="1:72" x14ac:dyDescent="0.2">
      <c r="A43" s="14"/>
      <c r="B43" s="10" t="s">
        <v>2</v>
      </c>
      <c r="C43" s="4">
        <v>24</v>
      </c>
      <c r="D43" s="4">
        <v>19.600000000000001</v>
      </c>
      <c r="E43" s="4">
        <v>18.600000000000001</v>
      </c>
      <c r="F43" s="4">
        <v>15.7</v>
      </c>
      <c r="G43" s="4">
        <v>11.7</v>
      </c>
      <c r="H43" s="4">
        <v>89.6</v>
      </c>
      <c r="I43" s="13">
        <v>22831</v>
      </c>
      <c r="J43" s="4">
        <v>25.7</v>
      </c>
      <c r="K43" s="4">
        <v>21.7</v>
      </c>
      <c r="L43" s="4">
        <v>19.399999999999999</v>
      </c>
      <c r="M43" s="4">
        <v>14.3</v>
      </c>
      <c r="N43" s="4">
        <v>10.1</v>
      </c>
      <c r="O43" s="4">
        <v>91.2</v>
      </c>
      <c r="P43" s="13">
        <v>6721</v>
      </c>
      <c r="Q43" s="4">
        <v>24.4</v>
      </c>
      <c r="R43" s="4">
        <v>20.100000000000001</v>
      </c>
      <c r="S43" s="4">
        <v>18.8</v>
      </c>
      <c r="T43" s="4">
        <v>15.4</v>
      </c>
      <c r="U43" s="4">
        <v>11.3</v>
      </c>
      <c r="V43" s="4">
        <v>90</v>
      </c>
      <c r="W43" s="13">
        <v>29552</v>
      </c>
      <c r="X43" s="14"/>
      <c r="Y43" s="14"/>
      <c r="Z43" s="14"/>
      <c r="AB43" s="74"/>
      <c r="AC43" s="93"/>
      <c r="AD43" s="93"/>
      <c r="AE43" s="93"/>
      <c r="AF43" s="93"/>
      <c r="AG43" s="93"/>
      <c r="AH43" s="93"/>
      <c r="AI43" s="96"/>
      <c r="AJ43" s="93"/>
      <c r="AK43" s="93"/>
      <c r="AL43" s="93"/>
      <c r="AM43" s="93"/>
      <c r="AN43" s="93"/>
      <c r="AO43" s="93"/>
      <c r="AP43" s="96"/>
      <c r="AQ43" s="93"/>
      <c r="AR43" s="93"/>
      <c r="AS43" s="93"/>
      <c r="AT43" s="93"/>
      <c r="AU43" s="93"/>
      <c r="AV43" s="93"/>
      <c r="AW43" s="96"/>
      <c r="AY43" s="77"/>
      <c r="AZ43" s="80"/>
      <c r="BA43" s="80"/>
      <c r="BB43" s="80"/>
      <c r="BC43" s="80"/>
      <c r="BD43" s="80"/>
      <c r="BE43" s="80"/>
      <c r="BF43" s="80"/>
      <c r="BG43" s="80"/>
      <c r="BH43" s="80"/>
      <c r="BI43" s="80"/>
      <c r="BJ43" s="80"/>
      <c r="BK43" s="80"/>
      <c r="BL43" s="80"/>
      <c r="BM43" s="80"/>
      <c r="BN43" s="80"/>
      <c r="BO43" s="80"/>
      <c r="BP43" s="80"/>
      <c r="BQ43" s="80"/>
      <c r="BR43" s="80"/>
      <c r="BS43" s="80"/>
      <c r="BT43" s="80"/>
    </row>
    <row r="44" spans="1:72" x14ac:dyDescent="0.2">
      <c r="A44" s="14"/>
      <c r="B44" s="10" t="s">
        <v>3</v>
      </c>
      <c r="C44" s="4">
        <v>12.7</v>
      </c>
      <c r="D44" s="4">
        <v>15.9</v>
      </c>
      <c r="E44" s="4">
        <v>20.100000000000001</v>
      </c>
      <c r="F44" s="4">
        <v>22</v>
      </c>
      <c r="G44" s="4">
        <v>15.5</v>
      </c>
      <c r="H44" s="4">
        <v>86.2</v>
      </c>
      <c r="I44" s="13">
        <v>2617</v>
      </c>
      <c r="J44" s="4">
        <v>13.7</v>
      </c>
      <c r="K44" s="4">
        <v>13.7</v>
      </c>
      <c r="L44" s="4">
        <v>23.7</v>
      </c>
      <c r="M44" s="4">
        <v>22</v>
      </c>
      <c r="N44" s="4">
        <v>15.3</v>
      </c>
      <c r="O44" s="4">
        <v>88.4</v>
      </c>
      <c r="P44" s="13">
        <v>1507</v>
      </c>
      <c r="Q44" s="4">
        <v>13</v>
      </c>
      <c r="R44" s="4">
        <v>15.1</v>
      </c>
      <c r="S44" s="4">
        <v>21.4</v>
      </c>
      <c r="T44" s="4">
        <v>22</v>
      </c>
      <c r="U44" s="4">
        <v>15.4</v>
      </c>
      <c r="V44" s="4">
        <v>87</v>
      </c>
      <c r="W44" s="13">
        <v>4124</v>
      </c>
      <c r="X44" s="14"/>
      <c r="Y44" s="14"/>
      <c r="Z44" s="14"/>
      <c r="AB44" s="74"/>
      <c r="AC44" s="93"/>
      <c r="AD44" s="93"/>
      <c r="AE44" s="93"/>
      <c r="AF44" s="93"/>
      <c r="AG44" s="93"/>
      <c r="AH44" s="93"/>
      <c r="AI44" s="96"/>
      <c r="AJ44" s="93"/>
      <c r="AK44" s="93"/>
      <c r="AL44" s="93"/>
      <c r="AM44" s="93"/>
      <c r="AN44" s="93"/>
      <c r="AO44" s="93"/>
      <c r="AP44" s="96"/>
      <c r="AQ44" s="93"/>
      <c r="AR44" s="93"/>
      <c r="AS44" s="93"/>
      <c r="AT44" s="93"/>
      <c r="AU44" s="93"/>
      <c r="AV44" s="93"/>
      <c r="AW44" s="96"/>
      <c r="AY44" s="77"/>
      <c r="AZ44" s="80"/>
      <c r="BA44" s="80"/>
      <c r="BB44" s="80"/>
      <c r="BC44" s="80"/>
      <c r="BD44" s="80"/>
      <c r="BE44" s="80"/>
      <c r="BF44" s="80"/>
      <c r="BG44" s="80"/>
      <c r="BH44" s="80"/>
      <c r="BI44" s="80"/>
      <c r="BJ44" s="80"/>
      <c r="BK44" s="80"/>
      <c r="BL44" s="80"/>
      <c r="BM44" s="80"/>
      <c r="BN44" s="80"/>
      <c r="BO44" s="80"/>
      <c r="BP44" s="80"/>
      <c r="BQ44" s="80"/>
      <c r="BR44" s="80"/>
      <c r="BS44" s="80"/>
      <c r="BT44" s="80"/>
    </row>
    <row r="45" spans="1:72" x14ac:dyDescent="0.2">
      <c r="A45" s="14"/>
      <c r="B45" s="10" t="s">
        <v>4</v>
      </c>
      <c r="C45" s="4">
        <v>26.6</v>
      </c>
      <c r="D45" s="4">
        <v>17.899999999999999</v>
      </c>
      <c r="E45" s="4">
        <v>16.7</v>
      </c>
      <c r="F45" s="4">
        <v>14.5</v>
      </c>
      <c r="G45" s="4">
        <v>12.1</v>
      </c>
      <c r="H45" s="4">
        <v>87.8</v>
      </c>
      <c r="I45" s="13">
        <v>35622</v>
      </c>
      <c r="J45" s="4">
        <v>27.7</v>
      </c>
      <c r="K45" s="4">
        <v>20.9</v>
      </c>
      <c r="L45" s="4">
        <v>17.600000000000001</v>
      </c>
      <c r="M45" s="4">
        <v>14.3</v>
      </c>
      <c r="N45" s="4">
        <v>10.3</v>
      </c>
      <c r="O45" s="4">
        <v>90.7</v>
      </c>
      <c r="P45" s="13">
        <v>20478</v>
      </c>
      <c r="Q45" s="4">
        <v>27</v>
      </c>
      <c r="R45" s="4">
        <v>19</v>
      </c>
      <c r="S45" s="4">
        <v>17</v>
      </c>
      <c r="T45" s="4">
        <v>14.4</v>
      </c>
      <c r="U45" s="4">
        <v>11.4</v>
      </c>
      <c r="V45" s="4">
        <v>88.8</v>
      </c>
      <c r="W45" s="13">
        <v>56100</v>
      </c>
      <c r="X45" s="14"/>
      <c r="Y45" s="14"/>
      <c r="Z45" s="14"/>
      <c r="AB45" s="74"/>
      <c r="AC45" s="93"/>
      <c r="AD45" s="93"/>
      <c r="AE45" s="93"/>
      <c r="AF45" s="93"/>
      <c r="AG45" s="93"/>
      <c r="AH45" s="93"/>
      <c r="AI45" s="96"/>
      <c r="AJ45" s="93"/>
      <c r="AK45" s="93"/>
      <c r="AL45" s="93"/>
      <c r="AM45" s="93"/>
      <c r="AN45" s="93"/>
      <c r="AO45" s="93"/>
      <c r="AP45" s="96"/>
      <c r="AQ45" s="93"/>
      <c r="AR45" s="93"/>
      <c r="AS45" s="93"/>
      <c r="AT45" s="93"/>
      <c r="AU45" s="93"/>
      <c r="AV45" s="93"/>
      <c r="AW45" s="96"/>
      <c r="AY45" s="77"/>
      <c r="AZ45" s="80"/>
      <c r="BA45" s="80"/>
      <c r="BB45" s="80"/>
      <c r="BC45" s="80"/>
      <c r="BD45" s="80"/>
      <c r="BE45" s="80"/>
      <c r="BF45" s="80"/>
      <c r="BG45" s="80"/>
      <c r="BH45" s="80"/>
      <c r="BI45" s="80"/>
      <c r="BJ45" s="80"/>
      <c r="BK45" s="80"/>
      <c r="BL45" s="80"/>
      <c r="BM45" s="80"/>
      <c r="BN45" s="80"/>
      <c r="BO45" s="80"/>
      <c r="BP45" s="80"/>
      <c r="BQ45" s="80"/>
      <c r="BR45" s="80"/>
      <c r="BS45" s="80"/>
      <c r="BT45" s="80"/>
    </row>
    <row r="46" spans="1:72" x14ac:dyDescent="0.2">
      <c r="A46" s="14"/>
      <c r="B46" s="10" t="s">
        <v>5</v>
      </c>
      <c r="C46" s="4">
        <v>48.5</v>
      </c>
      <c r="D46" s="4">
        <v>19.600000000000001</v>
      </c>
      <c r="E46" s="4">
        <v>13.5</v>
      </c>
      <c r="F46" s="4">
        <v>8.1</v>
      </c>
      <c r="G46" s="4">
        <v>5.0999999999999996</v>
      </c>
      <c r="H46" s="4">
        <v>94.9</v>
      </c>
      <c r="I46" s="13">
        <v>3765</v>
      </c>
      <c r="J46" s="4">
        <v>51.4</v>
      </c>
      <c r="K46" s="4">
        <v>19.100000000000001</v>
      </c>
      <c r="L46" s="4">
        <v>12.2</v>
      </c>
      <c r="M46" s="4">
        <v>8.4</v>
      </c>
      <c r="N46" s="4">
        <v>5.5</v>
      </c>
      <c r="O46" s="4">
        <v>96.7</v>
      </c>
      <c r="P46" s="13">
        <v>1380</v>
      </c>
      <c r="Q46" s="4">
        <v>49.3</v>
      </c>
      <c r="R46" s="4">
        <v>19.5</v>
      </c>
      <c r="S46" s="4">
        <v>13.2</v>
      </c>
      <c r="T46" s="4">
        <v>8.1999999999999993</v>
      </c>
      <c r="U46" s="4">
        <v>5.2</v>
      </c>
      <c r="V46" s="4">
        <v>95.4</v>
      </c>
      <c r="W46" s="13">
        <v>5145</v>
      </c>
      <c r="X46" s="14"/>
      <c r="Y46" s="14"/>
      <c r="Z46" s="14"/>
      <c r="AB46" s="74"/>
      <c r="AC46" s="93"/>
      <c r="AD46" s="93"/>
      <c r="AE46" s="93"/>
      <c r="AF46" s="93"/>
      <c r="AG46" s="93"/>
      <c r="AH46" s="93"/>
      <c r="AI46" s="96"/>
      <c r="AJ46" s="93"/>
      <c r="AK46" s="93"/>
      <c r="AL46" s="93"/>
      <c r="AM46" s="93"/>
      <c r="AN46" s="93"/>
      <c r="AO46" s="93"/>
      <c r="AP46" s="96"/>
      <c r="AQ46" s="93"/>
      <c r="AR46" s="93"/>
      <c r="AS46" s="93"/>
      <c r="AT46" s="93"/>
      <c r="AU46" s="93"/>
      <c r="AV46" s="93"/>
      <c r="AW46" s="96"/>
      <c r="AY46" s="77"/>
      <c r="AZ46" s="80"/>
      <c r="BA46" s="80"/>
      <c r="BB46" s="80"/>
      <c r="BC46" s="80"/>
      <c r="BD46" s="80"/>
      <c r="BE46" s="80"/>
      <c r="BF46" s="80"/>
      <c r="BG46" s="80"/>
      <c r="BH46" s="80"/>
      <c r="BI46" s="80"/>
      <c r="BJ46" s="80"/>
      <c r="BK46" s="80"/>
      <c r="BL46" s="80"/>
      <c r="BM46" s="80"/>
      <c r="BN46" s="80"/>
      <c r="BO46" s="80"/>
      <c r="BP46" s="80"/>
      <c r="BQ46" s="80"/>
      <c r="BR46" s="80"/>
      <c r="BS46" s="80"/>
      <c r="BT46" s="80"/>
    </row>
    <row r="47" spans="1:72" x14ac:dyDescent="0.2">
      <c r="A47" s="14"/>
      <c r="B47" s="10" t="s">
        <v>6</v>
      </c>
      <c r="C47" s="4">
        <v>13.2</v>
      </c>
      <c r="D47" s="4">
        <v>13.9</v>
      </c>
      <c r="E47" s="4">
        <v>24.5</v>
      </c>
      <c r="F47" s="4">
        <v>23.7</v>
      </c>
      <c r="G47" s="4">
        <v>14.7</v>
      </c>
      <c r="H47" s="4">
        <v>90</v>
      </c>
      <c r="I47" s="13">
        <v>8497</v>
      </c>
      <c r="J47" s="4">
        <v>15.1</v>
      </c>
      <c r="K47" s="4">
        <v>17.3</v>
      </c>
      <c r="L47" s="4">
        <v>27.3</v>
      </c>
      <c r="M47" s="4">
        <v>21.6</v>
      </c>
      <c r="N47" s="4">
        <v>12.2</v>
      </c>
      <c r="O47" s="4">
        <v>93.5</v>
      </c>
      <c r="P47" s="13">
        <v>2915</v>
      </c>
      <c r="Q47" s="4">
        <v>13.7</v>
      </c>
      <c r="R47" s="4">
        <v>14.7</v>
      </c>
      <c r="S47" s="4">
        <v>25.2</v>
      </c>
      <c r="T47" s="4">
        <v>23.1</v>
      </c>
      <c r="U47" s="4">
        <v>14.1</v>
      </c>
      <c r="V47" s="4">
        <v>90.9</v>
      </c>
      <c r="W47" s="13">
        <v>11412</v>
      </c>
      <c r="X47" s="14"/>
      <c r="Y47" s="14"/>
      <c r="Z47" s="14"/>
      <c r="AB47" s="74"/>
      <c r="AC47" s="93"/>
      <c r="AD47" s="93"/>
      <c r="AE47" s="93"/>
      <c r="AF47" s="93"/>
      <c r="AG47" s="93"/>
      <c r="AH47" s="93"/>
      <c r="AI47" s="96"/>
      <c r="AJ47" s="93"/>
      <c r="AK47" s="93"/>
      <c r="AL47" s="93"/>
      <c r="AM47" s="93"/>
      <c r="AN47" s="93"/>
      <c r="AO47" s="93"/>
      <c r="AP47" s="96"/>
      <c r="AQ47" s="93"/>
      <c r="AR47" s="93"/>
      <c r="AS47" s="93"/>
      <c r="AT47" s="93"/>
      <c r="AU47" s="93"/>
      <c r="AV47" s="93"/>
      <c r="AW47" s="96"/>
      <c r="AY47" s="77"/>
      <c r="AZ47" s="80"/>
      <c r="BA47" s="80"/>
      <c r="BB47" s="80"/>
      <c r="BC47" s="80"/>
      <c r="BD47" s="80"/>
      <c r="BE47" s="80"/>
      <c r="BF47" s="80"/>
      <c r="BG47" s="80"/>
      <c r="BH47" s="80"/>
      <c r="BI47" s="80"/>
      <c r="BJ47" s="80"/>
      <c r="BK47" s="80"/>
      <c r="BL47" s="80"/>
      <c r="BM47" s="80"/>
      <c r="BN47" s="80"/>
      <c r="BO47" s="80"/>
      <c r="BP47" s="80"/>
      <c r="BQ47" s="80"/>
      <c r="BR47" s="80"/>
      <c r="BS47" s="80"/>
      <c r="BT47" s="80"/>
    </row>
    <row r="48" spans="1:72" x14ac:dyDescent="0.2">
      <c r="A48" s="14"/>
      <c r="B48" s="10" t="s">
        <v>168</v>
      </c>
      <c r="C48" s="4">
        <v>10.4</v>
      </c>
      <c r="D48" s="4">
        <v>13</v>
      </c>
      <c r="E48" s="4">
        <v>17.899999999999999</v>
      </c>
      <c r="F48" s="4">
        <v>20.100000000000001</v>
      </c>
      <c r="G48" s="4">
        <v>17</v>
      </c>
      <c r="H48" s="4">
        <v>78.400000000000006</v>
      </c>
      <c r="I48" s="13">
        <v>8918</v>
      </c>
      <c r="J48" s="4">
        <v>5.7</v>
      </c>
      <c r="K48" s="4">
        <v>9.1999999999999993</v>
      </c>
      <c r="L48" s="4">
        <v>17.5</v>
      </c>
      <c r="M48" s="4">
        <v>19.600000000000001</v>
      </c>
      <c r="N48" s="4">
        <v>21</v>
      </c>
      <c r="O48" s="4">
        <v>73</v>
      </c>
      <c r="P48" s="13">
        <v>1517</v>
      </c>
      <c r="Q48" s="4">
        <v>9.6999999999999993</v>
      </c>
      <c r="R48" s="4">
        <v>12.4</v>
      </c>
      <c r="S48" s="4">
        <v>17.8</v>
      </c>
      <c r="T48" s="4">
        <v>20</v>
      </c>
      <c r="U48" s="4">
        <v>17.600000000000001</v>
      </c>
      <c r="V48" s="4">
        <v>77.599999999999994</v>
      </c>
      <c r="W48" s="13">
        <v>10435</v>
      </c>
      <c r="X48" s="14"/>
      <c r="Y48" s="14"/>
      <c r="Z48" s="14"/>
      <c r="AB48" s="74"/>
      <c r="AC48" s="93"/>
      <c r="AD48" s="93"/>
      <c r="AE48" s="93"/>
      <c r="AF48" s="93"/>
      <c r="AG48" s="93"/>
      <c r="AH48" s="93"/>
      <c r="AI48" s="96"/>
      <c r="AJ48" s="93"/>
      <c r="AK48" s="93"/>
      <c r="AL48" s="93"/>
      <c r="AM48" s="93"/>
      <c r="AN48" s="93"/>
      <c r="AO48" s="93"/>
      <c r="AP48" s="96"/>
      <c r="AQ48" s="93"/>
      <c r="AR48" s="93"/>
      <c r="AS48" s="93"/>
      <c r="AT48" s="93"/>
      <c r="AU48" s="93"/>
      <c r="AV48" s="93"/>
      <c r="AW48" s="96"/>
      <c r="AY48" s="77"/>
      <c r="AZ48" s="80"/>
      <c r="BA48" s="80"/>
      <c r="BB48" s="80"/>
      <c r="BC48" s="80"/>
      <c r="BD48" s="80"/>
      <c r="BE48" s="80"/>
      <c r="BF48" s="80"/>
      <c r="BG48" s="80"/>
      <c r="BH48" s="80"/>
      <c r="BI48" s="80"/>
      <c r="BJ48" s="80"/>
      <c r="BK48" s="80"/>
      <c r="BL48" s="80"/>
      <c r="BM48" s="80"/>
      <c r="BN48" s="80"/>
      <c r="BO48" s="80"/>
      <c r="BP48" s="80"/>
      <c r="BQ48" s="80"/>
      <c r="BR48" s="80"/>
      <c r="BS48" s="80"/>
      <c r="BT48" s="80"/>
    </row>
    <row r="49" spans="1:72" x14ac:dyDescent="0.2">
      <c r="A49" s="14"/>
      <c r="B49" s="10" t="s">
        <v>8</v>
      </c>
      <c r="C49" s="4">
        <v>6</v>
      </c>
      <c r="D49" s="4">
        <v>13.2</v>
      </c>
      <c r="E49" s="4">
        <v>23.1</v>
      </c>
      <c r="F49" s="4">
        <v>27.5</v>
      </c>
      <c r="G49" s="4">
        <v>20.5</v>
      </c>
      <c r="H49" s="4">
        <v>90.2</v>
      </c>
      <c r="I49" s="13">
        <v>2870</v>
      </c>
      <c r="J49" s="4">
        <v>6.7</v>
      </c>
      <c r="K49" s="4">
        <v>17.600000000000001</v>
      </c>
      <c r="L49" s="4">
        <v>27.9</v>
      </c>
      <c r="M49" s="4">
        <v>26.2</v>
      </c>
      <c r="N49" s="4">
        <v>14</v>
      </c>
      <c r="O49" s="4">
        <v>92.4</v>
      </c>
      <c r="P49" s="13">
        <v>1394</v>
      </c>
      <c r="Q49" s="4">
        <v>6.2</v>
      </c>
      <c r="R49" s="4">
        <v>14.6</v>
      </c>
      <c r="S49" s="4">
        <v>24.6</v>
      </c>
      <c r="T49" s="4">
        <v>27.1</v>
      </c>
      <c r="U49" s="4">
        <v>18.399999999999999</v>
      </c>
      <c r="V49" s="4">
        <v>90.9</v>
      </c>
      <c r="W49" s="13">
        <v>4264</v>
      </c>
      <c r="X49" s="14"/>
      <c r="Y49" s="14"/>
      <c r="Z49" s="14"/>
      <c r="AB49" s="74"/>
      <c r="AC49" s="93"/>
      <c r="AD49" s="93"/>
      <c r="AE49" s="93"/>
      <c r="AF49" s="93"/>
      <c r="AG49" s="93"/>
      <c r="AH49" s="93"/>
      <c r="AI49" s="96"/>
      <c r="AJ49" s="93"/>
      <c r="AK49" s="93"/>
      <c r="AL49" s="93"/>
      <c r="AM49" s="93"/>
      <c r="AN49" s="93"/>
      <c r="AO49" s="93"/>
      <c r="AP49" s="96"/>
      <c r="AQ49" s="93"/>
      <c r="AR49" s="93"/>
      <c r="AS49" s="93"/>
      <c r="AT49" s="93"/>
      <c r="AU49" s="93"/>
      <c r="AV49" s="93"/>
      <c r="AW49" s="96"/>
      <c r="AY49" s="77"/>
      <c r="AZ49" s="80"/>
      <c r="BA49" s="80"/>
      <c r="BB49" s="80"/>
      <c r="BC49" s="80"/>
      <c r="BD49" s="80"/>
      <c r="BE49" s="80"/>
      <c r="BF49" s="80"/>
      <c r="BG49" s="80"/>
      <c r="BH49" s="80"/>
      <c r="BI49" s="80"/>
      <c r="BJ49" s="80"/>
      <c r="BK49" s="80"/>
      <c r="BL49" s="80"/>
      <c r="BM49" s="80"/>
      <c r="BN49" s="80"/>
      <c r="BO49" s="80"/>
      <c r="BP49" s="80"/>
      <c r="BQ49" s="80"/>
      <c r="BR49" s="80"/>
      <c r="BS49" s="80"/>
      <c r="BT49" s="80"/>
    </row>
    <row r="50" spans="1:72" x14ac:dyDescent="0.2">
      <c r="A50" s="14"/>
      <c r="B50" s="10" t="s">
        <v>9</v>
      </c>
      <c r="C50" s="4">
        <v>9.8000000000000007</v>
      </c>
      <c r="D50" s="4">
        <v>4.9000000000000004</v>
      </c>
      <c r="E50" s="4">
        <v>15.7</v>
      </c>
      <c r="F50" s="4">
        <v>20.6</v>
      </c>
      <c r="G50" s="4">
        <v>22.5</v>
      </c>
      <c r="H50" s="4">
        <v>73.5</v>
      </c>
      <c r="I50" s="13">
        <v>102</v>
      </c>
      <c r="J50" s="4">
        <v>11.6</v>
      </c>
      <c r="K50" s="4">
        <v>15.4</v>
      </c>
      <c r="L50" s="4">
        <v>20.7</v>
      </c>
      <c r="M50" s="4">
        <v>19.8</v>
      </c>
      <c r="N50" s="4">
        <v>15.9</v>
      </c>
      <c r="O50" s="4">
        <v>83.5</v>
      </c>
      <c r="P50" s="13">
        <v>1562</v>
      </c>
      <c r="Q50" s="4">
        <v>11.5</v>
      </c>
      <c r="R50" s="4">
        <v>14.8</v>
      </c>
      <c r="S50" s="4">
        <v>20.399999999999999</v>
      </c>
      <c r="T50" s="4">
        <v>19.899999999999999</v>
      </c>
      <c r="U50" s="4">
        <v>16.3</v>
      </c>
      <c r="V50" s="4">
        <v>82.9</v>
      </c>
      <c r="W50" s="13">
        <v>1664</v>
      </c>
      <c r="X50" s="14"/>
      <c r="Y50" s="14"/>
      <c r="Z50" s="14"/>
      <c r="AB50" s="74"/>
      <c r="AC50" s="93"/>
      <c r="AD50" s="93"/>
      <c r="AE50" s="93"/>
      <c r="AF50" s="93"/>
      <c r="AG50" s="93"/>
      <c r="AH50" s="93"/>
      <c r="AI50" s="96"/>
      <c r="AJ50" s="93"/>
      <c r="AK50" s="93"/>
      <c r="AL50" s="93"/>
      <c r="AM50" s="93"/>
      <c r="AN50" s="93"/>
      <c r="AO50" s="93"/>
      <c r="AP50" s="96"/>
      <c r="AQ50" s="93"/>
      <c r="AR50" s="93"/>
      <c r="AS50" s="93"/>
      <c r="AT50" s="93"/>
      <c r="AU50" s="93"/>
      <c r="AV50" s="93"/>
      <c r="AW50" s="96"/>
      <c r="AY50" s="77"/>
      <c r="AZ50" s="80"/>
      <c r="BA50" s="80"/>
      <c r="BB50" s="80"/>
      <c r="BC50" s="80"/>
      <c r="BD50" s="80"/>
      <c r="BE50" s="80"/>
      <c r="BF50" s="80"/>
      <c r="BG50" s="80"/>
      <c r="BH50" s="80"/>
      <c r="BI50" s="80"/>
      <c r="BJ50" s="80"/>
      <c r="BK50" s="80"/>
      <c r="BL50" s="80"/>
      <c r="BM50" s="80"/>
      <c r="BN50" s="80"/>
      <c r="BO50" s="80"/>
      <c r="BP50" s="80"/>
      <c r="BQ50" s="80"/>
      <c r="BR50" s="80"/>
      <c r="BS50" s="80"/>
      <c r="BT50" s="80"/>
    </row>
    <row r="51" spans="1:72" x14ac:dyDescent="0.2">
      <c r="A51" s="14"/>
      <c r="B51" s="10" t="s">
        <v>10</v>
      </c>
      <c r="C51" s="4">
        <v>8.3000000000000007</v>
      </c>
      <c r="D51" s="4">
        <v>16</v>
      </c>
      <c r="E51" s="4">
        <v>14.8</v>
      </c>
      <c r="F51" s="4">
        <v>15</v>
      </c>
      <c r="G51" s="4">
        <v>12.6</v>
      </c>
      <c r="H51" s="4">
        <v>66.8</v>
      </c>
      <c r="I51" s="13">
        <v>1203</v>
      </c>
      <c r="J51" s="4">
        <v>10.9</v>
      </c>
      <c r="K51" s="4">
        <v>16.2</v>
      </c>
      <c r="L51" s="4">
        <v>18</v>
      </c>
      <c r="M51" s="4">
        <v>16.2</v>
      </c>
      <c r="N51" s="4">
        <v>13.1</v>
      </c>
      <c r="O51" s="4">
        <v>74.400000000000006</v>
      </c>
      <c r="P51" s="13">
        <v>796</v>
      </c>
      <c r="Q51" s="4">
        <v>9.4</v>
      </c>
      <c r="R51" s="4">
        <v>16.100000000000001</v>
      </c>
      <c r="S51" s="4">
        <v>16.100000000000001</v>
      </c>
      <c r="T51" s="4">
        <v>15.5</v>
      </c>
      <c r="U51" s="4">
        <v>12.8</v>
      </c>
      <c r="V51" s="4">
        <v>69.8</v>
      </c>
      <c r="W51" s="13">
        <v>1999</v>
      </c>
      <c r="X51" s="14"/>
      <c r="Y51" s="14"/>
      <c r="Z51" s="14"/>
      <c r="AB51" s="74"/>
      <c r="AC51" s="93"/>
      <c r="AD51" s="93"/>
      <c r="AE51" s="93"/>
      <c r="AF51" s="93"/>
      <c r="AG51" s="93"/>
      <c r="AH51" s="93"/>
      <c r="AI51" s="96"/>
      <c r="AJ51" s="93"/>
      <c r="AK51" s="93"/>
      <c r="AL51" s="93"/>
      <c r="AM51" s="93"/>
      <c r="AN51" s="93"/>
      <c r="AO51" s="93"/>
      <c r="AP51" s="96"/>
      <c r="AQ51" s="93"/>
      <c r="AR51" s="93"/>
      <c r="AS51" s="93"/>
      <c r="AT51" s="93"/>
      <c r="AU51" s="93"/>
      <c r="AV51" s="93"/>
      <c r="AW51" s="96"/>
      <c r="AY51" s="77"/>
      <c r="AZ51" s="80"/>
      <c r="BA51" s="80"/>
      <c r="BB51" s="80"/>
      <c r="BC51" s="80"/>
      <c r="BD51" s="80"/>
      <c r="BE51" s="80"/>
      <c r="BF51" s="80"/>
      <c r="BG51" s="80"/>
      <c r="BH51" s="80"/>
      <c r="BI51" s="80"/>
      <c r="BJ51" s="80"/>
      <c r="BK51" s="80"/>
      <c r="BL51" s="80"/>
      <c r="BM51" s="80"/>
      <c r="BN51" s="80"/>
      <c r="BO51" s="80"/>
      <c r="BP51" s="80"/>
      <c r="BQ51" s="80"/>
      <c r="BR51" s="80"/>
      <c r="BS51" s="80"/>
      <c r="BT51" s="80"/>
    </row>
    <row r="52" spans="1:72" x14ac:dyDescent="0.2">
      <c r="A52" s="14"/>
      <c r="B52" s="10" t="s">
        <v>11</v>
      </c>
      <c r="C52" s="4">
        <v>8.5</v>
      </c>
      <c r="D52" s="4">
        <v>19.899999999999999</v>
      </c>
      <c r="E52" s="4">
        <v>25.6</v>
      </c>
      <c r="F52" s="4">
        <v>20.8</v>
      </c>
      <c r="G52" s="4">
        <v>13.1</v>
      </c>
      <c r="H52" s="4">
        <v>87.8</v>
      </c>
      <c r="I52" s="13">
        <v>16714</v>
      </c>
      <c r="J52" s="4">
        <v>9.5</v>
      </c>
      <c r="K52" s="4">
        <v>20.2</v>
      </c>
      <c r="L52" s="4">
        <v>24.5</v>
      </c>
      <c r="M52" s="4">
        <v>20.3</v>
      </c>
      <c r="N52" s="4">
        <v>13.3</v>
      </c>
      <c r="O52" s="4">
        <v>87.8</v>
      </c>
      <c r="P52" s="13">
        <v>13909</v>
      </c>
      <c r="Q52" s="4">
        <v>9</v>
      </c>
      <c r="R52" s="4">
        <v>20</v>
      </c>
      <c r="S52" s="4">
        <v>25.1</v>
      </c>
      <c r="T52" s="4">
        <v>20.6</v>
      </c>
      <c r="U52" s="4">
        <v>13.2</v>
      </c>
      <c r="V52" s="4">
        <v>87.8</v>
      </c>
      <c r="W52" s="13">
        <v>30623</v>
      </c>
      <c r="X52" s="14"/>
      <c r="Y52" s="14"/>
      <c r="Z52" s="14"/>
      <c r="AB52" s="74"/>
      <c r="AC52" s="93"/>
      <c r="AD52" s="93"/>
      <c r="AE52" s="93"/>
      <c r="AF52" s="93"/>
      <c r="AG52" s="93"/>
      <c r="AH52" s="93"/>
      <c r="AI52" s="96"/>
      <c r="AJ52" s="93"/>
      <c r="AK52" s="93"/>
      <c r="AL52" s="93"/>
      <c r="AM52" s="93"/>
      <c r="AN52" s="93"/>
      <c r="AO52" s="93"/>
      <c r="AP52" s="96"/>
      <c r="AQ52" s="93"/>
      <c r="AR52" s="93"/>
      <c r="AS52" s="93"/>
      <c r="AT52" s="93"/>
      <c r="AU52" s="93"/>
      <c r="AV52" s="93"/>
      <c r="AW52" s="96"/>
      <c r="AY52" s="77"/>
      <c r="AZ52" s="80"/>
      <c r="BA52" s="80"/>
      <c r="BB52" s="80"/>
      <c r="BC52" s="80"/>
      <c r="BD52" s="80"/>
      <c r="BE52" s="80"/>
      <c r="BF52" s="80"/>
      <c r="BG52" s="80"/>
      <c r="BH52" s="80"/>
      <c r="BI52" s="80"/>
      <c r="BJ52" s="80"/>
      <c r="BK52" s="80"/>
      <c r="BL52" s="80"/>
      <c r="BM52" s="80"/>
      <c r="BN52" s="80"/>
      <c r="BO52" s="80"/>
      <c r="BP52" s="80"/>
      <c r="BQ52" s="80"/>
      <c r="BR52" s="80"/>
      <c r="BS52" s="80"/>
      <c r="BT52" s="80"/>
    </row>
    <row r="53" spans="1:72" x14ac:dyDescent="0.2">
      <c r="A53" s="14"/>
      <c r="B53" s="10" t="s">
        <v>12</v>
      </c>
      <c r="C53" s="4">
        <v>19.7</v>
      </c>
      <c r="D53" s="4">
        <v>18.7</v>
      </c>
      <c r="E53" s="4">
        <v>19.7</v>
      </c>
      <c r="F53" s="4">
        <v>17.600000000000001</v>
      </c>
      <c r="G53" s="4">
        <v>12.7</v>
      </c>
      <c r="H53" s="4">
        <v>88.4</v>
      </c>
      <c r="I53" s="13">
        <v>11784</v>
      </c>
      <c r="J53" s="4">
        <v>18.3</v>
      </c>
      <c r="K53" s="4">
        <v>17.8</v>
      </c>
      <c r="L53" s="4">
        <v>20.2</v>
      </c>
      <c r="M53" s="4">
        <v>17.5</v>
      </c>
      <c r="N53" s="4">
        <v>13.6</v>
      </c>
      <c r="O53" s="4">
        <v>87.3</v>
      </c>
      <c r="P53" s="13">
        <v>6515</v>
      </c>
      <c r="Q53" s="4">
        <v>19.2</v>
      </c>
      <c r="R53" s="4">
        <v>18.399999999999999</v>
      </c>
      <c r="S53" s="4">
        <v>19.899999999999999</v>
      </c>
      <c r="T53" s="4">
        <v>17.5</v>
      </c>
      <c r="U53" s="4">
        <v>13</v>
      </c>
      <c r="V53" s="4">
        <v>88</v>
      </c>
      <c r="W53" s="13">
        <v>18299</v>
      </c>
      <c r="X53" s="14"/>
      <c r="Y53" s="14"/>
      <c r="Z53" s="14"/>
      <c r="AB53" s="74"/>
      <c r="AC53" s="93"/>
      <c r="AD53" s="93"/>
      <c r="AE53" s="93"/>
      <c r="AF53" s="93"/>
      <c r="AG53" s="93"/>
      <c r="AH53" s="93"/>
      <c r="AI53" s="96"/>
      <c r="AJ53" s="93"/>
      <c r="AK53" s="93"/>
      <c r="AL53" s="93"/>
      <c r="AM53" s="93"/>
      <c r="AN53" s="93"/>
      <c r="AO53" s="93"/>
      <c r="AP53" s="96"/>
      <c r="AQ53" s="93"/>
      <c r="AR53" s="93"/>
      <c r="AS53" s="93"/>
      <c r="AT53" s="93"/>
      <c r="AU53" s="93"/>
      <c r="AV53" s="93"/>
      <c r="AW53" s="96"/>
      <c r="AY53" s="77"/>
      <c r="AZ53" s="80"/>
      <c r="BA53" s="80"/>
      <c r="BB53" s="80"/>
      <c r="BC53" s="80"/>
      <c r="BD53" s="80"/>
      <c r="BE53" s="80"/>
      <c r="BF53" s="80"/>
      <c r="BG53" s="80"/>
      <c r="BH53" s="80"/>
      <c r="BI53" s="80"/>
      <c r="BJ53" s="80"/>
      <c r="BK53" s="80"/>
      <c r="BL53" s="80"/>
      <c r="BM53" s="80"/>
      <c r="BN53" s="80"/>
      <c r="BO53" s="80"/>
      <c r="BP53" s="80"/>
      <c r="BQ53" s="80"/>
      <c r="BR53" s="80"/>
      <c r="BS53" s="80"/>
      <c r="BT53" s="80"/>
    </row>
    <row r="54" spans="1:72" x14ac:dyDescent="0.2">
      <c r="A54" s="14"/>
      <c r="B54" s="10" t="s">
        <v>13</v>
      </c>
      <c r="C54" s="4">
        <v>14.6</v>
      </c>
      <c r="D54" s="4">
        <v>20.9</v>
      </c>
      <c r="E54" s="4">
        <v>23.6</v>
      </c>
      <c r="F54" s="4">
        <v>20</v>
      </c>
      <c r="G54" s="4">
        <v>12.7</v>
      </c>
      <c r="H54" s="4">
        <v>91.8</v>
      </c>
      <c r="I54" s="13">
        <v>20127</v>
      </c>
      <c r="J54" s="4">
        <v>19.2</v>
      </c>
      <c r="K54" s="4">
        <v>23.3</v>
      </c>
      <c r="L54" s="4">
        <v>23.2</v>
      </c>
      <c r="M54" s="4">
        <v>17.600000000000001</v>
      </c>
      <c r="N54" s="4">
        <v>10</v>
      </c>
      <c r="O54" s="4">
        <v>93.3</v>
      </c>
      <c r="P54" s="13">
        <v>16927</v>
      </c>
      <c r="Q54" s="4">
        <v>16.7</v>
      </c>
      <c r="R54" s="4">
        <v>22</v>
      </c>
      <c r="S54" s="4">
        <v>23.4</v>
      </c>
      <c r="T54" s="4">
        <v>18.899999999999999</v>
      </c>
      <c r="U54" s="4">
        <v>11.4</v>
      </c>
      <c r="V54" s="4">
        <v>92.5</v>
      </c>
      <c r="W54" s="13">
        <v>37054</v>
      </c>
      <c r="X54" s="14"/>
      <c r="Y54" s="14"/>
      <c r="Z54" s="14"/>
      <c r="AB54" s="74"/>
      <c r="AC54" s="93"/>
      <c r="AD54" s="93"/>
      <c r="AE54" s="93"/>
      <c r="AF54" s="93"/>
      <c r="AG54" s="93"/>
      <c r="AH54" s="93"/>
      <c r="AI54" s="96"/>
      <c r="AJ54" s="93"/>
      <c r="AK54" s="93"/>
      <c r="AL54" s="93"/>
      <c r="AM54" s="93"/>
      <c r="AN54" s="93"/>
      <c r="AO54" s="93"/>
      <c r="AP54" s="96"/>
      <c r="AQ54" s="93"/>
      <c r="AR54" s="93"/>
      <c r="AS54" s="93"/>
      <c r="AT54" s="93"/>
      <c r="AU54" s="93"/>
      <c r="AV54" s="93"/>
      <c r="AW54" s="96"/>
      <c r="AY54" s="77"/>
      <c r="AZ54" s="80"/>
      <c r="BA54" s="80"/>
      <c r="BB54" s="80"/>
      <c r="BC54" s="80"/>
      <c r="BD54" s="80"/>
      <c r="BE54" s="80"/>
      <c r="BF54" s="80"/>
      <c r="BG54" s="80"/>
      <c r="BH54" s="80"/>
      <c r="BI54" s="80"/>
      <c r="BJ54" s="80"/>
      <c r="BK54" s="80"/>
      <c r="BL54" s="80"/>
      <c r="BM54" s="80"/>
      <c r="BN54" s="80"/>
      <c r="BO54" s="80"/>
      <c r="BP54" s="80"/>
      <c r="BQ54" s="80"/>
      <c r="BR54" s="80"/>
      <c r="BS54" s="80"/>
      <c r="BT54" s="80"/>
    </row>
    <row r="55" spans="1:72" x14ac:dyDescent="0.2">
      <c r="A55" s="14"/>
      <c r="B55" s="10" t="s">
        <v>14</v>
      </c>
      <c r="C55" s="4">
        <v>21.3</v>
      </c>
      <c r="D55" s="4">
        <v>22.1</v>
      </c>
      <c r="E55" s="4">
        <v>21.5</v>
      </c>
      <c r="F55" s="4">
        <v>17.3</v>
      </c>
      <c r="G55" s="4">
        <v>9.4</v>
      </c>
      <c r="H55" s="4">
        <v>91.6</v>
      </c>
      <c r="I55" s="13">
        <v>4424</v>
      </c>
      <c r="J55" s="4">
        <v>21.4</v>
      </c>
      <c r="K55" s="4">
        <v>22.2</v>
      </c>
      <c r="L55" s="4">
        <v>22.5</v>
      </c>
      <c r="M55" s="4">
        <v>15.9</v>
      </c>
      <c r="N55" s="4">
        <v>9.9</v>
      </c>
      <c r="O55" s="4">
        <v>91.8</v>
      </c>
      <c r="P55" s="13">
        <v>3183</v>
      </c>
      <c r="Q55" s="4">
        <v>21.3</v>
      </c>
      <c r="R55" s="4">
        <v>22.1</v>
      </c>
      <c r="S55" s="4">
        <v>21.9</v>
      </c>
      <c r="T55" s="4">
        <v>16.7</v>
      </c>
      <c r="U55" s="4">
        <v>9.6</v>
      </c>
      <c r="V55" s="4">
        <v>91.7</v>
      </c>
      <c r="W55" s="13">
        <v>7607</v>
      </c>
      <c r="X55" s="14"/>
      <c r="Y55" s="14"/>
      <c r="Z55" s="14"/>
      <c r="AB55" s="74"/>
      <c r="AC55" s="93"/>
      <c r="AD55" s="93"/>
      <c r="AE55" s="93"/>
      <c r="AF55" s="93"/>
      <c r="AG55" s="93"/>
      <c r="AH55" s="93"/>
      <c r="AI55" s="96"/>
      <c r="AJ55" s="93"/>
      <c r="AK55" s="93"/>
      <c r="AL55" s="93"/>
      <c r="AM55" s="93"/>
      <c r="AN55" s="93"/>
      <c r="AO55" s="93"/>
      <c r="AP55" s="96"/>
      <c r="AQ55" s="93"/>
      <c r="AR55" s="93"/>
      <c r="AS55" s="93"/>
      <c r="AT55" s="93"/>
      <c r="AU55" s="93"/>
      <c r="AV55" s="93"/>
      <c r="AW55" s="96"/>
      <c r="AY55" s="77"/>
      <c r="AZ55" s="80"/>
      <c r="BA55" s="80"/>
      <c r="BB55" s="80"/>
      <c r="BC55" s="80"/>
      <c r="BD55" s="80"/>
      <c r="BE55" s="80"/>
      <c r="BF55" s="80"/>
      <c r="BG55" s="80"/>
      <c r="BH55" s="80"/>
      <c r="BI55" s="80"/>
      <c r="BJ55" s="80"/>
      <c r="BK55" s="80"/>
      <c r="BL55" s="80"/>
      <c r="BM55" s="80"/>
      <c r="BN55" s="80"/>
      <c r="BO55" s="80"/>
      <c r="BP55" s="80"/>
      <c r="BQ55" s="80"/>
      <c r="BR55" s="80"/>
      <c r="BS55" s="80"/>
      <c r="BT55" s="80"/>
    </row>
    <row r="56" spans="1:72" x14ac:dyDescent="0.2">
      <c r="A56" s="14"/>
      <c r="B56" s="10" t="s">
        <v>15</v>
      </c>
      <c r="C56" s="4">
        <v>17.600000000000001</v>
      </c>
      <c r="D56" s="4">
        <v>20.399999999999999</v>
      </c>
      <c r="E56" s="4">
        <v>22</v>
      </c>
      <c r="F56" s="4">
        <v>17.899999999999999</v>
      </c>
      <c r="G56" s="4">
        <v>10.8</v>
      </c>
      <c r="H56" s="4">
        <v>88.7</v>
      </c>
      <c r="I56" s="13">
        <v>15187</v>
      </c>
      <c r="J56" s="4">
        <v>16.7</v>
      </c>
      <c r="K56" s="4">
        <v>19.600000000000001</v>
      </c>
      <c r="L56" s="4">
        <v>21.6</v>
      </c>
      <c r="M56" s="4">
        <v>18.2</v>
      </c>
      <c r="N56" s="4">
        <v>12</v>
      </c>
      <c r="O56" s="4">
        <v>88.1</v>
      </c>
      <c r="P56" s="13">
        <v>18219</v>
      </c>
      <c r="Q56" s="4">
        <v>17.100000000000001</v>
      </c>
      <c r="R56" s="4">
        <v>19.899999999999999</v>
      </c>
      <c r="S56" s="4">
        <v>21.8</v>
      </c>
      <c r="T56" s="4">
        <v>18.100000000000001</v>
      </c>
      <c r="U56" s="4">
        <v>11.5</v>
      </c>
      <c r="V56" s="4">
        <v>88.4</v>
      </c>
      <c r="W56" s="13">
        <v>33406</v>
      </c>
      <c r="X56" s="14"/>
      <c r="Y56" s="14"/>
      <c r="Z56" s="14"/>
      <c r="AB56" s="74"/>
      <c r="AC56" s="93"/>
      <c r="AD56" s="93"/>
      <c r="AE56" s="93"/>
      <c r="AF56" s="93"/>
      <c r="AG56" s="93"/>
      <c r="AH56" s="93"/>
      <c r="AI56" s="96"/>
      <c r="AJ56" s="93"/>
      <c r="AK56" s="93"/>
      <c r="AL56" s="93"/>
      <c r="AM56" s="93"/>
      <c r="AN56" s="93"/>
      <c r="AO56" s="93"/>
      <c r="AP56" s="96"/>
      <c r="AQ56" s="93"/>
      <c r="AR56" s="93"/>
      <c r="AS56" s="93"/>
      <c r="AT56" s="93"/>
      <c r="AU56" s="93"/>
      <c r="AV56" s="93"/>
      <c r="AW56" s="96"/>
      <c r="AY56" s="77"/>
      <c r="AZ56" s="80"/>
      <c r="BA56" s="80"/>
      <c r="BB56" s="80"/>
      <c r="BC56" s="80"/>
      <c r="BD56" s="80"/>
      <c r="BE56" s="80"/>
      <c r="BF56" s="80"/>
      <c r="BG56" s="80"/>
      <c r="BH56" s="80"/>
      <c r="BI56" s="80"/>
      <c r="BJ56" s="80"/>
      <c r="BK56" s="80"/>
      <c r="BL56" s="80"/>
      <c r="BM56" s="80"/>
      <c r="BN56" s="80"/>
      <c r="BO56" s="80"/>
      <c r="BP56" s="80"/>
      <c r="BQ56" s="80"/>
      <c r="BR56" s="80"/>
      <c r="BS56" s="80"/>
      <c r="BT56" s="80"/>
    </row>
    <row r="57" spans="1:72" x14ac:dyDescent="0.2">
      <c r="A57" s="14"/>
      <c r="B57" s="10" t="s">
        <v>16</v>
      </c>
      <c r="C57" s="4">
        <v>10.199999999999999</v>
      </c>
      <c r="D57" s="4">
        <v>12.8</v>
      </c>
      <c r="E57" s="4">
        <v>16.600000000000001</v>
      </c>
      <c r="F57" s="4">
        <v>18.899999999999999</v>
      </c>
      <c r="G57" s="4">
        <v>15.8</v>
      </c>
      <c r="H57" s="4">
        <v>74.3</v>
      </c>
      <c r="I57" s="13">
        <v>2900</v>
      </c>
      <c r="J57" s="4">
        <v>12</v>
      </c>
      <c r="K57" s="4">
        <v>14.8</v>
      </c>
      <c r="L57" s="4">
        <v>17.3</v>
      </c>
      <c r="M57" s="4">
        <v>18.5</v>
      </c>
      <c r="N57" s="4">
        <v>13.4</v>
      </c>
      <c r="O57" s="4">
        <v>76</v>
      </c>
      <c r="P57" s="13">
        <v>4317</v>
      </c>
      <c r="Q57" s="4">
        <v>11.3</v>
      </c>
      <c r="R57" s="4">
        <v>14</v>
      </c>
      <c r="S57" s="4">
        <v>17</v>
      </c>
      <c r="T57" s="4">
        <v>18.7</v>
      </c>
      <c r="U57" s="4">
        <v>14.4</v>
      </c>
      <c r="V57" s="4">
        <v>75.3</v>
      </c>
      <c r="W57" s="13">
        <v>7217</v>
      </c>
      <c r="X57" s="14"/>
      <c r="Y57" s="14"/>
      <c r="Z57" s="14"/>
      <c r="AB57" s="74"/>
      <c r="AC57" s="93"/>
      <c r="AD57" s="93"/>
      <c r="AE57" s="93"/>
      <c r="AF57" s="93"/>
      <c r="AG57" s="93"/>
      <c r="AH57" s="93"/>
      <c r="AI57" s="96"/>
      <c r="AJ57" s="93"/>
      <c r="AK57" s="93"/>
      <c r="AL57" s="93"/>
      <c r="AM57" s="93"/>
      <c r="AN57" s="93"/>
      <c r="AO57" s="93"/>
      <c r="AP57" s="96"/>
      <c r="AQ57" s="93"/>
      <c r="AR57" s="93"/>
      <c r="AS57" s="93"/>
      <c r="AT57" s="93"/>
      <c r="AU57" s="93"/>
      <c r="AV57" s="93"/>
      <c r="AW57" s="96"/>
      <c r="AY57" s="77"/>
      <c r="AZ57" s="80"/>
      <c r="BA57" s="80"/>
      <c r="BB57" s="80"/>
      <c r="BC57" s="80"/>
      <c r="BD57" s="80"/>
      <c r="BE57" s="80"/>
      <c r="BF57" s="80"/>
      <c r="BG57" s="80"/>
      <c r="BH57" s="80"/>
      <c r="BI57" s="80"/>
      <c r="BJ57" s="80"/>
      <c r="BK57" s="80"/>
      <c r="BL57" s="80"/>
      <c r="BM57" s="80"/>
      <c r="BN57" s="80"/>
      <c r="BO57" s="80"/>
      <c r="BP57" s="80"/>
      <c r="BQ57" s="80"/>
      <c r="BR57" s="80"/>
      <c r="BS57" s="80"/>
      <c r="BT57" s="80"/>
    </row>
    <row r="58" spans="1:72" x14ac:dyDescent="0.2">
      <c r="A58" s="14"/>
      <c r="B58" s="10" t="s">
        <v>17</v>
      </c>
      <c r="C58" s="4">
        <v>8.3000000000000007</v>
      </c>
      <c r="D58" s="4">
        <v>15.7</v>
      </c>
      <c r="E58" s="4">
        <v>20.6</v>
      </c>
      <c r="F58" s="4">
        <v>19.2</v>
      </c>
      <c r="G58" s="4">
        <v>16.5</v>
      </c>
      <c r="H58" s="4">
        <v>80.3</v>
      </c>
      <c r="I58" s="13">
        <v>5398</v>
      </c>
      <c r="J58" s="4">
        <v>14.2</v>
      </c>
      <c r="K58" s="4">
        <v>20.3</v>
      </c>
      <c r="L58" s="4">
        <v>22.1</v>
      </c>
      <c r="M58" s="4">
        <v>18.5</v>
      </c>
      <c r="N58" s="4">
        <v>13.1</v>
      </c>
      <c r="O58" s="4">
        <v>88.3</v>
      </c>
      <c r="P58" s="13">
        <v>18411</v>
      </c>
      <c r="Q58" s="4">
        <v>12.9</v>
      </c>
      <c r="R58" s="4">
        <v>19.3</v>
      </c>
      <c r="S58" s="4">
        <v>21.8</v>
      </c>
      <c r="T58" s="4">
        <v>18.7</v>
      </c>
      <c r="U58" s="4">
        <v>13.8</v>
      </c>
      <c r="V58" s="4">
        <v>86.5</v>
      </c>
      <c r="W58" s="13">
        <v>23809</v>
      </c>
      <c r="X58" s="14"/>
      <c r="Y58" s="14"/>
      <c r="Z58" s="14"/>
      <c r="AB58" s="74"/>
      <c r="AC58" s="93"/>
      <c r="AD58" s="93"/>
      <c r="AE58" s="93"/>
      <c r="AF58" s="93"/>
      <c r="AG58" s="93"/>
      <c r="AH58" s="93"/>
      <c r="AI58" s="96"/>
      <c r="AJ58" s="93"/>
      <c r="AK58" s="93"/>
      <c r="AL58" s="93"/>
      <c r="AM58" s="93"/>
      <c r="AN58" s="93"/>
      <c r="AO58" s="93"/>
      <c r="AP58" s="96"/>
      <c r="AQ58" s="93"/>
      <c r="AR58" s="93"/>
      <c r="AS58" s="93"/>
      <c r="AT58" s="93"/>
      <c r="AU58" s="93"/>
      <c r="AV58" s="93"/>
      <c r="AW58" s="96"/>
      <c r="AY58" s="77"/>
      <c r="AZ58" s="80"/>
      <c r="BA58" s="80"/>
      <c r="BB58" s="80"/>
      <c r="BC58" s="80"/>
      <c r="BD58" s="80"/>
      <c r="BE58" s="80"/>
      <c r="BF58" s="80"/>
      <c r="BG58" s="80"/>
      <c r="BH58" s="80"/>
      <c r="BI58" s="80"/>
      <c r="BJ58" s="80"/>
      <c r="BK58" s="80"/>
      <c r="BL58" s="80"/>
      <c r="BM58" s="80"/>
      <c r="BN58" s="80"/>
      <c r="BO58" s="80"/>
      <c r="BP58" s="80"/>
      <c r="BQ58" s="80"/>
      <c r="BR58" s="80"/>
      <c r="BS58" s="80"/>
      <c r="BT58" s="80"/>
    </row>
    <row r="59" spans="1:72" x14ac:dyDescent="0.2">
      <c r="A59" s="14"/>
      <c r="B59" s="10" t="s">
        <v>18</v>
      </c>
      <c r="C59" s="4">
        <v>11.2</v>
      </c>
      <c r="D59" s="4">
        <v>18.600000000000001</v>
      </c>
      <c r="E59" s="4">
        <v>19.100000000000001</v>
      </c>
      <c r="F59" s="4">
        <v>16.600000000000001</v>
      </c>
      <c r="G59" s="4">
        <v>15.6</v>
      </c>
      <c r="H59" s="4">
        <v>81.099999999999994</v>
      </c>
      <c r="I59" s="13">
        <v>4681</v>
      </c>
      <c r="J59" s="4">
        <v>14.5</v>
      </c>
      <c r="K59" s="4">
        <v>20.3</v>
      </c>
      <c r="L59" s="4">
        <v>20.3</v>
      </c>
      <c r="M59" s="4">
        <v>16.3</v>
      </c>
      <c r="N59" s="4">
        <v>13.9</v>
      </c>
      <c r="O59" s="4">
        <v>85.4</v>
      </c>
      <c r="P59" s="13">
        <v>15094</v>
      </c>
      <c r="Q59" s="4">
        <v>13.8</v>
      </c>
      <c r="R59" s="4">
        <v>19.899999999999999</v>
      </c>
      <c r="S59" s="4">
        <v>20.100000000000001</v>
      </c>
      <c r="T59" s="4">
        <v>16.3</v>
      </c>
      <c r="U59" s="4">
        <v>14.3</v>
      </c>
      <c r="V59" s="4">
        <v>84.4</v>
      </c>
      <c r="W59" s="13">
        <v>19775</v>
      </c>
      <c r="X59" s="14"/>
      <c r="Y59" s="14"/>
      <c r="Z59" s="14"/>
      <c r="AB59" s="74"/>
      <c r="AC59" s="93"/>
      <c r="AD59" s="93"/>
      <c r="AE59" s="93"/>
      <c r="AF59" s="93"/>
      <c r="AG59" s="93"/>
      <c r="AH59" s="93"/>
      <c r="AI59" s="96"/>
      <c r="AJ59" s="93"/>
      <c r="AK59" s="93"/>
      <c r="AL59" s="93"/>
      <c r="AM59" s="93"/>
      <c r="AN59" s="93"/>
      <c r="AO59" s="93"/>
      <c r="AP59" s="96"/>
      <c r="AQ59" s="93"/>
      <c r="AR59" s="93"/>
      <c r="AS59" s="93"/>
      <c r="AT59" s="93"/>
      <c r="AU59" s="93"/>
      <c r="AV59" s="93"/>
      <c r="AW59" s="96"/>
      <c r="AY59" s="77"/>
      <c r="AZ59" s="80"/>
      <c r="BA59" s="80"/>
      <c r="BB59" s="80"/>
      <c r="BC59" s="80"/>
      <c r="BD59" s="80"/>
      <c r="BE59" s="80"/>
      <c r="BF59" s="80"/>
      <c r="BG59" s="80"/>
      <c r="BH59" s="80"/>
      <c r="BI59" s="80"/>
      <c r="BJ59" s="80"/>
      <c r="BK59" s="80"/>
      <c r="BL59" s="80"/>
      <c r="BM59" s="80"/>
      <c r="BN59" s="80"/>
      <c r="BO59" s="80"/>
      <c r="BP59" s="80"/>
      <c r="BQ59" s="80"/>
      <c r="BR59" s="80"/>
      <c r="BS59" s="80"/>
      <c r="BT59" s="80"/>
    </row>
    <row r="60" spans="1:72" x14ac:dyDescent="0.2">
      <c r="A60" s="14"/>
      <c r="B60" s="10" t="s">
        <v>19</v>
      </c>
      <c r="C60" s="4">
        <v>11.9</v>
      </c>
      <c r="D60" s="4">
        <v>20.7</v>
      </c>
      <c r="E60" s="4">
        <v>22</v>
      </c>
      <c r="F60" s="4">
        <v>18.100000000000001</v>
      </c>
      <c r="G60" s="4">
        <v>12.3</v>
      </c>
      <c r="H60" s="4">
        <v>84.9</v>
      </c>
      <c r="I60" s="13">
        <v>1113</v>
      </c>
      <c r="J60" s="4">
        <v>11.2</v>
      </c>
      <c r="K60" s="4">
        <v>23.4</v>
      </c>
      <c r="L60" s="4">
        <v>28.1</v>
      </c>
      <c r="M60" s="4">
        <v>19.3</v>
      </c>
      <c r="N60" s="4">
        <v>8.8000000000000007</v>
      </c>
      <c r="O60" s="4">
        <v>90.9</v>
      </c>
      <c r="P60" s="13">
        <v>2083</v>
      </c>
      <c r="Q60" s="4">
        <v>11.5</v>
      </c>
      <c r="R60" s="4">
        <v>22.4</v>
      </c>
      <c r="S60" s="4">
        <v>26</v>
      </c>
      <c r="T60" s="4">
        <v>18.899999999999999</v>
      </c>
      <c r="U60" s="4">
        <v>10</v>
      </c>
      <c r="V60" s="4">
        <v>88.8</v>
      </c>
      <c r="W60" s="13">
        <v>3196</v>
      </c>
      <c r="X60" s="14"/>
      <c r="Y60" s="14"/>
      <c r="Z60" s="14"/>
      <c r="AB60" s="74"/>
      <c r="AC60" s="93"/>
      <c r="AD60" s="93"/>
      <c r="AE60" s="93"/>
      <c r="AF60" s="93"/>
      <c r="AG60" s="93"/>
      <c r="AH60" s="93"/>
      <c r="AI60" s="96"/>
      <c r="AJ60" s="93"/>
      <c r="AK60" s="93"/>
      <c r="AL60" s="93"/>
      <c r="AM60" s="93"/>
      <c r="AN60" s="93"/>
      <c r="AO60" s="93"/>
      <c r="AP60" s="96"/>
      <c r="AQ60" s="93"/>
      <c r="AR60" s="93"/>
      <c r="AS60" s="93"/>
      <c r="AT60" s="93"/>
      <c r="AU60" s="93"/>
      <c r="AV60" s="93"/>
      <c r="AW60" s="96"/>
      <c r="AY60" s="77"/>
      <c r="AZ60" s="80"/>
      <c r="BA60" s="80"/>
      <c r="BB60" s="80"/>
      <c r="BC60" s="80"/>
      <c r="BD60" s="80"/>
      <c r="BE60" s="80"/>
      <c r="BF60" s="80"/>
      <c r="BG60" s="80"/>
      <c r="BH60" s="80"/>
      <c r="BI60" s="80"/>
      <c r="BJ60" s="80"/>
      <c r="BK60" s="80"/>
      <c r="BL60" s="80"/>
      <c r="BM60" s="80"/>
      <c r="BN60" s="80"/>
      <c r="BO60" s="80"/>
      <c r="BP60" s="80"/>
      <c r="BQ60" s="80"/>
      <c r="BR60" s="80"/>
      <c r="BS60" s="80"/>
      <c r="BT60" s="80"/>
    </row>
    <row r="61" spans="1:72" x14ac:dyDescent="0.2">
      <c r="A61" s="14"/>
      <c r="B61" s="10" t="s">
        <v>20</v>
      </c>
      <c r="C61" s="4">
        <v>19.399999999999999</v>
      </c>
      <c r="D61" s="4">
        <v>18.3</v>
      </c>
      <c r="E61" s="4">
        <v>22.8</v>
      </c>
      <c r="F61" s="4">
        <v>19</v>
      </c>
      <c r="G61" s="4">
        <v>11.7</v>
      </c>
      <c r="H61" s="4">
        <v>91.2</v>
      </c>
      <c r="I61" s="13">
        <v>13182</v>
      </c>
      <c r="J61" s="4">
        <v>24.9</v>
      </c>
      <c r="K61" s="4">
        <v>21.4</v>
      </c>
      <c r="L61" s="4">
        <v>23.8</v>
      </c>
      <c r="M61" s="4">
        <v>16.7</v>
      </c>
      <c r="N61" s="4">
        <v>8</v>
      </c>
      <c r="O61" s="4">
        <v>94.8</v>
      </c>
      <c r="P61" s="13">
        <v>21458</v>
      </c>
      <c r="Q61" s="4">
        <v>22.8</v>
      </c>
      <c r="R61" s="4">
        <v>20.2</v>
      </c>
      <c r="S61" s="4">
        <v>23.4</v>
      </c>
      <c r="T61" s="4">
        <v>17.600000000000001</v>
      </c>
      <c r="U61" s="4">
        <v>9.4</v>
      </c>
      <c r="V61" s="4">
        <v>93.4</v>
      </c>
      <c r="W61" s="13">
        <v>34640</v>
      </c>
      <c r="X61" s="14"/>
      <c r="Y61" s="14"/>
      <c r="Z61" s="14"/>
      <c r="AB61" s="74"/>
      <c r="AC61" s="93"/>
      <c r="AD61" s="93"/>
      <c r="AE61" s="93"/>
      <c r="AF61" s="93"/>
      <c r="AG61" s="93"/>
      <c r="AH61" s="93"/>
      <c r="AI61" s="96"/>
      <c r="AJ61" s="93"/>
      <c r="AK61" s="93"/>
      <c r="AL61" s="93"/>
      <c r="AM61" s="93"/>
      <c r="AN61" s="93"/>
      <c r="AO61" s="93"/>
      <c r="AP61" s="96"/>
      <c r="AQ61" s="93"/>
      <c r="AR61" s="93"/>
      <c r="AS61" s="93"/>
      <c r="AT61" s="93"/>
      <c r="AU61" s="93"/>
      <c r="AV61" s="93"/>
      <c r="AW61" s="96"/>
      <c r="AY61" s="77"/>
      <c r="AZ61" s="80"/>
      <c r="BA61" s="80"/>
      <c r="BB61" s="80"/>
      <c r="BC61" s="80"/>
      <c r="BD61" s="80"/>
      <c r="BE61" s="80"/>
      <c r="BF61" s="80"/>
      <c r="BG61" s="80"/>
      <c r="BH61" s="80"/>
      <c r="BI61" s="80"/>
      <c r="BJ61" s="80"/>
      <c r="BK61" s="80"/>
      <c r="BL61" s="80"/>
      <c r="BM61" s="80"/>
      <c r="BN61" s="80"/>
      <c r="BO61" s="80"/>
      <c r="BP61" s="80"/>
      <c r="BQ61" s="80"/>
      <c r="BR61" s="80"/>
      <c r="BS61" s="80"/>
      <c r="BT61" s="80"/>
    </row>
    <row r="62" spans="1:72" x14ac:dyDescent="0.2">
      <c r="A62" s="14"/>
      <c r="B62" s="10" t="s">
        <v>21</v>
      </c>
      <c r="C62" s="4">
        <v>12.2</v>
      </c>
      <c r="D62" s="4">
        <v>13.7</v>
      </c>
      <c r="E62" s="4">
        <v>25.8</v>
      </c>
      <c r="F62" s="4">
        <v>20.7</v>
      </c>
      <c r="G62" s="4">
        <v>15</v>
      </c>
      <c r="H62" s="4">
        <v>87.3</v>
      </c>
      <c r="I62" s="13">
        <v>2920</v>
      </c>
      <c r="J62" s="4">
        <v>14.3</v>
      </c>
      <c r="K62" s="4">
        <v>18.600000000000001</v>
      </c>
      <c r="L62" s="4">
        <v>27.1</v>
      </c>
      <c r="M62" s="4">
        <v>20.5</v>
      </c>
      <c r="N62" s="4">
        <v>11.9</v>
      </c>
      <c r="O62" s="4">
        <v>92.2</v>
      </c>
      <c r="P62" s="13">
        <v>7733</v>
      </c>
      <c r="Q62" s="4">
        <v>13.7</v>
      </c>
      <c r="R62" s="4">
        <v>17.3</v>
      </c>
      <c r="S62" s="4">
        <v>26.7</v>
      </c>
      <c r="T62" s="4">
        <v>20.5</v>
      </c>
      <c r="U62" s="4">
        <v>12.7</v>
      </c>
      <c r="V62" s="4">
        <v>90.9</v>
      </c>
      <c r="W62" s="13">
        <v>10653</v>
      </c>
      <c r="X62" s="14"/>
      <c r="Y62" s="14"/>
      <c r="Z62" s="14"/>
      <c r="AB62" s="74"/>
      <c r="AC62" s="93"/>
      <c r="AD62" s="93"/>
      <c r="AE62" s="93"/>
      <c r="AF62" s="93"/>
      <c r="AG62" s="93"/>
      <c r="AH62" s="93"/>
      <c r="AI62" s="96"/>
      <c r="AJ62" s="93"/>
      <c r="AK62" s="93"/>
      <c r="AL62" s="93"/>
      <c r="AM62" s="93"/>
      <c r="AN62" s="93"/>
      <c r="AO62" s="93"/>
      <c r="AP62" s="96"/>
      <c r="AQ62" s="93"/>
      <c r="AR62" s="93"/>
      <c r="AS62" s="93"/>
      <c r="AT62" s="93"/>
      <c r="AU62" s="93"/>
      <c r="AV62" s="93"/>
      <c r="AW62" s="96"/>
      <c r="AY62" s="77"/>
      <c r="AZ62" s="80"/>
      <c r="BA62" s="80"/>
      <c r="BB62" s="80"/>
      <c r="BC62" s="80"/>
      <c r="BD62" s="80"/>
      <c r="BE62" s="80"/>
      <c r="BF62" s="80"/>
      <c r="BG62" s="80"/>
      <c r="BH62" s="80"/>
      <c r="BI62" s="80"/>
      <c r="BJ62" s="80"/>
      <c r="BK62" s="80"/>
      <c r="BL62" s="80"/>
      <c r="BM62" s="80"/>
      <c r="BN62" s="80"/>
      <c r="BO62" s="80"/>
      <c r="BP62" s="80"/>
      <c r="BQ62" s="80"/>
      <c r="BR62" s="80"/>
      <c r="BS62" s="80"/>
      <c r="BT62" s="80"/>
    </row>
    <row r="63" spans="1:72" x14ac:dyDescent="0.2">
      <c r="A63" s="14"/>
      <c r="B63" s="10" t="s">
        <v>22</v>
      </c>
      <c r="C63" s="4">
        <v>16.3</v>
      </c>
      <c r="D63" s="4">
        <v>20.7</v>
      </c>
      <c r="E63" s="4">
        <v>22.7</v>
      </c>
      <c r="F63" s="4">
        <v>19.600000000000001</v>
      </c>
      <c r="G63" s="4">
        <v>12.8</v>
      </c>
      <c r="H63" s="4">
        <v>92.1</v>
      </c>
      <c r="I63" s="13">
        <v>22961</v>
      </c>
      <c r="J63" s="4">
        <v>15</v>
      </c>
      <c r="K63" s="4">
        <v>19.100000000000001</v>
      </c>
      <c r="L63" s="4">
        <v>24.2</v>
      </c>
      <c r="M63" s="4">
        <v>21.6</v>
      </c>
      <c r="N63" s="4">
        <v>13.4</v>
      </c>
      <c r="O63" s="4">
        <v>93.1</v>
      </c>
      <c r="P63" s="13">
        <v>54697</v>
      </c>
      <c r="Q63" s="4">
        <v>15.4</v>
      </c>
      <c r="R63" s="4">
        <v>19.5</v>
      </c>
      <c r="S63" s="4">
        <v>23.7</v>
      </c>
      <c r="T63" s="4">
        <v>21</v>
      </c>
      <c r="U63" s="4">
        <v>13.2</v>
      </c>
      <c r="V63" s="4">
        <v>92.8</v>
      </c>
      <c r="W63" s="13">
        <v>77658</v>
      </c>
      <c r="X63" s="14"/>
      <c r="Y63" s="14"/>
      <c r="Z63" s="14"/>
      <c r="AB63" s="74"/>
      <c r="AC63" s="93"/>
      <c r="AD63" s="93"/>
      <c r="AE63" s="93"/>
      <c r="AF63" s="93"/>
      <c r="AG63" s="93"/>
      <c r="AH63" s="93"/>
      <c r="AI63" s="96"/>
      <c r="AJ63" s="93"/>
      <c r="AK63" s="93"/>
      <c r="AL63" s="93"/>
      <c r="AM63" s="93"/>
      <c r="AN63" s="93"/>
      <c r="AO63" s="93"/>
      <c r="AP63" s="96"/>
      <c r="AQ63" s="93"/>
      <c r="AR63" s="93"/>
      <c r="AS63" s="93"/>
      <c r="AT63" s="93"/>
      <c r="AU63" s="93"/>
      <c r="AV63" s="93"/>
      <c r="AW63" s="96"/>
      <c r="AY63" s="77"/>
      <c r="AZ63" s="80"/>
      <c r="BA63" s="80"/>
      <c r="BB63" s="80"/>
      <c r="BC63" s="80"/>
      <c r="BD63" s="80"/>
      <c r="BE63" s="80"/>
      <c r="BF63" s="80"/>
      <c r="BG63" s="80"/>
      <c r="BH63" s="80"/>
      <c r="BI63" s="80"/>
      <c r="BJ63" s="80"/>
      <c r="BK63" s="80"/>
      <c r="BL63" s="80"/>
      <c r="BM63" s="80"/>
      <c r="BN63" s="80"/>
      <c r="BO63" s="80"/>
      <c r="BP63" s="80"/>
      <c r="BQ63" s="80"/>
      <c r="BR63" s="80"/>
      <c r="BS63" s="80"/>
      <c r="BT63" s="80"/>
    </row>
    <row r="64" spans="1:72" x14ac:dyDescent="0.2">
      <c r="A64" s="14"/>
      <c r="B64" s="10" t="s">
        <v>51</v>
      </c>
      <c r="C64" s="4">
        <v>8.8000000000000007</v>
      </c>
      <c r="D64" s="4">
        <v>15.2</v>
      </c>
      <c r="E64" s="4">
        <v>28.4</v>
      </c>
      <c r="F64" s="4">
        <v>26.1</v>
      </c>
      <c r="G64" s="4">
        <v>13.9</v>
      </c>
      <c r="H64" s="4">
        <v>92.4</v>
      </c>
      <c r="I64" s="13">
        <v>4656</v>
      </c>
      <c r="J64" s="4">
        <v>9.4</v>
      </c>
      <c r="K64" s="4">
        <v>18.399999999999999</v>
      </c>
      <c r="L64" s="4">
        <v>33.4</v>
      </c>
      <c r="M64" s="4">
        <v>24.7</v>
      </c>
      <c r="N64" s="4">
        <v>9.6999999999999993</v>
      </c>
      <c r="O64" s="4">
        <v>95.5</v>
      </c>
      <c r="P64" s="13">
        <v>6718</v>
      </c>
      <c r="Q64" s="4">
        <v>9.1999999999999993</v>
      </c>
      <c r="R64" s="4">
        <v>17.100000000000001</v>
      </c>
      <c r="S64" s="4">
        <v>31.4</v>
      </c>
      <c r="T64" s="4">
        <v>25.3</v>
      </c>
      <c r="U64" s="4">
        <v>11.4</v>
      </c>
      <c r="V64" s="4">
        <v>94.2</v>
      </c>
      <c r="W64" s="13">
        <v>11374</v>
      </c>
      <c r="X64" s="14"/>
      <c r="Y64" s="14"/>
      <c r="Z64" s="14"/>
      <c r="AB64" s="74"/>
      <c r="AC64" s="93"/>
      <c r="AD64" s="93"/>
      <c r="AE64" s="93"/>
      <c r="AF64" s="93"/>
      <c r="AG64" s="93"/>
      <c r="AH64" s="93"/>
      <c r="AI64" s="96"/>
      <c r="AJ64" s="93"/>
      <c r="AK64" s="93"/>
      <c r="AL64" s="93"/>
      <c r="AM64" s="93"/>
      <c r="AN64" s="93"/>
      <c r="AO64" s="93"/>
      <c r="AP64" s="96"/>
      <c r="AQ64" s="93"/>
      <c r="AR64" s="93"/>
      <c r="AS64" s="93"/>
      <c r="AT64" s="93"/>
      <c r="AU64" s="93"/>
      <c r="AV64" s="93"/>
      <c r="AW64" s="96"/>
      <c r="AY64" s="77"/>
      <c r="AZ64" s="80"/>
      <c r="BA64" s="80"/>
      <c r="BB64" s="80"/>
      <c r="BC64" s="80"/>
      <c r="BD64" s="80"/>
      <c r="BE64" s="80"/>
      <c r="BF64" s="80"/>
      <c r="BG64" s="80"/>
      <c r="BH64" s="80"/>
      <c r="BI64" s="80"/>
      <c r="BJ64" s="80"/>
      <c r="BK64" s="80"/>
      <c r="BL64" s="80"/>
      <c r="BM64" s="80"/>
      <c r="BN64" s="80"/>
      <c r="BO64" s="80"/>
      <c r="BP64" s="80"/>
      <c r="BQ64" s="80"/>
      <c r="BR64" s="80"/>
      <c r="BS64" s="80"/>
      <c r="BT64" s="80"/>
    </row>
    <row r="65" spans="1:72" x14ac:dyDescent="0.2">
      <c r="A65" s="14"/>
      <c r="B65" s="10" t="s">
        <v>23</v>
      </c>
      <c r="C65" s="4">
        <v>8.5</v>
      </c>
      <c r="D65" s="4">
        <v>16</v>
      </c>
      <c r="E65" s="4">
        <v>19.8</v>
      </c>
      <c r="F65" s="4">
        <v>21.4</v>
      </c>
      <c r="G65" s="4">
        <v>14.5</v>
      </c>
      <c r="H65" s="4">
        <v>80.099999999999994</v>
      </c>
      <c r="I65" s="13">
        <v>2394</v>
      </c>
      <c r="J65" s="4">
        <v>10.6</v>
      </c>
      <c r="K65" s="4">
        <v>21.1</v>
      </c>
      <c r="L65" s="4">
        <v>25.4</v>
      </c>
      <c r="M65" s="4">
        <v>20.8</v>
      </c>
      <c r="N65" s="4">
        <v>11.3</v>
      </c>
      <c r="O65" s="4">
        <v>89.3</v>
      </c>
      <c r="P65" s="13">
        <v>4775</v>
      </c>
      <c r="Q65" s="4">
        <v>9.9</v>
      </c>
      <c r="R65" s="4">
        <v>19.399999999999999</v>
      </c>
      <c r="S65" s="4">
        <v>23.6</v>
      </c>
      <c r="T65" s="4">
        <v>21</v>
      </c>
      <c r="U65" s="4">
        <v>12.4</v>
      </c>
      <c r="V65" s="4">
        <v>86.2</v>
      </c>
      <c r="W65" s="13">
        <v>7169</v>
      </c>
      <c r="X65" s="14"/>
      <c r="Y65" s="14"/>
      <c r="Z65" s="14"/>
      <c r="AB65" s="74"/>
      <c r="AC65" s="93"/>
      <c r="AD65" s="93"/>
      <c r="AE65" s="93"/>
      <c r="AF65" s="93"/>
      <c r="AG65" s="93"/>
      <c r="AH65" s="93"/>
      <c r="AI65" s="96"/>
      <c r="AJ65" s="93"/>
      <c r="AK65" s="93"/>
      <c r="AL65" s="93"/>
      <c r="AM65" s="93"/>
      <c r="AN65" s="93"/>
      <c r="AO65" s="93"/>
      <c r="AP65" s="96"/>
      <c r="AQ65" s="93"/>
      <c r="AR65" s="93"/>
      <c r="AS65" s="93"/>
      <c r="AT65" s="93"/>
      <c r="AU65" s="93"/>
      <c r="AV65" s="93"/>
      <c r="AW65" s="96"/>
      <c r="AY65" s="77"/>
      <c r="AZ65" s="80"/>
      <c r="BA65" s="80"/>
      <c r="BB65" s="80"/>
      <c r="BC65" s="80"/>
      <c r="BD65" s="80"/>
      <c r="BE65" s="80"/>
      <c r="BF65" s="80"/>
      <c r="BG65" s="80"/>
      <c r="BH65" s="80"/>
      <c r="BI65" s="80"/>
      <c r="BJ65" s="80"/>
      <c r="BK65" s="80"/>
      <c r="BL65" s="80"/>
      <c r="BM65" s="80"/>
      <c r="BN65" s="80"/>
      <c r="BO65" s="80"/>
      <c r="BP65" s="80"/>
      <c r="BQ65" s="80"/>
      <c r="BR65" s="80"/>
      <c r="BS65" s="80"/>
      <c r="BT65" s="80"/>
    </row>
    <row r="66" spans="1:72" x14ac:dyDescent="0.2">
      <c r="A66" s="14"/>
      <c r="B66" s="10" t="s">
        <v>24</v>
      </c>
      <c r="C66" s="4">
        <v>25.5</v>
      </c>
      <c r="D66" s="4">
        <v>20.6</v>
      </c>
      <c r="E66" s="4">
        <v>20.399999999999999</v>
      </c>
      <c r="F66" s="4">
        <v>15.4</v>
      </c>
      <c r="G66" s="4">
        <v>10.4</v>
      </c>
      <c r="H66" s="4">
        <v>92.2</v>
      </c>
      <c r="I66" s="13">
        <v>5268</v>
      </c>
      <c r="J66" s="4">
        <v>22.3</v>
      </c>
      <c r="K66" s="4">
        <v>20.7</v>
      </c>
      <c r="L66" s="4">
        <v>20</v>
      </c>
      <c r="M66" s="4">
        <v>17</v>
      </c>
      <c r="N66" s="4">
        <v>12</v>
      </c>
      <c r="O66" s="4">
        <v>92.1</v>
      </c>
      <c r="P66" s="13">
        <v>12506</v>
      </c>
      <c r="Q66" s="4">
        <v>23.2</v>
      </c>
      <c r="R66" s="4">
        <v>20.7</v>
      </c>
      <c r="S66" s="4">
        <v>20.100000000000001</v>
      </c>
      <c r="T66" s="4">
        <v>16.5</v>
      </c>
      <c r="U66" s="4">
        <v>11.5</v>
      </c>
      <c r="V66" s="4">
        <v>92.1</v>
      </c>
      <c r="W66" s="13">
        <v>17774</v>
      </c>
      <c r="X66" s="14"/>
      <c r="Y66" s="14"/>
      <c r="Z66" s="14"/>
      <c r="AB66" s="74"/>
      <c r="AC66" s="93"/>
      <c r="AD66" s="93"/>
      <c r="AE66" s="93"/>
      <c r="AF66" s="93"/>
      <c r="AG66" s="93"/>
      <c r="AH66" s="93"/>
      <c r="AI66" s="96"/>
      <c r="AJ66" s="93"/>
      <c r="AK66" s="93"/>
      <c r="AL66" s="93"/>
      <c r="AM66" s="93"/>
      <c r="AN66" s="93"/>
      <c r="AO66" s="93"/>
      <c r="AP66" s="96"/>
      <c r="AQ66" s="93"/>
      <c r="AR66" s="93"/>
      <c r="AS66" s="93"/>
      <c r="AT66" s="93"/>
      <c r="AU66" s="93"/>
      <c r="AV66" s="93"/>
      <c r="AW66" s="96"/>
      <c r="AY66" s="77"/>
      <c r="AZ66" s="80"/>
      <c r="BA66" s="80"/>
      <c r="BB66" s="80"/>
      <c r="BC66" s="80"/>
      <c r="BD66" s="80"/>
      <c r="BE66" s="80"/>
      <c r="BF66" s="80"/>
      <c r="BG66" s="80"/>
      <c r="BH66" s="80"/>
      <c r="BI66" s="80"/>
      <c r="BJ66" s="80"/>
      <c r="BK66" s="80"/>
      <c r="BL66" s="80"/>
      <c r="BM66" s="80"/>
      <c r="BN66" s="80"/>
      <c r="BO66" s="80"/>
      <c r="BP66" s="80"/>
      <c r="BQ66" s="80"/>
      <c r="BR66" s="80"/>
      <c r="BS66" s="80"/>
      <c r="BT66" s="80"/>
    </row>
    <row r="67" spans="1:72" x14ac:dyDescent="0.2">
      <c r="A67" s="14"/>
      <c r="B67" s="10" t="s">
        <v>25</v>
      </c>
      <c r="C67" s="4">
        <v>33.799999999999997</v>
      </c>
      <c r="D67" s="4">
        <v>19.8</v>
      </c>
      <c r="E67" s="4">
        <v>17.600000000000001</v>
      </c>
      <c r="F67" s="4">
        <v>13.1</v>
      </c>
      <c r="G67" s="4">
        <v>9.6</v>
      </c>
      <c r="H67" s="4">
        <v>93.9</v>
      </c>
      <c r="I67" s="13">
        <v>2599</v>
      </c>
      <c r="J67" s="4">
        <v>24.5</v>
      </c>
      <c r="K67" s="4">
        <v>19.600000000000001</v>
      </c>
      <c r="L67" s="4">
        <v>19.100000000000001</v>
      </c>
      <c r="M67" s="4">
        <v>16.2</v>
      </c>
      <c r="N67" s="4">
        <v>12.4</v>
      </c>
      <c r="O67" s="4">
        <v>91.8</v>
      </c>
      <c r="P67" s="13">
        <v>5928</v>
      </c>
      <c r="Q67" s="4">
        <v>27.3</v>
      </c>
      <c r="R67" s="4">
        <v>19.7</v>
      </c>
      <c r="S67" s="4">
        <v>18.600000000000001</v>
      </c>
      <c r="T67" s="4">
        <v>15.2</v>
      </c>
      <c r="U67" s="4">
        <v>11.6</v>
      </c>
      <c r="V67" s="4">
        <v>92.5</v>
      </c>
      <c r="W67" s="13">
        <v>8527</v>
      </c>
      <c r="X67" s="14"/>
      <c r="Y67" s="14"/>
      <c r="Z67" s="14"/>
      <c r="AB67" s="74"/>
      <c r="AC67" s="93"/>
      <c r="AD67" s="93"/>
      <c r="AE67" s="93"/>
      <c r="AF67" s="93"/>
      <c r="AG67" s="93"/>
      <c r="AH67" s="93"/>
      <c r="AI67" s="96"/>
      <c r="AJ67" s="93"/>
      <c r="AK67" s="93"/>
      <c r="AL67" s="93"/>
      <c r="AM67" s="93"/>
      <c r="AN67" s="93"/>
      <c r="AO67" s="93"/>
      <c r="AP67" s="96"/>
      <c r="AQ67" s="93"/>
      <c r="AR67" s="93"/>
      <c r="AS67" s="93"/>
      <c r="AT67" s="93"/>
      <c r="AU67" s="93"/>
      <c r="AV67" s="93"/>
      <c r="AW67" s="96"/>
      <c r="AY67" s="77"/>
      <c r="AZ67" s="80"/>
      <c r="BA67" s="80"/>
      <c r="BB67" s="80"/>
      <c r="BC67" s="80"/>
      <c r="BD67" s="80"/>
      <c r="BE67" s="80"/>
      <c r="BF67" s="80"/>
      <c r="BG67" s="80"/>
      <c r="BH67" s="80"/>
      <c r="BI67" s="80"/>
      <c r="BJ67" s="80"/>
      <c r="BK67" s="80"/>
      <c r="BL67" s="80"/>
      <c r="BM67" s="80"/>
      <c r="BN67" s="80"/>
      <c r="BO67" s="80"/>
      <c r="BP67" s="80"/>
      <c r="BQ67" s="80"/>
      <c r="BR67" s="80"/>
      <c r="BS67" s="80"/>
      <c r="BT67" s="80"/>
    </row>
    <row r="68" spans="1:72" x14ac:dyDescent="0.2">
      <c r="A68" s="14"/>
      <c r="B68" s="10" t="s">
        <v>26</v>
      </c>
      <c r="C68" s="4">
        <v>26.1</v>
      </c>
      <c r="D68" s="4">
        <v>25</v>
      </c>
      <c r="E68" s="4">
        <v>19.600000000000001</v>
      </c>
      <c r="F68" s="4">
        <v>14.1</v>
      </c>
      <c r="G68" s="4">
        <v>9.1</v>
      </c>
      <c r="H68" s="4">
        <v>93.9</v>
      </c>
      <c r="I68" s="13">
        <v>1305</v>
      </c>
      <c r="J68" s="4">
        <v>22.9</v>
      </c>
      <c r="K68" s="4">
        <v>23.3</v>
      </c>
      <c r="L68" s="4">
        <v>21</v>
      </c>
      <c r="M68" s="4">
        <v>17</v>
      </c>
      <c r="N68" s="4">
        <v>8.6999999999999993</v>
      </c>
      <c r="O68" s="4">
        <v>92.9</v>
      </c>
      <c r="P68" s="13">
        <v>3335</v>
      </c>
      <c r="Q68" s="4">
        <v>23.8</v>
      </c>
      <c r="R68" s="4">
        <v>23.8</v>
      </c>
      <c r="S68" s="4">
        <v>20.6</v>
      </c>
      <c r="T68" s="4">
        <v>16.2</v>
      </c>
      <c r="U68" s="4">
        <v>8.8000000000000007</v>
      </c>
      <c r="V68" s="4">
        <v>93.2</v>
      </c>
      <c r="W68" s="13">
        <v>4640</v>
      </c>
      <c r="X68" s="14"/>
      <c r="Y68" s="14"/>
      <c r="Z68" s="14"/>
      <c r="AB68" s="74"/>
      <c r="AC68" s="93"/>
      <c r="AD68" s="93"/>
      <c r="AE68" s="93"/>
      <c r="AF68" s="93"/>
      <c r="AG68" s="93"/>
      <c r="AH68" s="93"/>
      <c r="AI68" s="96"/>
      <c r="AJ68" s="93"/>
      <c r="AK68" s="93"/>
      <c r="AL68" s="93"/>
      <c r="AM68" s="93"/>
      <c r="AN68" s="93"/>
      <c r="AO68" s="93"/>
      <c r="AP68" s="96"/>
      <c r="AQ68" s="93"/>
      <c r="AR68" s="93"/>
      <c r="AS68" s="93"/>
      <c r="AT68" s="93"/>
      <c r="AU68" s="93"/>
      <c r="AV68" s="93"/>
      <c r="AW68" s="96"/>
      <c r="AY68" s="77"/>
      <c r="AZ68" s="80"/>
      <c r="BA68" s="80"/>
      <c r="BB68" s="80"/>
      <c r="BC68" s="80"/>
      <c r="BD68" s="80"/>
      <c r="BE68" s="80"/>
      <c r="BF68" s="80"/>
      <c r="BG68" s="80"/>
      <c r="BH68" s="80"/>
      <c r="BI68" s="80"/>
      <c r="BJ68" s="80"/>
      <c r="BK68" s="80"/>
      <c r="BL68" s="80"/>
      <c r="BM68" s="80"/>
      <c r="BN68" s="80"/>
      <c r="BO68" s="80"/>
      <c r="BP68" s="80"/>
      <c r="BQ68" s="80"/>
      <c r="BR68" s="80"/>
      <c r="BS68" s="80"/>
      <c r="BT68" s="80"/>
    </row>
    <row r="69" spans="1:72" x14ac:dyDescent="0.2">
      <c r="A69" s="14"/>
      <c r="B69" s="10" t="s">
        <v>27</v>
      </c>
      <c r="C69" s="4">
        <v>31.2</v>
      </c>
      <c r="D69" s="4">
        <v>24.1</v>
      </c>
      <c r="E69" s="4">
        <v>18.3</v>
      </c>
      <c r="F69" s="4">
        <v>11.3</v>
      </c>
      <c r="G69" s="4">
        <v>6.7</v>
      </c>
      <c r="H69" s="4">
        <v>91.7</v>
      </c>
      <c r="I69" s="13">
        <v>1533</v>
      </c>
      <c r="J69" s="4">
        <v>37.799999999999997</v>
      </c>
      <c r="K69" s="4">
        <v>25.2</v>
      </c>
      <c r="L69" s="4">
        <v>17.100000000000001</v>
      </c>
      <c r="M69" s="4">
        <v>9.5</v>
      </c>
      <c r="N69" s="4">
        <v>5.2</v>
      </c>
      <c r="O69" s="4">
        <v>94.8</v>
      </c>
      <c r="P69" s="13">
        <v>1966</v>
      </c>
      <c r="Q69" s="4">
        <v>34.9</v>
      </c>
      <c r="R69" s="4">
        <v>24.7</v>
      </c>
      <c r="S69" s="4">
        <v>17.7</v>
      </c>
      <c r="T69" s="4">
        <v>10.3</v>
      </c>
      <c r="U69" s="4">
        <v>5.9</v>
      </c>
      <c r="V69" s="4">
        <v>93.4</v>
      </c>
      <c r="W69" s="13">
        <v>3499</v>
      </c>
      <c r="X69" s="14"/>
      <c r="Y69" s="14"/>
      <c r="Z69" s="14"/>
      <c r="AB69" s="74"/>
      <c r="AC69" s="93"/>
      <c r="AD69" s="93"/>
      <c r="AE69" s="93"/>
      <c r="AF69" s="93"/>
      <c r="AG69" s="93"/>
      <c r="AH69" s="93"/>
      <c r="AI69" s="96"/>
      <c r="AJ69" s="93"/>
      <c r="AK69" s="93"/>
      <c r="AL69" s="93"/>
      <c r="AM69" s="93"/>
      <c r="AN69" s="93"/>
      <c r="AO69" s="93"/>
      <c r="AP69" s="96"/>
      <c r="AQ69" s="93"/>
      <c r="AR69" s="93"/>
      <c r="AS69" s="93"/>
      <c r="AT69" s="93"/>
      <c r="AU69" s="93"/>
      <c r="AV69" s="93"/>
      <c r="AW69" s="96"/>
      <c r="AY69" s="77"/>
      <c r="AZ69" s="80"/>
      <c r="BA69" s="80"/>
      <c r="BB69" s="80"/>
      <c r="BC69" s="80"/>
      <c r="BD69" s="80"/>
      <c r="BE69" s="80"/>
      <c r="BF69" s="80"/>
      <c r="BG69" s="80"/>
      <c r="BH69" s="80"/>
      <c r="BI69" s="80"/>
      <c r="BJ69" s="80"/>
      <c r="BK69" s="80"/>
      <c r="BL69" s="80"/>
      <c r="BM69" s="80"/>
      <c r="BN69" s="80"/>
      <c r="BO69" s="80"/>
      <c r="BP69" s="80"/>
      <c r="BQ69" s="80"/>
      <c r="BR69" s="80"/>
      <c r="BS69" s="80"/>
      <c r="BT69" s="80"/>
    </row>
    <row r="70" spans="1:72" x14ac:dyDescent="0.2">
      <c r="A70" s="14"/>
      <c r="B70" s="10" t="s">
        <v>28</v>
      </c>
      <c r="C70" s="4">
        <v>27.8</v>
      </c>
      <c r="D70" s="4">
        <v>21.7</v>
      </c>
      <c r="E70" s="4">
        <v>18.5</v>
      </c>
      <c r="F70" s="4">
        <v>15.1</v>
      </c>
      <c r="G70" s="4">
        <v>9.6</v>
      </c>
      <c r="H70" s="4">
        <v>92.7</v>
      </c>
      <c r="I70" s="13">
        <v>2087</v>
      </c>
      <c r="J70" s="4">
        <v>28.2</v>
      </c>
      <c r="K70" s="4">
        <v>25.2</v>
      </c>
      <c r="L70" s="4">
        <v>22.3</v>
      </c>
      <c r="M70" s="4">
        <v>12</v>
      </c>
      <c r="N70" s="4">
        <v>7</v>
      </c>
      <c r="O70" s="4">
        <v>94.7</v>
      </c>
      <c r="P70" s="13">
        <v>3060</v>
      </c>
      <c r="Q70" s="4">
        <v>28</v>
      </c>
      <c r="R70" s="4">
        <v>23.8</v>
      </c>
      <c r="S70" s="4">
        <v>20.8</v>
      </c>
      <c r="T70" s="4">
        <v>13.3</v>
      </c>
      <c r="U70" s="4">
        <v>8</v>
      </c>
      <c r="V70" s="4">
        <v>93.9</v>
      </c>
      <c r="W70" s="13">
        <v>5147</v>
      </c>
      <c r="X70" s="14"/>
      <c r="Y70" s="14"/>
      <c r="Z70" s="14"/>
      <c r="AB70" s="74"/>
      <c r="AC70" s="93"/>
      <c r="AD70" s="93"/>
      <c r="AE70" s="93"/>
      <c r="AF70" s="93"/>
      <c r="AG70" s="93"/>
      <c r="AH70" s="93"/>
      <c r="AI70" s="96"/>
      <c r="AJ70" s="93"/>
      <c r="AK70" s="93"/>
      <c r="AL70" s="93"/>
      <c r="AM70" s="93"/>
      <c r="AN70" s="93"/>
      <c r="AO70" s="93"/>
      <c r="AP70" s="96"/>
      <c r="AQ70" s="93"/>
      <c r="AR70" s="93"/>
      <c r="AS70" s="93"/>
      <c r="AT70" s="93"/>
      <c r="AU70" s="93"/>
      <c r="AV70" s="93"/>
      <c r="AW70" s="96"/>
      <c r="AY70" s="77"/>
      <c r="AZ70" s="80"/>
      <c r="BA70" s="80"/>
      <c r="BB70" s="80"/>
      <c r="BC70" s="80"/>
      <c r="BD70" s="80"/>
      <c r="BE70" s="80"/>
      <c r="BF70" s="80"/>
      <c r="BG70" s="80"/>
      <c r="BH70" s="80"/>
      <c r="BI70" s="80"/>
      <c r="BJ70" s="80"/>
      <c r="BK70" s="80"/>
      <c r="BL70" s="80"/>
      <c r="BM70" s="80"/>
      <c r="BN70" s="80"/>
      <c r="BO70" s="80"/>
      <c r="BP70" s="80"/>
      <c r="BQ70" s="80"/>
      <c r="BR70" s="80"/>
      <c r="BS70" s="80"/>
      <c r="BT70" s="80"/>
    </row>
    <row r="71" spans="1:72" x14ac:dyDescent="0.2">
      <c r="A71" s="14"/>
      <c r="B71" s="10" t="s">
        <v>29</v>
      </c>
      <c r="C71" s="4">
        <v>20.8</v>
      </c>
      <c r="D71" s="4">
        <v>19.3</v>
      </c>
      <c r="E71" s="4">
        <v>19.600000000000001</v>
      </c>
      <c r="F71" s="4">
        <v>15.2</v>
      </c>
      <c r="G71" s="4">
        <v>12.4</v>
      </c>
      <c r="H71" s="4">
        <v>87.4</v>
      </c>
      <c r="I71" s="13">
        <v>1321</v>
      </c>
      <c r="J71" s="4">
        <v>18.600000000000001</v>
      </c>
      <c r="K71" s="4">
        <v>18.600000000000001</v>
      </c>
      <c r="L71" s="4">
        <v>22.6</v>
      </c>
      <c r="M71" s="4">
        <v>18.100000000000001</v>
      </c>
      <c r="N71" s="4">
        <v>10.9</v>
      </c>
      <c r="O71" s="4">
        <v>88.8</v>
      </c>
      <c r="P71" s="13">
        <v>3723</v>
      </c>
      <c r="Q71" s="4">
        <v>19.2</v>
      </c>
      <c r="R71" s="4">
        <v>18.8</v>
      </c>
      <c r="S71" s="4">
        <v>21.8</v>
      </c>
      <c r="T71" s="4">
        <v>17.3</v>
      </c>
      <c r="U71" s="4">
        <v>11.3</v>
      </c>
      <c r="V71" s="4">
        <v>88.4</v>
      </c>
      <c r="W71" s="13">
        <v>5044</v>
      </c>
      <c r="X71" s="14"/>
      <c r="Y71" s="14"/>
      <c r="Z71" s="14"/>
      <c r="AB71" s="74"/>
      <c r="AC71" s="93"/>
      <c r="AD71" s="93"/>
      <c r="AE71" s="93"/>
      <c r="AF71" s="93"/>
      <c r="AG71" s="93"/>
      <c r="AH71" s="93"/>
      <c r="AI71" s="96"/>
      <c r="AJ71" s="93"/>
      <c r="AK71" s="93"/>
      <c r="AL71" s="93"/>
      <c r="AM71" s="93"/>
      <c r="AN71" s="93"/>
      <c r="AO71" s="93"/>
      <c r="AP71" s="96"/>
      <c r="AQ71" s="93"/>
      <c r="AR71" s="93"/>
      <c r="AS71" s="93"/>
      <c r="AT71" s="93"/>
      <c r="AU71" s="93"/>
      <c r="AV71" s="93"/>
      <c r="AW71" s="96"/>
      <c r="AY71" s="77"/>
      <c r="AZ71" s="80"/>
      <c r="BA71" s="80"/>
      <c r="BB71" s="80"/>
      <c r="BC71" s="80"/>
      <c r="BD71" s="80"/>
      <c r="BE71" s="80"/>
      <c r="BF71" s="80"/>
      <c r="BG71" s="80"/>
      <c r="BH71" s="80"/>
      <c r="BI71" s="80"/>
      <c r="BJ71" s="80"/>
      <c r="BK71" s="80"/>
      <c r="BL71" s="80"/>
      <c r="BM71" s="80"/>
      <c r="BN71" s="80"/>
      <c r="BO71" s="80"/>
      <c r="BP71" s="80"/>
      <c r="BQ71" s="80"/>
      <c r="BR71" s="80"/>
      <c r="BS71" s="80"/>
      <c r="BT71" s="80"/>
    </row>
    <row r="72" spans="1:72" x14ac:dyDescent="0.2">
      <c r="A72" s="14"/>
      <c r="B72" s="10" t="s">
        <v>30</v>
      </c>
      <c r="C72" s="4">
        <v>19.8</v>
      </c>
      <c r="D72" s="4">
        <v>18.399999999999999</v>
      </c>
      <c r="E72" s="4">
        <v>24.7</v>
      </c>
      <c r="F72" s="4">
        <v>18.8</v>
      </c>
      <c r="G72" s="4">
        <v>11.2</v>
      </c>
      <c r="H72" s="4">
        <v>92.8</v>
      </c>
      <c r="I72" s="13">
        <v>2672</v>
      </c>
      <c r="J72" s="4">
        <v>21.4</v>
      </c>
      <c r="K72" s="4">
        <v>20.5</v>
      </c>
      <c r="L72" s="4">
        <v>24.6</v>
      </c>
      <c r="M72" s="4">
        <v>19</v>
      </c>
      <c r="N72" s="4">
        <v>8.9</v>
      </c>
      <c r="O72" s="4">
        <v>94.5</v>
      </c>
      <c r="P72" s="13">
        <v>3546</v>
      </c>
      <c r="Q72" s="4">
        <v>20.7</v>
      </c>
      <c r="R72" s="4">
        <v>19.600000000000001</v>
      </c>
      <c r="S72" s="4">
        <v>24.7</v>
      </c>
      <c r="T72" s="4">
        <v>18.899999999999999</v>
      </c>
      <c r="U72" s="4">
        <v>9.9</v>
      </c>
      <c r="V72" s="4">
        <v>93.8</v>
      </c>
      <c r="W72" s="13">
        <v>6218</v>
      </c>
      <c r="X72" s="14"/>
      <c r="Y72" s="14"/>
      <c r="Z72" s="14"/>
      <c r="AB72" s="74"/>
      <c r="AC72" s="93"/>
      <c r="AD72" s="93"/>
      <c r="AE72" s="93"/>
      <c r="AF72" s="93"/>
      <c r="AG72" s="93"/>
      <c r="AH72" s="93"/>
      <c r="AI72" s="96"/>
      <c r="AJ72" s="93"/>
      <c r="AK72" s="93"/>
      <c r="AL72" s="93"/>
      <c r="AM72" s="93"/>
      <c r="AN72" s="93"/>
      <c r="AO72" s="93"/>
      <c r="AP72" s="96"/>
      <c r="AQ72" s="93"/>
      <c r="AR72" s="93"/>
      <c r="AS72" s="93"/>
      <c r="AT72" s="93"/>
      <c r="AU72" s="93"/>
      <c r="AV72" s="93"/>
      <c r="AW72" s="96"/>
      <c r="AY72" s="77"/>
      <c r="AZ72" s="80"/>
      <c r="BA72" s="80"/>
      <c r="BB72" s="80"/>
      <c r="BC72" s="80"/>
      <c r="BD72" s="80"/>
      <c r="BE72" s="80"/>
      <c r="BF72" s="80"/>
      <c r="BG72" s="80"/>
      <c r="BH72" s="80"/>
      <c r="BI72" s="80"/>
      <c r="BJ72" s="80"/>
      <c r="BK72" s="80"/>
      <c r="BL72" s="80"/>
      <c r="BM72" s="80"/>
      <c r="BN72" s="80"/>
      <c r="BO72" s="80"/>
      <c r="BP72" s="80"/>
      <c r="BQ72" s="80"/>
      <c r="BR72" s="80"/>
      <c r="BS72" s="80"/>
      <c r="BT72" s="80"/>
    </row>
    <row r="73" spans="1:72" x14ac:dyDescent="0.2">
      <c r="A73" s="14"/>
      <c r="B73" s="10" t="s">
        <v>31</v>
      </c>
      <c r="C73" s="4">
        <v>6.8</v>
      </c>
      <c r="D73" s="4">
        <v>11.3</v>
      </c>
      <c r="E73" s="4">
        <v>22.4</v>
      </c>
      <c r="F73" s="4">
        <v>27.3</v>
      </c>
      <c r="G73" s="4">
        <v>21</v>
      </c>
      <c r="H73" s="4">
        <v>88.8</v>
      </c>
      <c r="I73" s="13">
        <v>8869</v>
      </c>
      <c r="J73" s="4">
        <v>16</v>
      </c>
      <c r="K73" s="4">
        <v>16.5</v>
      </c>
      <c r="L73" s="4">
        <v>24.1</v>
      </c>
      <c r="M73" s="4">
        <v>21.5</v>
      </c>
      <c r="N73" s="4">
        <v>13.7</v>
      </c>
      <c r="O73" s="4">
        <v>91.9</v>
      </c>
      <c r="P73" s="13">
        <v>5871</v>
      </c>
      <c r="Q73" s="4">
        <v>10.5</v>
      </c>
      <c r="R73" s="4">
        <v>13.4</v>
      </c>
      <c r="S73" s="4">
        <v>23.1</v>
      </c>
      <c r="T73" s="4">
        <v>25</v>
      </c>
      <c r="U73" s="4">
        <v>18.100000000000001</v>
      </c>
      <c r="V73" s="4">
        <v>90</v>
      </c>
      <c r="W73" s="13">
        <v>14740</v>
      </c>
      <c r="X73" s="14"/>
      <c r="Y73" s="14"/>
      <c r="Z73" s="14"/>
      <c r="AB73" s="74"/>
      <c r="AC73" s="93"/>
      <c r="AD73" s="93"/>
      <c r="AE73" s="93"/>
      <c r="AF73" s="93"/>
      <c r="AG73" s="93"/>
      <c r="AH73" s="93"/>
      <c r="AI73" s="96"/>
      <c r="AJ73" s="93"/>
      <c r="AK73" s="93"/>
      <c r="AL73" s="93"/>
      <c r="AM73" s="93"/>
      <c r="AN73" s="93"/>
      <c r="AO73" s="93"/>
      <c r="AP73" s="96"/>
      <c r="AQ73" s="93"/>
      <c r="AR73" s="93"/>
      <c r="AS73" s="93"/>
      <c r="AT73" s="93"/>
      <c r="AU73" s="93"/>
      <c r="AV73" s="93"/>
      <c r="AW73" s="96"/>
      <c r="AY73" s="77"/>
      <c r="AZ73" s="80"/>
      <c r="BA73" s="80"/>
      <c r="BB73" s="80"/>
      <c r="BC73" s="80"/>
      <c r="BD73" s="80"/>
      <c r="BE73" s="80"/>
      <c r="BF73" s="80"/>
      <c r="BG73" s="80"/>
      <c r="BH73" s="80"/>
      <c r="BI73" s="80"/>
      <c r="BJ73" s="80"/>
      <c r="BK73" s="80"/>
      <c r="BL73" s="80"/>
      <c r="BM73" s="80"/>
      <c r="BN73" s="80"/>
      <c r="BO73" s="80"/>
      <c r="BP73" s="80"/>
      <c r="BQ73" s="80"/>
      <c r="BR73" s="80"/>
      <c r="BS73" s="80"/>
      <c r="BT73" s="80"/>
    </row>
    <row r="74" spans="1:72" x14ac:dyDescent="0.2">
      <c r="A74" s="14"/>
      <c r="B74" s="10" t="s">
        <v>32</v>
      </c>
      <c r="C74" s="4">
        <v>14</v>
      </c>
      <c r="D74" s="4">
        <v>17.899999999999999</v>
      </c>
      <c r="E74" s="4">
        <v>19.5</v>
      </c>
      <c r="F74" s="4">
        <v>19.2</v>
      </c>
      <c r="G74" s="4">
        <v>14.7</v>
      </c>
      <c r="H74" s="4">
        <v>85.3</v>
      </c>
      <c r="I74" s="13">
        <v>40322</v>
      </c>
      <c r="J74" s="4">
        <v>11.2</v>
      </c>
      <c r="K74" s="4">
        <v>15.8</v>
      </c>
      <c r="L74" s="4">
        <v>19.100000000000001</v>
      </c>
      <c r="M74" s="4">
        <v>20</v>
      </c>
      <c r="N74" s="4">
        <v>16.600000000000001</v>
      </c>
      <c r="O74" s="4">
        <v>82.7</v>
      </c>
      <c r="P74" s="13">
        <v>43939</v>
      </c>
      <c r="Q74" s="4">
        <v>12.5</v>
      </c>
      <c r="R74" s="4">
        <v>16.8</v>
      </c>
      <c r="S74" s="4">
        <v>19.3</v>
      </c>
      <c r="T74" s="4">
        <v>19.600000000000001</v>
      </c>
      <c r="U74" s="4">
        <v>15.7</v>
      </c>
      <c r="V74" s="4">
        <v>84</v>
      </c>
      <c r="W74" s="13">
        <v>84261</v>
      </c>
      <c r="X74" s="14"/>
      <c r="Y74" s="14"/>
      <c r="Z74" s="14"/>
      <c r="AB74" s="74"/>
      <c r="AC74" s="93"/>
      <c r="AD74" s="93"/>
      <c r="AE74" s="93"/>
      <c r="AF74" s="93"/>
      <c r="AG74" s="93"/>
      <c r="AH74" s="93"/>
      <c r="AI74" s="96"/>
      <c r="AJ74" s="93"/>
      <c r="AK74" s="93"/>
      <c r="AL74" s="93"/>
      <c r="AM74" s="93"/>
      <c r="AN74" s="93"/>
      <c r="AO74" s="93"/>
      <c r="AP74" s="96"/>
      <c r="AQ74" s="93"/>
      <c r="AR74" s="93"/>
      <c r="AS74" s="93"/>
      <c r="AT74" s="93"/>
      <c r="AU74" s="93"/>
      <c r="AV74" s="93"/>
      <c r="AW74" s="96"/>
      <c r="AY74" s="77"/>
      <c r="AZ74" s="80"/>
      <c r="BA74" s="80"/>
      <c r="BB74" s="80"/>
      <c r="BC74" s="80"/>
      <c r="BD74" s="80"/>
      <c r="BE74" s="80"/>
      <c r="BF74" s="80"/>
      <c r="BG74" s="80"/>
      <c r="BH74" s="80"/>
      <c r="BI74" s="80"/>
      <c r="BJ74" s="80"/>
      <c r="BK74" s="80"/>
      <c r="BL74" s="80"/>
      <c r="BM74" s="80"/>
      <c r="BN74" s="80"/>
      <c r="BO74" s="80"/>
      <c r="BP74" s="80"/>
      <c r="BQ74" s="80"/>
      <c r="BR74" s="80"/>
      <c r="BS74" s="80"/>
      <c r="BT74" s="80"/>
    </row>
    <row r="75" spans="1:72" x14ac:dyDescent="0.2">
      <c r="A75" s="14"/>
      <c r="B75" s="10" t="s">
        <v>46</v>
      </c>
      <c r="C75" s="4">
        <v>17.8</v>
      </c>
      <c r="D75" s="4">
        <v>18.399999999999999</v>
      </c>
      <c r="E75" s="4">
        <v>20.5</v>
      </c>
      <c r="F75" s="4">
        <v>18.3</v>
      </c>
      <c r="G75" s="4">
        <v>13.1</v>
      </c>
      <c r="H75" s="4">
        <v>88.2</v>
      </c>
      <c r="I75" s="13">
        <v>318339</v>
      </c>
      <c r="J75" s="4">
        <v>17.5</v>
      </c>
      <c r="K75" s="4">
        <v>19.600000000000001</v>
      </c>
      <c r="L75" s="4">
        <v>21.8</v>
      </c>
      <c r="M75" s="4">
        <v>18.399999999999999</v>
      </c>
      <c r="N75" s="4">
        <v>12.4</v>
      </c>
      <c r="O75" s="4">
        <v>89.8</v>
      </c>
      <c r="P75" s="13">
        <v>361709</v>
      </c>
      <c r="Q75" s="4">
        <v>17.7</v>
      </c>
      <c r="R75" s="4">
        <v>19.100000000000001</v>
      </c>
      <c r="S75" s="4">
        <v>21.2</v>
      </c>
      <c r="T75" s="4">
        <v>18.399999999999999</v>
      </c>
      <c r="U75" s="4">
        <v>12.7</v>
      </c>
      <c r="V75" s="4">
        <v>89</v>
      </c>
      <c r="W75" s="13">
        <v>680048</v>
      </c>
      <c r="X75" s="14"/>
      <c r="Y75" s="14"/>
      <c r="Z75" s="14"/>
      <c r="AB75" s="74"/>
      <c r="AC75" s="93"/>
      <c r="AD75" s="93"/>
      <c r="AE75" s="93"/>
      <c r="AF75" s="93"/>
      <c r="AG75" s="93"/>
      <c r="AH75" s="93"/>
      <c r="AI75" s="96"/>
      <c r="AJ75" s="93"/>
      <c r="AK75" s="93"/>
      <c r="AL75" s="93"/>
      <c r="AM75" s="93"/>
      <c r="AN75" s="93"/>
      <c r="AO75" s="93"/>
      <c r="AP75" s="96"/>
      <c r="AQ75" s="93"/>
      <c r="AR75" s="93"/>
      <c r="AS75" s="93"/>
      <c r="AT75" s="93"/>
      <c r="AU75" s="93"/>
      <c r="AV75" s="93"/>
      <c r="AW75" s="96"/>
      <c r="AY75" s="77"/>
      <c r="AZ75" s="80"/>
      <c r="BA75" s="80"/>
      <c r="BB75" s="80"/>
      <c r="BC75" s="80"/>
      <c r="BD75" s="80"/>
      <c r="BE75" s="80"/>
      <c r="BF75" s="80"/>
      <c r="BG75" s="80"/>
      <c r="BH75" s="80"/>
      <c r="BI75" s="80"/>
      <c r="BJ75" s="80"/>
      <c r="BK75" s="80"/>
      <c r="BL75" s="80"/>
      <c r="BM75" s="80"/>
      <c r="BN75" s="80"/>
      <c r="BO75" s="80"/>
      <c r="BP75" s="80"/>
      <c r="BQ75" s="80"/>
      <c r="BR75" s="80"/>
      <c r="BS75" s="80"/>
      <c r="BT75" s="80"/>
    </row>
    <row r="76" spans="1:72" x14ac:dyDescent="0.2">
      <c r="A76" s="14"/>
      <c r="AZ76" s="80"/>
      <c r="BA76" s="80"/>
      <c r="BB76" s="80"/>
      <c r="BC76" s="80"/>
      <c r="BD76" s="80"/>
      <c r="BE76" s="80"/>
      <c r="BF76" s="80"/>
      <c r="BG76" s="80"/>
      <c r="BH76" s="80"/>
      <c r="BI76" s="80"/>
      <c r="BJ76" s="80"/>
      <c r="BK76" s="80"/>
      <c r="BL76" s="80"/>
      <c r="BM76" s="80"/>
      <c r="BN76" s="80"/>
      <c r="BO76" s="80"/>
      <c r="BP76" s="80"/>
      <c r="BQ76" s="80"/>
      <c r="BR76" s="80"/>
      <c r="BS76" s="80"/>
      <c r="BT76" s="80"/>
    </row>
    <row r="77" spans="1:72" x14ac:dyDescent="0.2">
      <c r="A77" s="14"/>
      <c r="B77" s="10" t="s">
        <v>0</v>
      </c>
      <c r="C77" s="4">
        <f>ROUND(C41,1)</f>
        <v>16.2</v>
      </c>
      <c r="D77" s="4">
        <f t="shared" ref="D77:V92" si="0">ROUND(D41,1)</f>
        <v>17.899999999999999</v>
      </c>
      <c r="E77" s="4">
        <f t="shared" si="0"/>
        <v>19.399999999999999</v>
      </c>
      <c r="F77" s="4">
        <f t="shared" si="0"/>
        <v>18.600000000000001</v>
      </c>
      <c r="G77" s="4">
        <f t="shared" si="0"/>
        <v>14.8</v>
      </c>
      <c r="H77" s="4">
        <f t="shared" si="0"/>
        <v>86.9</v>
      </c>
      <c r="I77" s="13">
        <f>ROUND(I41,0)</f>
        <v>18539</v>
      </c>
      <c r="J77" s="4">
        <f t="shared" si="0"/>
        <v>18.2</v>
      </c>
      <c r="K77" s="4">
        <f t="shared" si="0"/>
        <v>20.100000000000001</v>
      </c>
      <c r="L77" s="4">
        <f t="shared" si="0"/>
        <v>19.899999999999999</v>
      </c>
      <c r="M77" s="4">
        <f t="shared" si="0"/>
        <v>17.399999999999999</v>
      </c>
      <c r="N77" s="4">
        <f t="shared" si="0"/>
        <v>13.5</v>
      </c>
      <c r="O77" s="4">
        <f t="shared" si="0"/>
        <v>89.1</v>
      </c>
      <c r="P77" s="13">
        <f>ROUND(P41,0)</f>
        <v>28653</v>
      </c>
      <c r="Q77" s="4">
        <f t="shared" si="0"/>
        <v>17.399999999999999</v>
      </c>
      <c r="R77" s="4">
        <f t="shared" si="0"/>
        <v>19.2</v>
      </c>
      <c r="S77" s="4">
        <f t="shared" si="0"/>
        <v>19.7</v>
      </c>
      <c r="T77" s="4">
        <f t="shared" si="0"/>
        <v>17.899999999999999</v>
      </c>
      <c r="U77" s="4">
        <f t="shared" si="0"/>
        <v>14</v>
      </c>
      <c r="V77" s="4">
        <f t="shared" si="0"/>
        <v>88.2</v>
      </c>
      <c r="W77" s="13">
        <f>ROUND(W41,0)</f>
        <v>47192</v>
      </c>
      <c r="AZ77" s="80"/>
      <c r="BA77" s="80"/>
      <c r="BB77" s="80"/>
      <c r="BC77" s="80"/>
      <c r="BD77" s="80"/>
      <c r="BE77" s="80"/>
      <c r="BF77" s="80"/>
      <c r="BG77" s="80"/>
      <c r="BH77" s="80"/>
      <c r="BI77" s="80"/>
      <c r="BJ77" s="80"/>
      <c r="BK77" s="80"/>
      <c r="BL77" s="80"/>
      <c r="BM77" s="80"/>
      <c r="BN77" s="80"/>
      <c r="BO77" s="80"/>
      <c r="BP77" s="80"/>
      <c r="BQ77" s="80"/>
      <c r="BR77" s="80"/>
      <c r="BS77" s="80"/>
      <c r="BT77" s="80"/>
    </row>
    <row r="78" spans="1:72" x14ac:dyDescent="0.2">
      <c r="A78" s="14"/>
      <c r="B78" s="10" t="s">
        <v>1</v>
      </c>
      <c r="C78" s="4">
        <f t="shared" ref="C78:H93" si="1">ROUND(C42,1)</f>
        <v>24.4</v>
      </c>
      <c r="D78" s="4">
        <f t="shared" si="1"/>
        <v>20.8</v>
      </c>
      <c r="E78" s="4">
        <f t="shared" si="1"/>
        <v>18.399999999999999</v>
      </c>
      <c r="F78" s="4">
        <f t="shared" si="1"/>
        <v>15.1</v>
      </c>
      <c r="G78" s="4">
        <f t="shared" si="1"/>
        <v>11</v>
      </c>
      <c r="H78" s="4">
        <f t="shared" si="1"/>
        <v>89.8</v>
      </c>
      <c r="I78" s="13">
        <f t="shared" ref="I78:I111" si="2">ROUND(I42,0)</f>
        <v>18958</v>
      </c>
      <c r="J78" s="4">
        <f t="shared" si="0"/>
        <v>25.2</v>
      </c>
      <c r="K78" s="4">
        <f t="shared" si="0"/>
        <v>22.5</v>
      </c>
      <c r="L78" s="4">
        <f t="shared" si="0"/>
        <v>19.3</v>
      </c>
      <c r="M78" s="4">
        <f t="shared" si="0"/>
        <v>14.6</v>
      </c>
      <c r="N78" s="4">
        <f t="shared" si="0"/>
        <v>10</v>
      </c>
      <c r="O78" s="4">
        <f t="shared" si="0"/>
        <v>91.6</v>
      </c>
      <c r="P78" s="13">
        <f t="shared" ref="P78:P111" si="3">ROUND(P42,0)</f>
        <v>16873</v>
      </c>
      <c r="Q78" s="4">
        <f t="shared" si="0"/>
        <v>24.8</v>
      </c>
      <c r="R78" s="4">
        <f t="shared" si="0"/>
        <v>21.6</v>
      </c>
      <c r="S78" s="4">
        <f t="shared" si="0"/>
        <v>18.899999999999999</v>
      </c>
      <c r="T78" s="4">
        <f t="shared" si="0"/>
        <v>14.9</v>
      </c>
      <c r="U78" s="4">
        <f t="shared" si="0"/>
        <v>10.5</v>
      </c>
      <c r="V78" s="4">
        <f t="shared" si="0"/>
        <v>90.6</v>
      </c>
      <c r="W78" s="13">
        <f t="shared" ref="W78:W111" si="4">ROUND(W42,0)</f>
        <v>35831</v>
      </c>
    </row>
    <row r="79" spans="1:72" x14ac:dyDescent="0.2">
      <c r="A79" s="14"/>
      <c r="B79" s="10" t="s">
        <v>2</v>
      </c>
      <c r="C79" s="4">
        <f t="shared" si="1"/>
        <v>24</v>
      </c>
      <c r="D79" s="4">
        <f t="shared" si="1"/>
        <v>19.600000000000001</v>
      </c>
      <c r="E79" s="4">
        <f t="shared" si="1"/>
        <v>18.600000000000001</v>
      </c>
      <c r="F79" s="4">
        <f t="shared" si="1"/>
        <v>15.7</v>
      </c>
      <c r="G79" s="4">
        <f t="shared" si="1"/>
        <v>11.7</v>
      </c>
      <c r="H79" s="4">
        <f t="shared" si="1"/>
        <v>89.6</v>
      </c>
      <c r="I79" s="13">
        <f t="shared" si="2"/>
        <v>22831</v>
      </c>
      <c r="J79" s="4">
        <f t="shared" si="0"/>
        <v>25.7</v>
      </c>
      <c r="K79" s="4">
        <f t="shared" si="0"/>
        <v>21.7</v>
      </c>
      <c r="L79" s="4">
        <f t="shared" si="0"/>
        <v>19.399999999999999</v>
      </c>
      <c r="M79" s="4">
        <f t="shared" si="0"/>
        <v>14.3</v>
      </c>
      <c r="N79" s="4">
        <f t="shared" si="0"/>
        <v>10.1</v>
      </c>
      <c r="O79" s="4">
        <f t="shared" si="0"/>
        <v>91.2</v>
      </c>
      <c r="P79" s="13">
        <f t="shared" si="3"/>
        <v>6721</v>
      </c>
      <c r="Q79" s="4">
        <f t="shared" si="0"/>
        <v>24.4</v>
      </c>
      <c r="R79" s="4">
        <f t="shared" si="0"/>
        <v>20.100000000000001</v>
      </c>
      <c r="S79" s="4">
        <f t="shared" si="0"/>
        <v>18.8</v>
      </c>
      <c r="T79" s="4">
        <f t="shared" si="0"/>
        <v>15.4</v>
      </c>
      <c r="U79" s="4">
        <f t="shared" si="0"/>
        <v>11.3</v>
      </c>
      <c r="V79" s="4">
        <f t="shared" si="0"/>
        <v>90</v>
      </c>
      <c r="W79" s="13">
        <f t="shared" si="4"/>
        <v>29552</v>
      </c>
    </row>
    <row r="80" spans="1:72" x14ac:dyDescent="0.2">
      <c r="A80" s="14"/>
      <c r="B80" s="10" t="s">
        <v>3</v>
      </c>
      <c r="C80" s="4">
        <f t="shared" si="1"/>
        <v>12.7</v>
      </c>
      <c r="D80" s="4">
        <f t="shared" si="1"/>
        <v>15.9</v>
      </c>
      <c r="E80" s="4">
        <f t="shared" si="1"/>
        <v>20.100000000000001</v>
      </c>
      <c r="F80" s="4">
        <f t="shared" si="1"/>
        <v>22</v>
      </c>
      <c r="G80" s="4">
        <f t="shared" si="1"/>
        <v>15.5</v>
      </c>
      <c r="H80" s="4">
        <f t="shared" si="1"/>
        <v>86.2</v>
      </c>
      <c r="I80" s="13">
        <f t="shared" si="2"/>
        <v>2617</v>
      </c>
      <c r="J80" s="4">
        <f t="shared" si="0"/>
        <v>13.7</v>
      </c>
      <c r="K80" s="4">
        <f t="shared" si="0"/>
        <v>13.7</v>
      </c>
      <c r="L80" s="4">
        <f t="shared" si="0"/>
        <v>23.7</v>
      </c>
      <c r="M80" s="4">
        <f t="shared" si="0"/>
        <v>22</v>
      </c>
      <c r="N80" s="4">
        <f t="shared" si="0"/>
        <v>15.3</v>
      </c>
      <c r="O80" s="4">
        <f t="shared" si="0"/>
        <v>88.4</v>
      </c>
      <c r="P80" s="13">
        <f t="shared" si="3"/>
        <v>1507</v>
      </c>
      <c r="Q80" s="4">
        <f t="shared" si="0"/>
        <v>13</v>
      </c>
      <c r="R80" s="4">
        <f t="shared" si="0"/>
        <v>15.1</v>
      </c>
      <c r="S80" s="4">
        <f t="shared" si="0"/>
        <v>21.4</v>
      </c>
      <c r="T80" s="4">
        <f t="shared" si="0"/>
        <v>22</v>
      </c>
      <c r="U80" s="4">
        <f t="shared" si="0"/>
        <v>15.4</v>
      </c>
      <c r="V80" s="4">
        <f t="shared" si="0"/>
        <v>87</v>
      </c>
      <c r="W80" s="13">
        <f t="shared" si="4"/>
        <v>4124</v>
      </c>
    </row>
    <row r="81" spans="1:23" x14ac:dyDescent="0.2">
      <c r="A81" s="14"/>
      <c r="B81" s="10" t="s">
        <v>4</v>
      </c>
      <c r="C81" s="4">
        <f t="shared" si="1"/>
        <v>26.6</v>
      </c>
      <c r="D81" s="4">
        <f t="shared" si="1"/>
        <v>17.899999999999999</v>
      </c>
      <c r="E81" s="4">
        <f t="shared" si="1"/>
        <v>16.7</v>
      </c>
      <c r="F81" s="4">
        <f t="shared" si="1"/>
        <v>14.5</v>
      </c>
      <c r="G81" s="4">
        <f t="shared" si="1"/>
        <v>12.1</v>
      </c>
      <c r="H81" s="4">
        <f t="shared" si="1"/>
        <v>87.8</v>
      </c>
      <c r="I81" s="13">
        <f t="shared" si="2"/>
        <v>35622</v>
      </c>
      <c r="J81" s="4">
        <f t="shared" si="0"/>
        <v>27.7</v>
      </c>
      <c r="K81" s="4">
        <f t="shared" si="0"/>
        <v>20.9</v>
      </c>
      <c r="L81" s="4">
        <f t="shared" si="0"/>
        <v>17.600000000000001</v>
      </c>
      <c r="M81" s="4">
        <f t="shared" si="0"/>
        <v>14.3</v>
      </c>
      <c r="N81" s="4">
        <f t="shared" si="0"/>
        <v>10.3</v>
      </c>
      <c r="O81" s="4">
        <f t="shared" si="0"/>
        <v>90.7</v>
      </c>
      <c r="P81" s="13">
        <f t="shared" si="3"/>
        <v>20478</v>
      </c>
      <c r="Q81" s="4">
        <f t="shared" si="0"/>
        <v>27</v>
      </c>
      <c r="R81" s="4">
        <f t="shared" si="0"/>
        <v>19</v>
      </c>
      <c r="S81" s="4">
        <f t="shared" si="0"/>
        <v>17</v>
      </c>
      <c r="T81" s="4">
        <f t="shared" si="0"/>
        <v>14.4</v>
      </c>
      <c r="U81" s="4">
        <f t="shared" si="0"/>
        <v>11.4</v>
      </c>
      <c r="V81" s="4">
        <f t="shared" si="0"/>
        <v>88.8</v>
      </c>
      <c r="W81" s="13">
        <f t="shared" si="4"/>
        <v>56100</v>
      </c>
    </row>
    <row r="82" spans="1:23" x14ac:dyDescent="0.2">
      <c r="A82" s="14"/>
      <c r="B82" s="10" t="s">
        <v>5</v>
      </c>
      <c r="C82" s="4">
        <f t="shared" si="1"/>
        <v>48.5</v>
      </c>
      <c r="D82" s="4">
        <f t="shared" si="1"/>
        <v>19.600000000000001</v>
      </c>
      <c r="E82" s="4">
        <f t="shared" si="1"/>
        <v>13.5</v>
      </c>
      <c r="F82" s="4">
        <f t="shared" si="1"/>
        <v>8.1</v>
      </c>
      <c r="G82" s="4">
        <f t="shared" si="1"/>
        <v>5.0999999999999996</v>
      </c>
      <c r="H82" s="4">
        <f t="shared" si="1"/>
        <v>94.9</v>
      </c>
      <c r="I82" s="13">
        <f t="shared" si="2"/>
        <v>3765</v>
      </c>
      <c r="J82" s="4">
        <f t="shared" si="0"/>
        <v>51.4</v>
      </c>
      <c r="K82" s="4">
        <f t="shared" si="0"/>
        <v>19.100000000000001</v>
      </c>
      <c r="L82" s="4">
        <f t="shared" si="0"/>
        <v>12.2</v>
      </c>
      <c r="M82" s="4">
        <f t="shared" si="0"/>
        <v>8.4</v>
      </c>
      <c r="N82" s="4">
        <f t="shared" si="0"/>
        <v>5.5</v>
      </c>
      <c r="O82" s="4">
        <f t="shared" si="0"/>
        <v>96.7</v>
      </c>
      <c r="P82" s="13">
        <f t="shared" si="3"/>
        <v>1380</v>
      </c>
      <c r="Q82" s="4">
        <f t="shared" si="0"/>
        <v>49.3</v>
      </c>
      <c r="R82" s="4">
        <f t="shared" si="0"/>
        <v>19.5</v>
      </c>
      <c r="S82" s="4">
        <f t="shared" si="0"/>
        <v>13.2</v>
      </c>
      <c r="T82" s="4">
        <f t="shared" si="0"/>
        <v>8.1999999999999993</v>
      </c>
      <c r="U82" s="4">
        <f t="shared" si="0"/>
        <v>5.2</v>
      </c>
      <c r="V82" s="4">
        <f t="shared" si="0"/>
        <v>95.4</v>
      </c>
      <c r="W82" s="13">
        <f t="shared" si="4"/>
        <v>5145</v>
      </c>
    </row>
    <row r="83" spans="1:23" x14ac:dyDescent="0.2">
      <c r="A83" s="14"/>
      <c r="B83" s="10" t="s">
        <v>6</v>
      </c>
      <c r="C83" s="4">
        <f t="shared" si="1"/>
        <v>13.2</v>
      </c>
      <c r="D83" s="4">
        <f t="shared" si="1"/>
        <v>13.9</v>
      </c>
      <c r="E83" s="4">
        <f t="shared" si="1"/>
        <v>24.5</v>
      </c>
      <c r="F83" s="4">
        <f t="shared" si="1"/>
        <v>23.7</v>
      </c>
      <c r="G83" s="4">
        <f t="shared" si="1"/>
        <v>14.7</v>
      </c>
      <c r="H83" s="4">
        <f t="shared" si="1"/>
        <v>90</v>
      </c>
      <c r="I83" s="13">
        <f t="shared" si="2"/>
        <v>8497</v>
      </c>
      <c r="J83" s="4">
        <f t="shared" si="0"/>
        <v>15.1</v>
      </c>
      <c r="K83" s="4">
        <f t="shared" si="0"/>
        <v>17.3</v>
      </c>
      <c r="L83" s="4">
        <f t="shared" si="0"/>
        <v>27.3</v>
      </c>
      <c r="M83" s="4">
        <f t="shared" si="0"/>
        <v>21.6</v>
      </c>
      <c r="N83" s="4">
        <f t="shared" si="0"/>
        <v>12.2</v>
      </c>
      <c r="O83" s="4">
        <f t="shared" si="0"/>
        <v>93.5</v>
      </c>
      <c r="P83" s="13">
        <f t="shared" si="3"/>
        <v>2915</v>
      </c>
      <c r="Q83" s="4">
        <f t="shared" si="0"/>
        <v>13.7</v>
      </c>
      <c r="R83" s="4">
        <f t="shared" si="0"/>
        <v>14.7</v>
      </c>
      <c r="S83" s="4">
        <f t="shared" si="0"/>
        <v>25.2</v>
      </c>
      <c r="T83" s="4">
        <f t="shared" si="0"/>
        <v>23.1</v>
      </c>
      <c r="U83" s="4">
        <f t="shared" si="0"/>
        <v>14.1</v>
      </c>
      <c r="V83" s="4">
        <f t="shared" si="0"/>
        <v>90.9</v>
      </c>
      <c r="W83" s="13">
        <f t="shared" si="4"/>
        <v>11412</v>
      </c>
    </row>
    <row r="84" spans="1:23" x14ac:dyDescent="0.2">
      <c r="A84" s="14"/>
      <c r="B84" s="10" t="s">
        <v>7</v>
      </c>
      <c r="C84" s="4">
        <f t="shared" si="1"/>
        <v>10.4</v>
      </c>
      <c r="D84" s="4">
        <f t="shared" si="1"/>
        <v>13</v>
      </c>
      <c r="E84" s="4">
        <f t="shared" si="1"/>
        <v>17.899999999999999</v>
      </c>
      <c r="F84" s="4">
        <f t="shared" si="1"/>
        <v>20.100000000000001</v>
      </c>
      <c r="G84" s="4">
        <f t="shared" si="1"/>
        <v>17</v>
      </c>
      <c r="H84" s="4">
        <f t="shared" si="1"/>
        <v>78.400000000000006</v>
      </c>
      <c r="I84" s="13">
        <f t="shared" si="2"/>
        <v>8918</v>
      </c>
      <c r="J84" s="4">
        <f t="shared" si="0"/>
        <v>5.7</v>
      </c>
      <c r="K84" s="4">
        <f t="shared" si="0"/>
        <v>9.1999999999999993</v>
      </c>
      <c r="L84" s="4">
        <f t="shared" si="0"/>
        <v>17.5</v>
      </c>
      <c r="M84" s="4">
        <f t="shared" si="0"/>
        <v>19.600000000000001</v>
      </c>
      <c r="N84" s="4">
        <f t="shared" si="0"/>
        <v>21</v>
      </c>
      <c r="O84" s="4">
        <f t="shared" si="0"/>
        <v>73</v>
      </c>
      <c r="P84" s="13">
        <f t="shared" si="3"/>
        <v>1517</v>
      </c>
      <c r="Q84" s="4">
        <f t="shared" si="0"/>
        <v>9.6999999999999993</v>
      </c>
      <c r="R84" s="4">
        <f t="shared" si="0"/>
        <v>12.4</v>
      </c>
      <c r="S84" s="4">
        <f t="shared" si="0"/>
        <v>17.8</v>
      </c>
      <c r="T84" s="4">
        <f t="shared" si="0"/>
        <v>20</v>
      </c>
      <c r="U84" s="4">
        <f t="shared" si="0"/>
        <v>17.600000000000001</v>
      </c>
      <c r="V84" s="4">
        <f t="shared" si="0"/>
        <v>77.599999999999994</v>
      </c>
      <c r="W84" s="13">
        <f t="shared" si="4"/>
        <v>10435</v>
      </c>
    </row>
    <row r="85" spans="1:23" x14ac:dyDescent="0.2">
      <c r="A85" s="14"/>
      <c r="B85" s="10" t="s">
        <v>8</v>
      </c>
      <c r="C85" s="4">
        <f t="shared" si="1"/>
        <v>6</v>
      </c>
      <c r="D85" s="4">
        <f t="shared" si="1"/>
        <v>13.2</v>
      </c>
      <c r="E85" s="4">
        <f t="shared" si="1"/>
        <v>23.1</v>
      </c>
      <c r="F85" s="4">
        <f t="shared" si="1"/>
        <v>27.5</v>
      </c>
      <c r="G85" s="4">
        <f t="shared" si="1"/>
        <v>20.5</v>
      </c>
      <c r="H85" s="4">
        <f t="shared" si="1"/>
        <v>90.2</v>
      </c>
      <c r="I85" s="13">
        <f t="shared" si="2"/>
        <v>2870</v>
      </c>
      <c r="J85" s="4">
        <f t="shared" si="0"/>
        <v>6.7</v>
      </c>
      <c r="K85" s="4">
        <f t="shared" si="0"/>
        <v>17.600000000000001</v>
      </c>
      <c r="L85" s="4">
        <f t="shared" si="0"/>
        <v>27.9</v>
      </c>
      <c r="M85" s="4">
        <f t="shared" si="0"/>
        <v>26.2</v>
      </c>
      <c r="N85" s="4">
        <f t="shared" si="0"/>
        <v>14</v>
      </c>
      <c r="O85" s="4">
        <f t="shared" si="0"/>
        <v>92.4</v>
      </c>
      <c r="P85" s="13">
        <f t="shared" si="3"/>
        <v>1394</v>
      </c>
      <c r="Q85" s="4">
        <f t="shared" si="0"/>
        <v>6.2</v>
      </c>
      <c r="R85" s="4">
        <f t="shared" si="0"/>
        <v>14.6</v>
      </c>
      <c r="S85" s="4">
        <f t="shared" si="0"/>
        <v>24.6</v>
      </c>
      <c r="T85" s="4">
        <f t="shared" si="0"/>
        <v>27.1</v>
      </c>
      <c r="U85" s="4">
        <f t="shared" si="0"/>
        <v>18.399999999999999</v>
      </c>
      <c r="V85" s="4">
        <f t="shared" si="0"/>
        <v>90.9</v>
      </c>
      <c r="W85" s="13">
        <f t="shared" si="4"/>
        <v>4264</v>
      </c>
    </row>
    <row r="86" spans="1:23" x14ac:dyDescent="0.2">
      <c r="A86" s="14"/>
      <c r="B86" s="10" t="s">
        <v>9</v>
      </c>
      <c r="C86" s="4">
        <f t="shared" si="1"/>
        <v>9.8000000000000007</v>
      </c>
      <c r="D86" s="4">
        <f t="shared" si="1"/>
        <v>4.9000000000000004</v>
      </c>
      <c r="E86" s="4">
        <f t="shared" si="1"/>
        <v>15.7</v>
      </c>
      <c r="F86" s="4">
        <f t="shared" si="1"/>
        <v>20.6</v>
      </c>
      <c r="G86" s="4">
        <f t="shared" si="1"/>
        <v>22.5</v>
      </c>
      <c r="H86" s="4">
        <f t="shared" si="1"/>
        <v>73.5</v>
      </c>
      <c r="I86" s="13">
        <f t="shared" si="2"/>
        <v>102</v>
      </c>
      <c r="J86" s="4">
        <f t="shared" si="0"/>
        <v>11.6</v>
      </c>
      <c r="K86" s="4">
        <f t="shared" si="0"/>
        <v>15.4</v>
      </c>
      <c r="L86" s="4">
        <f t="shared" si="0"/>
        <v>20.7</v>
      </c>
      <c r="M86" s="4">
        <f t="shared" si="0"/>
        <v>19.8</v>
      </c>
      <c r="N86" s="4">
        <f t="shared" si="0"/>
        <v>15.9</v>
      </c>
      <c r="O86" s="4">
        <f t="shared" si="0"/>
        <v>83.5</v>
      </c>
      <c r="P86" s="13">
        <f t="shared" si="3"/>
        <v>1562</v>
      </c>
      <c r="Q86" s="4">
        <f t="shared" si="0"/>
        <v>11.5</v>
      </c>
      <c r="R86" s="4">
        <f t="shared" si="0"/>
        <v>14.8</v>
      </c>
      <c r="S86" s="4">
        <f t="shared" si="0"/>
        <v>20.399999999999999</v>
      </c>
      <c r="T86" s="4">
        <f t="shared" si="0"/>
        <v>19.899999999999999</v>
      </c>
      <c r="U86" s="4">
        <f t="shared" si="0"/>
        <v>16.3</v>
      </c>
      <c r="V86" s="4">
        <f t="shared" si="0"/>
        <v>82.9</v>
      </c>
      <c r="W86" s="13">
        <f t="shared" si="4"/>
        <v>1664</v>
      </c>
    </row>
    <row r="87" spans="1:23" x14ac:dyDescent="0.2">
      <c r="A87" s="14"/>
      <c r="B87" s="10" t="s">
        <v>10</v>
      </c>
      <c r="C87" s="4">
        <f t="shared" si="1"/>
        <v>8.3000000000000007</v>
      </c>
      <c r="D87" s="4">
        <f t="shared" si="1"/>
        <v>16</v>
      </c>
      <c r="E87" s="4">
        <f t="shared" si="1"/>
        <v>14.8</v>
      </c>
      <c r="F87" s="4">
        <f t="shared" si="1"/>
        <v>15</v>
      </c>
      <c r="G87" s="4">
        <f t="shared" si="1"/>
        <v>12.6</v>
      </c>
      <c r="H87" s="4">
        <f t="shared" si="1"/>
        <v>66.8</v>
      </c>
      <c r="I87" s="13">
        <f t="shared" si="2"/>
        <v>1203</v>
      </c>
      <c r="J87" s="4">
        <f t="shared" si="0"/>
        <v>10.9</v>
      </c>
      <c r="K87" s="4">
        <f t="shared" si="0"/>
        <v>16.2</v>
      </c>
      <c r="L87" s="4">
        <f t="shared" si="0"/>
        <v>18</v>
      </c>
      <c r="M87" s="4">
        <f t="shared" si="0"/>
        <v>16.2</v>
      </c>
      <c r="N87" s="4">
        <f t="shared" si="0"/>
        <v>13.1</v>
      </c>
      <c r="O87" s="4">
        <f t="shared" si="0"/>
        <v>74.400000000000006</v>
      </c>
      <c r="P87" s="13">
        <f t="shared" si="3"/>
        <v>796</v>
      </c>
      <c r="Q87" s="4">
        <f t="shared" si="0"/>
        <v>9.4</v>
      </c>
      <c r="R87" s="4">
        <f t="shared" si="0"/>
        <v>16.100000000000001</v>
      </c>
      <c r="S87" s="4">
        <f t="shared" si="0"/>
        <v>16.100000000000001</v>
      </c>
      <c r="T87" s="4">
        <f t="shared" si="0"/>
        <v>15.5</v>
      </c>
      <c r="U87" s="4">
        <f t="shared" si="0"/>
        <v>12.8</v>
      </c>
      <c r="V87" s="4">
        <f t="shared" si="0"/>
        <v>69.8</v>
      </c>
      <c r="W87" s="13">
        <f t="shared" si="4"/>
        <v>1999</v>
      </c>
    </row>
    <row r="88" spans="1:23" x14ac:dyDescent="0.2">
      <c r="A88" s="14"/>
      <c r="B88" s="10" t="s">
        <v>11</v>
      </c>
      <c r="C88" s="4">
        <f t="shared" si="1"/>
        <v>8.5</v>
      </c>
      <c r="D88" s="4">
        <f t="shared" si="1"/>
        <v>19.899999999999999</v>
      </c>
      <c r="E88" s="4">
        <f t="shared" si="1"/>
        <v>25.6</v>
      </c>
      <c r="F88" s="4">
        <f t="shared" si="1"/>
        <v>20.8</v>
      </c>
      <c r="G88" s="4">
        <f t="shared" si="1"/>
        <v>13.1</v>
      </c>
      <c r="H88" s="4">
        <f t="shared" si="1"/>
        <v>87.8</v>
      </c>
      <c r="I88" s="13">
        <f t="shared" si="2"/>
        <v>16714</v>
      </c>
      <c r="J88" s="4">
        <f t="shared" si="0"/>
        <v>9.5</v>
      </c>
      <c r="K88" s="4">
        <f t="shared" si="0"/>
        <v>20.2</v>
      </c>
      <c r="L88" s="4">
        <f t="shared" si="0"/>
        <v>24.5</v>
      </c>
      <c r="M88" s="4">
        <f t="shared" si="0"/>
        <v>20.3</v>
      </c>
      <c r="N88" s="4">
        <f t="shared" si="0"/>
        <v>13.3</v>
      </c>
      <c r="O88" s="4">
        <f t="shared" si="0"/>
        <v>87.8</v>
      </c>
      <c r="P88" s="13">
        <f t="shared" si="3"/>
        <v>13909</v>
      </c>
      <c r="Q88" s="4">
        <f t="shared" si="0"/>
        <v>9</v>
      </c>
      <c r="R88" s="4">
        <f t="shared" si="0"/>
        <v>20</v>
      </c>
      <c r="S88" s="4">
        <f t="shared" si="0"/>
        <v>25.1</v>
      </c>
      <c r="T88" s="4">
        <f t="shared" si="0"/>
        <v>20.6</v>
      </c>
      <c r="U88" s="4">
        <f t="shared" si="0"/>
        <v>13.2</v>
      </c>
      <c r="V88" s="4">
        <f t="shared" si="0"/>
        <v>87.8</v>
      </c>
      <c r="W88" s="13">
        <f t="shared" si="4"/>
        <v>30623</v>
      </c>
    </row>
    <row r="89" spans="1:23" x14ac:dyDescent="0.2">
      <c r="A89" s="14"/>
      <c r="B89" s="10" t="s">
        <v>12</v>
      </c>
      <c r="C89" s="4">
        <f t="shared" si="1"/>
        <v>19.7</v>
      </c>
      <c r="D89" s="4">
        <f t="shared" si="1"/>
        <v>18.7</v>
      </c>
      <c r="E89" s="4">
        <f t="shared" si="1"/>
        <v>19.7</v>
      </c>
      <c r="F89" s="4">
        <f t="shared" si="1"/>
        <v>17.600000000000001</v>
      </c>
      <c r="G89" s="4">
        <f t="shared" si="1"/>
        <v>12.7</v>
      </c>
      <c r="H89" s="4">
        <f t="shared" si="1"/>
        <v>88.4</v>
      </c>
      <c r="I89" s="13">
        <f t="shared" si="2"/>
        <v>11784</v>
      </c>
      <c r="J89" s="4">
        <f t="shared" si="0"/>
        <v>18.3</v>
      </c>
      <c r="K89" s="4">
        <f t="shared" si="0"/>
        <v>17.8</v>
      </c>
      <c r="L89" s="4">
        <f t="shared" si="0"/>
        <v>20.2</v>
      </c>
      <c r="M89" s="4">
        <f t="shared" si="0"/>
        <v>17.5</v>
      </c>
      <c r="N89" s="4">
        <f t="shared" si="0"/>
        <v>13.6</v>
      </c>
      <c r="O89" s="4">
        <f t="shared" si="0"/>
        <v>87.3</v>
      </c>
      <c r="P89" s="13">
        <f t="shared" si="3"/>
        <v>6515</v>
      </c>
      <c r="Q89" s="4">
        <f t="shared" si="0"/>
        <v>19.2</v>
      </c>
      <c r="R89" s="4">
        <f t="shared" si="0"/>
        <v>18.399999999999999</v>
      </c>
      <c r="S89" s="4">
        <f t="shared" si="0"/>
        <v>19.899999999999999</v>
      </c>
      <c r="T89" s="4">
        <f t="shared" si="0"/>
        <v>17.5</v>
      </c>
      <c r="U89" s="4">
        <f t="shared" si="0"/>
        <v>13</v>
      </c>
      <c r="V89" s="4">
        <f t="shared" si="0"/>
        <v>88</v>
      </c>
      <c r="W89" s="13">
        <f t="shared" si="4"/>
        <v>18299</v>
      </c>
    </row>
    <row r="90" spans="1:23" x14ac:dyDescent="0.2">
      <c r="A90" s="14"/>
      <c r="B90" s="10" t="s">
        <v>13</v>
      </c>
      <c r="C90" s="4">
        <f t="shared" si="1"/>
        <v>14.6</v>
      </c>
      <c r="D90" s="4">
        <f t="shared" si="1"/>
        <v>20.9</v>
      </c>
      <c r="E90" s="4">
        <f t="shared" si="1"/>
        <v>23.6</v>
      </c>
      <c r="F90" s="4">
        <f t="shared" si="1"/>
        <v>20</v>
      </c>
      <c r="G90" s="4">
        <f t="shared" si="1"/>
        <v>12.7</v>
      </c>
      <c r="H90" s="4">
        <f t="shared" si="1"/>
        <v>91.8</v>
      </c>
      <c r="I90" s="13">
        <f t="shared" si="2"/>
        <v>20127</v>
      </c>
      <c r="J90" s="4">
        <f t="shared" si="0"/>
        <v>19.2</v>
      </c>
      <c r="K90" s="4">
        <f t="shared" si="0"/>
        <v>23.3</v>
      </c>
      <c r="L90" s="4">
        <f t="shared" si="0"/>
        <v>23.2</v>
      </c>
      <c r="M90" s="4">
        <f t="shared" si="0"/>
        <v>17.600000000000001</v>
      </c>
      <c r="N90" s="4">
        <f t="shared" si="0"/>
        <v>10</v>
      </c>
      <c r="O90" s="4">
        <f t="shared" si="0"/>
        <v>93.3</v>
      </c>
      <c r="P90" s="13">
        <f t="shared" si="3"/>
        <v>16927</v>
      </c>
      <c r="Q90" s="4">
        <f t="shared" si="0"/>
        <v>16.7</v>
      </c>
      <c r="R90" s="4">
        <f t="shared" si="0"/>
        <v>22</v>
      </c>
      <c r="S90" s="4">
        <f t="shared" si="0"/>
        <v>23.4</v>
      </c>
      <c r="T90" s="4">
        <f t="shared" si="0"/>
        <v>18.899999999999999</v>
      </c>
      <c r="U90" s="4">
        <f t="shared" si="0"/>
        <v>11.4</v>
      </c>
      <c r="V90" s="4">
        <f t="shared" si="0"/>
        <v>92.5</v>
      </c>
      <c r="W90" s="13">
        <f t="shared" si="4"/>
        <v>37054</v>
      </c>
    </row>
    <row r="91" spans="1:23" x14ac:dyDescent="0.2">
      <c r="A91" s="14"/>
      <c r="B91" s="10" t="s">
        <v>14</v>
      </c>
      <c r="C91" s="4">
        <f t="shared" si="1"/>
        <v>21.3</v>
      </c>
      <c r="D91" s="4">
        <f t="shared" si="1"/>
        <v>22.1</v>
      </c>
      <c r="E91" s="4">
        <f t="shared" si="1"/>
        <v>21.5</v>
      </c>
      <c r="F91" s="4">
        <f t="shared" si="1"/>
        <v>17.3</v>
      </c>
      <c r="G91" s="4">
        <f t="shared" si="1"/>
        <v>9.4</v>
      </c>
      <c r="H91" s="4">
        <f t="shared" si="1"/>
        <v>91.6</v>
      </c>
      <c r="I91" s="13">
        <f t="shared" si="2"/>
        <v>4424</v>
      </c>
      <c r="J91" s="4">
        <f t="shared" si="0"/>
        <v>21.4</v>
      </c>
      <c r="K91" s="4">
        <f t="shared" si="0"/>
        <v>22.2</v>
      </c>
      <c r="L91" s="4">
        <f t="shared" si="0"/>
        <v>22.5</v>
      </c>
      <c r="M91" s="4">
        <f t="shared" si="0"/>
        <v>15.9</v>
      </c>
      <c r="N91" s="4">
        <f t="shared" si="0"/>
        <v>9.9</v>
      </c>
      <c r="O91" s="4">
        <f t="shared" si="0"/>
        <v>91.8</v>
      </c>
      <c r="P91" s="13">
        <f t="shared" si="3"/>
        <v>3183</v>
      </c>
      <c r="Q91" s="4">
        <f t="shared" si="0"/>
        <v>21.3</v>
      </c>
      <c r="R91" s="4">
        <f t="shared" si="0"/>
        <v>22.1</v>
      </c>
      <c r="S91" s="4">
        <f t="shared" si="0"/>
        <v>21.9</v>
      </c>
      <c r="T91" s="4">
        <f t="shared" si="0"/>
        <v>16.7</v>
      </c>
      <c r="U91" s="4">
        <f t="shared" si="0"/>
        <v>9.6</v>
      </c>
      <c r="V91" s="4">
        <f t="shared" si="0"/>
        <v>91.7</v>
      </c>
      <c r="W91" s="13">
        <f t="shared" si="4"/>
        <v>7607</v>
      </c>
    </row>
    <row r="92" spans="1:23" x14ac:dyDescent="0.2">
      <c r="A92" s="14"/>
      <c r="B92" s="10" t="s">
        <v>15</v>
      </c>
      <c r="C92" s="4">
        <f t="shared" si="1"/>
        <v>17.600000000000001</v>
      </c>
      <c r="D92" s="4">
        <f t="shared" si="1"/>
        <v>20.399999999999999</v>
      </c>
      <c r="E92" s="4">
        <f t="shared" si="1"/>
        <v>22</v>
      </c>
      <c r="F92" s="4">
        <f t="shared" si="1"/>
        <v>17.899999999999999</v>
      </c>
      <c r="G92" s="4">
        <f t="shared" si="1"/>
        <v>10.8</v>
      </c>
      <c r="H92" s="4">
        <f t="shared" si="1"/>
        <v>88.7</v>
      </c>
      <c r="I92" s="13">
        <f t="shared" si="2"/>
        <v>15187</v>
      </c>
      <c r="J92" s="4">
        <f t="shared" si="0"/>
        <v>16.7</v>
      </c>
      <c r="K92" s="4">
        <f t="shared" si="0"/>
        <v>19.600000000000001</v>
      </c>
      <c r="L92" s="4">
        <f t="shared" si="0"/>
        <v>21.6</v>
      </c>
      <c r="M92" s="4">
        <f t="shared" si="0"/>
        <v>18.2</v>
      </c>
      <c r="N92" s="4">
        <f t="shared" si="0"/>
        <v>12</v>
      </c>
      <c r="O92" s="4">
        <f t="shared" si="0"/>
        <v>88.1</v>
      </c>
      <c r="P92" s="13">
        <f t="shared" si="3"/>
        <v>18219</v>
      </c>
      <c r="Q92" s="4">
        <f t="shared" si="0"/>
        <v>17.100000000000001</v>
      </c>
      <c r="R92" s="4">
        <f t="shared" si="0"/>
        <v>19.899999999999999</v>
      </c>
      <c r="S92" s="4">
        <f t="shared" si="0"/>
        <v>21.8</v>
      </c>
      <c r="T92" s="4">
        <f t="shared" si="0"/>
        <v>18.100000000000001</v>
      </c>
      <c r="U92" s="4">
        <f t="shared" si="0"/>
        <v>11.5</v>
      </c>
      <c r="V92" s="4">
        <f t="shared" si="0"/>
        <v>88.4</v>
      </c>
      <c r="W92" s="13">
        <f t="shared" si="4"/>
        <v>33406</v>
      </c>
    </row>
    <row r="93" spans="1:23" x14ac:dyDescent="0.2">
      <c r="A93" s="14"/>
      <c r="B93" s="10" t="s">
        <v>16</v>
      </c>
      <c r="C93" s="4">
        <f t="shared" si="1"/>
        <v>10.199999999999999</v>
      </c>
      <c r="D93" s="4">
        <f t="shared" si="1"/>
        <v>12.8</v>
      </c>
      <c r="E93" s="4">
        <f t="shared" si="1"/>
        <v>16.600000000000001</v>
      </c>
      <c r="F93" s="4">
        <f t="shared" si="1"/>
        <v>18.899999999999999</v>
      </c>
      <c r="G93" s="4">
        <f t="shared" si="1"/>
        <v>15.8</v>
      </c>
      <c r="H93" s="4">
        <f t="shared" si="1"/>
        <v>74.3</v>
      </c>
      <c r="I93" s="13">
        <f t="shared" si="2"/>
        <v>2900</v>
      </c>
      <c r="J93" s="4">
        <f t="shared" ref="J93:O108" si="5">ROUND(J57,1)</f>
        <v>12</v>
      </c>
      <c r="K93" s="4">
        <f t="shared" si="5"/>
        <v>14.8</v>
      </c>
      <c r="L93" s="4">
        <f t="shared" si="5"/>
        <v>17.3</v>
      </c>
      <c r="M93" s="4">
        <f t="shared" si="5"/>
        <v>18.5</v>
      </c>
      <c r="N93" s="4">
        <f t="shared" si="5"/>
        <v>13.4</v>
      </c>
      <c r="O93" s="4">
        <f t="shared" si="5"/>
        <v>76</v>
      </c>
      <c r="P93" s="13">
        <f t="shared" si="3"/>
        <v>4317</v>
      </c>
      <c r="Q93" s="4">
        <f t="shared" ref="Q93:V108" si="6">ROUND(Q57,1)</f>
        <v>11.3</v>
      </c>
      <c r="R93" s="4">
        <f t="shared" si="6"/>
        <v>14</v>
      </c>
      <c r="S93" s="4">
        <f t="shared" si="6"/>
        <v>17</v>
      </c>
      <c r="T93" s="4">
        <f t="shared" si="6"/>
        <v>18.7</v>
      </c>
      <c r="U93" s="4">
        <f t="shared" si="6"/>
        <v>14.4</v>
      </c>
      <c r="V93" s="4">
        <f t="shared" si="6"/>
        <v>75.3</v>
      </c>
      <c r="W93" s="13">
        <f t="shared" si="4"/>
        <v>7217</v>
      </c>
    </row>
    <row r="94" spans="1:23" x14ac:dyDescent="0.2">
      <c r="A94" s="14"/>
      <c r="B94" s="10" t="s">
        <v>17</v>
      </c>
      <c r="C94" s="4">
        <f t="shared" ref="C94:H109" si="7">ROUND(C58,1)</f>
        <v>8.3000000000000007</v>
      </c>
      <c r="D94" s="4">
        <f t="shared" si="7"/>
        <v>15.7</v>
      </c>
      <c r="E94" s="4">
        <f t="shared" si="7"/>
        <v>20.6</v>
      </c>
      <c r="F94" s="4">
        <f t="shared" si="7"/>
        <v>19.2</v>
      </c>
      <c r="G94" s="4">
        <f t="shared" si="7"/>
        <v>16.5</v>
      </c>
      <c r="H94" s="4">
        <f t="shared" si="7"/>
        <v>80.3</v>
      </c>
      <c r="I94" s="13">
        <f t="shared" si="2"/>
        <v>5398</v>
      </c>
      <c r="J94" s="4">
        <f t="shared" si="5"/>
        <v>14.2</v>
      </c>
      <c r="K94" s="4">
        <f t="shared" si="5"/>
        <v>20.3</v>
      </c>
      <c r="L94" s="4">
        <f t="shared" si="5"/>
        <v>22.1</v>
      </c>
      <c r="M94" s="4">
        <f t="shared" si="5"/>
        <v>18.5</v>
      </c>
      <c r="N94" s="4">
        <f t="shared" si="5"/>
        <v>13.1</v>
      </c>
      <c r="O94" s="4">
        <f t="shared" si="5"/>
        <v>88.3</v>
      </c>
      <c r="P94" s="13">
        <f t="shared" si="3"/>
        <v>18411</v>
      </c>
      <c r="Q94" s="4">
        <f t="shared" si="6"/>
        <v>12.9</v>
      </c>
      <c r="R94" s="4">
        <f t="shared" si="6"/>
        <v>19.3</v>
      </c>
      <c r="S94" s="4">
        <f t="shared" si="6"/>
        <v>21.8</v>
      </c>
      <c r="T94" s="4">
        <f t="shared" si="6"/>
        <v>18.7</v>
      </c>
      <c r="U94" s="4">
        <f t="shared" si="6"/>
        <v>13.8</v>
      </c>
      <c r="V94" s="4">
        <f t="shared" si="6"/>
        <v>86.5</v>
      </c>
      <c r="W94" s="13">
        <f t="shared" si="4"/>
        <v>23809</v>
      </c>
    </row>
    <row r="95" spans="1:23" x14ac:dyDescent="0.2">
      <c r="A95" s="14"/>
      <c r="B95" s="10" t="s">
        <v>18</v>
      </c>
      <c r="C95" s="4">
        <f t="shared" si="7"/>
        <v>11.2</v>
      </c>
      <c r="D95" s="4">
        <f t="shared" si="7"/>
        <v>18.600000000000001</v>
      </c>
      <c r="E95" s="4">
        <f t="shared" si="7"/>
        <v>19.100000000000001</v>
      </c>
      <c r="F95" s="4">
        <f t="shared" si="7"/>
        <v>16.600000000000001</v>
      </c>
      <c r="G95" s="4">
        <f t="shared" si="7"/>
        <v>15.6</v>
      </c>
      <c r="H95" s="4">
        <f t="shared" si="7"/>
        <v>81.099999999999994</v>
      </c>
      <c r="I95" s="13">
        <f t="shared" si="2"/>
        <v>4681</v>
      </c>
      <c r="J95" s="4">
        <f t="shared" si="5"/>
        <v>14.5</v>
      </c>
      <c r="K95" s="4">
        <f t="shared" si="5"/>
        <v>20.3</v>
      </c>
      <c r="L95" s="4">
        <f t="shared" si="5"/>
        <v>20.3</v>
      </c>
      <c r="M95" s="4">
        <f t="shared" si="5"/>
        <v>16.3</v>
      </c>
      <c r="N95" s="4">
        <f t="shared" si="5"/>
        <v>13.9</v>
      </c>
      <c r="O95" s="4">
        <f t="shared" si="5"/>
        <v>85.4</v>
      </c>
      <c r="P95" s="13">
        <f t="shared" si="3"/>
        <v>15094</v>
      </c>
      <c r="Q95" s="4">
        <f t="shared" si="6"/>
        <v>13.8</v>
      </c>
      <c r="R95" s="4">
        <f t="shared" si="6"/>
        <v>19.899999999999999</v>
      </c>
      <c r="S95" s="4">
        <f t="shared" si="6"/>
        <v>20.100000000000001</v>
      </c>
      <c r="T95" s="4">
        <f t="shared" si="6"/>
        <v>16.3</v>
      </c>
      <c r="U95" s="4">
        <f t="shared" si="6"/>
        <v>14.3</v>
      </c>
      <c r="V95" s="4">
        <f t="shared" si="6"/>
        <v>84.4</v>
      </c>
      <c r="W95" s="13">
        <f t="shared" si="4"/>
        <v>19775</v>
      </c>
    </row>
    <row r="96" spans="1:23" x14ac:dyDescent="0.2">
      <c r="A96" s="14"/>
      <c r="B96" s="10" t="s">
        <v>19</v>
      </c>
      <c r="C96" s="4">
        <f t="shared" si="7"/>
        <v>11.9</v>
      </c>
      <c r="D96" s="4">
        <f t="shared" si="7"/>
        <v>20.7</v>
      </c>
      <c r="E96" s="4">
        <f t="shared" si="7"/>
        <v>22</v>
      </c>
      <c r="F96" s="4">
        <f t="shared" si="7"/>
        <v>18.100000000000001</v>
      </c>
      <c r="G96" s="4">
        <f t="shared" si="7"/>
        <v>12.3</v>
      </c>
      <c r="H96" s="4">
        <f t="shared" si="7"/>
        <v>84.9</v>
      </c>
      <c r="I96" s="13">
        <f t="shared" si="2"/>
        <v>1113</v>
      </c>
      <c r="J96" s="4">
        <f t="shared" si="5"/>
        <v>11.2</v>
      </c>
      <c r="K96" s="4">
        <f t="shared" si="5"/>
        <v>23.4</v>
      </c>
      <c r="L96" s="4">
        <f t="shared" si="5"/>
        <v>28.1</v>
      </c>
      <c r="M96" s="4">
        <f t="shared" si="5"/>
        <v>19.3</v>
      </c>
      <c r="N96" s="4">
        <f t="shared" si="5"/>
        <v>8.8000000000000007</v>
      </c>
      <c r="O96" s="4">
        <f t="shared" si="5"/>
        <v>90.9</v>
      </c>
      <c r="P96" s="13">
        <f t="shared" si="3"/>
        <v>2083</v>
      </c>
      <c r="Q96" s="4">
        <f t="shared" si="6"/>
        <v>11.5</v>
      </c>
      <c r="R96" s="4">
        <f t="shared" si="6"/>
        <v>22.4</v>
      </c>
      <c r="S96" s="4">
        <f t="shared" si="6"/>
        <v>26</v>
      </c>
      <c r="T96" s="4">
        <f t="shared" si="6"/>
        <v>18.899999999999999</v>
      </c>
      <c r="U96" s="4">
        <f t="shared" si="6"/>
        <v>10</v>
      </c>
      <c r="V96" s="4">
        <f t="shared" si="6"/>
        <v>88.8</v>
      </c>
      <c r="W96" s="13">
        <f t="shared" si="4"/>
        <v>3196</v>
      </c>
    </row>
    <row r="97" spans="1:23" x14ac:dyDescent="0.2">
      <c r="A97" s="14"/>
      <c r="B97" s="10" t="s">
        <v>20</v>
      </c>
      <c r="C97" s="4">
        <f t="shared" si="7"/>
        <v>19.399999999999999</v>
      </c>
      <c r="D97" s="4">
        <f t="shared" si="7"/>
        <v>18.3</v>
      </c>
      <c r="E97" s="4">
        <f t="shared" si="7"/>
        <v>22.8</v>
      </c>
      <c r="F97" s="4">
        <f t="shared" si="7"/>
        <v>19</v>
      </c>
      <c r="G97" s="4">
        <f t="shared" si="7"/>
        <v>11.7</v>
      </c>
      <c r="H97" s="4">
        <f t="shared" si="7"/>
        <v>91.2</v>
      </c>
      <c r="I97" s="13">
        <f t="shared" si="2"/>
        <v>13182</v>
      </c>
      <c r="J97" s="4">
        <f t="shared" si="5"/>
        <v>24.9</v>
      </c>
      <c r="K97" s="4">
        <f t="shared" si="5"/>
        <v>21.4</v>
      </c>
      <c r="L97" s="4">
        <f t="shared" si="5"/>
        <v>23.8</v>
      </c>
      <c r="M97" s="4">
        <f t="shared" si="5"/>
        <v>16.7</v>
      </c>
      <c r="N97" s="4">
        <f t="shared" si="5"/>
        <v>8</v>
      </c>
      <c r="O97" s="4">
        <f t="shared" si="5"/>
        <v>94.8</v>
      </c>
      <c r="P97" s="13">
        <f t="shared" si="3"/>
        <v>21458</v>
      </c>
      <c r="Q97" s="4">
        <f t="shared" si="6"/>
        <v>22.8</v>
      </c>
      <c r="R97" s="4">
        <f t="shared" si="6"/>
        <v>20.2</v>
      </c>
      <c r="S97" s="4">
        <f t="shared" si="6"/>
        <v>23.4</v>
      </c>
      <c r="T97" s="4">
        <f t="shared" si="6"/>
        <v>17.600000000000001</v>
      </c>
      <c r="U97" s="4">
        <f t="shared" si="6"/>
        <v>9.4</v>
      </c>
      <c r="V97" s="4">
        <f t="shared" si="6"/>
        <v>93.4</v>
      </c>
      <c r="W97" s="13">
        <f t="shared" si="4"/>
        <v>34640</v>
      </c>
    </row>
    <row r="98" spans="1:23" x14ac:dyDescent="0.2">
      <c r="A98" s="14"/>
      <c r="B98" s="10" t="s">
        <v>21</v>
      </c>
      <c r="C98" s="4">
        <f t="shared" si="7"/>
        <v>12.2</v>
      </c>
      <c r="D98" s="4">
        <f t="shared" si="7"/>
        <v>13.7</v>
      </c>
      <c r="E98" s="4">
        <f t="shared" si="7"/>
        <v>25.8</v>
      </c>
      <c r="F98" s="4">
        <f t="shared" si="7"/>
        <v>20.7</v>
      </c>
      <c r="G98" s="4">
        <f t="shared" si="7"/>
        <v>15</v>
      </c>
      <c r="H98" s="4">
        <f t="shared" si="7"/>
        <v>87.3</v>
      </c>
      <c r="I98" s="13">
        <f t="shared" si="2"/>
        <v>2920</v>
      </c>
      <c r="J98" s="4">
        <f t="shared" si="5"/>
        <v>14.3</v>
      </c>
      <c r="K98" s="4">
        <f t="shared" si="5"/>
        <v>18.600000000000001</v>
      </c>
      <c r="L98" s="4">
        <f t="shared" si="5"/>
        <v>27.1</v>
      </c>
      <c r="M98" s="4">
        <f t="shared" si="5"/>
        <v>20.5</v>
      </c>
      <c r="N98" s="4">
        <f t="shared" si="5"/>
        <v>11.9</v>
      </c>
      <c r="O98" s="4">
        <f t="shared" si="5"/>
        <v>92.2</v>
      </c>
      <c r="P98" s="13">
        <f t="shared" si="3"/>
        <v>7733</v>
      </c>
      <c r="Q98" s="4">
        <f t="shared" si="6"/>
        <v>13.7</v>
      </c>
      <c r="R98" s="4">
        <f t="shared" si="6"/>
        <v>17.3</v>
      </c>
      <c r="S98" s="4">
        <f t="shared" si="6"/>
        <v>26.7</v>
      </c>
      <c r="T98" s="4">
        <f t="shared" si="6"/>
        <v>20.5</v>
      </c>
      <c r="U98" s="4">
        <f t="shared" si="6"/>
        <v>12.7</v>
      </c>
      <c r="V98" s="4">
        <f t="shared" si="6"/>
        <v>90.9</v>
      </c>
      <c r="W98" s="13">
        <f t="shared" si="4"/>
        <v>10653</v>
      </c>
    </row>
    <row r="99" spans="1:23" x14ac:dyDescent="0.2">
      <c r="A99" s="14"/>
      <c r="B99" s="10" t="s">
        <v>22</v>
      </c>
      <c r="C99" s="4">
        <f t="shared" si="7"/>
        <v>16.3</v>
      </c>
      <c r="D99" s="4">
        <f t="shared" si="7"/>
        <v>20.7</v>
      </c>
      <c r="E99" s="4">
        <f t="shared" si="7"/>
        <v>22.7</v>
      </c>
      <c r="F99" s="4">
        <f t="shared" si="7"/>
        <v>19.600000000000001</v>
      </c>
      <c r="G99" s="4">
        <f t="shared" si="7"/>
        <v>12.8</v>
      </c>
      <c r="H99" s="4">
        <f t="shared" si="7"/>
        <v>92.1</v>
      </c>
      <c r="I99" s="13">
        <f t="shared" si="2"/>
        <v>22961</v>
      </c>
      <c r="J99" s="4">
        <f t="shared" si="5"/>
        <v>15</v>
      </c>
      <c r="K99" s="4">
        <f t="shared" si="5"/>
        <v>19.100000000000001</v>
      </c>
      <c r="L99" s="4">
        <f t="shared" si="5"/>
        <v>24.2</v>
      </c>
      <c r="M99" s="4">
        <f t="shared" si="5"/>
        <v>21.6</v>
      </c>
      <c r="N99" s="4">
        <f t="shared" si="5"/>
        <v>13.4</v>
      </c>
      <c r="O99" s="4">
        <f t="shared" si="5"/>
        <v>93.1</v>
      </c>
      <c r="P99" s="13">
        <f t="shared" si="3"/>
        <v>54697</v>
      </c>
      <c r="Q99" s="4">
        <f t="shared" si="6"/>
        <v>15.4</v>
      </c>
      <c r="R99" s="4">
        <f t="shared" si="6"/>
        <v>19.5</v>
      </c>
      <c r="S99" s="4">
        <f t="shared" si="6"/>
        <v>23.7</v>
      </c>
      <c r="T99" s="4">
        <f t="shared" si="6"/>
        <v>21</v>
      </c>
      <c r="U99" s="4">
        <f t="shared" si="6"/>
        <v>13.2</v>
      </c>
      <c r="V99" s="4">
        <f t="shared" si="6"/>
        <v>92.8</v>
      </c>
      <c r="W99" s="13">
        <f t="shared" si="4"/>
        <v>77658</v>
      </c>
    </row>
    <row r="100" spans="1:23" x14ac:dyDescent="0.2">
      <c r="A100" s="14"/>
      <c r="B100" s="10" t="s">
        <v>51</v>
      </c>
      <c r="C100" s="4">
        <f t="shared" si="7"/>
        <v>8.8000000000000007</v>
      </c>
      <c r="D100" s="4">
        <f t="shared" si="7"/>
        <v>15.2</v>
      </c>
      <c r="E100" s="4">
        <f t="shared" si="7"/>
        <v>28.4</v>
      </c>
      <c r="F100" s="4">
        <f t="shared" si="7"/>
        <v>26.1</v>
      </c>
      <c r="G100" s="4">
        <f t="shared" si="7"/>
        <v>13.9</v>
      </c>
      <c r="H100" s="4">
        <f t="shared" si="7"/>
        <v>92.4</v>
      </c>
      <c r="I100" s="13">
        <f t="shared" si="2"/>
        <v>4656</v>
      </c>
      <c r="J100" s="4">
        <f t="shared" si="5"/>
        <v>9.4</v>
      </c>
      <c r="K100" s="4">
        <f t="shared" si="5"/>
        <v>18.399999999999999</v>
      </c>
      <c r="L100" s="4">
        <f t="shared" si="5"/>
        <v>33.4</v>
      </c>
      <c r="M100" s="4">
        <f t="shared" si="5"/>
        <v>24.7</v>
      </c>
      <c r="N100" s="4">
        <f t="shared" si="5"/>
        <v>9.6999999999999993</v>
      </c>
      <c r="O100" s="4">
        <f t="shared" si="5"/>
        <v>95.5</v>
      </c>
      <c r="P100" s="13">
        <f t="shared" si="3"/>
        <v>6718</v>
      </c>
      <c r="Q100" s="4">
        <f t="shared" si="6"/>
        <v>9.1999999999999993</v>
      </c>
      <c r="R100" s="4">
        <f t="shared" si="6"/>
        <v>17.100000000000001</v>
      </c>
      <c r="S100" s="4">
        <f t="shared" si="6"/>
        <v>31.4</v>
      </c>
      <c r="T100" s="4">
        <f t="shared" si="6"/>
        <v>25.3</v>
      </c>
      <c r="U100" s="4">
        <f t="shared" si="6"/>
        <v>11.4</v>
      </c>
      <c r="V100" s="4">
        <f t="shared" si="6"/>
        <v>94.2</v>
      </c>
      <c r="W100" s="13">
        <f t="shared" si="4"/>
        <v>11374</v>
      </c>
    </row>
    <row r="101" spans="1:23" x14ac:dyDescent="0.2">
      <c r="A101" s="14"/>
      <c r="B101" s="10" t="s">
        <v>23</v>
      </c>
      <c r="C101" s="4">
        <f t="shared" si="7"/>
        <v>8.5</v>
      </c>
      <c r="D101" s="4">
        <f t="shared" si="7"/>
        <v>16</v>
      </c>
      <c r="E101" s="4">
        <f t="shared" si="7"/>
        <v>19.8</v>
      </c>
      <c r="F101" s="4">
        <f t="shared" si="7"/>
        <v>21.4</v>
      </c>
      <c r="G101" s="4">
        <f t="shared" si="7"/>
        <v>14.5</v>
      </c>
      <c r="H101" s="4">
        <f t="shared" si="7"/>
        <v>80.099999999999994</v>
      </c>
      <c r="I101" s="13">
        <f t="shared" si="2"/>
        <v>2394</v>
      </c>
      <c r="J101" s="4">
        <f t="shared" si="5"/>
        <v>10.6</v>
      </c>
      <c r="K101" s="4">
        <f t="shared" si="5"/>
        <v>21.1</v>
      </c>
      <c r="L101" s="4">
        <f t="shared" si="5"/>
        <v>25.4</v>
      </c>
      <c r="M101" s="4">
        <f t="shared" si="5"/>
        <v>20.8</v>
      </c>
      <c r="N101" s="4">
        <f t="shared" si="5"/>
        <v>11.3</v>
      </c>
      <c r="O101" s="4">
        <f t="shared" si="5"/>
        <v>89.3</v>
      </c>
      <c r="P101" s="13">
        <f t="shared" si="3"/>
        <v>4775</v>
      </c>
      <c r="Q101" s="4">
        <f t="shared" si="6"/>
        <v>9.9</v>
      </c>
      <c r="R101" s="4">
        <f t="shared" si="6"/>
        <v>19.399999999999999</v>
      </c>
      <c r="S101" s="4">
        <f t="shared" si="6"/>
        <v>23.6</v>
      </c>
      <c r="T101" s="4">
        <f t="shared" si="6"/>
        <v>21</v>
      </c>
      <c r="U101" s="4">
        <f t="shared" si="6"/>
        <v>12.4</v>
      </c>
      <c r="V101" s="4">
        <f t="shared" si="6"/>
        <v>86.2</v>
      </c>
      <c r="W101" s="13">
        <f t="shared" si="4"/>
        <v>7169</v>
      </c>
    </row>
    <row r="102" spans="1:23" x14ac:dyDescent="0.2">
      <c r="A102" s="14"/>
      <c r="B102" s="10" t="s">
        <v>24</v>
      </c>
      <c r="C102" s="4">
        <f t="shared" si="7"/>
        <v>25.5</v>
      </c>
      <c r="D102" s="4">
        <f t="shared" si="7"/>
        <v>20.6</v>
      </c>
      <c r="E102" s="4">
        <f t="shared" si="7"/>
        <v>20.399999999999999</v>
      </c>
      <c r="F102" s="4">
        <f t="shared" si="7"/>
        <v>15.4</v>
      </c>
      <c r="G102" s="4">
        <f t="shared" si="7"/>
        <v>10.4</v>
      </c>
      <c r="H102" s="4">
        <f t="shared" si="7"/>
        <v>92.2</v>
      </c>
      <c r="I102" s="13">
        <f t="shared" si="2"/>
        <v>5268</v>
      </c>
      <c r="J102" s="4">
        <f t="shared" si="5"/>
        <v>22.3</v>
      </c>
      <c r="K102" s="4">
        <f t="shared" si="5"/>
        <v>20.7</v>
      </c>
      <c r="L102" s="4">
        <f t="shared" si="5"/>
        <v>20</v>
      </c>
      <c r="M102" s="4">
        <f t="shared" si="5"/>
        <v>17</v>
      </c>
      <c r="N102" s="4">
        <f t="shared" si="5"/>
        <v>12</v>
      </c>
      <c r="O102" s="4">
        <f t="shared" si="5"/>
        <v>92.1</v>
      </c>
      <c r="P102" s="13">
        <f t="shared" si="3"/>
        <v>12506</v>
      </c>
      <c r="Q102" s="4">
        <f t="shared" si="6"/>
        <v>23.2</v>
      </c>
      <c r="R102" s="4">
        <f t="shared" si="6"/>
        <v>20.7</v>
      </c>
      <c r="S102" s="4">
        <f t="shared" si="6"/>
        <v>20.100000000000001</v>
      </c>
      <c r="T102" s="4">
        <f t="shared" si="6"/>
        <v>16.5</v>
      </c>
      <c r="U102" s="4">
        <f t="shared" si="6"/>
        <v>11.5</v>
      </c>
      <c r="V102" s="4">
        <f t="shared" si="6"/>
        <v>92.1</v>
      </c>
      <c r="W102" s="13">
        <f t="shared" si="4"/>
        <v>17774</v>
      </c>
    </row>
    <row r="103" spans="1:23" x14ac:dyDescent="0.2">
      <c r="A103" s="14"/>
      <c r="B103" s="10" t="s">
        <v>25</v>
      </c>
      <c r="C103" s="4">
        <f t="shared" si="7"/>
        <v>33.799999999999997</v>
      </c>
      <c r="D103" s="4">
        <f t="shared" si="7"/>
        <v>19.8</v>
      </c>
      <c r="E103" s="4">
        <f t="shared" si="7"/>
        <v>17.600000000000001</v>
      </c>
      <c r="F103" s="4">
        <f t="shared" si="7"/>
        <v>13.1</v>
      </c>
      <c r="G103" s="4">
        <f t="shared" si="7"/>
        <v>9.6</v>
      </c>
      <c r="H103" s="4">
        <f t="shared" si="7"/>
        <v>93.9</v>
      </c>
      <c r="I103" s="13">
        <f t="shared" si="2"/>
        <v>2599</v>
      </c>
      <c r="J103" s="4">
        <f t="shared" si="5"/>
        <v>24.5</v>
      </c>
      <c r="K103" s="4">
        <f t="shared" si="5"/>
        <v>19.600000000000001</v>
      </c>
      <c r="L103" s="4">
        <f t="shared" si="5"/>
        <v>19.100000000000001</v>
      </c>
      <c r="M103" s="4">
        <f t="shared" si="5"/>
        <v>16.2</v>
      </c>
      <c r="N103" s="4">
        <f t="shared" si="5"/>
        <v>12.4</v>
      </c>
      <c r="O103" s="4">
        <f t="shared" si="5"/>
        <v>91.8</v>
      </c>
      <c r="P103" s="13">
        <f t="shared" si="3"/>
        <v>5928</v>
      </c>
      <c r="Q103" s="4">
        <f t="shared" si="6"/>
        <v>27.3</v>
      </c>
      <c r="R103" s="4">
        <f t="shared" si="6"/>
        <v>19.7</v>
      </c>
      <c r="S103" s="4">
        <f t="shared" si="6"/>
        <v>18.600000000000001</v>
      </c>
      <c r="T103" s="4">
        <f t="shared" si="6"/>
        <v>15.2</v>
      </c>
      <c r="U103" s="4">
        <f t="shared" si="6"/>
        <v>11.6</v>
      </c>
      <c r="V103" s="4">
        <f t="shared" si="6"/>
        <v>92.5</v>
      </c>
      <c r="W103" s="13">
        <f t="shared" si="4"/>
        <v>8527</v>
      </c>
    </row>
    <row r="104" spans="1:23" x14ac:dyDescent="0.2">
      <c r="A104" s="14"/>
      <c r="B104" s="10" t="s">
        <v>26</v>
      </c>
      <c r="C104" s="4">
        <f t="shared" si="7"/>
        <v>26.1</v>
      </c>
      <c r="D104" s="4">
        <f t="shared" si="7"/>
        <v>25</v>
      </c>
      <c r="E104" s="4">
        <f t="shared" si="7"/>
        <v>19.600000000000001</v>
      </c>
      <c r="F104" s="4">
        <f t="shared" si="7"/>
        <v>14.1</v>
      </c>
      <c r="G104" s="4">
        <f t="shared" si="7"/>
        <v>9.1</v>
      </c>
      <c r="H104" s="4">
        <f t="shared" si="7"/>
        <v>93.9</v>
      </c>
      <c r="I104" s="13">
        <f t="shared" si="2"/>
        <v>1305</v>
      </c>
      <c r="J104" s="4">
        <f t="shared" si="5"/>
        <v>22.9</v>
      </c>
      <c r="K104" s="4">
        <f t="shared" si="5"/>
        <v>23.3</v>
      </c>
      <c r="L104" s="4">
        <f t="shared" si="5"/>
        <v>21</v>
      </c>
      <c r="M104" s="4">
        <f t="shared" si="5"/>
        <v>17</v>
      </c>
      <c r="N104" s="4">
        <f t="shared" si="5"/>
        <v>8.6999999999999993</v>
      </c>
      <c r="O104" s="4">
        <f t="shared" si="5"/>
        <v>92.9</v>
      </c>
      <c r="P104" s="13">
        <f t="shared" si="3"/>
        <v>3335</v>
      </c>
      <c r="Q104" s="4">
        <f t="shared" si="6"/>
        <v>23.8</v>
      </c>
      <c r="R104" s="4">
        <f t="shared" si="6"/>
        <v>23.8</v>
      </c>
      <c r="S104" s="4">
        <f t="shared" si="6"/>
        <v>20.6</v>
      </c>
      <c r="T104" s="4">
        <f t="shared" si="6"/>
        <v>16.2</v>
      </c>
      <c r="U104" s="4">
        <f t="shared" si="6"/>
        <v>8.8000000000000007</v>
      </c>
      <c r="V104" s="4">
        <f t="shared" si="6"/>
        <v>93.2</v>
      </c>
      <c r="W104" s="13">
        <f t="shared" si="4"/>
        <v>4640</v>
      </c>
    </row>
    <row r="105" spans="1:23" x14ac:dyDescent="0.2">
      <c r="A105" s="14"/>
      <c r="B105" s="10" t="s">
        <v>27</v>
      </c>
      <c r="C105" s="4">
        <f t="shared" si="7"/>
        <v>31.2</v>
      </c>
      <c r="D105" s="4">
        <f t="shared" si="7"/>
        <v>24.1</v>
      </c>
      <c r="E105" s="4">
        <f t="shared" si="7"/>
        <v>18.3</v>
      </c>
      <c r="F105" s="4">
        <f t="shared" si="7"/>
        <v>11.3</v>
      </c>
      <c r="G105" s="4">
        <f t="shared" si="7"/>
        <v>6.7</v>
      </c>
      <c r="H105" s="4">
        <f t="shared" si="7"/>
        <v>91.7</v>
      </c>
      <c r="I105" s="13">
        <f t="shared" si="2"/>
        <v>1533</v>
      </c>
      <c r="J105" s="4">
        <f t="shared" si="5"/>
        <v>37.799999999999997</v>
      </c>
      <c r="K105" s="4">
        <f t="shared" si="5"/>
        <v>25.2</v>
      </c>
      <c r="L105" s="4">
        <f t="shared" si="5"/>
        <v>17.100000000000001</v>
      </c>
      <c r="M105" s="4">
        <f t="shared" si="5"/>
        <v>9.5</v>
      </c>
      <c r="N105" s="4">
        <f t="shared" si="5"/>
        <v>5.2</v>
      </c>
      <c r="O105" s="4">
        <f t="shared" si="5"/>
        <v>94.8</v>
      </c>
      <c r="P105" s="13">
        <f t="shared" si="3"/>
        <v>1966</v>
      </c>
      <c r="Q105" s="4">
        <f t="shared" si="6"/>
        <v>34.9</v>
      </c>
      <c r="R105" s="4">
        <f t="shared" si="6"/>
        <v>24.7</v>
      </c>
      <c r="S105" s="4">
        <f t="shared" si="6"/>
        <v>17.7</v>
      </c>
      <c r="T105" s="4">
        <f t="shared" si="6"/>
        <v>10.3</v>
      </c>
      <c r="U105" s="4">
        <f t="shared" si="6"/>
        <v>5.9</v>
      </c>
      <c r="V105" s="4">
        <f t="shared" si="6"/>
        <v>93.4</v>
      </c>
      <c r="W105" s="13">
        <f t="shared" si="4"/>
        <v>3499</v>
      </c>
    </row>
    <row r="106" spans="1:23" x14ac:dyDescent="0.2">
      <c r="A106" s="14"/>
      <c r="B106" s="10" t="s">
        <v>28</v>
      </c>
      <c r="C106" s="4">
        <f t="shared" si="7"/>
        <v>27.8</v>
      </c>
      <c r="D106" s="4">
        <f t="shared" si="7"/>
        <v>21.7</v>
      </c>
      <c r="E106" s="4">
        <f t="shared" si="7"/>
        <v>18.5</v>
      </c>
      <c r="F106" s="4">
        <f t="shared" si="7"/>
        <v>15.1</v>
      </c>
      <c r="G106" s="4">
        <f t="shared" si="7"/>
        <v>9.6</v>
      </c>
      <c r="H106" s="4">
        <f t="shared" si="7"/>
        <v>92.7</v>
      </c>
      <c r="I106" s="13">
        <f t="shared" si="2"/>
        <v>2087</v>
      </c>
      <c r="J106" s="4">
        <f t="shared" si="5"/>
        <v>28.2</v>
      </c>
      <c r="K106" s="4">
        <f t="shared" si="5"/>
        <v>25.2</v>
      </c>
      <c r="L106" s="4">
        <f t="shared" si="5"/>
        <v>22.3</v>
      </c>
      <c r="M106" s="4">
        <f t="shared" si="5"/>
        <v>12</v>
      </c>
      <c r="N106" s="4">
        <f t="shared" si="5"/>
        <v>7</v>
      </c>
      <c r="O106" s="4">
        <f t="shared" si="5"/>
        <v>94.7</v>
      </c>
      <c r="P106" s="13">
        <f t="shared" si="3"/>
        <v>3060</v>
      </c>
      <c r="Q106" s="4">
        <f t="shared" si="6"/>
        <v>28</v>
      </c>
      <c r="R106" s="4">
        <f t="shared" si="6"/>
        <v>23.8</v>
      </c>
      <c r="S106" s="4">
        <f t="shared" si="6"/>
        <v>20.8</v>
      </c>
      <c r="T106" s="4">
        <f t="shared" si="6"/>
        <v>13.3</v>
      </c>
      <c r="U106" s="4">
        <f t="shared" si="6"/>
        <v>8</v>
      </c>
      <c r="V106" s="4">
        <f t="shared" si="6"/>
        <v>93.9</v>
      </c>
      <c r="W106" s="13">
        <f t="shared" si="4"/>
        <v>5147</v>
      </c>
    </row>
    <row r="107" spans="1:23" x14ac:dyDescent="0.2">
      <c r="A107" s="14"/>
      <c r="B107" s="10" t="s">
        <v>29</v>
      </c>
      <c r="C107" s="4">
        <f t="shared" si="7"/>
        <v>20.8</v>
      </c>
      <c r="D107" s="4">
        <f t="shared" si="7"/>
        <v>19.3</v>
      </c>
      <c r="E107" s="4">
        <f t="shared" si="7"/>
        <v>19.600000000000001</v>
      </c>
      <c r="F107" s="4">
        <f t="shared" si="7"/>
        <v>15.2</v>
      </c>
      <c r="G107" s="4">
        <f t="shared" si="7"/>
        <v>12.4</v>
      </c>
      <c r="H107" s="4">
        <f t="shared" si="7"/>
        <v>87.4</v>
      </c>
      <c r="I107" s="13">
        <f t="shared" si="2"/>
        <v>1321</v>
      </c>
      <c r="J107" s="4">
        <f t="shared" si="5"/>
        <v>18.600000000000001</v>
      </c>
      <c r="K107" s="4">
        <f t="shared" si="5"/>
        <v>18.600000000000001</v>
      </c>
      <c r="L107" s="4">
        <f t="shared" si="5"/>
        <v>22.6</v>
      </c>
      <c r="M107" s="4">
        <f t="shared" si="5"/>
        <v>18.100000000000001</v>
      </c>
      <c r="N107" s="4">
        <f t="shared" si="5"/>
        <v>10.9</v>
      </c>
      <c r="O107" s="4">
        <f t="shared" si="5"/>
        <v>88.8</v>
      </c>
      <c r="P107" s="13">
        <f t="shared" si="3"/>
        <v>3723</v>
      </c>
      <c r="Q107" s="4">
        <f t="shared" si="6"/>
        <v>19.2</v>
      </c>
      <c r="R107" s="4">
        <f t="shared" si="6"/>
        <v>18.8</v>
      </c>
      <c r="S107" s="4">
        <f t="shared" si="6"/>
        <v>21.8</v>
      </c>
      <c r="T107" s="4">
        <f t="shared" si="6"/>
        <v>17.3</v>
      </c>
      <c r="U107" s="4">
        <f t="shared" si="6"/>
        <v>11.3</v>
      </c>
      <c r="V107" s="4">
        <f t="shared" si="6"/>
        <v>88.4</v>
      </c>
      <c r="W107" s="13">
        <f t="shared" si="4"/>
        <v>5044</v>
      </c>
    </row>
    <row r="108" spans="1:23" x14ac:dyDescent="0.2">
      <c r="A108" s="14"/>
      <c r="B108" s="10" t="s">
        <v>30</v>
      </c>
      <c r="C108" s="4">
        <f t="shared" si="7"/>
        <v>19.8</v>
      </c>
      <c r="D108" s="4">
        <f t="shared" si="7"/>
        <v>18.399999999999999</v>
      </c>
      <c r="E108" s="4">
        <f t="shared" si="7"/>
        <v>24.7</v>
      </c>
      <c r="F108" s="4">
        <f t="shared" si="7"/>
        <v>18.8</v>
      </c>
      <c r="G108" s="4">
        <f t="shared" si="7"/>
        <v>11.2</v>
      </c>
      <c r="H108" s="4">
        <f t="shared" si="7"/>
        <v>92.8</v>
      </c>
      <c r="I108" s="13">
        <f t="shared" si="2"/>
        <v>2672</v>
      </c>
      <c r="J108" s="4">
        <f t="shared" si="5"/>
        <v>21.4</v>
      </c>
      <c r="K108" s="4">
        <f t="shared" si="5"/>
        <v>20.5</v>
      </c>
      <c r="L108" s="4">
        <f t="shared" si="5"/>
        <v>24.6</v>
      </c>
      <c r="M108" s="4">
        <f t="shared" si="5"/>
        <v>19</v>
      </c>
      <c r="N108" s="4">
        <f t="shared" si="5"/>
        <v>8.9</v>
      </c>
      <c r="O108" s="4">
        <f t="shared" si="5"/>
        <v>94.5</v>
      </c>
      <c r="P108" s="13">
        <f t="shared" si="3"/>
        <v>3546</v>
      </c>
      <c r="Q108" s="4">
        <f t="shared" si="6"/>
        <v>20.7</v>
      </c>
      <c r="R108" s="4">
        <f t="shared" si="6"/>
        <v>19.600000000000001</v>
      </c>
      <c r="S108" s="4">
        <f t="shared" si="6"/>
        <v>24.7</v>
      </c>
      <c r="T108" s="4">
        <f t="shared" si="6"/>
        <v>18.899999999999999</v>
      </c>
      <c r="U108" s="4">
        <f t="shared" si="6"/>
        <v>9.9</v>
      </c>
      <c r="V108" s="4">
        <f t="shared" si="6"/>
        <v>93.8</v>
      </c>
      <c r="W108" s="13">
        <f t="shared" si="4"/>
        <v>6218</v>
      </c>
    </row>
    <row r="109" spans="1:23" x14ac:dyDescent="0.2">
      <c r="A109" s="14"/>
      <c r="B109" s="10" t="s">
        <v>31</v>
      </c>
      <c r="C109" s="4">
        <f t="shared" si="7"/>
        <v>6.8</v>
      </c>
      <c r="D109" s="4">
        <f t="shared" si="7"/>
        <v>11.3</v>
      </c>
      <c r="E109" s="4">
        <f t="shared" si="7"/>
        <v>22.4</v>
      </c>
      <c r="F109" s="4">
        <f t="shared" si="7"/>
        <v>27.3</v>
      </c>
      <c r="G109" s="4">
        <f t="shared" si="7"/>
        <v>21</v>
      </c>
      <c r="H109" s="4">
        <f t="shared" si="7"/>
        <v>88.8</v>
      </c>
      <c r="I109" s="13">
        <f t="shared" si="2"/>
        <v>8869</v>
      </c>
      <c r="J109" s="4">
        <f t="shared" ref="J109:O111" si="8">ROUND(J73,1)</f>
        <v>16</v>
      </c>
      <c r="K109" s="4">
        <f t="shared" si="8"/>
        <v>16.5</v>
      </c>
      <c r="L109" s="4">
        <f t="shared" si="8"/>
        <v>24.1</v>
      </c>
      <c r="M109" s="4">
        <f t="shared" si="8"/>
        <v>21.5</v>
      </c>
      <c r="N109" s="4">
        <f t="shared" si="8"/>
        <v>13.7</v>
      </c>
      <c r="O109" s="4">
        <f t="shared" si="8"/>
        <v>91.9</v>
      </c>
      <c r="P109" s="13">
        <f t="shared" si="3"/>
        <v>5871</v>
      </c>
      <c r="Q109" s="4">
        <f t="shared" ref="Q109:V111" si="9">ROUND(Q73,1)</f>
        <v>10.5</v>
      </c>
      <c r="R109" s="4">
        <f t="shared" si="9"/>
        <v>13.4</v>
      </c>
      <c r="S109" s="4">
        <f t="shared" si="9"/>
        <v>23.1</v>
      </c>
      <c r="T109" s="4">
        <f t="shared" si="9"/>
        <v>25</v>
      </c>
      <c r="U109" s="4">
        <f t="shared" si="9"/>
        <v>18.100000000000001</v>
      </c>
      <c r="V109" s="4">
        <f t="shared" si="9"/>
        <v>90</v>
      </c>
      <c r="W109" s="13">
        <f t="shared" si="4"/>
        <v>14740</v>
      </c>
    </row>
    <row r="110" spans="1:23" x14ac:dyDescent="0.2">
      <c r="A110" s="14"/>
      <c r="B110" s="10" t="s">
        <v>32</v>
      </c>
      <c r="C110" s="4">
        <f t="shared" ref="C110:H111" si="10">ROUND(C74,1)</f>
        <v>14</v>
      </c>
      <c r="D110" s="4">
        <f t="shared" si="10"/>
        <v>17.899999999999999</v>
      </c>
      <c r="E110" s="4">
        <f t="shared" si="10"/>
        <v>19.5</v>
      </c>
      <c r="F110" s="4">
        <f t="shared" si="10"/>
        <v>19.2</v>
      </c>
      <c r="G110" s="4">
        <f t="shared" si="10"/>
        <v>14.7</v>
      </c>
      <c r="H110" s="4">
        <f t="shared" si="10"/>
        <v>85.3</v>
      </c>
      <c r="I110" s="13">
        <f t="shared" si="2"/>
        <v>40322</v>
      </c>
      <c r="J110" s="4">
        <f t="shared" si="8"/>
        <v>11.2</v>
      </c>
      <c r="K110" s="4">
        <f t="shared" si="8"/>
        <v>15.8</v>
      </c>
      <c r="L110" s="4">
        <f t="shared" si="8"/>
        <v>19.100000000000001</v>
      </c>
      <c r="M110" s="4">
        <f t="shared" si="8"/>
        <v>20</v>
      </c>
      <c r="N110" s="4">
        <f t="shared" si="8"/>
        <v>16.600000000000001</v>
      </c>
      <c r="O110" s="4">
        <f t="shared" si="8"/>
        <v>82.7</v>
      </c>
      <c r="P110" s="13">
        <f t="shared" si="3"/>
        <v>43939</v>
      </c>
      <c r="Q110" s="4">
        <f t="shared" si="9"/>
        <v>12.5</v>
      </c>
      <c r="R110" s="4">
        <f t="shared" si="9"/>
        <v>16.8</v>
      </c>
      <c r="S110" s="4">
        <f t="shared" si="9"/>
        <v>19.3</v>
      </c>
      <c r="T110" s="4">
        <f t="shared" si="9"/>
        <v>19.600000000000001</v>
      </c>
      <c r="U110" s="4">
        <f t="shared" si="9"/>
        <v>15.7</v>
      </c>
      <c r="V110" s="4">
        <f t="shared" si="9"/>
        <v>84</v>
      </c>
      <c r="W110" s="13">
        <f t="shared" si="4"/>
        <v>84261</v>
      </c>
    </row>
    <row r="111" spans="1:23" x14ac:dyDescent="0.2">
      <c r="A111" s="14"/>
      <c r="B111" s="10" t="s">
        <v>46</v>
      </c>
      <c r="C111" s="4">
        <f t="shared" si="10"/>
        <v>17.8</v>
      </c>
      <c r="D111" s="4">
        <f t="shared" si="10"/>
        <v>18.399999999999999</v>
      </c>
      <c r="E111" s="4">
        <f t="shared" si="10"/>
        <v>20.5</v>
      </c>
      <c r="F111" s="4">
        <f t="shared" si="10"/>
        <v>18.3</v>
      </c>
      <c r="G111" s="4">
        <f t="shared" si="10"/>
        <v>13.1</v>
      </c>
      <c r="H111" s="4">
        <f t="shared" si="10"/>
        <v>88.2</v>
      </c>
      <c r="I111" s="13">
        <f t="shared" si="2"/>
        <v>318339</v>
      </c>
      <c r="J111" s="4">
        <f t="shared" si="8"/>
        <v>17.5</v>
      </c>
      <c r="K111" s="4">
        <f t="shared" si="8"/>
        <v>19.600000000000001</v>
      </c>
      <c r="L111" s="4">
        <f t="shared" si="8"/>
        <v>21.8</v>
      </c>
      <c r="M111" s="4">
        <f t="shared" si="8"/>
        <v>18.399999999999999</v>
      </c>
      <c r="N111" s="4">
        <f t="shared" si="8"/>
        <v>12.4</v>
      </c>
      <c r="O111" s="4">
        <f t="shared" si="8"/>
        <v>89.8</v>
      </c>
      <c r="P111" s="13">
        <f t="shared" si="3"/>
        <v>361709</v>
      </c>
      <c r="Q111" s="4">
        <f t="shared" si="9"/>
        <v>17.7</v>
      </c>
      <c r="R111" s="4">
        <f t="shared" si="9"/>
        <v>19.100000000000001</v>
      </c>
      <c r="S111" s="4">
        <f t="shared" si="9"/>
        <v>21.2</v>
      </c>
      <c r="T111" s="4">
        <f t="shared" si="9"/>
        <v>18.399999999999999</v>
      </c>
      <c r="U111" s="4">
        <f t="shared" si="9"/>
        <v>12.7</v>
      </c>
      <c r="V111" s="4">
        <f t="shared" si="9"/>
        <v>89</v>
      </c>
      <c r="W111" s="13">
        <f t="shared" si="4"/>
        <v>680048</v>
      </c>
    </row>
  </sheetData>
  <phoneticPr fontId="3" type="noConversion"/>
  <conditionalFormatting sqref="C5:Z39">
    <cfRule type="cellIs" dxfId="13" priority="1" operator="between">
      <formula>1</formula>
      <formula>2</formula>
    </cfRule>
    <cfRule type="cellIs" dxfId="12" priority="2" operator="between">
      <formula>1</formula>
      <formula>2</formula>
    </cfRule>
  </conditionalFormatting>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BU111"/>
  <sheetViews>
    <sheetView topLeftCell="A13" workbookViewId="0">
      <selection activeCell="A2" sqref="A2"/>
    </sheetView>
  </sheetViews>
  <sheetFormatPr defaultColWidth="9.140625" defaultRowHeight="11.25" x14ac:dyDescent="0.2"/>
  <cols>
    <col min="1" max="16384" width="9.140625" style="11"/>
  </cols>
  <sheetData>
    <row r="3" spans="2:26" ht="11.25" customHeight="1" x14ac:dyDescent="0.2">
      <c r="C3" s="29" t="s">
        <v>39</v>
      </c>
      <c r="D3" s="29"/>
      <c r="E3" s="29"/>
      <c r="F3" s="29"/>
      <c r="G3" s="29"/>
      <c r="H3" s="29"/>
      <c r="I3" s="29" t="s">
        <v>40</v>
      </c>
      <c r="J3" s="29"/>
      <c r="K3" s="29"/>
      <c r="L3" s="29"/>
      <c r="M3" s="29"/>
      <c r="N3" s="29"/>
      <c r="O3" s="29" t="s">
        <v>54</v>
      </c>
      <c r="P3" s="29"/>
      <c r="Q3" s="29"/>
      <c r="R3" s="29"/>
      <c r="S3" s="29"/>
      <c r="T3" s="29"/>
      <c r="U3" s="29" t="s">
        <v>41</v>
      </c>
      <c r="V3" s="29"/>
      <c r="W3" s="29"/>
      <c r="X3" s="29" t="s">
        <v>45</v>
      </c>
      <c r="Y3" s="29"/>
      <c r="Z3" s="29"/>
    </row>
    <row r="4" spans="2:26" x14ac:dyDescent="0.2">
      <c r="C4" s="11" t="s">
        <v>33</v>
      </c>
      <c r="D4" s="11" t="s">
        <v>34</v>
      </c>
      <c r="E4" s="11" t="s">
        <v>35</v>
      </c>
      <c r="F4" s="11" t="s">
        <v>36</v>
      </c>
      <c r="G4" s="11" t="s">
        <v>37</v>
      </c>
      <c r="H4" s="11" t="s">
        <v>38</v>
      </c>
      <c r="I4" s="11" t="s">
        <v>33</v>
      </c>
      <c r="J4" s="11" t="s">
        <v>34</v>
      </c>
      <c r="K4" s="11" t="s">
        <v>35</v>
      </c>
      <c r="L4" s="11" t="s">
        <v>36</v>
      </c>
      <c r="M4" s="11" t="s">
        <v>37</v>
      </c>
      <c r="N4" s="11" t="s">
        <v>38</v>
      </c>
      <c r="O4" s="11" t="s">
        <v>33</v>
      </c>
      <c r="P4" s="11" t="s">
        <v>34</v>
      </c>
      <c r="Q4" s="11" t="s">
        <v>35</v>
      </c>
      <c r="R4" s="11" t="s">
        <v>36</v>
      </c>
      <c r="S4" s="11" t="s">
        <v>37</v>
      </c>
      <c r="T4" s="11" t="s">
        <v>38</v>
      </c>
      <c r="U4" s="11" t="s">
        <v>42</v>
      </c>
      <c r="V4" s="11" t="s">
        <v>43</v>
      </c>
      <c r="W4" s="11" t="s">
        <v>44</v>
      </c>
      <c r="X4" s="11" t="s">
        <v>42</v>
      </c>
      <c r="Y4" s="11" t="s">
        <v>43</v>
      </c>
      <c r="Z4" s="11" t="s">
        <v>44</v>
      </c>
    </row>
    <row r="5" spans="2:26" x14ac:dyDescent="0.2">
      <c r="B5" s="10" t="s">
        <v>0</v>
      </c>
      <c r="C5" s="10">
        <v>2832</v>
      </c>
      <c r="D5" s="10">
        <v>3227</v>
      </c>
      <c r="E5" s="10">
        <v>3435</v>
      </c>
      <c r="F5" s="10">
        <v>3310</v>
      </c>
      <c r="G5" s="10">
        <v>2733</v>
      </c>
      <c r="H5" s="10">
        <v>2215</v>
      </c>
      <c r="I5" s="10">
        <v>5356</v>
      </c>
      <c r="J5" s="10">
        <v>5928</v>
      </c>
      <c r="K5" s="10">
        <v>5756</v>
      </c>
      <c r="L5" s="10">
        <v>4864</v>
      </c>
      <c r="M5" s="10">
        <v>3709</v>
      </c>
      <c r="N5" s="10">
        <v>2825</v>
      </c>
      <c r="O5" s="10">
        <v>8188</v>
      </c>
      <c r="P5" s="10">
        <v>9155</v>
      </c>
      <c r="Q5" s="10">
        <v>9191</v>
      </c>
      <c r="R5" s="10">
        <v>8174</v>
      </c>
      <c r="S5" s="10">
        <v>6442</v>
      </c>
      <c r="T5" s="10">
        <v>5040</v>
      </c>
      <c r="U5" s="11">
        <v>17752</v>
      </c>
      <c r="V5" s="11">
        <v>28438</v>
      </c>
      <c r="W5" s="11">
        <v>46190</v>
      </c>
      <c r="X5" s="11">
        <v>15537</v>
      </c>
      <c r="Y5" s="11">
        <v>25613</v>
      </c>
      <c r="Z5" s="11">
        <v>41150</v>
      </c>
    </row>
    <row r="6" spans="2:26" x14ac:dyDescent="0.2">
      <c r="B6" s="10" t="s">
        <v>1</v>
      </c>
      <c r="C6" s="10">
        <v>4395</v>
      </c>
      <c r="D6" s="10">
        <v>3881</v>
      </c>
      <c r="E6" s="10">
        <v>3359</v>
      </c>
      <c r="F6" s="10">
        <v>2764</v>
      </c>
      <c r="G6" s="10">
        <v>1983</v>
      </c>
      <c r="H6" s="10">
        <v>1871</v>
      </c>
      <c r="I6" s="10">
        <v>4638</v>
      </c>
      <c r="J6" s="10">
        <v>3939</v>
      </c>
      <c r="K6" s="10">
        <v>3222</v>
      </c>
      <c r="L6" s="10">
        <v>2426</v>
      </c>
      <c r="M6" s="10">
        <v>1535</v>
      </c>
      <c r="N6" s="10">
        <v>1277</v>
      </c>
      <c r="O6" s="10">
        <v>9033</v>
      </c>
      <c r="P6" s="10">
        <v>7820</v>
      </c>
      <c r="Q6" s="10">
        <v>6581</v>
      </c>
      <c r="R6" s="10">
        <v>5190</v>
      </c>
      <c r="S6" s="10">
        <v>3518</v>
      </c>
      <c r="T6" s="10">
        <v>3148</v>
      </c>
      <c r="U6" s="11">
        <v>18253</v>
      </c>
      <c r="V6" s="11">
        <v>17037</v>
      </c>
      <c r="W6" s="11">
        <v>35290</v>
      </c>
      <c r="X6" s="11">
        <v>16382</v>
      </c>
      <c r="Y6" s="11">
        <v>15760</v>
      </c>
      <c r="Z6" s="11">
        <v>32142</v>
      </c>
    </row>
    <row r="7" spans="2:26" x14ac:dyDescent="0.2">
      <c r="B7" s="10" t="s">
        <v>2</v>
      </c>
      <c r="C7" s="10">
        <v>5262</v>
      </c>
      <c r="D7" s="10">
        <v>4193</v>
      </c>
      <c r="E7" s="10">
        <v>4006</v>
      </c>
      <c r="F7" s="10">
        <v>3402</v>
      </c>
      <c r="G7" s="10">
        <v>2569</v>
      </c>
      <c r="H7" s="10">
        <v>2363</v>
      </c>
      <c r="I7" s="10">
        <v>1840</v>
      </c>
      <c r="J7" s="10">
        <v>1421</v>
      </c>
      <c r="K7" s="10">
        <v>1168</v>
      </c>
      <c r="L7" s="10">
        <v>865</v>
      </c>
      <c r="M7" s="10">
        <v>624</v>
      </c>
      <c r="N7" s="10">
        <v>478</v>
      </c>
      <c r="O7" s="10">
        <v>7102</v>
      </c>
      <c r="P7" s="10">
        <v>5614</v>
      </c>
      <c r="Q7" s="10">
        <v>5174</v>
      </c>
      <c r="R7" s="10">
        <v>4267</v>
      </c>
      <c r="S7" s="10">
        <v>3193</v>
      </c>
      <c r="T7" s="10">
        <v>2841</v>
      </c>
      <c r="U7" s="11">
        <v>21795</v>
      </c>
      <c r="V7" s="11">
        <v>6396</v>
      </c>
      <c r="W7" s="11">
        <v>28191</v>
      </c>
      <c r="X7" s="11">
        <v>19432</v>
      </c>
      <c r="Y7" s="11">
        <v>5918</v>
      </c>
      <c r="Z7" s="11">
        <v>25350</v>
      </c>
    </row>
    <row r="8" spans="2:26" x14ac:dyDescent="0.2">
      <c r="B8" s="10" t="s">
        <v>3</v>
      </c>
      <c r="C8" s="10">
        <v>347</v>
      </c>
      <c r="D8" s="10">
        <v>322</v>
      </c>
      <c r="E8" s="10">
        <v>495</v>
      </c>
      <c r="F8" s="10">
        <v>521</v>
      </c>
      <c r="G8" s="10">
        <v>396</v>
      </c>
      <c r="H8" s="10">
        <v>315</v>
      </c>
      <c r="I8" s="10">
        <v>191</v>
      </c>
      <c r="J8" s="10">
        <v>249</v>
      </c>
      <c r="K8" s="10">
        <v>311</v>
      </c>
      <c r="L8" s="10">
        <v>309</v>
      </c>
      <c r="M8" s="10">
        <v>222</v>
      </c>
      <c r="N8" s="10">
        <v>156</v>
      </c>
      <c r="O8" s="10">
        <v>538</v>
      </c>
      <c r="P8" s="10">
        <v>571</v>
      </c>
      <c r="Q8" s="10">
        <v>806</v>
      </c>
      <c r="R8" s="10">
        <v>830</v>
      </c>
      <c r="S8" s="10">
        <v>618</v>
      </c>
      <c r="T8" s="10">
        <v>471</v>
      </c>
      <c r="U8" s="11">
        <v>2396</v>
      </c>
      <c r="V8" s="11">
        <v>1438</v>
      </c>
      <c r="W8" s="11">
        <v>3834</v>
      </c>
      <c r="X8" s="11">
        <v>2081</v>
      </c>
      <c r="Y8" s="11">
        <v>1282</v>
      </c>
      <c r="Z8" s="11">
        <v>3363</v>
      </c>
    </row>
    <row r="9" spans="2:26" x14ac:dyDescent="0.2">
      <c r="B9" s="10" t="s">
        <v>4</v>
      </c>
      <c r="C9" s="10">
        <v>8991</v>
      </c>
      <c r="D9" s="10">
        <v>6198</v>
      </c>
      <c r="E9" s="10">
        <v>5649</v>
      </c>
      <c r="F9" s="10">
        <v>5057</v>
      </c>
      <c r="G9" s="10">
        <v>3661</v>
      </c>
      <c r="H9" s="10">
        <v>3943</v>
      </c>
      <c r="I9" s="10">
        <v>5786</v>
      </c>
      <c r="J9" s="10">
        <v>4111</v>
      </c>
      <c r="K9" s="10">
        <v>3570</v>
      </c>
      <c r="L9" s="10">
        <v>2886</v>
      </c>
      <c r="M9" s="10">
        <v>2061</v>
      </c>
      <c r="N9" s="10">
        <v>1761</v>
      </c>
      <c r="O9" s="10">
        <v>14777</v>
      </c>
      <c r="P9" s="10">
        <v>10309</v>
      </c>
      <c r="Q9" s="10">
        <v>9219</v>
      </c>
      <c r="R9" s="10">
        <v>7943</v>
      </c>
      <c r="S9" s="10">
        <v>5722</v>
      </c>
      <c r="T9" s="10">
        <v>5704</v>
      </c>
      <c r="U9" s="11">
        <v>33499</v>
      </c>
      <c r="V9" s="11">
        <v>20175</v>
      </c>
      <c r="W9" s="11">
        <v>53674</v>
      </c>
      <c r="X9" s="11">
        <v>29556</v>
      </c>
      <c r="Y9" s="11">
        <v>18414</v>
      </c>
      <c r="Z9" s="11">
        <v>47970</v>
      </c>
    </row>
    <row r="10" spans="2:26" x14ac:dyDescent="0.2">
      <c r="B10" s="10" t="s">
        <v>5</v>
      </c>
      <c r="C10" s="10">
        <v>1756</v>
      </c>
      <c r="D10" s="10">
        <v>663</v>
      </c>
      <c r="E10" s="10">
        <v>458</v>
      </c>
      <c r="F10" s="10">
        <v>318</v>
      </c>
      <c r="G10" s="10">
        <v>188</v>
      </c>
      <c r="H10" s="10">
        <v>137</v>
      </c>
      <c r="I10" s="10">
        <v>770</v>
      </c>
      <c r="J10" s="10">
        <v>278</v>
      </c>
      <c r="K10" s="10">
        <v>195</v>
      </c>
      <c r="L10" s="10">
        <v>127</v>
      </c>
      <c r="M10" s="10">
        <v>68</v>
      </c>
      <c r="N10" s="10">
        <v>57</v>
      </c>
      <c r="O10" s="10">
        <v>2526</v>
      </c>
      <c r="P10" s="10">
        <v>941</v>
      </c>
      <c r="Q10" s="10">
        <v>653</v>
      </c>
      <c r="R10" s="10">
        <v>445</v>
      </c>
      <c r="S10" s="10">
        <v>256</v>
      </c>
      <c r="T10" s="10">
        <v>194</v>
      </c>
      <c r="U10" s="11">
        <v>3520</v>
      </c>
      <c r="V10" s="11">
        <v>1495</v>
      </c>
      <c r="W10" s="11">
        <v>5015</v>
      </c>
      <c r="X10" s="11">
        <v>3383</v>
      </c>
      <c r="Y10" s="11">
        <v>1438</v>
      </c>
      <c r="Z10" s="11">
        <v>4821</v>
      </c>
    </row>
    <row r="11" spans="2:26" x14ac:dyDescent="0.2">
      <c r="B11" s="10" t="s">
        <v>6</v>
      </c>
      <c r="C11" s="10">
        <v>1222</v>
      </c>
      <c r="D11" s="10">
        <v>1440</v>
      </c>
      <c r="E11" s="10">
        <v>2369</v>
      </c>
      <c r="F11" s="10">
        <v>2032</v>
      </c>
      <c r="G11" s="10">
        <v>1275</v>
      </c>
      <c r="H11" s="10">
        <v>821</v>
      </c>
      <c r="I11" s="10">
        <v>536</v>
      </c>
      <c r="J11" s="10">
        <v>678</v>
      </c>
      <c r="K11" s="10">
        <v>1006</v>
      </c>
      <c r="L11" s="10">
        <v>797</v>
      </c>
      <c r="M11" s="10">
        <v>378</v>
      </c>
      <c r="N11" s="10">
        <v>196</v>
      </c>
      <c r="O11" s="10">
        <v>1758</v>
      </c>
      <c r="P11" s="10">
        <v>2118</v>
      </c>
      <c r="Q11" s="10">
        <v>3375</v>
      </c>
      <c r="R11" s="10">
        <v>2829</v>
      </c>
      <c r="S11" s="10">
        <v>1653</v>
      </c>
      <c r="T11" s="10">
        <v>1017</v>
      </c>
      <c r="U11" s="11">
        <v>9159</v>
      </c>
      <c r="V11" s="11">
        <v>3591</v>
      </c>
      <c r="W11" s="11">
        <v>12750</v>
      </c>
      <c r="X11" s="11">
        <v>8338</v>
      </c>
      <c r="Y11" s="11">
        <v>3395</v>
      </c>
      <c r="Z11" s="11">
        <v>11733</v>
      </c>
    </row>
    <row r="12" spans="2:26" x14ac:dyDescent="0.2">
      <c r="B12" s="10" t="s">
        <v>168</v>
      </c>
      <c r="C12" s="10">
        <v>914</v>
      </c>
      <c r="D12" s="10">
        <v>1254</v>
      </c>
      <c r="E12" s="10">
        <v>1667</v>
      </c>
      <c r="F12" s="10">
        <v>1915</v>
      </c>
      <c r="G12" s="10">
        <v>1589</v>
      </c>
      <c r="H12" s="10">
        <v>1891</v>
      </c>
      <c r="I12" s="10">
        <v>101</v>
      </c>
      <c r="J12" s="10">
        <v>193</v>
      </c>
      <c r="K12" s="10">
        <v>297</v>
      </c>
      <c r="L12" s="10">
        <v>331</v>
      </c>
      <c r="M12" s="10">
        <v>328</v>
      </c>
      <c r="N12" s="10">
        <v>371</v>
      </c>
      <c r="O12" s="10">
        <v>1015</v>
      </c>
      <c r="P12" s="10">
        <v>1447</v>
      </c>
      <c r="Q12" s="10">
        <v>1964</v>
      </c>
      <c r="R12" s="10">
        <v>2246</v>
      </c>
      <c r="S12" s="10">
        <v>1917</v>
      </c>
      <c r="T12" s="10">
        <v>2262</v>
      </c>
      <c r="U12" s="11">
        <v>9230</v>
      </c>
      <c r="V12" s="11">
        <v>1621</v>
      </c>
      <c r="W12" s="11">
        <v>10851</v>
      </c>
      <c r="X12" s="11">
        <v>7339</v>
      </c>
      <c r="Y12" s="11">
        <v>1250</v>
      </c>
      <c r="Z12" s="11">
        <v>8589</v>
      </c>
    </row>
    <row r="13" spans="2:26" x14ac:dyDescent="0.2">
      <c r="B13" s="10" t="s">
        <v>8</v>
      </c>
      <c r="C13" s="10">
        <v>208</v>
      </c>
      <c r="D13" s="10">
        <v>583</v>
      </c>
      <c r="E13" s="10">
        <v>1037</v>
      </c>
      <c r="F13" s="10">
        <v>1156</v>
      </c>
      <c r="G13" s="10">
        <v>727</v>
      </c>
      <c r="H13" s="10">
        <v>443</v>
      </c>
      <c r="I13" s="10">
        <v>130</v>
      </c>
      <c r="J13" s="10">
        <v>322</v>
      </c>
      <c r="K13" s="10">
        <v>561</v>
      </c>
      <c r="L13" s="10">
        <v>606</v>
      </c>
      <c r="M13" s="10">
        <v>339</v>
      </c>
      <c r="N13" s="10">
        <v>175</v>
      </c>
      <c r="O13" s="10">
        <v>338</v>
      </c>
      <c r="P13" s="10">
        <v>905</v>
      </c>
      <c r="Q13" s="10">
        <v>1598</v>
      </c>
      <c r="R13" s="10">
        <v>1762</v>
      </c>
      <c r="S13" s="10">
        <v>1066</v>
      </c>
      <c r="T13" s="10">
        <v>618</v>
      </c>
      <c r="U13" s="11">
        <v>4154</v>
      </c>
      <c r="V13" s="11">
        <v>2133</v>
      </c>
      <c r="W13" s="11">
        <v>6287</v>
      </c>
      <c r="X13" s="11">
        <v>3711</v>
      </c>
      <c r="Y13" s="11">
        <v>1958</v>
      </c>
      <c r="Z13" s="11">
        <v>5669</v>
      </c>
    </row>
    <row r="14" spans="2:26" x14ac:dyDescent="0.2">
      <c r="B14" s="10" t="s">
        <v>9</v>
      </c>
      <c r="C14" s="10">
        <v>3</v>
      </c>
      <c r="D14" s="10">
        <v>7</v>
      </c>
      <c r="E14" s="10">
        <v>15</v>
      </c>
      <c r="F14" s="10">
        <v>25</v>
      </c>
      <c r="G14" s="10">
        <v>17</v>
      </c>
      <c r="H14" s="10">
        <v>27</v>
      </c>
      <c r="I14" s="10">
        <v>158</v>
      </c>
      <c r="J14" s="10">
        <v>176</v>
      </c>
      <c r="K14" s="10">
        <v>280</v>
      </c>
      <c r="L14" s="10">
        <v>264</v>
      </c>
      <c r="M14" s="10">
        <v>163</v>
      </c>
      <c r="N14" s="10">
        <v>203</v>
      </c>
      <c r="O14" s="10">
        <v>161</v>
      </c>
      <c r="P14" s="10">
        <v>183</v>
      </c>
      <c r="Q14" s="10">
        <v>295</v>
      </c>
      <c r="R14" s="10">
        <v>289</v>
      </c>
      <c r="S14" s="10">
        <v>180</v>
      </c>
      <c r="T14" s="10">
        <v>230</v>
      </c>
      <c r="U14" s="11">
        <v>94</v>
      </c>
      <c r="V14" s="11">
        <v>1244</v>
      </c>
      <c r="W14" s="11">
        <v>1338</v>
      </c>
      <c r="X14" s="11">
        <v>67</v>
      </c>
      <c r="Y14" s="11">
        <v>1041</v>
      </c>
      <c r="Z14" s="11">
        <v>1108</v>
      </c>
    </row>
    <row r="15" spans="2:26" x14ac:dyDescent="0.2">
      <c r="B15" s="10" t="s">
        <v>10</v>
      </c>
      <c r="C15" s="10">
        <v>116</v>
      </c>
      <c r="D15" s="10">
        <v>176</v>
      </c>
      <c r="E15" s="10">
        <v>197</v>
      </c>
      <c r="F15" s="10">
        <v>200</v>
      </c>
      <c r="G15" s="10">
        <v>142</v>
      </c>
      <c r="H15" s="10">
        <v>377</v>
      </c>
      <c r="I15" s="10">
        <v>67</v>
      </c>
      <c r="J15" s="10">
        <v>109</v>
      </c>
      <c r="K15" s="10">
        <v>128</v>
      </c>
      <c r="L15" s="10">
        <v>121</v>
      </c>
      <c r="M15" s="10">
        <v>103</v>
      </c>
      <c r="N15" s="10">
        <v>208</v>
      </c>
      <c r="O15" s="10">
        <v>183</v>
      </c>
      <c r="P15" s="10">
        <v>285</v>
      </c>
      <c r="Q15" s="10">
        <v>325</v>
      </c>
      <c r="R15" s="10">
        <v>321</v>
      </c>
      <c r="S15" s="10">
        <v>245</v>
      </c>
      <c r="T15" s="10">
        <v>585</v>
      </c>
      <c r="U15" s="11">
        <v>1208</v>
      </c>
      <c r="V15" s="11">
        <v>736</v>
      </c>
      <c r="W15" s="11">
        <v>1944</v>
      </c>
      <c r="X15" s="11">
        <v>831</v>
      </c>
      <c r="Y15" s="11">
        <v>528</v>
      </c>
      <c r="Z15" s="11">
        <v>1359</v>
      </c>
    </row>
    <row r="16" spans="2:26" x14ac:dyDescent="0.2">
      <c r="B16" s="10" t="s">
        <v>11</v>
      </c>
      <c r="C16" s="10">
        <v>1494</v>
      </c>
      <c r="D16" s="10">
        <v>3237</v>
      </c>
      <c r="E16" s="10">
        <v>4400</v>
      </c>
      <c r="F16" s="10">
        <v>3709</v>
      </c>
      <c r="G16" s="10">
        <v>2261</v>
      </c>
      <c r="H16" s="10">
        <v>1798</v>
      </c>
      <c r="I16" s="10">
        <v>1612</v>
      </c>
      <c r="J16" s="10">
        <v>2842</v>
      </c>
      <c r="K16" s="10">
        <v>3638</v>
      </c>
      <c r="L16" s="10">
        <v>2911</v>
      </c>
      <c r="M16" s="10">
        <v>1715</v>
      </c>
      <c r="N16" s="10">
        <v>1459</v>
      </c>
      <c r="O16" s="10">
        <v>3106</v>
      </c>
      <c r="P16" s="10">
        <v>6079</v>
      </c>
      <c r="Q16" s="10">
        <v>8038</v>
      </c>
      <c r="R16" s="10">
        <v>6620</v>
      </c>
      <c r="S16" s="10">
        <v>3976</v>
      </c>
      <c r="T16" s="10">
        <v>3257</v>
      </c>
      <c r="U16" s="11">
        <v>16899</v>
      </c>
      <c r="V16" s="11">
        <v>14177</v>
      </c>
      <c r="W16" s="11">
        <v>31076</v>
      </c>
      <c r="X16" s="11">
        <v>15101</v>
      </c>
      <c r="Y16" s="11">
        <v>12718</v>
      </c>
      <c r="Z16" s="11">
        <v>27819</v>
      </c>
    </row>
    <row r="17" spans="2:26" x14ac:dyDescent="0.2">
      <c r="B17" s="10" t="s">
        <v>12</v>
      </c>
      <c r="C17" s="10">
        <v>2406</v>
      </c>
      <c r="D17" s="10">
        <v>2118</v>
      </c>
      <c r="E17" s="10">
        <v>2147</v>
      </c>
      <c r="F17" s="10">
        <v>2025</v>
      </c>
      <c r="G17" s="10">
        <v>1423</v>
      </c>
      <c r="H17" s="10">
        <v>1231</v>
      </c>
      <c r="I17" s="10">
        <v>1276</v>
      </c>
      <c r="J17" s="10">
        <v>1100</v>
      </c>
      <c r="K17" s="10">
        <v>1089</v>
      </c>
      <c r="L17" s="10">
        <v>1032</v>
      </c>
      <c r="M17" s="10">
        <v>758</v>
      </c>
      <c r="N17" s="10">
        <v>679</v>
      </c>
      <c r="O17" s="10">
        <v>3682</v>
      </c>
      <c r="P17" s="10">
        <v>3218</v>
      </c>
      <c r="Q17" s="10">
        <v>3236</v>
      </c>
      <c r="R17" s="10">
        <v>3057</v>
      </c>
      <c r="S17" s="10">
        <v>2181</v>
      </c>
      <c r="T17" s="10">
        <v>1910</v>
      </c>
      <c r="U17" s="11">
        <v>11350</v>
      </c>
      <c r="V17" s="11">
        <v>5934</v>
      </c>
      <c r="W17" s="11">
        <v>17284</v>
      </c>
      <c r="X17" s="11">
        <v>10119</v>
      </c>
      <c r="Y17" s="11">
        <v>5255</v>
      </c>
      <c r="Z17" s="11">
        <v>15374</v>
      </c>
    </row>
    <row r="18" spans="2:26" x14ac:dyDescent="0.2">
      <c r="B18" s="10" t="s">
        <v>13</v>
      </c>
      <c r="C18" s="10">
        <v>2771</v>
      </c>
      <c r="D18" s="10">
        <v>3789</v>
      </c>
      <c r="E18" s="10">
        <v>4146</v>
      </c>
      <c r="F18" s="10">
        <v>3438</v>
      </c>
      <c r="G18" s="10">
        <v>2300</v>
      </c>
      <c r="H18" s="10">
        <v>1487</v>
      </c>
      <c r="I18" s="10">
        <v>3232</v>
      </c>
      <c r="J18" s="10">
        <v>3599</v>
      </c>
      <c r="K18" s="10">
        <v>3360</v>
      </c>
      <c r="L18" s="10">
        <v>2460</v>
      </c>
      <c r="M18" s="10">
        <v>1463</v>
      </c>
      <c r="N18" s="10">
        <v>972</v>
      </c>
      <c r="O18" s="10">
        <v>6003</v>
      </c>
      <c r="P18" s="10">
        <v>7388</v>
      </c>
      <c r="Q18" s="10">
        <v>7506</v>
      </c>
      <c r="R18" s="10">
        <v>5898</v>
      </c>
      <c r="S18" s="10">
        <v>3763</v>
      </c>
      <c r="T18" s="10">
        <v>2459</v>
      </c>
      <c r="U18" s="11">
        <v>17931</v>
      </c>
      <c r="V18" s="11">
        <v>15086</v>
      </c>
      <c r="W18" s="11">
        <v>33017</v>
      </c>
      <c r="X18" s="11">
        <v>16444</v>
      </c>
      <c r="Y18" s="11">
        <v>14114</v>
      </c>
      <c r="Z18" s="11">
        <v>30558</v>
      </c>
    </row>
    <row r="19" spans="2:26" x14ac:dyDescent="0.2">
      <c r="B19" s="10" t="s">
        <v>14</v>
      </c>
      <c r="C19" s="10">
        <v>915</v>
      </c>
      <c r="D19" s="10">
        <v>888</v>
      </c>
      <c r="E19" s="10">
        <v>947</v>
      </c>
      <c r="F19" s="10">
        <v>621</v>
      </c>
      <c r="G19" s="10">
        <v>427</v>
      </c>
      <c r="H19" s="10">
        <v>331</v>
      </c>
      <c r="I19" s="10">
        <v>764</v>
      </c>
      <c r="J19" s="10">
        <v>709</v>
      </c>
      <c r="K19" s="10">
        <v>657</v>
      </c>
      <c r="L19" s="10">
        <v>474</v>
      </c>
      <c r="M19" s="10">
        <v>305</v>
      </c>
      <c r="N19" s="10">
        <v>248</v>
      </c>
      <c r="O19" s="10">
        <v>1679</v>
      </c>
      <c r="P19" s="10">
        <v>1597</v>
      </c>
      <c r="Q19" s="10">
        <v>1604</v>
      </c>
      <c r="R19" s="10">
        <v>1095</v>
      </c>
      <c r="S19" s="10">
        <v>732</v>
      </c>
      <c r="T19" s="10">
        <v>579</v>
      </c>
      <c r="U19" s="11">
        <v>4129</v>
      </c>
      <c r="V19" s="11">
        <v>3157</v>
      </c>
      <c r="W19" s="11">
        <v>7286</v>
      </c>
      <c r="X19" s="11">
        <v>3798</v>
      </c>
      <c r="Y19" s="11">
        <v>2909</v>
      </c>
      <c r="Z19" s="11">
        <v>6707</v>
      </c>
    </row>
    <row r="20" spans="2:26" x14ac:dyDescent="0.2">
      <c r="B20" s="10" t="s">
        <v>15</v>
      </c>
      <c r="C20" s="10">
        <v>2633</v>
      </c>
      <c r="D20" s="10">
        <v>3043</v>
      </c>
      <c r="E20" s="10">
        <v>3332</v>
      </c>
      <c r="F20" s="10">
        <v>2724</v>
      </c>
      <c r="G20" s="10">
        <v>1704</v>
      </c>
      <c r="H20" s="10">
        <v>1608</v>
      </c>
      <c r="I20" s="10">
        <v>3178</v>
      </c>
      <c r="J20" s="10">
        <v>3640</v>
      </c>
      <c r="K20" s="10">
        <v>4065</v>
      </c>
      <c r="L20" s="10">
        <v>3190</v>
      </c>
      <c r="M20" s="10">
        <v>2063</v>
      </c>
      <c r="N20" s="10">
        <v>1960</v>
      </c>
      <c r="O20" s="10">
        <v>5811</v>
      </c>
      <c r="P20" s="10">
        <v>6683</v>
      </c>
      <c r="Q20" s="10">
        <v>7397</v>
      </c>
      <c r="R20" s="10">
        <v>5914</v>
      </c>
      <c r="S20" s="10">
        <v>3767</v>
      </c>
      <c r="T20" s="10">
        <v>3568</v>
      </c>
      <c r="U20" s="11">
        <v>15044</v>
      </c>
      <c r="V20" s="11">
        <v>18096</v>
      </c>
      <c r="W20" s="11">
        <v>33140</v>
      </c>
      <c r="X20" s="11">
        <v>13436</v>
      </c>
      <c r="Y20" s="11">
        <v>16136</v>
      </c>
      <c r="Z20" s="11">
        <v>29572</v>
      </c>
    </row>
    <row r="21" spans="2:26" x14ac:dyDescent="0.2">
      <c r="B21" s="10" t="s">
        <v>16</v>
      </c>
      <c r="C21" s="10">
        <v>244</v>
      </c>
      <c r="D21" s="10">
        <v>391</v>
      </c>
      <c r="E21" s="10">
        <v>510</v>
      </c>
      <c r="F21" s="10">
        <v>479</v>
      </c>
      <c r="G21" s="10">
        <v>419</v>
      </c>
      <c r="H21" s="10">
        <v>746</v>
      </c>
      <c r="I21" s="10">
        <v>517</v>
      </c>
      <c r="J21" s="10">
        <v>732</v>
      </c>
      <c r="K21" s="10">
        <v>774</v>
      </c>
      <c r="L21" s="10">
        <v>757</v>
      </c>
      <c r="M21" s="10">
        <v>647</v>
      </c>
      <c r="N21" s="10">
        <v>973</v>
      </c>
      <c r="O21" s="10">
        <v>761</v>
      </c>
      <c r="P21" s="10">
        <v>1123</v>
      </c>
      <c r="Q21" s="10">
        <v>1284</v>
      </c>
      <c r="R21" s="10">
        <v>1236</v>
      </c>
      <c r="S21" s="10">
        <v>1066</v>
      </c>
      <c r="T21" s="10">
        <v>1719</v>
      </c>
      <c r="U21" s="11">
        <v>2789</v>
      </c>
      <c r="V21" s="11">
        <v>4400</v>
      </c>
      <c r="W21" s="11">
        <v>7189</v>
      </c>
      <c r="X21" s="11">
        <v>2043</v>
      </c>
      <c r="Y21" s="11">
        <v>3427</v>
      </c>
      <c r="Z21" s="11">
        <v>5470</v>
      </c>
    </row>
    <row r="22" spans="2:26" x14ac:dyDescent="0.2">
      <c r="B22" s="10" t="s">
        <v>17</v>
      </c>
      <c r="C22" s="10">
        <v>450</v>
      </c>
      <c r="D22" s="10">
        <v>800</v>
      </c>
      <c r="E22" s="10">
        <v>1183</v>
      </c>
      <c r="F22" s="10">
        <v>1163</v>
      </c>
      <c r="G22" s="10">
        <v>958</v>
      </c>
      <c r="H22" s="10">
        <v>1083</v>
      </c>
      <c r="I22" s="10">
        <v>2713</v>
      </c>
      <c r="J22" s="10">
        <v>4167</v>
      </c>
      <c r="K22" s="10">
        <v>4201</v>
      </c>
      <c r="L22" s="10">
        <v>3652</v>
      </c>
      <c r="M22" s="10">
        <v>2556</v>
      </c>
      <c r="N22" s="10">
        <v>2147</v>
      </c>
      <c r="O22" s="10">
        <v>3163</v>
      </c>
      <c r="P22" s="10">
        <v>4967</v>
      </c>
      <c r="Q22" s="10">
        <v>5384</v>
      </c>
      <c r="R22" s="10">
        <v>4815</v>
      </c>
      <c r="S22" s="10">
        <v>3514</v>
      </c>
      <c r="T22" s="10">
        <v>3230</v>
      </c>
      <c r="U22" s="11">
        <v>5637</v>
      </c>
      <c r="V22" s="11">
        <v>19436</v>
      </c>
      <c r="W22" s="11">
        <v>25073</v>
      </c>
      <c r="X22" s="11">
        <v>4554</v>
      </c>
      <c r="Y22" s="11">
        <v>17289</v>
      </c>
      <c r="Z22" s="11">
        <v>21843</v>
      </c>
    </row>
    <row r="23" spans="2:26" x14ac:dyDescent="0.2">
      <c r="B23" s="10" t="s">
        <v>18</v>
      </c>
      <c r="C23" s="10">
        <v>520</v>
      </c>
      <c r="D23" s="10">
        <v>781</v>
      </c>
      <c r="E23" s="10">
        <v>858</v>
      </c>
      <c r="F23" s="10">
        <v>794</v>
      </c>
      <c r="G23" s="10">
        <v>652</v>
      </c>
      <c r="H23" s="10">
        <v>842</v>
      </c>
      <c r="I23" s="10">
        <v>2284</v>
      </c>
      <c r="J23" s="10">
        <v>3187</v>
      </c>
      <c r="K23" s="10">
        <v>3129</v>
      </c>
      <c r="L23" s="10">
        <v>2591</v>
      </c>
      <c r="M23" s="10">
        <v>1906</v>
      </c>
      <c r="N23" s="10">
        <v>2026</v>
      </c>
      <c r="O23" s="10">
        <v>2804</v>
      </c>
      <c r="P23" s="10">
        <v>3968</v>
      </c>
      <c r="Q23" s="10">
        <v>3987</v>
      </c>
      <c r="R23" s="10">
        <v>3385</v>
      </c>
      <c r="S23" s="10">
        <v>2558</v>
      </c>
      <c r="T23" s="10">
        <v>2868</v>
      </c>
      <c r="U23" s="11">
        <v>4447</v>
      </c>
      <c r="V23" s="11">
        <v>15123</v>
      </c>
      <c r="W23" s="11">
        <v>19570</v>
      </c>
      <c r="X23" s="11">
        <v>3605</v>
      </c>
      <c r="Y23" s="11">
        <v>13097</v>
      </c>
      <c r="Z23" s="11">
        <v>16702</v>
      </c>
    </row>
    <row r="24" spans="2:26" x14ac:dyDescent="0.2">
      <c r="B24" s="10" t="s">
        <v>19</v>
      </c>
      <c r="C24" s="10">
        <v>64</v>
      </c>
      <c r="D24" s="10">
        <v>93</v>
      </c>
      <c r="E24" s="10">
        <v>107</v>
      </c>
      <c r="F24" s="10">
        <v>100</v>
      </c>
      <c r="G24" s="10">
        <v>112</v>
      </c>
      <c r="H24" s="10">
        <v>182</v>
      </c>
      <c r="I24" s="10">
        <v>104</v>
      </c>
      <c r="J24" s="10">
        <v>123</v>
      </c>
      <c r="K24" s="10">
        <v>128</v>
      </c>
      <c r="L24" s="10">
        <v>150</v>
      </c>
      <c r="M24" s="10">
        <v>117</v>
      </c>
      <c r="N24" s="10">
        <v>149</v>
      </c>
      <c r="O24" s="10">
        <v>168</v>
      </c>
      <c r="P24" s="10">
        <v>216</v>
      </c>
      <c r="Q24" s="10">
        <v>235</v>
      </c>
      <c r="R24" s="10">
        <v>250</v>
      </c>
      <c r="S24" s="10">
        <v>229</v>
      </c>
      <c r="T24" s="10">
        <v>331</v>
      </c>
      <c r="U24" s="11">
        <v>658</v>
      </c>
      <c r="V24" s="11">
        <v>771</v>
      </c>
      <c r="W24" s="11">
        <v>1429</v>
      </c>
      <c r="X24" s="11">
        <v>476</v>
      </c>
      <c r="Y24" s="11">
        <v>622</v>
      </c>
      <c r="Z24" s="11">
        <v>1098</v>
      </c>
    </row>
    <row r="25" spans="2:26" x14ac:dyDescent="0.2">
      <c r="B25" s="10" t="s">
        <v>20</v>
      </c>
      <c r="C25" s="10">
        <v>2513</v>
      </c>
      <c r="D25" s="10">
        <v>2349</v>
      </c>
      <c r="E25" s="10">
        <v>2863</v>
      </c>
      <c r="F25" s="10">
        <v>2286</v>
      </c>
      <c r="G25" s="10">
        <v>1375</v>
      </c>
      <c r="H25" s="10">
        <v>1130</v>
      </c>
      <c r="I25" s="10">
        <v>5319</v>
      </c>
      <c r="J25" s="10">
        <v>4652</v>
      </c>
      <c r="K25" s="10">
        <v>5248</v>
      </c>
      <c r="L25" s="10">
        <v>3557</v>
      </c>
      <c r="M25" s="10">
        <v>1731</v>
      </c>
      <c r="N25" s="10">
        <v>1127</v>
      </c>
      <c r="O25" s="10">
        <v>7832</v>
      </c>
      <c r="P25" s="10">
        <v>7001</v>
      </c>
      <c r="Q25" s="10">
        <v>8111</v>
      </c>
      <c r="R25" s="10">
        <v>5843</v>
      </c>
      <c r="S25" s="10">
        <v>3106</v>
      </c>
      <c r="T25" s="10">
        <v>2257</v>
      </c>
      <c r="U25" s="11">
        <v>12516</v>
      </c>
      <c r="V25" s="11">
        <v>21634</v>
      </c>
      <c r="W25" s="11">
        <v>34150</v>
      </c>
      <c r="X25" s="11">
        <v>11386</v>
      </c>
      <c r="Y25" s="11">
        <v>20507</v>
      </c>
      <c r="Z25" s="11">
        <v>31893</v>
      </c>
    </row>
    <row r="26" spans="2:26" x14ac:dyDescent="0.2">
      <c r="B26" s="10" t="s">
        <v>21</v>
      </c>
      <c r="C26" s="10">
        <v>372</v>
      </c>
      <c r="D26" s="10">
        <v>449</v>
      </c>
      <c r="E26" s="10">
        <v>820</v>
      </c>
      <c r="F26" s="10">
        <v>671</v>
      </c>
      <c r="G26" s="10">
        <v>412</v>
      </c>
      <c r="H26" s="10">
        <v>328</v>
      </c>
      <c r="I26" s="10">
        <v>1169</v>
      </c>
      <c r="J26" s="10">
        <v>1499</v>
      </c>
      <c r="K26" s="10">
        <v>2291</v>
      </c>
      <c r="L26" s="10">
        <v>1684</v>
      </c>
      <c r="M26" s="10">
        <v>845</v>
      </c>
      <c r="N26" s="10">
        <v>555</v>
      </c>
      <c r="O26" s="10">
        <v>1541</v>
      </c>
      <c r="P26" s="10">
        <v>1948</v>
      </c>
      <c r="Q26" s="10">
        <v>3111</v>
      </c>
      <c r="R26" s="10">
        <v>2355</v>
      </c>
      <c r="S26" s="10">
        <v>1257</v>
      </c>
      <c r="T26" s="10">
        <v>883</v>
      </c>
      <c r="U26" s="11">
        <v>3052</v>
      </c>
      <c r="V26" s="11">
        <v>8043</v>
      </c>
      <c r="W26" s="11">
        <v>11095</v>
      </c>
      <c r="X26" s="11">
        <v>2724</v>
      </c>
      <c r="Y26" s="11">
        <v>7488</v>
      </c>
      <c r="Z26" s="11">
        <v>10212</v>
      </c>
    </row>
    <row r="27" spans="2:26" x14ac:dyDescent="0.2">
      <c r="B27" s="10" t="s">
        <v>22</v>
      </c>
      <c r="C27" s="10">
        <v>3710</v>
      </c>
      <c r="D27" s="10">
        <v>4328</v>
      </c>
      <c r="E27" s="10">
        <v>5086</v>
      </c>
      <c r="F27" s="10">
        <v>4385</v>
      </c>
      <c r="G27" s="10">
        <v>2734</v>
      </c>
      <c r="H27" s="10">
        <v>1650</v>
      </c>
      <c r="I27" s="10">
        <v>8198</v>
      </c>
      <c r="J27" s="10">
        <v>10274</v>
      </c>
      <c r="K27" s="10">
        <v>12870</v>
      </c>
      <c r="L27" s="10">
        <v>11220</v>
      </c>
      <c r="M27" s="10">
        <v>6610</v>
      </c>
      <c r="N27" s="10">
        <v>3278</v>
      </c>
      <c r="O27" s="10">
        <v>11908</v>
      </c>
      <c r="P27" s="10">
        <v>14602</v>
      </c>
      <c r="Q27" s="10">
        <v>17956</v>
      </c>
      <c r="R27" s="10">
        <v>15605</v>
      </c>
      <c r="S27" s="10">
        <v>9344</v>
      </c>
      <c r="T27" s="10">
        <v>4928</v>
      </c>
      <c r="U27" s="11">
        <v>21893</v>
      </c>
      <c r="V27" s="11">
        <v>52450</v>
      </c>
      <c r="W27" s="11">
        <v>74343</v>
      </c>
      <c r="X27" s="11">
        <v>20243</v>
      </c>
      <c r="Y27" s="11">
        <v>49172</v>
      </c>
      <c r="Z27" s="11">
        <v>69415</v>
      </c>
    </row>
    <row r="28" spans="2:26" x14ac:dyDescent="0.2">
      <c r="B28" s="10" t="s">
        <v>51</v>
      </c>
      <c r="C28" s="10">
        <v>402</v>
      </c>
      <c r="D28" s="10">
        <v>707</v>
      </c>
      <c r="E28" s="10">
        <v>1445</v>
      </c>
      <c r="F28" s="10">
        <v>1400</v>
      </c>
      <c r="G28" s="10">
        <v>707</v>
      </c>
      <c r="H28" s="10">
        <v>347</v>
      </c>
      <c r="I28" s="10">
        <v>728</v>
      </c>
      <c r="J28" s="10">
        <v>1339</v>
      </c>
      <c r="K28" s="10">
        <v>2259</v>
      </c>
      <c r="L28" s="10">
        <v>1784</v>
      </c>
      <c r="M28" s="10">
        <v>729</v>
      </c>
      <c r="N28" s="10">
        <v>319</v>
      </c>
      <c r="O28" s="10">
        <v>1130</v>
      </c>
      <c r="P28" s="10">
        <v>2046</v>
      </c>
      <c r="Q28" s="10">
        <v>3704</v>
      </c>
      <c r="R28" s="10">
        <v>3184</v>
      </c>
      <c r="S28" s="10">
        <v>1436</v>
      </c>
      <c r="T28" s="10">
        <v>666</v>
      </c>
      <c r="U28" s="11">
        <v>5008</v>
      </c>
      <c r="V28" s="11">
        <v>7158</v>
      </c>
      <c r="W28" s="11">
        <v>12166</v>
      </c>
      <c r="X28" s="11">
        <v>4661</v>
      </c>
      <c r="Y28" s="11">
        <v>6839</v>
      </c>
      <c r="Z28" s="11">
        <v>11500</v>
      </c>
    </row>
    <row r="29" spans="2:26" x14ac:dyDescent="0.2">
      <c r="B29" s="10" t="s">
        <v>23</v>
      </c>
      <c r="C29" s="10">
        <v>219</v>
      </c>
      <c r="D29" s="10">
        <v>383</v>
      </c>
      <c r="E29" s="10">
        <v>487</v>
      </c>
      <c r="F29" s="10">
        <v>494</v>
      </c>
      <c r="G29" s="10">
        <v>364</v>
      </c>
      <c r="H29" s="10">
        <v>492</v>
      </c>
      <c r="I29" s="10">
        <v>462</v>
      </c>
      <c r="J29" s="10">
        <v>1054</v>
      </c>
      <c r="K29" s="10">
        <v>1244</v>
      </c>
      <c r="L29" s="10">
        <v>1011</v>
      </c>
      <c r="M29" s="10">
        <v>497</v>
      </c>
      <c r="N29" s="10">
        <v>482</v>
      </c>
      <c r="O29" s="10">
        <v>681</v>
      </c>
      <c r="P29" s="10">
        <v>1437</v>
      </c>
      <c r="Q29" s="10">
        <v>1731</v>
      </c>
      <c r="R29" s="10">
        <v>1505</v>
      </c>
      <c r="S29" s="10">
        <v>861</v>
      </c>
      <c r="T29" s="10">
        <v>974</v>
      </c>
      <c r="U29" s="11">
        <v>2439</v>
      </c>
      <c r="V29" s="11">
        <v>4750</v>
      </c>
      <c r="W29" s="11">
        <v>7189</v>
      </c>
      <c r="X29" s="11">
        <v>1947</v>
      </c>
      <c r="Y29" s="11">
        <v>4268</v>
      </c>
      <c r="Z29" s="11">
        <v>6215</v>
      </c>
    </row>
    <row r="30" spans="2:26" x14ac:dyDescent="0.2">
      <c r="B30" s="10" t="s">
        <v>24</v>
      </c>
      <c r="C30" s="10">
        <v>1180</v>
      </c>
      <c r="D30" s="10">
        <v>974</v>
      </c>
      <c r="E30" s="10">
        <v>885</v>
      </c>
      <c r="F30" s="10">
        <v>647</v>
      </c>
      <c r="G30" s="10">
        <v>447</v>
      </c>
      <c r="H30" s="10">
        <v>323</v>
      </c>
      <c r="I30" s="10">
        <v>2454</v>
      </c>
      <c r="J30" s="10">
        <v>2280</v>
      </c>
      <c r="K30" s="10">
        <v>2169</v>
      </c>
      <c r="L30" s="10">
        <v>1837</v>
      </c>
      <c r="M30" s="10">
        <v>1187</v>
      </c>
      <c r="N30" s="10">
        <v>857</v>
      </c>
      <c r="O30" s="10">
        <v>3634</v>
      </c>
      <c r="P30" s="10">
        <v>3254</v>
      </c>
      <c r="Q30" s="10">
        <v>3054</v>
      </c>
      <c r="R30" s="10">
        <v>2484</v>
      </c>
      <c r="S30" s="10">
        <v>1634</v>
      </c>
      <c r="T30" s="10">
        <v>1180</v>
      </c>
      <c r="U30" s="11">
        <v>4456</v>
      </c>
      <c r="V30" s="11">
        <v>10784</v>
      </c>
      <c r="W30" s="11">
        <v>15240</v>
      </c>
      <c r="X30" s="11">
        <v>4133</v>
      </c>
      <c r="Y30" s="11">
        <v>9927</v>
      </c>
      <c r="Z30" s="11">
        <v>14060</v>
      </c>
    </row>
    <row r="31" spans="2:26" x14ac:dyDescent="0.2">
      <c r="B31" s="10" t="s">
        <v>25</v>
      </c>
      <c r="C31" s="10">
        <v>842</v>
      </c>
      <c r="D31" s="10">
        <v>483</v>
      </c>
      <c r="E31" s="10">
        <v>384</v>
      </c>
      <c r="F31" s="10">
        <v>333</v>
      </c>
      <c r="G31" s="10">
        <v>232</v>
      </c>
      <c r="H31" s="10">
        <v>160</v>
      </c>
      <c r="I31" s="10">
        <v>1385</v>
      </c>
      <c r="J31" s="10">
        <v>1018</v>
      </c>
      <c r="K31" s="10">
        <v>996</v>
      </c>
      <c r="L31" s="10">
        <v>839</v>
      </c>
      <c r="M31" s="10">
        <v>580</v>
      </c>
      <c r="N31" s="10">
        <v>329</v>
      </c>
      <c r="O31" s="10">
        <v>2227</v>
      </c>
      <c r="P31" s="10">
        <v>1501</v>
      </c>
      <c r="Q31" s="10">
        <v>1380</v>
      </c>
      <c r="R31" s="10">
        <v>1172</v>
      </c>
      <c r="S31" s="10">
        <v>812</v>
      </c>
      <c r="T31" s="10">
        <v>489</v>
      </c>
      <c r="U31" s="11">
        <v>2434</v>
      </c>
      <c r="V31" s="11">
        <v>5147</v>
      </c>
      <c r="W31" s="11">
        <v>7581</v>
      </c>
      <c r="X31" s="11">
        <v>2274</v>
      </c>
      <c r="Y31" s="11">
        <v>4818</v>
      </c>
      <c r="Z31" s="11">
        <v>7092</v>
      </c>
    </row>
    <row r="32" spans="2:26" x14ac:dyDescent="0.2">
      <c r="B32" s="10" t="s">
        <v>26</v>
      </c>
      <c r="C32" s="10">
        <v>376</v>
      </c>
      <c r="D32" s="10">
        <v>347</v>
      </c>
      <c r="E32" s="10">
        <v>265</v>
      </c>
      <c r="F32" s="10">
        <v>179</v>
      </c>
      <c r="G32" s="10">
        <v>112</v>
      </c>
      <c r="H32" s="10">
        <v>72</v>
      </c>
      <c r="I32" s="10">
        <v>773</v>
      </c>
      <c r="J32" s="10">
        <v>757</v>
      </c>
      <c r="K32" s="10">
        <v>619</v>
      </c>
      <c r="L32" s="10">
        <v>462</v>
      </c>
      <c r="M32" s="10">
        <v>317</v>
      </c>
      <c r="N32" s="10">
        <v>237</v>
      </c>
      <c r="O32" s="10">
        <v>1149</v>
      </c>
      <c r="P32" s="10">
        <v>1104</v>
      </c>
      <c r="Q32" s="10">
        <v>884</v>
      </c>
      <c r="R32" s="10">
        <v>641</v>
      </c>
      <c r="S32" s="10">
        <v>429</v>
      </c>
      <c r="T32" s="10">
        <v>309</v>
      </c>
      <c r="U32" s="11">
        <v>1351</v>
      </c>
      <c r="V32" s="11">
        <v>3165</v>
      </c>
      <c r="W32" s="11">
        <v>4516</v>
      </c>
      <c r="X32" s="11">
        <v>1279</v>
      </c>
      <c r="Y32" s="11">
        <v>2928</v>
      </c>
      <c r="Z32" s="11">
        <v>4207</v>
      </c>
    </row>
    <row r="33" spans="1:73" x14ac:dyDescent="0.2">
      <c r="B33" s="10" t="s">
        <v>27</v>
      </c>
      <c r="C33" s="10">
        <v>519</v>
      </c>
      <c r="D33" s="10">
        <v>376</v>
      </c>
      <c r="E33" s="10">
        <v>253</v>
      </c>
      <c r="F33" s="10">
        <v>163</v>
      </c>
      <c r="G33" s="10">
        <v>106</v>
      </c>
      <c r="H33" s="10">
        <v>167</v>
      </c>
      <c r="I33" s="10">
        <v>821</v>
      </c>
      <c r="J33" s="10">
        <v>567</v>
      </c>
      <c r="K33" s="10">
        <v>342</v>
      </c>
      <c r="L33" s="10">
        <v>177</v>
      </c>
      <c r="M33" s="10">
        <v>80</v>
      </c>
      <c r="N33" s="10">
        <v>89</v>
      </c>
      <c r="O33" s="10">
        <v>1340</v>
      </c>
      <c r="P33" s="10">
        <v>943</v>
      </c>
      <c r="Q33" s="10">
        <v>595</v>
      </c>
      <c r="R33" s="10">
        <v>340</v>
      </c>
      <c r="S33" s="10">
        <v>186</v>
      </c>
      <c r="T33" s="10">
        <v>256</v>
      </c>
      <c r="U33" s="11">
        <v>1584</v>
      </c>
      <c r="V33" s="11">
        <v>2076</v>
      </c>
      <c r="W33" s="11">
        <v>3660</v>
      </c>
      <c r="X33" s="11">
        <v>1417</v>
      </c>
      <c r="Y33" s="11">
        <v>1987</v>
      </c>
      <c r="Z33" s="11">
        <v>3404</v>
      </c>
    </row>
    <row r="34" spans="1:73" x14ac:dyDescent="0.2">
      <c r="B34" s="10" t="s">
        <v>28</v>
      </c>
      <c r="C34" s="10">
        <v>635</v>
      </c>
      <c r="D34" s="10">
        <v>467</v>
      </c>
      <c r="E34" s="10">
        <v>432</v>
      </c>
      <c r="F34" s="10">
        <v>300</v>
      </c>
      <c r="G34" s="10">
        <v>159</v>
      </c>
      <c r="H34" s="10">
        <v>147</v>
      </c>
      <c r="I34" s="10">
        <v>847</v>
      </c>
      <c r="J34" s="10">
        <v>720</v>
      </c>
      <c r="K34" s="10">
        <v>608</v>
      </c>
      <c r="L34" s="10">
        <v>355</v>
      </c>
      <c r="M34" s="10">
        <v>198</v>
      </c>
      <c r="N34" s="10">
        <v>151</v>
      </c>
      <c r="O34" s="10">
        <v>1482</v>
      </c>
      <c r="P34" s="10">
        <v>1187</v>
      </c>
      <c r="Q34" s="10">
        <v>1040</v>
      </c>
      <c r="R34" s="10">
        <v>655</v>
      </c>
      <c r="S34" s="10">
        <v>357</v>
      </c>
      <c r="T34" s="10">
        <v>298</v>
      </c>
      <c r="U34" s="11">
        <v>2140</v>
      </c>
      <c r="V34" s="11">
        <v>2879</v>
      </c>
      <c r="W34" s="11">
        <v>5019</v>
      </c>
      <c r="X34" s="11">
        <v>1993</v>
      </c>
      <c r="Y34" s="11">
        <v>2728</v>
      </c>
      <c r="Z34" s="11">
        <v>4721</v>
      </c>
    </row>
    <row r="35" spans="1:73" x14ac:dyDescent="0.2">
      <c r="B35" s="10" t="s">
        <v>29</v>
      </c>
      <c r="C35" s="10">
        <v>336</v>
      </c>
      <c r="D35" s="10">
        <v>449</v>
      </c>
      <c r="E35" s="10">
        <v>419</v>
      </c>
      <c r="F35" s="10">
        <v>314</v>
      </c>
      <c r="G35" s="10">
        <v>151</v>
      </c>
      <c r="H35" s="10">
        <v>170</v>
      </c>
      <c r="I35" s="10">
        <v>825</v>
      </c>
      <c r="J35" s="10">
        <v>1204</v>
      </c>
      <c r="K35" s="10">
        <v>1308</v>
      </c>
      <c r="L35" s="10">
        <v>1005</v>
      </c>
      <c r="M35" s="10">
        <v>564</v>
      </c>
      <c r="N35" s="10">
        <v>416</v>
      </c>
      <c r="O35" s="10">
        <v>1161</v>
      </c>
      <c r="P35" s="10">
        <v>1653</v>
      </c>
      <c r="Q35" s="10">
        <v>1727</v>
      </c>
      <c r="R35" s="10">
        <v>1319</v>
      </c>
      <c r="S35" s="10">
        <v>715</v>
      </c>
      <c r="T35" s="10">
        <v>586</v>
      </c>
      <c r="U35" s="11">
        <v>1839</v>
      </c>
      <c r="V35" s="11">
        <v>5322</v>
      </c>
      <c r="W35" s="11">
        <v>7161</v>
      </c>
      <c r="X35" s="11">
        <v>1669</v>
      </c>
      <c r="Y35" s="11">
        <v>4906</v>
      </c>
      <c r="Z35" s="11">
        <v>6575</v>
      </c>
    </row>
    <row r="36" spans="1:73" x14ac:dyDescent="0.2">
      <c r="B36" s="10" t="s">
        <v>30</v>
      </c>
      <c r="C36" s="10">
        <v>559</v>
      </c>
      <c r="D36" s="10">
        <v>493</v>
      </c>
      <c r="E36" s="10">
        <v>598</v>
      </c>
      <c r="F36" s="10">
        <v>507</v>
      </c>
      <c r="G36" s="10">
        <v>283</v>
      </c>
      <c r="H36" s="10">
        <v>211</v>
      </c>
      <c r="I36" s="10">
        <v>773</v>
      </c>
      <c r="J36" s="10">
        <v>704</v>
      </c>
      <c r="K36" s="10">
        <v>844</v>
      </c>
      <c r="L36" s="10">
        <v>625</v>
      </c>
      <c r="M36" s="10">
        <v>335</v>
      </c>
      <c r="N36" s="10">
        <v>195</v>
      </c>
      <c r="O36" s="10">
        <v>1332</v>
      </c>
      <c r="P36" s="10">
        <v>1197</v>
      </c>
      <c r="Q36" s="10">
        <v>1442</v>
      </c>
      <c r="R36" s="10">
        <v>1132</v>
      </c>
      <c r="S36" s="10">
        <v>618</v>
      </c>
      <c r="T36" s="10">
        <v>406</v>
      </c>
      <c r="U36" s="11">
        <v>2651</v>
      </c>
      <c r="V36" s="11">
        <v>3476</v>
      </c>
      <c r="W36" s="11">
        <v>6127</v>
      </c>
      <c r="X36" s="11">
        <v>2440</v>
      </c>
      <c r="Y36" s="11">
        <v>3281</v>
      </c>
      <c r="Z36" s="11">
        <v>5721</v>
      </c>
    </row>
    <row r="37" spans="1:73" x14ac:dyDescent="0.2">
      <c r="B37" s="10" t="s">
        <v>31</v>
      </c>
      <c r="C37" s="10">
        <v>689</v>
      </c>
      <c r="D37" s="10">
        <v>1131</v>
      </c>
      <c r="E37" s="10">
        <v>2243</v>
      </c>
      <c r="F37" s="10">
        <v>2663</v>
      </c>
      <c r="G37" s="10">
        <v>1862</v>
      </c>
      <c r="H37" s="10">
        <v>998</v>
      </c>
      <c r="I37" s="10">
        <v>1016</v>
      </c>
      <c r="J37" s="10">
        <v>1079</v>
      </c>
      <c r="K37" s="10">
        <v>1469</v>
      </c>
      <c r="L37" s="10">
        <v>1376</v>
      </c>
      <c r="M37" s="10">
        <v>865</v>
      </c>
      <c r="N37" s="10">
        <v>462</v>
      </c>
      <c r="O37" s="10">
        <v>1705</v>
      </c>
      <c r="P37" s="10">
        <v>2210</v>
      </c>
      <c r="Q37" s="10">
        <v>3712</v>
      </c>
      <c r="R37" s="10">
        <v>4039</v>
      </c>
      <c r="S37" s="10">
        <v>2727</v>
      </c>
      <c r="T37" s="10">
        <v>1460</v>
      </c>
      <c r="U37" s="11">
        <v>9586</v>
      </c>
      <c r="V37" s="11">
        <v>6267</v>
      </c>
      <c r="W37" s="11">
        <v>15853</v>
      </c>
      <c r="X37" s="11">
        <v>8588</v>
      </c>
      <c r="Y37" s="11">
        <v>5805</v>
      </c>
      <c r="Z37" s="11">
        <v>14393</v>
      </c>
    </row>
    <row r="38" spans="1:73" x14ac:dyDescent="0.2">
      <c r="B38" s="10" t="s">
        <v>32</v>
      </c>
      <c r="C38" s="10">
        <v>5452</v>
      </c>
      <c r="D38" s="10">
        <v>6738</v>
      </c>
      <c r="E38" s="10">
        <v>8172</v>
      </c>
      <c r="F38" s="10">
        <v>8606</v>
      </c>
      <c r="G38" s="10">
        <v>6450</v>
      </c>
      <c r="H38" s="10">
        <v>6319</v>
      </c>
      <c r="I38" s="10">
        <v>5484</v>
      </c>
      <c r="J38" s="10">
        <v>7158</v>
      </c>
      <c r="K38" s="10">
        <v>9275</v>
      </c>
      <c r="L38" s="10">
        <v>9583</v>
      </c>
      <c r="M38" s="10">
        <v>7366</v>
      </c>
      <c r="N38" s="10">
        <v>7231</v>
      </c>
      <c r="O38" s="10">
        <v>10936</v>
      </c>
      <c r="P38" s="10">
        <v>13896</v>
      </c>
      <c r="Q38" s="10">
        <v>17447</v>
      </c>
      <c r="R38" s="10">
        <v>18189</v>
      </c>
      <c r="S38" s="10">
        <v>13816</v>
      </c>
      <c r="T38" s="10">
        <v>13550</v>
      </c>
      <c r="U38" s="11">
        <v>41737</v>
      </c>
      <c r="V38" s="11">
        <v>46097</v>
      </c>
      <c r="W38" s="11">
        <v>87834</v>
      </c>
      <c r="X38" s="11">
        <v>35418</v>
      </c>
      <c r="Y38" s="11">
        <v>38866</v>
      </c>
      <c r="Z38" s="11">
        <v>74284</v>
      </c>
    </row>
    <row r="39" spans="1:73" x14ac:dyDescent="0.2">
      <c r="B39" s="10" t="s">
        <v>46</v>
      </c>
      <c r="C39" s="10">
        <v>55347</v>
      </c>
      <c r="D39" s="10">
        <v>56758</v>
      </c>
      <c r="E39" s="10">
        <v>64669</v>
      </c>
      <c r="F39" s="10">
        <v>58701</v>
      </c>
      <c r="G39" s="10">
        <v>40930</v>
      </c>
      <c r="H39" s="10">
        <v>36225</v>
      </c>
      <c r="I39" s="10">
        <v>65507</v>
      </c>
      <c r="J39" s="10">
        <v>71808</v>
      </c>
      <c r="K39" s="10">
        <v>79077</v>
      </c>
      <c r="L39" s="10">
        <v>66328</v>
      </c>
      <c r="M39" s="10">
        <v>42964</v>
      </c>
      <c r="N39" s="10">
        <v>34048</v>
      </c>
      <c r="O39" s="10">
        <v>120854</v>
      </c>
      <c r="P39" s="10">
        <v>128566</v>
      </c>
      <c r="Q39" s="10">
        <v>143746</v>
      </c>
      <c r="R39" s="10">
        <v>125029</v>
      </c>
      <c r="S39" s="10">
        <v>83894</v>
      </c>
      <c r="T39" s="10">
        <v>70273</v>
      </c>
      <c r="U39" s="11">
        <v>312630</v>
      </c>
      <c r="V39" s="11">
        <v>359732</v>
      </c>
      <c r="W39" s="11">
        <v>672362</v>
      </c>
      <c r="X39" s="11">
        <v>276405</v>
      </c>
      <c r="Y39" s="11">
        <v>325684</v>
      </c>
      <c r="Z39" s="11">
        <v>602089</v>
      </c>
      <c r="AC39" s="118"/>
      <c r="AD39" s="118"/>
      <c r="AE39" s="118"/>
      <c r="AF39" s="118"/>
      <c r="AG39" s="118"/>
      <c r="AH39" s="118"/>
      <c r="AI39" s="118"/>
      <c r="AJ39" s="118"/>
      <c r="AK39" s="118"/>
      <c r="AL39" s="118"/>
      <c r="AM39" s="118"/>
      <c r="AN39" s="118"/>
      <c r="AO39" s="118"/>
      <c r="AP39" s="118"/>
      <c r="AQ39" s="118"/>
      <c r="AR39" s="118"/>
      <c r="AS39" s="118"/>
      <c r="AT39" s="118"/>
      <c r="AU39" s="118"/>
      <c r="AV39" s="118"/>
      <c r="AW39" s="118"/>
      <c r="BA39" s="119"/>
      <c r="BB39" s="119"/>
      <c r="BC39" s="119"/>
      <c r="BD39" s="119"/>
      <c r="BE39" s="119"/>
      <c r="BF39" s="119"/>
      <c r="BG39" s="119"/>
      <c r="BH39" s="119"/>
      <c r="BI39" s="119"/>
      <c r="BJ39" s="119"/>
      <c r="BK39" s="119"/>
      <c r="BL39" s="119"/>
      <c r="BM39" s="119"/>
      <c r="BN39" s="119"/>
      <c r="BO39" s="119"/>
      <c r="BP39" s="119"/>
      <c r="BQ39" s="119"/>
      <c r="BR39" s="119"/>
      <c r="BS39" s="119"/>
      <c r="BT39" s="119"/>
      <c r="BU39" s="119"/>
    </row>
    <row r="40" spans="1:73" x14ac:dyDescent="0.2">
      <c r="AC40" s="74"/>
      <c r="AD40" s="74"/>
      <c r="AE40" s="74"/>
      <c r="AF40" s="74"/>
      <c r="AG40" s="74"/>
      <c r="AH40" s="74"/>
      <c r="AI40" s="74"/>
      <c r="AJ40" s="74"/>
      <c r="AK40" s="74"/>
      <c r="AL40" s="74"/>
      <c r="AM40" s="74"/>
      <c r="AN40" s="74"/>
      <c r="AO40" s="74"/>
      <c r="AP40" s="74"/>
      <c r="AQ40" s="74"/>
      <c r="AR40" s="74"/>
      <c r="AS40" s="74"/>
      <c r="AT40" s="74"/>
      <c r="AU40" s="74"/>
      <c r="AV40" s="74"/>
      <c r="AW40" s="74"/>
      <c r="BA40" s="77"/>
      <c r="BB40" s="77"/>
      <c r="BC40" s="77"/>
      <c r="BD40" s="77"/>
      <c r="BE40" s="77"/>
      <c r="BF40" s="77"/>
      <c r="BG40" s="77"/>
      <c r="BH40" s="77"/>
      <c r="BI40" s="77"/>
      <c r="BJ40" s="77"/>
      <c r="BK40" s="77"/>
      <c r="BL40" s="77"/>
      <c r="BM40" s="77"/>
      <c r="BN40" s="77"/>
      <c r="BO40" s="77"/>
      <c r="BP40" s="77"/>
      <c r="BQ40" s="77"/>
      <c r="BR40" s="77"/>
      <c r="BS40" s="77"/>
      <c r="BT40" s="77"/>
      <c r="BU40" s="77"/>
    </row>
    <row r="41" spans="1:73" x14ac:dyDescent="0.2">
      <c r="A41" s="14"/>
      <c r="B41" s="10" t="s">
        <v>0</v>
      </c>
      <c r="C41" s="4">
        <v>16</v>
      </c>
      <c r="D41" s="4">
        <v>18.2</v>
      </c>
      <c r="E41" s="4">
        <v>19.3</v>
      </c>
      <c r="F41" s="4">
        <v>18.600000000000001</v>
      </c>
      <c r="G41" s="4">
        <v>15.4</v>
      </c>
      <c r="H41" s="4">
        <v>87.5</v>
      </c>
      <c r="I41" s="13">
        <v>17752</v>
      </c>
      <c r="J41" s="4">
        <v>18.8</v>
      </c>
      <c r="K41" s="4">
        <v>20.8</v>
      </c>
      <c r="L41" s="4">
        <v>20.2</v>
      </c>
      <c r="M41" s="4">
        <v>17.100000000000001</v>
      </c>
      <c r="N41" s="4">
        <v>13</v>
      </c>
      <c r="O41" s="4">
        <v>90.1</v>
      </c>
      <c r="P41" s="13">
        <v>28438</v>
      </c>
      <c r="Q41" s="4">
        <v>17.7</v>
      </c>
      <c r="R41" s="4">
        <v>19.8</v>
      </c>
      <c r="S41" s="4">
        <v>19.899999999999999</v>
      </c>
      <c r="T41" s="4">
        <v>17.7</v>
      </c>
      <c r="U41" s="4">
        <v>13.9</v>
      </c>
      <c r="V41" s="4">
        <v>89.1</v>
      </c>
      <c r="W41" s="13">
        <v>46190</v>
      </c>
      <c r="X41" s="14"/>
      <c r="Y41" s="14"/>
      <c r="Z41" s="14"/>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Y41" s="77"/>
      <c r="AZ41" s="77"/>
      <c r="BA41" s="77"/>
      <c r="BB41" s="77"/>
      <c r="BC41" s="77"/>
      <c r="BD41" s="77"/>
      <c r="BE41" s="77"/>
      <c r="BF41" s="77"/>
      <c r="BG41" s="77"/>
      <c r="BH41" s="77"/>
      <c r="BI41" s="77"/>
      <c r="BJ41" s="77"/>
      <c r="BK41" s="77"/>
      <c r="BL41" s="77"/>
      <c r="BM41" s="77"/>
      <c r="BN41" s="77"/>
      <c r="BO41" s="77"/>
      <c r="BP41" s="77"/>
      <c r="BQ41" s="77"/>
      <c r="BR41" s="77"/>
      <c r="BS41" s="77"/>
      <c r="BT41" s="77"/>
      <c r="BU41" s="77"/>
    </row>
    <row r="42" spans="1:73" x14ac:dyDescent="0.2">
      <c r="A42" s="14"/>
      <c r="B42" s="10" t="s">
        <v>1</v>
      </c>
      <c r="C42" s="4">
        <v>24.1</v>
      </c>
      <c r="D42" s="4">
        <v>21.3</v>
      </c>
      <c r="E42" s="4">
        <v>18.399999999999999</v>
      </c>
      <c r="F42" s="4">
        <v>15.1</v>
      </c>
      <c r="G42" s="4">
        <v>10.9</v>
      </c>
      <c r="H42" s="4">
        <v>89.7</v>
      </c>
      <c r="I42" s="13">
        <v>18253</v>
      </c>
      <c r="J42" s="4">
        <v>27.2</v>
      </c>
      <c r="K42" s="4">
        <v>23.1</v>
      </c>
      <c r="L42" s="4">
        <v>18.899999999999999</v>
      </c>
      <c r="M42" s="4">
        <v>14.2</v>
      </c>
      <c r="N42" s="4">
        <v>9</v>
      </c>
      <c r="O42" s="4">
        <v>92.5</v>
      </c>
      <c r="P42" s="13">
        <v>17037</v>
      </c>
      <c r="Q42" s="4">
        <v>25.6</v>
      </c>
      <c r="R42" s="4">
        <v>22.2</v>
      </c>
      <c r="S42" s="4">
        <v>18.600000000000001</v>
      </c>
      <c r="T42" s="4">
        <v>14.7</v>
      </c>
      <c r="U42" s="4">
        <v>10</v>
      </c>
      <c r="V42" s="4">
        <v>91.1</v>
      </c>
      <c r="W42" s="13">
        <v>35290</v>
      </c>
      <c r="X42" s="14"/>
      <c r="Y42" s="14"/>
      <c r="Z42" s="14"/>
      <c r="AA42" s="74"/>
      <c r="AB42" s="74"/>
      <c r="AC42" s="74"/>
      <c r="AD42" s="74"/>
      <c r="AE42" s="74"/>
      <c r="AF42" s="74"/>
      <c r="AG42" s="74"/>
      <c r="AH42" s="74"/>
      <c r="AI42" s="74"/>
      <c r="AJ42" s="74"/>
      <c r="AK42" s="74"/>
      <c r="AL42" s="74"/>
      <c r="AM42" s="74"/>
      <c r="AN42" s="74"/>
      <c r="AO42" s="74"/>
      <c r="AP42" s="74"/>
      <c r="AQ42" s="74"/>
      <c r="AR42" s="74"/>
      <c r="AS42" s="74"/>
      <c r="AT42" s="74"/>
      <c r="AU42" s="74"/>
      <c r="AV42" s="74"/>
      <c r="AW42" s="74"/>
      <c r="AY42" s="77"/>
      <c r="AZ42" s="77"/>
      <c r="BA42" s="77"/>
      <c r="BB42" s="77"/>
      <c r="BC42" s="77"/>
      <c r="BD42" s="77"/>
      <c r="BE42" s="77"/>
      <c r="BF42" s="77"/>
      <c r="BG42" s="77"/>
      <c r="BH42" s="77"/>
      <c r="BI42" s="77"/>
      <c r="BJ42" s="77"/>
      <c r="BK42" s="77"/>
      <c r="BL42" s="77"/>
      <c r="BM42" s="77"/>
      <c r="BN42" s="77"/>
      <c r="BO42" s="77"/>
      <c r="BP42" s="77"/>
      <c r="BQ42" s="77"/>
      <c r="BR42" s="77"/>
      <c r="BS42" s="77"/>
      <c r="BT42" s="77"/>
      <c r="BU42" s="77"/>
    </row>
    <row r="43" spans="1:73" x14ac:dyDescent="0.2">
      <c r="A43" s="14"/>
      <c r="B43" s="10" t="s">
        <v>2</v>
      </c>
      <c r="C43" s="4">
        <v>24.1</v>
      </c>
      <c r="D43" s="4">
        <v>19.2</v>
      </c>
      <c r="E43" s="4">
        <v>18.399999999999999</v>
      </c>
      <c r="F43" s="4">
        <v>15.6</v>
      </c>
      <c r="G43" s="4">
        <v>11.8</v>
      </c>
      <c r="H43" s="4">
        <v>89.2</v>
      </c>
      <c r="I43" s="13">
        <v>21795</v>
      </c>
      <c r="J43" s="4">
        <v>28.8</v>
      </c>
      <c r="K43" s="4">
        <v>22.2</v>
      </c>
      <c r="L43" s="4">
        <v>18.3</v>
      </c>
      <c r="M43" s="4">
        <v>13.5</v>
      </c>
      <c r="N43" s="4">
        <v>9.8000000000000007</v>
      </c>
      <c r="O43" s="4">
        <v>92.5</v>
      </c>
      <c r="P43" s="13">
        <v>6396</v>
      </c>
      <c r="Q43" s="4">
        <v>25.2</v>
      </c>
      <c r="R43" s="4">
        <v>19.899999999999999</v>
      </c>
      <c r="S43" s="4">
        <v>18.399999999999999</v>
      </c>
      <c r="T43" s="4">
        <v>15.1</v>
      </c>
      <c r="U43" s="4">
        <v>11.3</v>
      </c>
      <c r="V43" s="4">
        <v>89.9</v>
      </c>
      <c r="W43" s="13">
        <v>28191</v>
      </c>
      <c r="X43" s="14"/>
      <c r="Y43" s="14"/>
      <c r="Z43" s="14"/>
      <c r="AA43" s="74"/>
      <c r="AB43" s="74"/>
      <c r="AC43" s="74"/>
      <c r="AD43" s="74"/>
      <c r="AE43" s="74"/>
      <c r="AF43" s="74"/>
      <c r="AG43" s="74"/>
      <c r="AH43" s="74"/>
      <c r="AI43" s="74"/>
      <c r="AJ43" s="74"/>
      <c r="AK43" s="74"/>
      <c r="AL43" s="74"/>
      <c r="AM43" s="74"/>
      <c r="AN43" s="74"/>
      <c r="AO43" s="74"/>
      <c r="AP43" s="74"/>
      <c r="AQ43" s="74"/>
      <c r="AR43" s="74"/>
      <c r="AS43" s="74"/>
      <c r="AT43" s="74"/>
      <c r="AU43" s="74"/>
      <c r="AV43" s="74"/>
      <c r="AW43" s="74"/>
      <c r="AY43" s="77"/>
      <c r="AZ43" s="77"/>
      <c r="BA43" s="77"/>
      <c r="BB43" s="77"/>
      <c r="BC43" s="77"/>
      <c r="BD43" s="77"/>
      <c r="BE43" s="77"/>
      <c r="BF43" s="77"/>
      <c r="BG43" s="77"/>
      <c r="BH43" s="77"/>
      <c r="BI43" s="77"/>
      <c r="BJ43" s="77"/>
      <c r="BK43" s="77"/>
      <c r="BL43" s="77"/>
      <c r="BM43" s="77"/>
      <c r="BN43" s="77"/>
      <c r="BO43" s="77"/>
      <c r="BP43" s="77"/>
      <c r="BQ43" s="77"/>
      <c r="BR43" s="77"/>
      <c r="BS43" s="77"/>
      <c r="BT43" s="77"/>
      <c r="BU43" s="77"/>
    </row>
    <row r="44" spans="1:73" x14ac:dyDescent="0.2">
      <c r="A44" s="14"/>
      <c r="B44" s="10" t="s">
        <v>3</v>
      </c>
      <c r="C44" s="4">
        <v>14.5</v>
      </c>
      <c r="D44" s="4">
        <v>13.4</v>
      </c>
      <c r="E44" s="4">
        <v>20.7</v>
      </c>
      <c r="F44" s="4">
        <v>21.7</v>
      </c>
      <c r="G44" s="4">
        <v>16.5</v>
      </c>
      <c r="H44" s="4">
        <v>86.9</v>
      </c>
      <c r="I44" s="13">
        <v>2396</v>
      </c>
      <c r="J44" s="4">
        <v>13.3</v>
      </c>
      <c r="K44" s="4">
        <v>17.3</v>
      </c>
      <c r="L44" s="4">
        <v>21.6</v>
      </c>
      <c r="M44" s="4">
        <v>21.5</v>
      </c>
      <c r="N44" s="4">
        <v>15.4</v>
      </c>
      <c r="O44" s="4">
        <v>89.2</v>
      </c>
      <c r="P44" s="13">
        <v>1438</v>
      </c>
      <c r="Q44" s="4">
        <v>14</v>
      </c>
      <c r="R44" s="4">
        <v>14.9</v>
      </c>
      <c r="S44" s="4">
        <v>21</v>
      </c>
      <c r="T44" s="4">
        <v>21.6</v>
      </c>
      <c r="U44" s="4">
        <v>16.100000000000001</v>
      </c>
      <c r="V44" s="4">
        <v>87.7</v>
      </c>
      <c r="W44" s="13">
        <v>3834</v>
      </c>
      <c r="X44" s="14"/>
      <c r="Y44" s="14"/>
      <c r="Z44" s="14"/>
      <c r="AA44" s="74"/>
      <c r="AB44" s="74"/>
      <c r="AC44" s="74"/>
      <c r="AD44" s="74"/>
      <c r="AE44" s="74"/>
      <c r="AF44" s="74"/>
      <c r="AG44" s="74"/>
      <c r="AH44" s="74"/>
      <c r="AI44" s="74"/>
      <c r="AJ44" s="74"/>
      <c r="AK44" s="74"/>
      <c r="AL44" s="74"/>
      <c r="AM44" s="74"/>
      <c r="AN44" s="74"/>
      <c r="AO44" s="74"/>
      <c r="AP44" s="74"/>
      <c r="AQ44" s="74"/>
      <c r="AR44" s="74"/>
      <c r="AS44" s="74"/>
      <c r="AT44" s="74"/>
      <c r="AU44" s="74"/>
      <c r="AV44" s="74"/>
      <c r="AW44" s="74"/>
      <c r="AY44" s="77"/>
      <c r="AZ44" s="77"/>
      <c r="BA44" s="77"/>
      <c r="BB44" s="77"/>
      <c r="BC44" s="77"/>
      <c r="BD44" s="77"/>
      <c r="BE44" s="77"/>
      <c r="BF44" s="77"/>
      <c r="BG44" s="77"/>
      <c r="BH44" s="77"/>
      <c r="BI44" s="77"/>
      <c r="BJ44" s="77"/>
      <c r="BK44" s="77"/>
      <c r="BL44" s="77"/>
      <c r="BM44" s="77"/>
      <c r="BN44" s="77"/>
      <c r="BO44" s="77"/>
      <c r="BP44" s="77"/>
      <c r="BQ44" s="77"/>
      <c r="BR44" s="77"/>
      <c r="BS44" s="77"/>
      <c r="BT44" s="77"/>
      <c r="BU44" s="77"/>
    </row>
    <row r="45" spans="1:73" x14ac:dyDescent="0.2">
      <c r="A45" s="14"/>
      <c r="B45" s="10" t="s">
        <v>4</v>
      </c>
      <c r="C45" s="4">
        <v>26.8</v>
      </c>
      <c r="D45" s="4">
        <v>18.5</v>
      </c>
      <c r="E45" s="4">
        <v>16.899999999999999</v>
      </c>
      <c r="F45" s="4">
        <v>15.1</v>
      </c>
      <c r="G45" s="4">
        <v>10.9</v>
      </c>
      <c r="H45" s="4">
        <v>88.2</v>
      </c>
      <c r="I45" s="13">
        <v>33499</v>
      </c>
      <c r="J45" s="4">
        <v>28.7</v>
      </c>
      <c r="K45" s="4">
        <v>20.399999999999999</v>
      </c>
      <c r="L45" s="4">
        <v>17.7</v>
      </c>
      <c r="M45" s="4">
        <v>14.3</v>
      </c>
      <c r="N45" s="4">
        <v>10.199999999999999</v>
      </c>
      <c r="O45" s="4">
        <v>91.3</v>
      </c>
      <c r="P45" s="13">
        <v>20175</v>
      </c>
      <c r="Q45" s="4">
        <v>27.5</v>
      </c>
      <c r="R45" s="4">
        <v>19.2</v>
      </c>
      <c r="S45" s="4">
        <v>17.2</v>
      </c>
      <c r="T45" s="4">
        <v>14.8</v>
      </c>
      <c r="U45" s="4">
        <v>10.7</v>
      </c>
      <c r="V45" s="4">
        <v>89.4</v>
      </c>
      <c r="W45" s="13">
        <v>53674</v>
      </c>
      <c r="X45" s="14"/>
      <c r="Y45" s="14"/>
      <c r="Z45" s="14"/>
      <c r="AA45" s="74"/>
      <c r="AB45" s="74"/>
      <c r="AC45" s="74"/>
      <c r="AD45" s="74"/>
      <c r="AE45" s="74"/>
      <c r="AF45" s="74"/>
      <c r="AG45" s="74"/>
      <c r="AH45" s="74"/>
      <c r="AI45" s="74"/>
      <c r="AJ45" s="74"/>
      <c r="AK45" s="74"/>
      <c r="AL45" s="74"/>
      <c r="AM45" s="74"/>
      <c r="AN45" s="74"/>
      <c r="AO45" s="74"/>
      <c r="AP45" s="74"/>
      <c r="AQ45" s="74"/>
      <c r="AR45" s="74"/>
      <c r="AS45" s="74"/>
      <c r="AT45" s="74"/>
      <c r="AU45" s="74"/>
      <c r="AV45" s="74"/>
      <c r="AW45" s="74"/>
      <c r="AY45" s="77"/>
      <c r="AZ45" s="77"/>
      <c r="BA45" s="77"/>
      <c r="BB45" s="77"/>
      <c r="BC45" s="77"/>
      <c r="BD45" s="77"/>
      <c r="BE45" s="77"/>
      <c r="BF45" s="77"/>
      <c r="BG45" s="77"/>
      <c r="BH45" s="77"/>
      <c r="BI45" s="77"/>
      <c r="BJ45" s="77"/>
      <c r="BK45" s="77"/>
      <c r="BL45" s="77"/>
      <c r="BM45" s="77"/>
      <c r="BN45" s="77"/>
      <c r="BO45" s="77"/>
      <c r="BP45" s="77"/>
      <c r="BQ45" s="77"/>
      <c r="BR45" s="77"/>
      <c r="BS45" s="77"/>
      <c r="BT45" s="77"/>
      <c r="BU45" s="77"/>
    </row>
    <row r="46" spans="1:73" x14ac:dyDescent="0.2">
      <c r="A46" s="14"/>
      <c r="B46" s="10" t="s">
        <v>5</v>
      </c>
      <c r="C46" s="4">
        <v>49.9</v>
      </c>
      <c r="D46" s="4">
        <v>18.8</v>
      </c>
      <c r="E46" s="4">
        <v>13</v>
      </c>
      <c r="F46" s="4">
        <v>9</v>
      </c>
      <c r="G46" s="4">
        <v>5.3</v>
      </c>
      <c r="H46" s="4">
        <v>96.1</v>
      </c>
      <c r="I46" s="13">
        <v>3520</v>
      </c>
      <c r="J46" s="4">
        <v>51.5</v>
      </c>
      <c r="K46" s="4">
        <v>18.600000000000001</v>
      </c>
      <c r="L46" s="4">
        <v>13</v>
      </c>
      <c r="M46" s="4">
        <v>8.5</v>
      </c>
      <c r="N46" s="4">
        <v>4.5</v>
      </c>
      <c r="O46" s="4">
        <v>96.2</v>
      </c>
      <c r="P46" s="13">
        <v>1495</v>
      </c>
      <c r="Q46" s="4">
        <v>50.4</v>
      </c>
      <c r="R46" s="4">
        <v>18.8</v>
      </c>
      <c r="S46" s="4">
        <v>13</v>
      </c>
      <c r="T46" s="4">
        <v>8.9</v>
      </c>
      <c r="U46" s="4">
        <v>5.0999999999999996</v>
      </c>
      <c r="V46" s="4">
        <v>96.1</v>
      </c>
      <c r="W46" s="13">
        <v>5015</v>
      </c>
      <c r="X46" s="14"/>
      <c r="Y46" s="14"/>
      <c r="Z46" s="14"/>
      <c r="AA46" s="74"/>
      <c r="AB46" s="74"/>
      <c r="AC46" s="74"/>
      <c r="AD46" s="74"/>
      <c r="AE46" s="74"/>
      <c r="AF46" s="74"/>
      <c r="AG46" s="74"/>
      <c r="AH46" s="74"/>
      <c r="AI46" s="74"/>
      <c r="AJ46" s="74"/>
      <c r="AK46" s="74"/>
      <c r="AL46" s="74"/>
      <c r="AM46" s="74"/>
      <c r="AN46" s="74"/>
      <c r="AO46" s="74"/>
      <c r="AP46" s="74"/>
      <c r="AQ46" s="74"/>
      <c r="AR46" s="74"/>
      <c r="AS46" s="74"/>
      <c r="AT46" s="74"/>
      <c r="AU46" s="74"/>
      <c r="AV46" s="74"/>
      <c r="AW46" s="74"/>
      <c r="AY46" s="77"/>
      <c r="AZ46" s="77"/>
      <c r="BA46" s="77"/>
      <c r="BB46" s="77"/>
      <c r="BC46" s="77"/>
      <c r="BD46" s="77"/>
      <c r="BE46" s="77"/>
      <c r="BF46" s="77"/>
      <c r="BG46" s="77"/>
      <c r="BH46" s="77"/>
      <c r="BI46" s="77"/>
      <c r="BJ46" s="77"/>
      <c r="BK46" s="77"/>
      <c r="BL46" s="77"/>
      <c r="BM46" s="77"/>
      <c r="BN46" s="77"/>
      <c r="BO46" s="77"/>
      <c r="BP46" s="77"/>
      <c r="BQ46" s="77"/>
      <c r="BR46" s="77"/>
      <c r="BS46" s="77"/>
      <c r="BT46" s="77"/>
      <c r="BU46" s="77"/>
    </row>
    <row r="47" spans="1:73" x14ac:dyDescent="0.2">
      <c r="A47" s="14"/>
      <c r="B47" s="10" t="s">
        <v>6</v>
      </c>
      <c r="C47" s="4">
        <v>13.3</v>
      </c>
      <c r="D47" s="4">
        <v>15.7</v>
      </c>
      <c r="E47" s="4">
        <v>25.9</v>
      </c>
      <c r="F47" s="4">
        <v>22.2</v>
      </c>
      <c r="G47" s="4">
        <v>13.9</v>
      </c>
      <c r="H47" s="4">
        <v>91</v>
      </c>
      <c r="I47" s="13">
        <v>9159</v>
      </c>
      <c r="J47" s="4">
        <v>14.9</v>
      </c>
      <c r="K47" s="4">
        <v>18.899999999999999</v>
      </c>
      <c r="L47" s="4">
        <v>28</v>
      </c>
      <c r="M47" s="4">
        <v>22.2</v>
      </c>
      <c r="N47" s="4">
        <v>10.5</v>
      </c>
      <c r="O47" s="4">
        <v>94.5</v>
      </c>
      <c r="P47" s="13">
        <v>3591</v>
      </c>
      <c r="Q47" s="4">
        <v>13.8</v>
      </c>
      <c r="R47" s="4">
        <v>16.600000000000001</v>
      </c>
      <c r="S47" s="4">
        <v>26.5</v>
      </c>
      <c r="T47" s="4">
        <v>22.2</v>
      </c>
      <c r="U47" s="4">
        <v>13</v>
      </c>
      <c r="V47" s="4">
        <v>92</v>
      </c>
      <c r="W47" s="13">
        <v>12750</v>
      </c>
      <c r="X47" s="14"/>
      <c r="Y47" s="14"/>
      <c r="Z47" s="14"/>
      <c r="AA47" s="74"/>
      <c r="AB47" s="74"/>
      <c r="AC47" s="74"/>
      <c r="AD47" s="74"/>
      <c r="AE47" s="74"/>
      <c r="AF47" s="74"/>
      <c r="AG47" s="74"/>
      <c r="AH47" s="74"/>
      <c r="AI47" s="74"/>
      <c r="AJ47" s="74"/>
      <c r="AK47" s="74"/>
      <c r="AL47" s="74"/>
      <c r="AM47" s="74"/>
      <c r="AN47" s="74"/>
      <c r="AO47" s="74"/>
      <c r="AP47" s="74"/>
      <c r="AQ47" s="74"/>
      <c r="AR47" s="74"/>
      <c r="AS47" s="74"/>
      <c r="AT47" s="74"/>
      <c r="AU47" s="74"/>
      <c r="AV47" s="74"/>
      <c r="AW47" s="74"/>
      <c r="AY47" s="77"/>
      <c r="AZ47" s="77"/>
      <c r="BA47" s="77"/>
      <c r="BB47" s="77"/>
      <c r="BC47" s="77"/>
      <c r="BD47" s="77"/>
      <c r="BE47" s="77"/>
      <c r="BF47" s="77"/>
      <c r="BG47" s="77"/>
      <c r="BH47" s="77"/>
      <c r="BI47" s="77"/>
      <c r="BJ47" s="77"/>
      <c r="BK47" s="77"/>
      <c r="BL47" s="77"/>
      <c r="BM47" s="77"/>
      <c r="BN47" s="77"/>
      <c r="BO47" s="77"/>
      <c r="BP47" s="77"/>
      <c r="BQ47" s="77"/>
      <c r="BR47" s="77"/>
      <c r="BS47" s="77"/>
      <c r="BT47" s="77"/>
      <c r="BU47" s="77"/>
    </row>
    <row r="48" spans="1:73" x14ac:dyDescent="0.2">
      <c r="A48" s="14"/>
      <c r="B48" s="10" t="s">
        <v>168</v>
      </c>
      <c r="C48" s="4">
        <v>9.9</v>
      </c>
      <c r="D48" s="4">
        <v>13.6</v>
      </c>
      <c r="E48" s="4">
        <v>18.100000000000001</v>
      </c>
      <c r="F48" s="4">
        <v>20.7</v>
      </c>
      <c r="G48" s="4">
        <v>17.2</v>
      </c>
      <c r="H48" s="4">
        <v>79.5</v>
      </c>
      <c r="I48" s="13">
        <v>9230</v>
      </c>
      <c r="J48" s="4">
        <v>6.2</v>
      </c>
      <c r="K48" s="4">
        <v>11.9</v>
      </c>
      <c r="L48" s="4">
        <v>18.3</v>
      </c>
      <c r="M48" s="4">
        <v>20.399999999999999</v>
      </c>
      <c r="N48" s="4">
        <v>20.2</v>
      </c>
      <c r="O48" s="4">
        <v>77.099999999999994</v>
      </c>
      <c r="P48" s="13">
        <v>1621</v>
      </c>
      <c r="Q48" s="4">
        <v>9.4</v>
      </c>
      <c r="R48" s="4">
        <v>13.3</v>
      </c>
      <c r="S48" s="4">
        <v>18.100000000000001</v>
      </c>
      <c r="T48" s="4">
        <v>20.7</v>
      </c>
      <c r="U48" s="4">
        <v>17.7</v>
      </c>
      <c r="V48" s="4">
        <v>79.2</v>
      </c>
      <c r="W48" s="13">
        <v>10851</v>
      </c>
      <c r="X48" s="14"/>
      <c r="Y48" s="14"/>
      <c r="Z48" s="14"/>
      <c r="AA48" s="74"/>
      <c r="AB48" s="74"/>
      <c r="AC48" s="74"/>
      <c r="AD48" s="74"/>
      <c r="AE48" s="74"/>
      <c r="AF48" s="74"/>
      <c r="AG48" s="74"/>
      <c r="AH48" s="74"/>
      <c r="AI48" s="74"/>
      <c r="AJ48" s="74"/>
      <c r="AK48" s="74"/>
      <c r="AL48" s="74"/>
      <c r="AM48" s="74"/>
      <c r="AN48" s="74"/>
      <c r="AO48" s="74"/>
      <c r="AP48" s="74"/>
      <c r="AQ48" s="74"/>
      <c r="AR48" s="74"/>
      <c r="AS48" s="74"/>
      <c r="AT48" s="74"/>
      <c r="AU48" s="74"/>
      <c r="AV48" s="74"/>
      <c r="AW48" s="74"/>
      <c r="AY48" s="77"/>
      <c r="AZ48" s="77"/>
      <c r="BA48" s="77"/>
      <c r="BB48" s="77"/>
      <c r="BC48" s="77"/>
      <c r="BD48" s="77"/>
      <c r="BE48" s="77"/>
      <c r="BF48" s="77"/>
      <c r="BG48" s="77"/>
      <c r="BH48" s="77"/>
      <c r="BI48" s="77"/>
      <c r="BJ48" s="77"/>
      <c r="BK48" s="77"/>
      <c r="BL48" s="77"/>
      <c r="BM48" s="77"/>
      <c r="BN48" s="77"/>
      <c r="BO48" s="77"/>
      <c r="BP48" s="77"/>
      <c r="BQ48" s="77"/>
      <c r="BR48" s="77"/>
      <c r="BS48" s="77"/>
      <c r="BT48" s="77"/>
      <c r="BU48" s="77"/>
    </row>
    <row r="49" spans="1:73" x14ac:dyDescent="0.2">
      <c r="A49" s="14"/>
      <c r="B49" s="10" t="s">
        <v>8</v>
      </c>
      <c r="C49" s="4">
        <v>5</v>
      </c>
      <c r="D49" s="4">
        <v>14</v>
      </c>
      <c r="E49" s="4">
        <v>25</v>
      </c>
      <c r="F49" s="4">
        <v>27.8</v>
      </c>
      <c r="G49" s="4">
        <v>17.5</v>
      </c>
      <c r="H49" s="4">
        <v>89.3</v>
      </c>
      <c r="I49" s="13">
        <v>4154</v>
      </c>
      <c r="J49" s="4">
        <v>6.1</v>
      </c>
      <c r="K49" s="4">
        <v>15.1</v>
      </c>
      <c r="L49" s="4">
        <v>26.3</v>
      </c>
      <c r="M49" s="4">
        <v>28.4</v>
      </c>
      <c r="N49" s="4">
        <v>15.9</v>
      </c>
      <c r="O49" s="4">
        <v>91.8</v>
      </c>
      <c r="P49" s="13">
        <v>2133</v>
      </c>
      <c r="Q49" s="4">
        <v>5.4</v>
      </c>
      <c r="R49" s="4">
        <v>14.4</v>
      </c>
      <c r="S49" s="4">
        <v>25.4</v>
      </c>
      <c r="T49" s="4">
        <v>28</v>
      </c>
      <c r="U49" s="4">
        <v>17</v>
      </c>
      <c r="V49" s="4">
        <v>90.2</v>
      </c>
      <c r="W49" s="13">
        <v>6287</v>
      </c>
      <c r="X49" s="14"/>
      <c r="Y49" s="14"/>
      <c r="Z49" s="14"/>
      <c r="AA49" s="74"/>
      <c r="AB49" s="74"/>
      <c r="AC49" s="74"/>
      <c r="AD49" s="74"/>
      <c r="AE49" s="74"/>
      <c r="AF49" s="74"/>
      <c r="AG49" s="74"/>
      <c r="AH49" s="74"/>
      <c r="AI49" s="74"/>
      <c r="AJ49" s="74"/>
      <c r="AK49" s="74"/>
      <c r="AL49" s="74"/>
      <c r="AM49" s="74"/>
      <c r="AN49" s="74"/>
      <c r="AO49" s="74"/>
      <c r="AP49" s="74"/>
      <c r="AQ49" s="74"/>
      <c r="AR49" s="74"/>
      <c r="AS49" s="74"/>
      <c r="AT49" s="74"/>
      <c r="AU49" s="74"/>
      <c r="AV49" s="74"/>
      <c r="AW49" s="74"/>
      <c r="AY49" s="77"/>
      <c r="AZ49" s="77"/>
      <c r="BA49" s="77"/>
      <c r="BB49" s="77"/>
      <c r="BC49" s="77"/>
      <c r="BD49" s="77"/>
      <c r="BE49" s="77"/>
      <c r="BF49" s="77"/>
      <c r="BG49" s="77"/>
      <c r="BH49" s="77"/>
      <c r="BI49" s="77"/>
      <c r="BJ49" s="77"/>
      <c r="BK49" s="77"/>
      <c r="BL49" s="77"/>
      <c r="BM49" s="77"/>
      <c r="BN49" s="77"/>
      <c r="BO49" s="77"/>
      <c r="BP49" s="77"/>
      <c r="BQ49" s="77"/>
      <c r="BR49" s="77"/>
      <c r="BS49" s="77"/>
      <c r="BT49" s="77"/>
      <c r="BU49" s="77"/>
    </row>
    <row r="50" spans="1:73" x14ac:dyDescent="0.2">
      <c r="A50" s="14"/>
      <c r="B50" s="10" t="s">
        <v>9</v>
      </c>
      <c r="C50" s="4">
        <v>3.2</v>
      </c>
      <c r="D50" s="4">
        <v>7.4</v>
      </c>
      <c r="E50" s="4">
        <v>16</v>
      </c>
      <c r="F50" s="4">
        <v>26.6</v>
      </c>
      <c r="G50" s="4">
        <v>18.100000000000001</v>
      </c>
      <c r="H50" s="4">
        <v>71.3</v>
      </c>
      <c r="I50" s="13">
        <v>94</v>
      </c>
      <c r="J50" s="4">
        <v>12.7</v>
      </c>
      <c r="K50" s="4">
        <v>14.1</v>
      </c>
      <c r="L50" s="4">
        <v>22.5</v>
      </c>
      <c r="M50" s="4">
        <v>21.2</v>
      </c>
      <c r="N50" s="4">
        <v>13.1</v>
      </c>
      <c r="O50" s="4">
        <v>83.7</v>
      </c>
      <c r="P50" s="13">
        <v>1244</v>
      </c>
      <c r="Q50" s="4">
        <v>12</v>
      </c>
      <c r="R50" s="4">
        <v>13.7</v>
      </c>
      <c r="S50" s="4">
        <v>22</v>
      </c>
      <c r="T50" s="4">
        <v>21.6</v>
      </c>
      <c r="U50" s="4">
        <v>13.5</v>
      </c>
      <c r="V50" s="4">
        <v>82.8</v>
      </c>
      <c r="W50" s="13">
        <v>1338</v>
      </c>
      <c r="X50" s="14"/>
      <c r="Y50" s="14"/>
      <c r="Z50" s="14"/>
      <c r="AA50" s="74"/>
      <c r="AB50" s="74"/>
      <c r="AC50" s="74"/>
      <c r="AD50" s="74"/>
      <c r="AE50" s="74"/>
      <c r="AF50" s="74"/>
      <c r="AG50" s="74"/>
      <c r="AH50" s="74"/>
      <c r="AI50" s="74"/>
      <c r="AJ50" s="74"/>
      <c r="AK50" s="74"/>
      <c r="AL50" s="74"/>
      <c r="AM50" s="74"/>
      <c r="AN50" s="74"/>
      <c r="AO50" s="74"/>
      <c r="AP50" s="74"/>
      <c r="AQ50" s="74"/>
      <c r="AR50" s="74"/>
      <c r="AS50" s="74"/>
      <c r="AT50" s="74"/>
      <c r="AU50" s="74"/>
      <c r="AV50" s="74"/>
      <c r="AW50" s="74"/>
      <c r="AY50" s="77"/>
      <c r="AZ50" s="77"/>
      <c r="BA50" s="77"/>
      <c r="BB50" s="77"/>
      <c r="BC50" s="77"/>
      <c r="BD50" s="77"/>
      <c r="BE50" s="77"/>
      <c r="BF50" s="77"/>
      <c r="BG50" s="77"/>
      <c r="BH50" s="77"/>
      <c r="BI50" s="77"/>
      <c r="BJ50" s="77"/>
      <c r="BK50" s="77"/>
      <c r="BL50" s="77"/>
      <c r="BM50" s="77"/>
      <c r="BN50" s="77"/>
      <c r="BO50" s="77"/>
      <c r="BP50" s="77"/>
      <c r="BQ50" s="77"/>
      <c r="BR50" s="77"/>
      <c r="BS50" s="77"/>
      <c r="BT50" s="77"/>
      <c r="BU50" s="77"/>
    </row>
    <row r="51" spans="1:73" x14ac:dyDescent="0.2">
      <c r="A51" s="14"/>
      <c r="B51" s="10" t="s">
        <v>10</v>
      </c>
      <c r="C51" s="4">
        <v>9.6</v>
      </c>
      <c r="D51" s="4">
        <v>14.6</v>
      </c>
      <c r="E51" s="4">
        <v>16.3</v>
      </c>
      <c r="F51" s="4">
        <v>16.600000000000001</v>
      </c>
      <c r="G51" s="4">
        <v>11.8</v>
      </c>
      <c r="H51" s="4">
        <v>68.8</v>
      </c>
      <c r="I51" s="13">
        <v>1208</v>
      </c>
      <c r="J51" s="4">
        <v>9.1</v>
      </c>
      <c r="K51" s="4">
        <v>14.8</v>
      </c>
      <c r="L51" s="4">
        <v>17.399999999999999</v>
      </c>
      <c r="M51" s="4">
        <v>16.399999999999999</v>
      </c>
      <c r="N51" s="4">
        <v>14</v>
      </c>
      <c r="O51" s="4">
        <v>71.7</v>
      </c>
      <c r="P51" s="13">
        <v>736</v>
      </c>
      <c r="Q51" s="4">
        <v>9.4</v>
      </c>
      <c r="R51" s="4">
        <v>14.7</v>
      </c>
      <c r="S51" s="4">
        <v>16.7</v>
      </c>
      <c r="T51" s="4">
        <v>16.5</v>
      </c>
      <c r="U51" s="4">
        <v>12.6</v>
      </c>
      <c r="V51" s="4">
        <v>69.900000000000006</v>
      </c>
      <c r="W51" s="13">
        <v>1944</v>
      </c>
      <c r="X51" s="14"/>
      <c r="Y51" s="14"/>
      <c r="Z51" s="14"/>
      <c r="AA51" s="74"/>
      <c r="AB51" s="74"/>
      <c r="AC51" s="74"/>
      <c r="AD51" s="74"/>
      <c r="AE51" s="74"/>
      <c r="AF51" s="74"/>
      <c r="AG51" s="74"/>
      <c r="AH51" s="74"/>
      <c r="AI51" s="74"/>
      <c r="AJ51" s="74"/>
      <c r="AK51" s="74"/>
      <c r="AL51" s="74"/>
      <c r="AM51" s="74"/>
      <c r="AN51" s="74"/>
      <c r="AO51" s="74"/>
      <c r="AP51" s="74"/>
      <c r="AQ51" s="74"/>
      <c r="AR51" s="74"/>
      <c r="AS51" s="74"/>
      <c r="AT51" s="74"/>
      <c r="AU51" s="74"/>
      <c r="AV51" s="74"/>
      <c r="AW51" s="74"/>
      <c r="AY51" s="77"/>
      <c r="AZ51" s="77"/>
      <c r="BA51" s="77"/>
      <c r="BB51" s="77"/>
      <c r="BC51" s="77"/>
      <c r="BD51" s="77"/>
      <c r="BE51" s="77"/>
      <c r="BF51" s="77"/>
      <c r="BG51" s="77"/>
      <c r="BH51" s="77"/>
      <c r="BI51" s="77"/>
      <c r="BJ51" s="77"/>
      <c r="BK51" s="77"/>
      <c r="BL51" s="77"/>
      <c r="BM51" s="77"/>
      <c r="BN51" s="77"/>
      <c r="BO51" s="77"/>
      <c r="BP51" s="77"/>
      <c r="BQ51" s="77"/>
      <c r="BR51" s="77"/>
      <c r="BS51" s="77"/>
      <c r="BT51" s="77"/>
      <c r="BU51" s="77"/>
    </row>
    <row r="52" spans="1:73" x14ac:dyDescent="0.2">
      <c r="A52" s="14"/>
      <c r="B52" s="10" t="s">
        <v>11</v>
      </c>
      <c r="C52" s="4">
        <v>8.8000000000000007</v>
      </c>
      <c r="D52" s="4">
        <v>19.2</v>
      </c>
      <c r="E52" s="4">
        <v>26</v>
      </c>
      <c r="F52" s="4">
        <v>21.9</v>
      </c>
      <c r="G52" s="4">
        <v>13.4</v>
      </c>
      <c r="H52" s="4">
        <v>89.4</v>
      </c>
      <c r="I52" s="13">
        <v>16899</v>
      </c>
      <c r="J52" s="4">
        <v>11.4</v>
      </c>
      <c r="K52" s="4">
        <v>20</v>
      </c>
      <c r="L52" s="4">
        <v>25.7</v>
      </c>
      <c r="M52" s="4">
        <v>20.5</v>
      </c>
      <c r="N52" s="4">
        <v>12.1</v>
      </c>
      <c r="O52" s="4">
        <v>89.7</v>
      </c>
      <c r="P52" s="13">
        <v>14177</v>
      </c>
      <c r="Q52" s="4">
        <v>10</v>
      </c>
      <c r="R52" s="4">
        <v>19.600000000000001</v>
      </c>
      <c r="S52" s="4">
        <v>25.9</v>
      </c>
      <c r="T52" s="4">
        <v>21.3</v>
      </c>
      <c r="U52" s="4">
        <v>12.8</v>
      </c>
      <c r="V52" s="4">
        <v>89.5</v>
      </c>
      <c r="W52" s="13">
        <v>31076</v>
      </c>
      <c r="X52" s="14"/>
      <c r="Y52" s="14"/>
      <c r="Z52" s="14"/>
      <c r="AA52" s="74"/>
      <c r="AB52" s="74"/>
      <c r="AC52" s="74"/>
      <c r="AD52" s="74"/>
      <c r="AE52" s="74"/>
      <c r="AF52" s="74"/>
      <c r="AG52" s="74"/>
      <c r="AH52" s="74"/>
      <c r="AI52" s="74"/>
      <c r="AJ52" s="74"/>
      <c r="AK52" s="74"/>
      <c r="AL52" s="74"/>
      <c r="AM52" s="74"/>
      <c r="AN52" s="74"/>
      <c r="AO52" s="74"/>
      <c r="AP52" s="74"/>
      <c r="AQ52" s="74"/>
      <c r="AR52" s="74"/>
      <c r="AS52" s="74"/>
      <c r="AT52" s="74"/>
      <c r="AU52" s="74"/>
      <c r="AV52" s="74"/>
      <c r="AW52" s="74"/>
      <c r="AY52" s="77"/>
      <c r="AZ52" s="77"/>
      <c r="BA52" s="77"/>
      <c r="BB52" s="77"/>
      <c r="BC52" s="77"/>
      <c r="BD52" s="77"/>
      <c r="BE52" s="77"/>
      <c r="BF52" s="77"/>
      <c r="BG52" s="77"/>
      <c r="BH52" s="77"/>
      <c r="BI52" s="77"/>
      <c r="BJ52" s="77"/>
      <c r="BK52" s="77"/>
      <c r="BL52" s="77"/>
      <c r="BM52" s="77"/>
      <c r="BN52" s="77"/>
      <c r="BO52" s="77"/>
      <c r="BP52" s="77"/>
      <c r="BQ52" s="77"/>
      <c r="BR52" s="77"/>
      <c r="BS52" s="77"/>
      <c r="BT52" s="77"/>
      <c r="BU52" s="77"/>
    </row>
    <row r="53" spans="1:73" x14ac:dyDescent="0.2">
      <c r="A53" s="14"/>
      <c r="B53" s="10" t="s">
        <v>12</v>
      </c>
      <c r="C53" s="4">
        <v>21.2</v>
      </c>
      <c r="D53" s="4">
        <v>18.7</v>
      </c>
      <c r="E53" s="4">
        <v>18.899999999999999</v>
      </c>
      <c r="F53" s="4">
        <v>17.8</v>
      </c>
      <c r="G53" s="4">
        <v>12.5</v>
      </c>
      <c r="H53" s="4">
        <v>89.2</v>
      </c>
      <c r="I53" s="13">
        <v>11350</v>
      </c>
      <c r="J53" s="4">
        <v>21.5</v>
      </c>
      <c r="K53" s="4">
        <v>18.5</v>
      </c>
      <c r="L53" s="4">
        <v>18.399999999999999</v>
      </c>
      <c r="M53" s="4">
        <v>17.399999999999999</v>
      </c>
      <c r="N53" s="4">
        <v>12.8</v>
      </c>
      <c r="O53" s="4">
        <v>88.6</v>
      </c>
      <c r="P53" s="13">
        <v>5934</v>
      </c>
      <c r="Q53" s="4">
        <v>21.3</v>
      </c>
      <c r="R53" s="4">
        <v>18.600000000000001</v>
      </c>
      <c r="S53" s="4">
        <v>18.7</v>
      </c>
      <c r="T53" s="4">
        <v>17.7</v>
      </c>
      <c r="U53" s="4">
        <v>12.6</v>
      </c>
      <c r="V53" s="4">
        <v>88.9</v>
      </c>
      <c r="W53" s="13">
        <v>17284</v>
      </c>
      <c r="X53" s="14"/>
      <c r="Y53" s="14"/>
      <c r="Z53" s="1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Y53" s="77"/>
      <c r="AZ53" s="77"/>
      <c r="BA53" s="77"/>
      <c r="BB53" s="77"/>
      <c r="BC53" s="77"/>
      <c r="BD53" s="77"/>
      <c r="BE53" s="77"/>
      <c r="BF53" s="77"/>
      <c r="BG53" s="77"/>
      <c r="BH53" s="77"/>
      <c r="BI53" s="77"/>
      <c r="BJ53" s="77"/>
      <c r="BK53" s="77"/>
      <c r="BL53" s="77"/>
      <c r="BM53" s="77"/>
      <c r="BN53" s="77"/>
      <c r="BO53" s="77"/>
      <c r="BP53" s="77"/>
      <c r="BQ53" s="77"/>
      <c r="BR53" s="77"/>
      <c r="BS53" s="77"/>
      <c r="BT53" s="77"/>
      <c r="BU53" s="77"/>
    </row>
    <row r="54" spans="1:73" x14ac:dyDescent="0.2">
      <c r="A54" s="14"/>
      <c r="B54" s="10" t="s">
        <v>13</v>
      </c>
      <c r="C54" s="4">
        <v>15.5</v>
      </c>
      <c r="D54" s="4">
        <v>21.1</v>
      </c>
      <c r="E54" s="4">
        <v>23.1</v>
      </c>
      <c r="F54" s="4">
        <v>19.2</v>
      </c>
      <c r="G54" s="4">
        <v>12.8</v>
      </c>
      <c r="H54" s="4">
        <v>91.7</v>
      </c>
      <c r="I54" s="13">
        <v>17931</v>
      </c>
      <c r="J54" s="4">
        <v>21.4</v>
      </c>
      <c r="K54" s="4">
        <v>23.9</v>
      </c>
      <c r="L54" s="4">
        <v>22.3</v>
      </c>
      <c r="M54" s="4">
        <v>16.3</v>
      </c>
      <c r="N54" s="4">
        <v>9.6999999999999993</v>
      </c>
      <c r="O54" s="4">
        <v>93.6</v>
      </c>
      <c r="P54" s="13">
        <v>15086</v>
      </c>
      <c r="Q54" s="4">
        <v>18.2</v>
      </c>
      <c r="R54" s="4">
        <v>22.4</v>
      </c>
      <c r="S54" s="4">
        <v>22.7</v>
      </c>
      <c r="T54" s="4">
        <v>17.899999999999999</v>
      </c>
      <c r="U54" s="4">
        <v>11.4</v>
      </c>
      <c r="V54" s="4">
        <v>92.6</v>
      </c>
      <c r="W54" s="13">
        <v>33017</v>
      </c>
      <c r="X54" s="14"/>
      <c r="Y54" s="14"/>
      <c r="Z54" s="14"/>
      <c r="AA54" s="74"/>
      <c r="AB54" s="74"/>
      <c r="AC54" s="74"/>
      <c r="AD54" s="74"/>
      <c r="AE54" s="74"/>
      <c r="AF54" s="74"/>
      <c r="AG54" s="74"/>
      <c r="AH54" s="74"/>
      <c r="AI54" s="74"/>
      <c r="AJ54" s="74"/>
      <c r="AK54" s="74"/>
      <c r="AL54" s="74"/>
      <c r="AM54" s="74"/>
      <c r="AN54" s="74"/>
      <c r="AO54" s="74"/>
      <c r="AP54" s="74"/>
      <c r="AQ54" s="74"/>
      <c r="AR54" s="74"/>
      <c r="AS54" s="74"/>
      <c r="AT54" s="74"/>
      <c r="AU54" s="74"/>
      <c r="AV54" s="74"/>
      <c r="AW54" s="74"/>
      <c r="AY54" s="77"/>
      <c r="AZ54" s="77"/>
      <c r="BA54" s="77"/>
      <c r="BB54" s="77"/>
      <c r="BC54" s="77"/>
      <c r="BD54" s="77"/>
      <c r="BE54" s="77"/>
      <c r="BF54" s="77"/>
      <c r="BG54" s="77"/>
      <c r="BH54" s="77"/>
      <c r="BI54" s="77"/>
      <c r="BJ54" s="77"/>
      <c r="BK54" s="77"/>
      <c r="BL54" s="77"/>
      <c r="BM54" s="77"/>
      <c r="BN54" s="77"/>
      <c r="BO54" s="77"/>
      <c r="BP54" s="77"/>
      <c r="BQ54" s="77"/>
      <c r="BR54" s="77"/>
      <c r="BS54" s="77"/>
      <c r="BT54" s="77"/>
      <c r="BU54" s="77"/>
    </row>
    <row r="55" spans="1:73" x14ac:dyDescent="0.2">
      <c r="A55" s="14"/>
      <c r="B55" s="10" t="s">
        <v>14</v>
      </c>
      <c r="C55" s="4">
        <v>22.2</v>
      </c>
      <c r="D55" s="4">
        <v>21.5</v>
      </c>
      <c r="E55" s="4">
        <v>22.9</v>
      </c>
      <c r="F55" s="4">
        <v>15</v>
      </c>
      <c r="G55" s="4">
        <v>10.3</v>
      </c>
      <c r="H55" s="4">
        <v>92</v>
      </c>
      <c r="I55" s="13">
        <v>4129</v>
      </c>
      <c r="J55" s="4">
        <v>24.2</v>
      </c>
      <c r="K55" s="4">
        <v>22.5</v>
      </c>
      <c r="L55" s="4">
        <v>20.8</v>
      </c>
      <c r="M55" s="4">
        <v>15</v>
      </c>
      <c r="N55" s="4">
        <v>9.6999999999999993</v>
      </c>
      <c r="O55" s="4">
        <v>92.1</v>
      </c>
      <c r="P55" s="13">
        <v>3157</v>
      </c>
      <c r="Q55" s="4">
        <v>23</v>
      </c>
      <c r="R55" s="4">
        <v>21.9</v>
      </c>
      <c r="S55" s="4">
        <v>22</v>
      </c>
      <c r="T55" s="4">
        <v>15</v>
      </c>
      <c r="U55" s="4">
        <v>10</v>
      </c>
      <c r="V55" s="4">
        <v>92.1</v>
      </c>
      <c r="W55" s="13">
        <v>7286</v>
      </c>
      <c r="X55" s="14"/>
      <c r="Y55" s="14"/>
      <c r="Z55" s="14"/>
      <c r="AA55" s="74"/>
      <c r="AB55" s="74"/>
      <c r="AC55" s="74"/>
      <c r="AD55" s="74"/>
      <c r="AE55" s="74"/>
      <c r="AF55" s="74"/>
      <c r="AG55" s="74"/>
      <c r="AH55" s="74"/>
      <c r="AI55" s="74"/>
      <c r="AJ55" s="74"/>
      <c r="AK55" s="74"/>
      <c r="AL55" s="74"/>
      <c r="AM55" s="74"/>
      <c r="AN55" s="74"/>
      <c r="AO55" s="74"/>
      <c r="AP55" s="74"/>
      <c r="AQ55" s="74"/>
      <c r="AR55" s="74"/>
      <c r="AS55" s="74"/>
      <c r="AT55" s="74"/>
      <c r="AU55" s="74"/>
      <c r="AV55" s="74"/>
      <c r="AW55" s="74"/>
      <c r="AY55" s="77"/>
      <c r="AZ55" s="77"/>
      <c r="BA55" s="77"/>
      <c r="BB55" s="77"/>
      <c r="BC55" s="77"/>
      <c r="BD55" s="77"/>
      <c r="BE55" s="77"/>
      <c r="BF55" s="77"/>
      <c r="BG55" s="77"/>
      <c r="BH55" s="77"/>
      <c r="BI55" s="77"/>
      <c r="BJ55" s="77"/>
      <c r="BK55" s="77"/>
      <c r="BL55" s="77"/>
      <c r="BM55" s="77"/>
      <c r="BN55" s="77"/>
      <c r="BO55" s="77"/>
      <c r="BP55" s="77"/>
      <c r="BQ55" s="77"/>
      <c r="BR55" s="77"/>
      <c r="BS55" s="77"/>
      <c r="BT55" s="77"/>
      <c r="BU55" s="77"/>
    </row>
    <row r="56" spans="1:73" x14ac:dyDescent="0.2">
      <c r="A56" s="14"/>
      <c r="B56" s="10" t="s">
        <v>15</v>
      </c>
      <c r="C56" s="4">
        <v>17.5</v>
      </c>
      <c r="D56" s="4">
        <v>20.2</v>
      </c>
      <c r="E56" s="4">
        <v>22.1</v>
      </c>
      <c r="F56" s="4">
        <v>18.100000000000001</v>
      </c>
      <c r="G56" s="4">
        <v>11.3</v>
      </c>
      <c r="H56" s="4">
        <v>89.3</v>
      </c>
      <c r="I56" s="13">
        <v>15044</v>
      </c>
      <c r="J56" s="4">
        <v>17.600000000000001</v>
      </c>
      <c r="K56" s="4">
        <v>20.100000000000001</v>
      </c>
      <c r="L56" s="4">
        <v>22.5</v>
      </c>
      <c r="M56" s="4">
        <v>17.600000000000001</v>
      </c>
      <c r="N56" s="4">
        <v>11.4</v>
      </c>
      <c r="O56" s="4">
        <v>89.2</v>
      </c>
      <c r="P56" s="13">
        <v>18096</v>
      </c>
      <c r="Q56" s="4">
        <v>17.5</v>
      </c>
      <c r="R56" s="4">
        <v>20.2</v>
      </c>
      <c r="S56" s="4">
        <v>22.3</v>
      </c>
      <c r="T56" s="4">
        <v>17.8</v>
      </c>
      <c r="U56" s="4">
        <v>11.4</v>
      </c>
      <c r="V56" s="4">
        <v>89.2</v>
      </c>
      <c r="W56" s="13">
        <v>33140</v>
      </c>
      <c r="X56" s="14"/>
      <c r="Y56" s="14"/>
      <c r="Z56" s="14"/>
      <c r="AA56" s="74"/>
      <c r="AB56" s="74"/>
      <c r="AC56" s="74"/>
      <c r="AD56" s="74"/>
      <c r="AE56" s="74"/>
      <c r="AF56" s="74"/>
      <c r="AG56" s="74"/>
      <c r="AH56" s="74"/>
      <c r="AI56" s="74"/>
      <c r="AJ56" s="74"/>
      <c r="AK56" s="74"/>
      <c r="AL56" s="74"/>
      <c r="AM56" s="74"/>
      <c r="AN56" s="74"/>
      <c r="AO56" s="74"/>
      <c r="AP56" s="74"/>
      <c r="AQ56" s="74"/>
      <c r="AR56" s="74"/>
      <c r="AS56" s="74"/>
      <c r="AT56" s="74"/>
      <c r="AU56" s="74"/>
      <c r="AV56" s="74"/>
      <c r="AW56" s="74"/>
      <c r="AY56" s="77"/>
      <c r="AZ56" s="77"/>
      <c r="BA56" s="77"/>
      <c r="BB56" s="77"/>
      <c r="BC56" s="77"/>
      <c r="BD56" s="77"/>
      <c r="BE56" s="77"/>
      <c r="BF56" s="77"/>
      <c r="BG56" s="77"/>
      <c r="BH56" s="77"/>
      <c r="BI56" s="77"/>
      <c r="BJ56" s="77"/>
      <c r="BK56" s="77"/>
      <c r="BL56" s="77"/>
      <c r="BM56" s="77"/>
      <c r="BN56" s="77"/>
      <c r="BO56" s="77"/>
      <c r="BP56" s="77"/>
      <c r="BQ56" s="77"/>
      <c r="BR56" s="77"/>
      <c r="BS56" s="77"/>
      <c r="BT56" s="77"/>
      <c r="BU56" s="77"/>
    </row>
    <row r="57" spans="1:73" x14ac:dyDescent="0.2">
      <c r="A57" s="14"/>
      <c r="B57" s="10" t="s">
        <v>16</v>
      </c>
      <c r="C57" s="4">
        <v>8.6999999999999993</v>
      </c>
      <c r="D57" s="4">
        <v>14</v>
      </c>
      <c r="E57" s="4">
        <v>18.3</v>
      </c>
      <c r="F57" s="4">
        <v>17.2</v>
      </c>
      <c r="G57" s="4">
        <v>15</v>
      </c>
      <c r="H57" s="4">
        <v>73.3</v>
      </c>
      <c r="I57" s="13">
        <v>2789</v>
      </c>
      <c r="J57" s="4">
        <v>11.8</v>
      </c>
      <c r="K57" s="4">
        <v>16.600000000000001</v>
      </c>
      <c r="L57" s="4">
        <v>17.600000000000001</v>
      </c>
      <c r="M57" s="4">
        <v>17.2</v>
      </c>
      <c r="N57" s="4">
        <v>14.7</v>
      </c>
      <c r="O57" s="4">
        <v>77.900000000000006</v>
      </c>
      <c r="P57" s="13">
        <v>4400</v>
      </c>
      <c r="Q57" s="4">
        <v>10.6</v>
      </c>
      <c r="R57" s="4">
        <v>15.6</v>
      </c>
      <c r="S57" s="4">
        <v>17.899999999999999</v>
      </c>
      <c r="T57" s="4">
        <v>17.2</v>
      </c>
      <c r="U57" s="4">
        <v>14.8</v>
      </c>
      <c r="V57" s="4">
        <v>76.099999999999994</v>
      </c>
      <c r="W57" s="13">
        <v>7189</v>
      </c>
      <c r="X57" s="14"/>
      <c r="Y57" s="14"/>
      <c r="Z57" s="14"/>
      <c r="AA57" s="74"/>
      <c r="AB57" s="74"/>
      <c r="AC57" s="74"/>
      <c r="AD57" s="74"/>
      <c r="AE57" s="74"/>
      <c r="AF57" s="74"/>
      <c r="AG57" s="74"/>
      <c r="AH57" s="74"/>
      <c r="AI57" s="74"/>
      <c r="AJ57" s="74"/>
      <c r="AK57" s="74"/>
      <c r="AL57" s="74"/>
      <c r="AM57" s="74"/>
      <c r="AN57" s="74"/>
      <c r="AO57" s="74"/>
      <c r="AP57" s="74"/>
      <c r="AQ57" s="74"/>
      <c r="AR57" s="74"/>
      <c r="AS57" s="74"/>
      <c r="AT57" s="74"/>
      <c r="AU57" s="74"/>
      <c r="AV57" s="74"/>
      <c r="AW57" s="74"/>
      <c r="AY57" s="77"/>
      <c r="AZ57" s="77"/>
      <c r="BA57" s="77"/>
      <c r="BB57" s="77"/>
      <c r="BC57" s="77"/>
      <c r="BD57" s="77"/>
      <c r="BE57" s="77"/>
      <c r="BF57" s="77"/>
      <c r="BG57" s="77"/>
      <c r="BH57" s="77"/>
      <c r="BI57" s="77"/>
      <c r="BJ57" s="77"/>
      <c r="BK57" s="77"/>
      <c r="BL57" s="77"/>
      <c r="BM57" s="77"/>
      <c r="BN57" s="77"/>
      <c r="BO57" s="77"/>
      <c r="BP57" s="77"/>
      <c r="BQ57" s="77"/>
      <c r="BR57" s="77"/>
      <c r="BS57" s="77"/>
      <c r="BT57" s="77"/>
      <c r="BU57" s="77"/>
    </row>
    <row r="58" spans="1:73" x14ac:dyDescent="0.2">
      <c r="A58" s="14"/>
      <c r="B58" s="10" t="s">
        <v>17</v>
      </c>
      <c r="C58" s="4">
        <v>8</v>
      </c>
      <c r="D58" s="4">
        <v>14.2</v>
      </c>
      <c r="E58" s="4">
        <v>21</v>
      </c>
      <c r="F58" s="4">
        <v>20.6</v>
      </c>
      <c r="G58" s="4">
        <v>17</v>
      </c>
      <c r="H58" s="4">
        <v>80.8</v>
      </c>
      <c r="I58" s="13">
        <v>5637</v>
      </c>
      <c r="J58" s="4">
        <v>14</v>
      </c>
      <c r="K58" s="4">
        <v>21.4</v>
      </c>
      <c r="L58" s="4">
        <v>21.6</v>
      </c>
      <c r="M58" s="4">
        <v>18.8</v>
      </c>
      <c r="N58" s="4">
        <v>13.2</v>
      </c>
      <c r="O58" s="4">
        <v>89</v>
      </c>
      <c r="P58" s="13">
        <v>19436</v>
      </c>
      <c r="Q58" s="4">
        <v>12.6</v>
      </c>
      <c r="R58" s="4">
        <v>19.8</v>
      </c>
      <c r="S58" s="4">
        <v>21.5</v>
      </c>
      <c r="T58" s="4">
        <v>19.2</v>
      </c>
      <c r="U58" s="4">
        <v>14</v>
      </c>
      <c r="V58" s="4">
        <v>87.1</v>
      </c>
      <c r="W58" s="13">
        <v>25073</v>
      </c>
      <c r="X58" s="14"/>
      <c r="Y58" s="14"/>
      <c r="Z58" s="14"/>
      <c r="AA58" s="74"/>
      <c r="AB58" s="74"/>
      <c r="AC58" s="74"/>
      <c r="AD58" s="74"/>
      <c r="AE58" s="74"/>
      <c r="AF58" s="74"/>
      <c r="AG58" s="74"/>
      <c r="AH58" s="74"/>
      <c r="AI58" s="74"/>
      <c r="AJ58" s="74"/>
      <c r="AK58" s="74"/>
      <c r="AL58" s="74"/>
      <c r="AM58" s="74"/>
      <c r="AN58" s="74"/>
      <c r="AO58" s="74"/>
      <c r="AP58" s="74"/>
      <c r="AQ58" s="74"/>
      <c r="AR58" s="74"/>
      <c r="AS58" s="74"/>
      <c r="AT58" s="74"/>
      <c r="AU58" s="74"/>
      <c r="AV58" s="74"/>
      <c r="AW58" s="74"/>
      <c r="AY58" s="77"/>
      <c r="AZ58" s="77"/>
      <c r="BA58" s="77"/>
      <c r="BB58" s="77"/>
      <c r="BC58" s="77"/>
      <c r="BD58" s="77"/>
      <c r="BE58" s="77"/>
      <c r="BF58" s="77"/>
      <c r="BG58" s="77"/>
      <c r="BH58" s="77"/>
      <c r="BI58" s="77"/>
      <c r="BJ58" s="77"/>
      <c r="BK58" s="77"/>
      <c r="BL58" s="77"/>
      <c r="BM58" s="77"/>
      <c r="BN58" s="77"/>
      <c r="BO58" s="77"/>
      <c r="BP58" s="77"/>
      <c r="BQ58" s="77"/>
      <c r="BR58" s="77"/>
      <c r="BS58" s="77"/>
      <c r="BT58" s="77"/>
      <c r="BU58" s="77"/>
    </row>
    <row r="59" spans="1:73" x14ac:dyDescent="0.2">
      <c r="A59" s="14"/>
      <c r="B59" s="10" t="s">
        <v>18</v>
      </c>
      <c r="C59" s="4">
        <v>11.7</v>
      </c>
      <c r="D59" s="4">
        <v>17.600000000000001</v>
      </c>
      <c r="E59" s="4">
        <v>19.3</v>
      </c>
      <c r="F59" s="4">
        <v>17.899999999999999</v>
      </c>
      <c r="G59" s="4">
        <v>14.7</v>
      </c>
      <c r="H59" s="4">
        <v>81.099999999999994</v>
      </c>
      <c r="I59" s="13">
        <v>4447</v>
      </c>
      <c r="J59" s="4">
        <v>15.1</v>
      </c>
      <c r="K59" s="4">
        <v>21.1</v>
      </c>
      <c r="L59" s="4">
        <v>20.7</v>
      </c>
      <c r="M59" s="4">
        <v>17.100000000000001</v>
      </c>
      <c r="N59" s="4">
        <v>12.6</v>
      </c>
      <c r="O59" s="4">
        <v>86.6</v>
      </c>
      <c r="P59" s="13">
        <v>15123</v>
      </c>
      <c r="Q59" s="4">
        <v>14.3</v>
      </c>
      <c r="R59" s="4">
        <v>20.3</v>
      </c>
      <c r="S59" s="4">
        <v>20.399999999999999</v>
      </c>
      <c r="T59" s="4">
        <v>17.3</v>
      </c>
      <c r="U59" s="4">
        <v>13.1</v>
      </c>
      <c r="V59" s="4">
        <v>85.3</v>
      </c>
      <c r="W59" s="13">
        <v>19570</v>
      </c>
      <c r="X59" s="14"/>
      <c r="Y59" s="14"/>
      <c r="Z59" s="14"/>
      <c r="AA59" s="74"/>
      <c r="AB59" s="74"/>
      <c r="AC59" s="74"/>
      <c r="AD59" s="74"/>
      <c r="AE59" s="74"/>
      <c r="AF59" s="74"/>
      <c r="AG59" s="74"/>
      <c r="AH59" s="74"/>
      <c r="AI59" s="74"/>
      <c r="AJ59" s="74"/>
      <c r="AK59" s="74"/>
      <c r="AL59" s="74"/>
      <c r="AM59" s="74"/>
      <c r="AN59" s="74"/>
      <c r="AO59" s="74"/>
      <c r="AP59" s="74"/>
      <c r="AQ59" s="74"/>
      <c r="AR59" s="74"/>
      <c r="AS59" s="74"/>
      <c r="AT59" s="74"/>
      <c r="AU59" s="74"/>
      <c r="AV59" s="74"/>
      <c r="AW59" s="74"/>
      <c r="AY59" s="77"/>
      <c r="AZ59" s="77"/>
      <c r="BA59" s="77"/>
      <c r="BB59" s="77"/>
      <c r="BC59" s="77"/>
      <c r="BD59" s="77"/>
      <c r="BE59" s="77"/>
      <c r="BF59" s="77"/>
      <c r="BG59" s="77"/>
      <c r="BH59" s="77"/>
      <c r="BI59" s="77"/>
      <c r="BJ59" s="77"/>
      <c r="BK59" s="77"/>
      <c r="BL59" s="77"/>
      <c r="BM59" s="77"/>
      <c r="BN59" s="77"/>
      <c r="BO59" s="77"/>
      <c r="BP59" s="77"/>
      <c r="BQ59" s="77"/>
      <c r="BR59" s="77"/>
      <c r="BS59" s="77"/>
      <c r="BT59" s="77"/>
      <c r="BU59" s="77"/>
    </row>
    <row r="60" spans="1:73" x14ac:dyDescent="0.2">
      <c r="A60" s="14"/>
      <c r="B60" s="10" t="s">
        <v>19</v>
      </c>
      <c r="C60" s="4">
        <v>9.6999999999999993</v>
      </c>
      <c r="D60" s="4">
        <v>14.1</v>
      </c>
      <c r="E60" s="4">
        <v>16.3</v>
      </c>
      <c r="F60" s="4">
        <v>15.2</v>
      </c>
      <c r="G60" s="4">
        <v>17</v>
      </c>
      <c r="H60" s="4">
        <v>72.3</v>
      </c>
      <c r="I60" s="13">
        <v>658</v>
      </c>
      <c r="J60" s="4">
        <v>13.5</v>
      </c>
      <c r="K60" s="4">
        <v>16</v>
      </c>
      <c r="L60" s="4">
        <v>16.600000000000001</v>
      </c>
      <c r="M60" s="4">
        <v>19.5</v>
      </c>
      <c r="N60" s="4">
        <v>15.2</v>
      </c>
      <c r="O60" s="4">
        <v>80.7</v>
      </c>
      <c r="P60" s="13">
        <v>771</v>
      </c>
      <c r="Q60" s="4">
        <v>11.8</v>
      </c>
      <c r="R60" s="4">
        <v>15.1</v>
      </c>
      <c r="S60" s="4">
        <v>16.399999999999999</v>
      </c>
      <c r="T60" s="4">
        <v>17.5</v>
      </c>
      <c r="U60" s="4">
        <v>16</v>
      </c>
      <c r="V60" s="4">
        <v>76.8</v>
      </c>
      <c r="W60" s="13">
        <v>1429</v>
      </c>
      <c r="X60" s="14"/>
      <c r="Y60" s="14"/>
      <c r="Z60" s="14"/>
      <c r="AA60" s="74"/>
      <c r="AB60" s="74"/>
      <c r="AC60" s="74"/>
      <c r="AD60" s="74"/>
      <c r="AE60" s="74"/>
      <c r="AF60" s="74"/>
      <c r="AG60" s="74"/>
      <c r="AH60" s="74"/>
      <c r="AI60" s="74"/>
      <c r="AJ60" s="74"/>
      <c r="AK60" s="74"/>
      <c r="AL60" s="74"/>
      <c r="AM60" s="74"/>
      <c r="AN60" s="74"/>
      <c r="AO60" s="74"/>
      <c r="AP60" s="74"/>
      <c r="AQ60" s="74"/>
      <c r="AR60" s="74"/>
      <c r="AS60" s="74"/>
      <c r="AT60" s="74"/>
      <c r="AU60" s="74"/>
      <c r="AV60" s="74"/>
      <c r="AW60" s="74"/>
      <c r="AY60" s="77"/>
      <c r="AZ60" s="77"/>
      <c r="BA60" s="77"/>
      <c r="BB60" s="77"/>
      <c r="BC60" s="77"/>
      <c r="BD60" s="77"/>
      <c r="BE60" s="77"/>
      <c r="BF60" s="77"/>
      <c r="BG60" s="77"/>
      <c r="BH60" s="77"/>
      <c r="BI60" s="77"/>
      <c r="BJ60" s="77"/>
      <c r="BK60" s="77"/>
      <c r="BL60" s="77"/>
      <c r="BM60" s="77"/>
      <c r="BN60" s="77"/>
      <c r="BO60" s="77"/>
      <c r="BP60" s="77"/>
      <c r="BQ60" s="77"/>
      <c r="BR60" s="77"/>
      <c r="BS60" s="77"/>
      <c r="BT60" s="77"/>
      <c r="BU60" s="77"/>
    </row>
    <row r="61" spans="1:73" x14ac:dyDescent="0.2">
      <c r="A61" s="14"/>
      <c r="B61" s="10" t="s">
        <v>20</v>
      </c>
      <c r="C61" s="4">
        <v>20.100000000000001</v>
      </c>
      <c r="D61" s="4">
        <v>18.8</v>
      </c>
      <c r="E61" s="4">
        <v>22.9</v>
      </c>
      <c r="F61" s="4">
        <v>18.3</v>
      </c>
      <c r="G61" s="4">
        <v>11</v>
      </c>
      <c r="H61" s="4">
        <v>91</v>
      </c>
      <c r="I61" s="13">
        <v>12516</v>
      </c>
      <c r="J61" s="4">
        <v>24.6</v>
      </c>
      <c r="K61" s="4">
        <v>21.5</v>
      </c>
      <c r="L61" s="4">
        <v>24.3</v>
      </c>
      <c r="M61" s="4">
        <v>16.399999999999999</v>
      </c>
      <c r="N61" s="4">
        <v>8</v>
      </c>
      <c r="O61" s="4">
        <v>94.8</v>
      </c>
      <c r="P61" s="13">
        <v>21634</v>
      </c>
      <c r="Q61" s="4">
        <v>22.9</v>
      </c>
      <c r="R61" s="4">
        <v>20.5</v>
      </c>
      <c r="S61" s="4">
        <v>23.8</v>
      </c>
      <c r="T61" s="4">
        <v>17.100000000000001</v>
      </c>
      <c r="U61" s="4">
        <v>9.1</v>
      </c>
      <c r="V61" s="4">
        <v>93.4</v>
      </c>
      <c r="W61" s="13">
        <v>34150</v>
      </c>
      <c r="X61" s="14"/>
      <c r="Y61" s="14"/>
      <c r="Z61" s="14"/>
      <c r="AA61" s="74"/>
      <c r="AB61" s="74"/>
      <c r="AC61" s="74"/>
      <c r="AD61" s="74"/>
      <c r="AE61" s="74"/>
      <c r="AF61" s="74"/>
      <c r="AG61" s="74"/>
      <c r="AH61" s="74"/>
      <c r="AI61" s="74"/>
      <c r="AJ61" s="74"/>
      <c r="AK61" s="74"/>
      <c r="AL61" s="74"/>
      <c r="AM61" s="74"/>
      <c r="AN61" s="74"/>
      <c r="AO61" s="74"/>
      <c r="AP61" s="74"/>
      <c r="AQ61" s="74"/>
      <c r="AR61" s="74"/>
      <c r="AS61" s="74"/>
      <c r="AT61" s="74"/>
      <c r="AU61" s="74"/>
      <c r="AV61" s="74"/>
      <c r="AW61" s="74"/>
      <c r="AY61" s="77"/>
      <c r="AZ61" s="77"/>
      <c r="BA61" s="77"/>
      <c r="BB61" s="77"/>
      <c r="BC61" s="77"/>
      <c r="BD61" s="77"/>
      <c r="BE61" s="77"/>
      <c r="BF61" s="77"/>
      <c r="BG61" s="77"/>
      <c r="BH61" s="77"/>
      <c r="BI61" s="77"/>
      <c r="BJ61" s="77"/>
      <c r="BK61" s="77"/>
      <c r="BL61" s="77"/>
      <c r="BM61" s="77"/>
      <c r="BN61" s="77"/>
      <c r="BO61" s="77"/>
      <c r="BP61" s="77"/>
      <c r="BQ61" s="77"/>
      <c r="BR61" s="77"/>
      <c r="BS61" s="77"/>
      <c r="BT61" s="77"/>
      <c r="BU61" s="77"/>
    </row>
    <row r="62" spans="1:73" x14ac:dyDescent="0.2">
      <c r="A62" s="14"/>
      <c r="B62" s="10" t="s">
        <v>21</v>
      </c>
      <c r="C62" s="4">
        <v>12.2</v>
      </c>
      <c r="D62" s="4">
        <v>14.7</v>
      </c>
      <c r="E62" s="4">
        <v>26.9</v>
      </c>
      <c r="F62" s="4">
        <v>22</v>
      </c>
      <c r="G62" s="4">
        <v>13.5</v>
      </c>
      <c r="H62" s="4">
        <v>89.3</v>
      </c>
      <c r="I62" s="13">
        <v>3052</v>
      </c>
      <c r="J62" s="4">
        <v>14.5</v>
      </c>
      <c r="K62" s="4">
        <v>18.600000000000001</v>
      </c>
      <c r="L62" s="4">
        <v>28.5</v>
      </c>
      <c r="M62" s="4">
        <v>20.9</v>
      </c>
      <c r="N62" s="4">
        <v>10.5</v>
      </c>
      <c r="O62" s="4">
        <v>93.1</v>
      </c>
      <c r="P62" s="13">
        <v>8043</v>
      </c>
      <c r="Q62" s="4">
        <v>13.9</v>
      </c>
      <c r="R62" s="4">
        <v>17.600000000000001</v>
      </c>
      <c r="S62" s="4">
        <v>28</v>
      </c>
      <c r="T62" s="4">
        <v>21.2</v>
      </c>
      <c r="U62" s="4">
        <v>11.3</v>
      </c>
      <c r="V62" s="4">
        <v>92</v>
      </c>
      <c r="W62" s="13">
        <v>11095</v>
      </c>
      <c r="X62" s="14"/>
      <c r="Y62" s="14"/>
      <c r="Z62" s="14"/>
      <c r="AA62" s="74"/>
      <c r="AB62" s="74"/>
      <c r="AC62" s="74"/>
      <c r="AD62" s="74"/>
      <c r="AE62" s="74"/>
      <c r="AF62" s="74"/>
      <c r="AG62" s="74"/>
      <c r="AH62" s="74"/>
      <c r="AI62" s="74"/>
      <c r="AJ62" s="74"/>
      <c r="AK62" s="74"/>
      <c r="AL62" s="74"/>
      <c r="AM62" s="74"/>
      <c r="AN62" s="74"/>
      <c r="AO62" s="74"/>
      <c r="AP62" s="74"/>
      <c r="AQ62" s="74"/>
      <c r="AR62" s="74"/>
      <c r="AS62" s="74"/>
      <c r="AT62" s="74"/>
      <c r="AU62" s="74"/>
      <c r="AV62" s="74"/>
      <c r="AW62" s="74"/>
      <c r="AY62" s="77"/>
      <c r="AZ62" s="77"/>
      <c r="BA62" s="77"/>
      <c r="BB62" s="77"/>
      <c r="BC62" s="77"/>
      <c r="BD62" s="77"/>
      <c r="BE62" s="77"/>
      <c r="BF62" s="77"/>
      <c r="BG62" s="77"/>
      <c r="BH62" s="77"/>
      <c r="BI62" s="77"/>
      <c r="BJ62" s="77"/>
      <c r="BK62" s="77"/>
      <c r="BL62" s="77"/>
      <c r="BM62" s="77"/>
      <c r="BN62" s="77"/>
      <c r="BO62" s="77"/>
      <c r="BP62" s="77"/>
      <c r="BQ62" s="77"/>
      <c r="BR62" s="77"/>
      <c r="BS62" s="77"/>
      <c r="BT62" s="77"/>
      <c r="BU62" s="77"/>
    </row>
    <row r="63" spans="1:73" x14ac:dyDescent="0.2">
      <c r="A63" s="14"/>
      <c r="B63" s="10" t="s">
        <v>22</v>
      </c>
      <c r="C63" s="4">
        <v>16.899999999999999</v>
      </c>
      <c r="D63" s="4">
        <v>19.8</v>
      </c>
      <c r="E63" s="4">
        <v>23.2</v>
      </c>
      <c r="F63" s="4">
        <v>20</v>
      </c>
      <c r="G63" s="4">
        <v>12.5</v>
      </c>
      <c r="H63" s="4">
        <v>92.5</v>
      </c>
      <c r="I63" s="13">
        <v>21893</v>
      </c>
      <c r="J63" s="4">
        <v>15.6</v>
      </c>
      <c r="K63" s="4">
        <v>19.600000000000001</v>
      </c>
      <c r="L63" s="4">
        <v>24.5</v>
      </c>
      <c r="M63" s="4">
        <v>21.4</v>
      </c>
      <c r="N63" s="4">
        <v>12.6</v>
      </c>
      <c r="O63" s="4">
        <v>93.8</v>
      </c>
      <c r="P63" s="13">
        <v>52450</v>
      </c>
      <c r="Q63" s="4">
        <v>16</v>
      </c>
      <c r="R63" s="4">
        <v>19.600000000000001</v>
      </c>
      <c r="S63" s="4">
        <v>24.2</v>
      </c>
      <c r="T63" s="4">
        <v>21</v>
      </c>
      <c r="U63" s="4">
        <v>12.6</v>
      </c>
      <c r="V63" s="4">
        <v>93.4</v>
      </c>
      <c r="W63" s="13">
        <v>74343</v>
      </c>
      <c r="X63" s="14"/>
      <c r="Y63" s="14"/>
      <c r="Z63" s="1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Y63" s="77"/>
      <c r="AZ63" s="77"/>
      <c r="BA63" s="77"/>
      <c r="BB63" s="77"/>
      <c r="BC63" s="77"/>
      <c r="BD63" s="77"/>
      <c r="BE63" s="77"/>
      <c r="BF63" s="77"/>
      <c r="BG63" s="77"/>
      <c r="BH63" s="77"/>
      <c r="BI63" s="77"/>
      <c r="BJ63" s="77"/>
      <c r="BK63" s="77"/>
      <c r="BL63" s="77"/>
      <c r="BM63" s="77"/>
      <c r="BN63" s="77"/>
      <c r="BO63" s="77"/>
      <c r="BP63" s="77"/>
      <c r="BQ63" s="77"/>
      <c r="BR63" s="77"/>
      <c r="BS63" s="77"/>
      <c r="BT63" s="77"/>
      <c r="BU63" s="77"/>
    </row>
    <row r="64" spans="1:73" x14ac:dyDescent="0.2">
      <c r="A64" s="14"/>
      <c r="B64" s="10" t="s">
        <v>51</v>
      </c>
      <c r="C64" s="4">
        <v>8</v>
      </c>
      <c r="D64" s="4">
        <v>14.1</v>
      </c>
      <c r="E64" s="4">
        <v>28.9</v>
      </c>
      <c r="F64" s="4">
        <v>28</v>
      </c>
      <c r="G64" s="4">
        <v>14.1</v>
      </c>
      <c r="H64" s="4">
        <v>93.1</v>
      </c>
      <c r="I64" s="13">
        <v>5008</v>
      </c>
      <c r="J64" s="4">
        <v>10.199999999999999</v>
      </c>
      <c r="K64" s="4">
        <v>18.7</v>
      </c>
      <c r="L64" s="4">
        <v>31.6</v>
      </c>
      <c r="M64" s="4">
        <v>24.9</v>
      </c>
      <c r="N64" s="4">
        <v>10.199999999999999</v>
      </c>
      <c r="O64" s="4">
        <v>95.5</v>
      </c>
      <c r="P64" s="13">
        <v>7158</v>
      </c>
      <c r="Q64" s="4">
        <v>9.3000000000000007</v>
      </c>
      <c r="R64" s="4">
        <v>16.8</v>
      </c>
      <c r="S64" s="4">
        <v>30.4</v>
      </c>
      <c r="T64" s="4">
        <v>26.2</v>
      </c>
      <c r="U64" s="4">
        <v>11.8</v>
      </c>
      <c r="V64" s="4">
        <v>94.5</v>
      </c>
      <c r="W64" s="13">
        <v>12166</v>
      </c>
      <c r="X64" s="14"/>
      <c r="Y64" s="14"/>
      <c r="Z64" s="14"/>
      <c r="AA64" s="74"/>
      <c r="AB64" s="74"/>
      <c r="AC64" s="74"/>
      <c r="AD64" s="74"/>
      <c r="AE64" s="74"/>
      <c r="AF64" s="74"/>
      <c r="AG64" s="74"/>
      <c r="AH64" s="74"/>
      <c r="AI64" s="74"/>
      <c r="AJ64" s="74"/>
      <c r="AK64" s="74"/>
      <c r="AL64" s="74"/>
      <c r="AM64" s="74"/>
      <c r="AN64" s="74"/>
      <c r="AO64" s="74"/>
      <c r="AP64" s="74"/>
      <c r="AQ64" s="74"/>
      <c r="AR64" s="74"/>
      <c r="AS64" s="74"/>
      <c r="AT64" s="74"/>
      <c r="AU64" s="74"/>
      <c r="AV64" s="74"/>
      <c r="AW64" s="74"/>
      <c r="AY64" s="77"/>
      <c r="AZ64" s="77"/>
      <c r="BA64" s="77"/>
      <c r="BB64" s="77"/>
      <c r="BC64" s="77"/>
      <c r="BD64" s="77"/>
      <c r="BE64" s="77"/>
      <c r="BF64" s="77"/>
      <c r="BG64" s="77"/>
      <c r="BH64" s="77"/>
      <c r="BI64" s="77"/>
      <c r="BJ64" s="77"/>
      <c r="BK64" s="77"/>
      <c r="BL64" s="77"/>
      <c r="BM64" s="77"/>
      <c r="BN64" s="77"/>
      <c r="BO64" s="77"/>
      <c r="BP64" s="77"/>
      <c r="BQ64" s="77"/>
      <c r="BR64" s="77"/>
      <c r="BS64" s="77"/>
      <c r="BT64" s="77"/>
      <c r="BU64" s="77"/>
    </row>
    <row r="65" spans="1:73" x14ac:dyDescent="0.2">
      <c r="A65" s="14"/>
      <c r="B65" s="10" t="s">
        <v>23</v>
      </c>
      <c r="C65" s="4">
        <v>9</v>
      </c>
      <c r="D65" s="4">
        <v>15.7</v>
      </c>
      <c r="E65" s="4">
        <v>20</v>
      </c>
      <c r="F65" s="4">
        <v>20.3</v>
      </c>
      <c r="G65" s="4">
        <v>14.9</v>
      </c>
      <c r="H65" s="4">
        <v>79.8</v>
      </c>
      <c r="I65" s="13">
        <v>2439</v>
      </c>
      <c r="J65" s="4">
        <v>9.6999999999999993</v>
      </c>
      <c r="K65" s="4">
        <v>22.2</v>
      </c>
      <c r="L65" s="4">
        <v>26.2</v>
      </c>
      <c r="M65" s="4">
        <v>21.3</v>
      </c>
      <c r="N65" s="4">
        <v>10.5</v>
      </c>
      <c r="O65" s="4">
        <v>89.9</v>
      </c>
      <c r="P65" s="13">
        <v>4750</v>
      </c>
      <c r="Q65" s="4">
        <v>9.5</v>
      </c>
      <c r="R65" s="4">
        <v>20</v>
      </c>
      <c r="S65" s="4">
        <v>24.1</v>
      </c>
      <c r="T65" s="4">
        <v>20.9</v>
      </c>
      <c r="U65" s="4">
        <v>12</v>
      </c>
      <c r="V65" s="4">
        <v>86.5</v>
      </c>
      <c r="W65" s="13">
        <v>7189</v>
      </c>
      <c r="X65" s="14"/>
      <c r="Y65" s="14"/>
      <c r="Z65" s="14"/>
      <c r="AA65" s="74"/>
      <c r="AB65" s="74"/>
      <c r="AC65" s="74"/>
      <c r="AD65" s="74"/>
      <c r="AE65" s="74"/>
      <c r="AF65" s="74"/>
      <c r="AG65" s="74"/>
      <c r="AH65" s="74"/>
      <c r="AI65" s="74"/>
      <c r="AJ65" s="74"/>
      <c r="AK65" s="74"/>
      <c r="AL65" s="74"/>
      <c r="AM65" s="74"/>
      <c r="AN65" s="74"/>
      <c r="AO65" s="74"/>
      <c r="AP65" s="74"/>
      <c r="AQ65" s="74"/>
      <c r="AR65" s="74"/>
      <c r="AS65" s="74"/>
      <c r="AT65" s="74"/>
      <c r="AU65" s="74"/>
      <c r="AV65" s="74"/>
      <c r="AW65" s="74"/>
      <c r="AY65" s="77"/>
      <c r="AZ65" s="77"/>
      <c r="BA65" s="77"/>
      <c r="BB65" s="77"/>
      <c r="BC65" s="77"/>
      <c r="BD65" s="77"/>
      <c r="BE65" s="77"/>
      <c r="BF65" s="77"/>
      <c r="BG65" s="77"/>
      <c r="BH65" s="77"/>
      <c r="BI65" s="77"/>
      <c r="BJ65" s="77"/>
      <c r="BK65" s="77"/>
      <c r="BL65" s="77"/>
      <c r="BM65" s="77"/>
      <c r="BN65" s="77"/>
      <c r="BO65" s="77"/>
      <c r="BP65" s="77"/>
      <c r="BQ65" s="77"/>
      <c r="BR65" s="77"/>
      <c r="BS65" s="77"/>
      <c r="BT65" s="77"/>
      <c r="BU65" s="77"/>
    </row>
    <row r="66" spans="1:73" x14ac:dyDescent="0.2">
      <c r="A66" s="14"/>
      <c r="B66" s="10" t="s">
        <v>24</v>
      </c>
      <c r="C66" s="4">
        <v>26.5</v>
      </c>
      <c r="D66" s="4">
        <v>21.9</v>
      </c>
      <c r="E66" s="4">
        <v>19.899999999999999</v>
      </c>
      <c r="F66" s="4">
        <v>14.5</v>
      </c>
      <c r="G66" s="4">
        <v>10</v>
      </c>
      <c r="H66" s="4">
        <v>92.8</v>
      </c>
      <c r="I66" s="13">
        <v>4456</v>
      </c>
      <c r="J66" s="4">
        <v>22.8</v>
      </c>
      <c r="K66" s="4">
        <v>21.1</v>
      </c>
      <c r="L66" s="4">
        <v>20.100000000000001</v>
      </c>
      <c r="M66" s="4">
        <v>17</v>
      </c>
      <c r="N66" s="4">
        <v>11</v>
      </c>
      <c r="O66" s="4">
        <v>92.1</v>
      </c>
      <c r="P66" s="13">
        <v>10784</v>
      </c>
      <c r="Q66" s="4">
        <v>23.8</v>
      </c>
      <c r="R66" s="4">
        <v>21.4</v>
      </c>
      <c r="S66" s="4">
        <v>20</v>
      </c>
      <c r="T66" s="4">
        <v>16.3</v>
      </c>
      <c r="U66" s="4">
        <v>10.7</v>
      </c>
      <c r="V66" s="4">
        <v>92.3</v>
      </c>
      <c r="W66" s="13">
        <v>15240</v>
      </c>
      <c r="X66" s="14"/>
      <c r="Y66" s="14"/>
      <c r="Z66" s="14"/>
      <c r="AA66" s="74"/>
      <c r="AB66" s="74"/>
      <c r="AC66" s="74"/>
      <c r="AD66" s="74"/>
      <c r="AE66" s="74"/>
      <c r="AF66" s="74"/>
      <c r="AG66" s="74"/>
      <c r="AH66" s="74"/>
      <c r="AI66" s="74"/>
      <c r="AJ66" s="74"/>
      <c r="AK66" s="74"/>
      <c r="AL66" s="74"/>
      <c r="AM66" s="74"/>
      <c r="AN66" s="74"/>
      <c r="AO66" s="74"/>
      <c r="AP66" s="74"/>
      <c r="AQ66" s="74"/>
      <c r="AR66" s="74"/>
      <c r="AS66" s="74"/>
      <c r="AT66" s="74"/>
      <c r="AU66" s="74"/>
      <c r="AV66" s="74"/>
      <c r="AW66" s="74"/>
      <c r="AY66" s="77"/>
      <c r="AZ66" s="77"/>
      <c r="BA66" s="77"/>
      <c r="BB66" s="77"/>
      <c r="BC66" s="77"/>
      <c r="BD66" s="77"/>
      <c r="BE66" s="77"/>
      <c r="BF66" s="77"/>
      <c r="BG66" s="77"/>
      <c r="BH66" s="77"/>
      <c r="BI66" s="77"/>
      <c r="BJ66" s="77"/>
      <c r="BK66" s="77"/>
      <c r="BL66" s="77"/>
      <c r="BM66" s="77"/>
      <c r="BN66" s="77"/>
      <c r="BO66" s="77"/>
      <c r="BP66" s="77"/>
      <c r="BQ66" s="77"/>
      <c r="BR66" s="77"/>
      <c r="BS66" s="77"/>
      <c r="BT66" s="77"/>
      <c r="BU66" s="77"/>
    </row>
    <row r="67" spans="1:73" x14ac:dyDescent="0.2">
      <c r="A67" s="14"/>
      <c r="B67" s="10" t="s">
        <v>25</v>
      </c>
      <c r="C67" s="4">
        <v>34.6</v>
      </c>
      <c r="D67" s="4">
        <v>19.8</v>
      </c>
      <c r="E67" s="4">
        <v>15.8</v>
      </c>
      <c r="F67" s="4">
        <v>13.7</v>
      </c>
      <c r="G67" s="4">
        <v>9.5</v>
      </c>
      <c r="H67" s="4">
        <v>93.4</v>
      </c>
      <c r="I67" s="13">
        <v>2434</v>
      </c>
      <c r="J67" s="4">
        <v>26.9</v>
      </c>
      <c r="K67" s="4">
        <v>19.8</v>
      </c>
      <c r="L67" s="4">
        <v>19.399999999999999</v>
      </c>
      <c r="M67" s="4">
        <v>16.3</v>
      </c>
      <c r="N67" s="4">
        <v>11.3</v>
      </c>
      <c r="O67" s="4">
        <v>93.6</v>
      </c>
      <c r="P67" s="13">
        <v>5147</v>
      </c>
      <c r="Q67" s="4">
        <v>29.4</v>
      </c>
      <c r="R67" s="4">
        <v>19.8</v>
      </c>
      <c r="S67" s="4">
        <v>18.2</v>
      </c>
      <c r="T67" s="4">
        <v>15.5</v>
      </c>
      <c r="U67" s="4">
        <v>10.7</v>
      </c>
      <c r="V67" s="4">
        <v>93.5</v>
      </c>
      <c r="W67" s="13">
        <v>7581</v>
      </c>
      <c r="X67" s="14"/>
      <c r="Y67" s="14"/>
      <c r="Z67" s="14"/>
      <c r="AA67" s="74"/>
      <c r="AB67" s="74"/>
      <c r="AC67" s="74"/>
      <c r="AD67" s="74"/>
      <c r="AE67" s="74"/>
      <c r="AF67" s="74"/>
      <c r="AG67" s="74"/>
      <c r="AH67" s="74"/>
      <c r="AI67" s="74"/>
      <c r="AJ67" s="74"/>
      <c r="AK67" s="74"/>
      <c r="AL67" s="74"/>
      <c r="AM67" s="74"/>
      <c r="AN67" s="74"/>
      <c r="AO67" s="74"/>
      <c r="AP67" s="74"/>
      <c r="AQ67" s="74"/>
      <c r="AR67" s="74"/>
      <c r="AS67" s="74"/>
      <c r="AT67" s="74"/>
      <c r="AU67" s="74"/>
      <c r="AV67" s="74"/>
      <c r="AW67" s="74"/>
      <c r="AY67" s="77"/>
      <c r="AZ67" s="77"/>
      <c r="BA67" s="77"/>
      <c r="BB67" s="77"/>
      <c r="BC67" s="77"/>
      <c r="BD67" s="77"/>
      <c r="BE67" s="77"/>
      <c r="BF67" s="77"/>
      <c r="BG67" s="77"/>
      <c r="BH67" s="77"/>
      <c r="BI67" s="77"/>
      <c r="BJ67" s="77"/>
      <c r="BK67" s="77"/>
      <c r="BL67" s="77"/>
      <c r="BM67" s="77"/>
      <c r="BN67" s="77"/>
      <c r="BO67" s="77"/>
      <c r="BP67" s="77"/>
      <c r="BQ67" s="77"/>
      <c r="BR67" s="77"/>
      <c r="BS67" s="77"/>
      <c r="BT67" s="77"/>
      <c r="BU67" s="77"/>
    </row>
    <row r="68" spans="1:73" x14ac:dyDescent="0.2">
      <c r="A68" s="14"/>
      <c r="B68" s="10" t="s">
        <v>26</v>
      </c>
      <c r="C68" s="4">
        <v>27.8</v>
      </c>
      <c r="D68" s="4">
        <v>25.7</v>
      </c>
      <c r="E68" s="4">
        <v>19.600000000000001</v>
      </c>
      <c r="F68" s="4">
        <v>13.2</v>
      </c>
      <c r="G68" s="4">
        <v>8.3000000000000007</v>
      </c>
      <c r="H68" s="4">
        <v>94.7</v>
      </c>
      <c r="I68" s="13">
        <v>1351</v>
      </c>
      <c r="J68" s="4">
        <v>24.4</v>
      </c>
      <c r="K68" s="4">
        <v>23.9</v>
      </c>
      <c r="L68" s="4">
        <v>19.600000000000001</v>
      </c>
      <c r="M68" s="4">
        <v>14.6</v>
      </c>
      <c r="N68" s="4">
        <v>10</v>
      </c>
      <c r="O68" s="4">
        <v>92.5</v>
      </c>
      <c r="P68" s="13">
        <v>3165</v>
      </c>
      <c r="Q68" s="4">
        <v>25.4</v>
      </c>
      <c r="R68" s="4">
        <v>24.4</v>
      </c>
      <c r="S68" s="4">
        <v>19.600000000000001</v>
      </c>
      <c r="T68" s="4">
        <v>14.2</v>
      </c>
      <c r="U68" s="4">
        <v>9.5</v>
      </c>
      <c r="V68" s="4">
        <v>93.2</v>
      </c>
      <c r="W68" s="13">
        <v>4516</v>
      </c>
      <c r="X68" s="14"/>
      <c r="Y68" s="14"/>
      <c r="Z68" s="14"/>
      <c r="AA68" s="74"/>
      <c r="AB68" s="74"/>
      <c r="AC68" s="74"/>
      <c r="AD68" s="74"/>
      <c r="AE68" s="74"/>
      <c r="AF68" s="74"/>
      <c r="AG68" s="74"/>
      <c r="AH68" s="74"/>
      <c r="AI68" s="74"/>
      <c r="AJ68" s="74"/>
      <c r="AK68" s="74"/>
      <c r="AL68" s="74"/>
      <c r="AM68" s="74"/>
      <c r="AN68" s="74"/>
      <c r="AO68" s="74"/>
      <c r="AP68" s="74"/>
      <c r="AQ68" s="74"/>
      <c r="AR68" s="74"/>
      <c r="AS68" s="74"/>
      <c r="AT68" s="74"/>
      <c r="AU68" s="74"/>
      <c r="AV68" s="74"/>
      <c r="AW68" s="74"/>
      <c r="AY68" s="77"/>
      <c r="AZ68" s="77"/>
      <c r="BA68" s="77"/>
      <c r="BB68" s="77"/>
      <c r="BC68" s="77"/>
      <c r="BD68" s="77"/>
      <c r="BE68" s="77"/>
      <c r="BF68" s="77"/>
      <c r="BG68" s="77"/>
      <c r="BH68" s="77"/>
      <c r="BI68" s="77"/>
      <c r="BJ68" s="77"/>
      <c r="BK68" s="77"/>
      <c r="BL68" s="77"/>
      <c r="BM68" s="77"/>
      <c r="BN68" s="77"/>
      <c r="BO68" s="77"/>
      <c r="BP68" s="77"/>
      <c r="BQ68" s="77"/>
      <c r="BR68" s="77"/>
      <c r="BS68" s="77"/>
      <c r="BT68" s="77"/>
      <c r="BU68" s="77"/>
    </row>
    <row r="69" spans="1:73" x14ac:dyDescent="0.2">
      <c r="A69" s="14"/>
      <c r="B69" s="10" t="s">
        <v>27</v>
      </c>
      <c r="C69" s="4">
        <v>32.799999999999997</v>
      </c>
      <c r="D69" s="4">
        <v>23.7</v>
      </c>
      <c r="E69" s="4">
        <v>16</v>
      </c>
      <c r="F69" s="4">
        <v>10.3</v>
      </c>
      <c r="G69" s="4">
        <v>6.7</v>
      </c>
      <c r="H69" s="4">
        <v>89.5</v>
      </c>
      <c r="I69" s="13">
        <v>1584</v>
      </c>
      <c r="J69" s="4">
        <v>39.5</v>
      </c>
      <c r="K69" s="4">
        <v>27.3</v>
      </c>
      <c r="L69" s="4">
        <v>16.5</v>
      </c>
      <c r="M69" s="4">
        <v>8.5</v>
      </c>
      <c r="N69" s="4">
        <v>3.9</v>
      </c>
      <c r="O69" s="4">
        <v>95.7</v>
      </c>
      <c r="P69" s="13">
        <v>2076</v>
      </c>
      <c r="Q69" s="4">
        <v>36.6</v>
      </c>
      <c r="R69" s="4">
        <v>25.8</v>
      </c>
      <c r="S69" s="4">
        <v>16.3</v>
      </c>
      <c r="T69" s="4">
        <v>9.3000000000000007</v>
      </c>
      <c r="U69" s="4">
        <v>5.0999999999999996</v>
      </c>
      <c r="V69" s="4">
        <v>93</v>
      </c>
      <c r="W69" s="13">
        <v>3660</v>
      </c>
      <c r="X69" s="14"/>
      <c r="Y69" s="14"/>
      <c r="Z69" s="14"/>
      <c r="AA69" s="74"/>
      <c r="AB69" s="74"/>
      <c r="AC69" s="74"/>
      <c r="AD69" s="74"/>
      <c r="AE69" s="74"/>
      <c r="AF69" s="74"/>
      <c r="AG69" s="74"/>
      <c r="AH69" s="74"/>
      <c r="AI69" s="74"/>
      <c r="AJ69" s="74"/>
      <c r="AK69" s="74"/>
      <c r="AL69" s="74"/>
      <c r="AM69" s="74"/>
      <c r="AN69" s="74"/>
      <c r="AO69" s="74"/>
      <c r="AP69" s="74"/>
      <c r="AQ69" s="74"/>
      <c r="AR69" s="74"/>
      <c r="AS69" s="74"/>
      <c r="AT69" s="74"/>
      <c r="AU69" s="74"/>
      <c r="AV69" s="74"/>
      <c r="AW69" s="74"/>
      <c r="AY69" s="77"/>
      <c r="AZ69" s="77"/>
      <c r="BA69" s="77"/>
      <c r="BB69" s="77"/>
      <c r="BC69" s="77"/>
      <c r="BD69" s="77"/>
      <c r="BE69" s="77"/>
      <c r="BF69" s="77"/>
      <c r="BG69" s="77"/>
      <c r="BH69" s="77"/>
      <c r="BI69" s="77"/>
      <c r="BJ69" s="77"/>
      <c r="BK69" s="77"/>
      <c r="BL69" s="77"/>
      <c r="BM69" s="77"/>
      <c r="BN69" s="77"/>
      <c r="BO69" s="77"/>
      <c r="BP69" s="77"/>
      <c r="BQ69" s="77"/>
      <c r="BR69" s="77"/>
      <c r="BS69" s="77"/>
      <c r="BT69" s="77"/>
      <c r="BU69" s="77"/>
    </row>
    <row r="70" spans="1:73" x14ac:dyDescent="0.2">
      <c r="A70" s="14"/>
      <c r="B70" s="10" t="s">
        <v>28</v>
      </c>
      <c r="C70" s="4">
        <v>29.7</v>
      </c>
      <c r="D70" s="4">
        <v>21.8</v>
      </c>
      <c r="E70" s="4">
        <v>20.2</v>
      </c>
      <c r="F70" s="4">
        <v>14</v>
      </c>
      <c r="G70" s="4">
        <v>7.4</v>
      </c>
      <c r="H70" s="4">
        <v>93.1</v>
      </c>
      <c r="I70" s="13">
        <v>2140</v>
      </c>
      <c r="J70" s="4">
        <v>29.4</v>
      </c>
      <c r="K70" s="4">
        <v>25</v>
      </c>
      <c r="L70" s="4">
        <v>21.1</v>
      </c>
      <c r="M70" s="4">
        <v>12.3</v>
      </c>
      <c r="N70" s="4">
        <v>6.9</v>
      </c>
      <c r="O70" s="4">
        <v>94.8</v>
      </c>
      <c r="P70" s="13">
        <v>2879</v>
      </c>
      <c r="Q70" s="4">
        <v>29.5</v>
      </c>
      <c r="R70" s="4">
        <v>23.7</v>
      </c>
      <c r="S70" s="4">
        <v>20.7</v>
      </c>
      <c r="T70" s="4">
        <v>13.1</v>
      </c>
      <c r="U70" s="4">
        <v>7.1</v>
      </c>
      <c r="V70" s="4">
        <v>94.1</v>
      </c>
      <c r="W70" s="13">
        <v>5019</v>
      </c>
      <c r="X70" s="14"/>
      <c r="Y70" s="14"/>
      <c r="Z70" s="14"/>
      <c r="AA70" s="74"/>
      <c r="AB70" s="74"/>
      <c r="AC70" s="74"/>
      <c r="AD70" s="74"/>
      <c r="AE70" s="74"/>
      <c r="AF70" s="74"/>
      <c r="AG70" s="74"/>
      <c r="AH70" s="74"/>
      <c r="AI70" s="74"/>
      <c r="AJ70" s="74"/>
      <c r="AK70" s="74"/>
      <c r="AL70" s="74"/>
      <c r="AM70" s="74"/>
      <c r="AN70" s="74"/>
      <c r="AO70" s="74"/>
      <c r="AP70" s="74"/>
      <c r="AQ70" s="74"/>
      <c r="AR70" s="74"/>
      <c r="AS70" s="74"/>
      <c r="AT70" s="74"/>
      <c r="AU70" s="74"/>
      <c r="AV70" s="74"/>
      <c r="AW70" s="74"/>
      <c r="AY70" s="77"/>
      <c r="AZ70" s="77"/>
      <c r="BA70" s="77"/>
      <c r="BB70" s="77"/>
      <c r="BC70" s="77"/>
      <c r="BD70" s="77"/>
      <c r="BE70" s="77"/>
      <c r="BF70" s="77"/>
      <c r="BG70" s="77"/>
      <c r="BH70" s="77"/>
      <c r="BI70" s="77"/>
      <c r="BJ70" s="77"/>
      <c r="BK70" s="77"/>
      <c r="BL70" s="77"/>
      <c r="BM70" s="77"/>
      <c r="BN70" s="77"/>
      <c r="BO70" s="77"/>
      <c r="BP70" s="77"/>
      <c r="BQ70" s="77"/>
      <c r="BR70" s="77"/>
      <c r="BS70" s="77"/>
      <c r="BT70" s="77"/>
      <c r="BU70" s="77"/>
    </row>
    <row r="71" spans="1:73" x14ac:dyDescent="0.2">
      <c r="A71" s="14"/>
      <c r="B71" s="10" t="s">
        <v>29</v>
      </c>
      <c r="C71" s="4">
        <v>18.3</v>
      </c>
      <c r="D71" s="4">
        <v>24.4</v>
      </c>
      <c r="E71" s="4">
        <v>22.8</v>
      </c>
      <c r="F71" s="4">
        <v>17.100000000000001</v>
      </c>
      <c r="G71" s="4">
        <v>8.1999999999999993</v>
      </c>
      <c r="H71" s="4">
        <v>90.8</v>
      </c>
      <c r="I71" s="13">
        <v>1839</v>
      </c>
      <c r="J71" s="4">
        <v>15.5</v>
      </c>
      <c r="K71" s="4">
        <v>22.6</v>
      </c>
      <c r="L71" s="4">
        <v>24.6</v>
      </c>
      <c r="M71" s="4">
        <v>18.899999999999999</v>
      </c>
      <c r="N71" s="4">
        <v>10.6</v>
      </c>
      <c r="O71" s="4">
        <v>92.2</v>
      </c>
      <c r="P71" s="13">
        <v>5322</v>
      </c>
      <c r="Q71" s="4">
        <v>16.2</v>
      </c>
      <c r="R71" s="4">
        <v>23.1</v>
      </c>
      <c r="S71" s="4">
        <v>24.1</v>
      </c>
      <c r="T71" s="4">
        <v>18.399999999999999</v>
      </c>
      <c r="U71" s="4">
        <v>10</v>
      </c>
      <c r="V71" s="4">
        <v>91.8</v>
      </c>
      <c r="W71" s="13">
        <v>7161</v>
      </c>
      <c r="X71" s="14"/>
      <c r="Y71" s="14"/>
      <c r="Z71" s="14"/>
      <c r="AA71" s="74"/>
      <c r="AB71" s="74"/>
      <c r="AC71" s="74"/>
      <c r="AD71" s="74"/>
      <c r="AE71" s="74"/>
      <c r="AF71" s="74"/>
      <c r="AG71" s="74"/>
      <c r="AH71" s="74"/>
      <c r="AI71" s="74"/>
      <c r="AJ71" s="74"/>
      <c r="AK71" s="74"/>
      <c r="AL71" s="74"/>
      <c r="AM71" s="74"/>
      <c r="AN71" s="74"/>
      <c r="AO71" s="74"/>
      <c r="AP71" s="74"/>
      <c r="AQ71" s="74"/>
      <c r="AR71" s="74"/>
      <c r="AS71" s="74"/>
      <c r="AT71" s="74"/>
      <c r="AU71" s="74"/>
      <c r="AV71" s="74"/>
      <c r="AW71" s="74"/>
      <c r="AY71" s="77"/>
      <c r="AZ71" s="77"/>
      <c r="BA71" s="77"/>
      <c r="BB71" s="77"/>
      <c r="BC71" s="77"/>
      <c r="BD71" s="77"/>
      <c r="BE71" s="77"/>
      <c r="BF71" s="77"/>
      <c r="BG71" s="77"/>
      <c r="BH71" s="77"/>
      <c r="BI71" s="77"/>
      <c r="BJ71" s="77"/>
      <c r="BK71" s="77"/>
      <c r="BL71" s="77"/>
      <c r="BM71" s="77"/>
      <c r="BN71" s="77"/>
      <c r="BO71" s="77"/>
      <c r="BP71" s="77"/>
      <c r="BQ71" s="77"/>
      <c r="BR71" s="77"/>
      <c r="BS71" s="77"/>
      <c r="BT71" s="77"/>
      <c r="BU71" s="77"/>
    </row>
    <row r="72" spans="1:73" x14ac:dyDescent="0.2">
      <c r="A72" s="14"/>
      <c r="B72" s="10" t="s">
        <v>30</v>
      </c>
      <c r="C72" s="4">
        <v>21.1</v>
      </c>
      <c r="D72" s="4">
        <v>18.600000000000001</v>
      </c>
      <c r="E72" s="4">
        <v>22.6</v>
      </c>
      <c r="F72" s="4">
        <v>19.100000000000001</v>
      </c>
      <c r="G72" s="4">
        <v>10.7</v>
      </c>
      <c r="H72" s="4">
        <v>92</v>
      </c>
      <c r="I72" s="13">
        <v>2651</v>
      </c>
      <c r="J72" s="4">
        <v>22.2</v>
      </c>
      <c r="K72" s="4">
        <v>20.3</v>
      </c>
      <c r="L72" s="4">
        <v>24.3</v>
      </c>
      <c r="M72" s="4">
        <v>18</v>
      </c>
      <c r="N72" s="4">
        <v>9.6</v>
      </c>
      <c r="O72" s="4">
        <v>94.4</v>
      </c>
      <c r="P72" s="13">
        <v>3476</v>
      </c>
      <c r="Q72" s="4">
        <v>21.7</v>
      </c>
      <c r="R72" s="4">
        <v>19.5</v>
      </c>
      <c r="S72" s="4">
        <v>23.5</v>
      </c>
      <c r="T72" s="4">
        <v>18.5</v>
      </c>
      <c r="U72" s="4">
        <v>10.1</v>
      </c>
      <c r="V72" s="4">
        <v>93.4</v>
      </c>
      <c r="W72" s="13">
        <v>6127</v>
      </c>
      <c r="X72" s="14"/>
      <c r="Y72" s="14"/>
      <c r="Z72" s="14"/>
      <c r="AA72" s="74"/>
      <c r="AB72" s="74"/>
      <c r="AC72" s="74"/>
      <c r="AD72" s="74"/>
      <c r="AE72" s="74"/>
      <c r="AF72" s="74"/>
      <c r="AG72" s="74"/>
      <c r="AH72" s="74"/>
      <c r="AI72" s="74"/>
      <c r="AJ72" s="74"/>
      <c r="AK72" s="74"/>
      <c r="AL72" s="74"/>
      <c r="AM72" s="74"/>
      <c r="AN72" s="74"/>
      <c r="AO72" s="74"/>
      <c r="AP72" s="74"/>
      <c r="AQ72" s="74"/>
      <c r="AR72" s="74"/>
      <c r="AS72" s="74"/>
      <c r="AT72" s="74"/>
      <c r="AU72" s="74"/>
      <c r="AV72" s="74"/>
      <c r="AW72" s="74"/>
      <c r="AY72" s="77"/>
      <c r="AZ72" s="77"/>
      <c r="BA72" s="77"/>
      <c r="BB72" s="77"/>
      <c r="BC72" s="77"/>
      <c r="BD72" s="77"/>
      <c r="BE72" s="77"/>
      <c r="BF72" s="77"/>
      <c r="BG72" s="77"/>
      <c r="BH72" s="77"/>
      <c r="BI72" s="77"/>
      <c r="BJ72" s="77"/>
      <c r="BK72" s="77"/>
      <c r="BL72" s="77"/>
      <c r="BM72" s="77"/>
      <c r="BN72" s="77"/>
      <c r="BO72" s="77"/>
      <c r="BP72" s="77"/>
      <c r="BQ72" s="77"/>
      <c r="BR72" s="77"/>
      <c r="BS72" s="77"/>
      <c r="BT72" s="77"/>
      <c r="BU72" s="77"/>
    </row>
    <row r="73" spans="1:73" x14ac:dyDescent="0.2">
      <c r="A73" s="14"/>
      <c r="B73" s="10" t="s">
        <v>31</v>
      </c>
      <c r="C73" s="4">
        <v>7.2</v>
      </c>
      <c r="D73" s="4">
        <v>11.8</v>
      </c>
      <c r="E73" s="4">
        <v>23.4</v>
      </c>
      <c r="F73" s="4">
        <v>27.8</v>
      </c>
      <c r="G73" s="4">
        <v>19.399999999999999</v>
      </c>
      <c r="H73" s="4">
        <v>89.6</v>
      </c>
      <c r="I73" s="13">
        <v>9586</v>
      </c>
      <c r="J73" s="4">
        <v>16.2</v>
      </c>
      <c r="K73" s="4">
        <v>17.2</v>
      </c>
      <c r="L73" s="4">
        <v>23.4</v>
      </c>
      <c r="M73" s="4">
        <v>22</v>
      </c>
      <c r="N73" s="4">
        <v>13.8</v>
      </c>
      <c r="O73" s="4">
        <v>92.6</v>
      </c>
      <c r="P73" s="13">
        <v>6267</v>
      </c>
      <c r="Q73" s="4">
        <v>10.8</v>
      </c>
      <c r="R73" s="4">
        <v>13.9</v>
      </c>
      <c r="S73" s="4">
        <v>23.4</v>
      </c>
      <c r="T73" s="4">
        <v>25.5</v>
      </c>
      <c r="U73" s="4">
        <v>17.2</v>
      </c>
      <c r="V73" s="4">
        <v>90.8</v>
      </c>
      <c r="W73" s="13">
        <v>15853</v>
      </c>
      <c r="X73" s="14"/>
      <c r="Y73" s="14"/>
      <c r="Z73" s="14"/>
      <c r="AA73" s="74"/>
      <c r="AB73" s="74"/>
      <c r="AC73" s="74"/>
      <c r="AD73" s="74"/>
      <c r="AE73" s="74"/>
      <c r="AF73" s="74"/>
      <c r="AG73" s="74"/>
      <c r="AH73" s="74"/>
      <c r="AI73" s="74"/>
      <c r="AJ73" s="74"/>
      <c r="AK73" s="74"/>
      <c r="AL73" s="74"/>
      <c r="AM73" s="74"/>
      <c r="AN73" s="74"/>
      <c r="AO73" s="74"/>
      <c r="AP73" s="74"/>
      <c r="AQ73" s="74"/>
      <c r="AR73" s="74"/>
      <c r="AS73" s="74"/>
      <c r="AT73" s="74"/>
      <c r="AU73" s="74"/>
      <c r="AV73" s="74"/>
      <c r="AW73" s="74"/>
      <c r="AY73" s="77"/>
      <c r="AZ73" s="77"/>
      <c r="BA73" s="77"/>
      <c r="BB73" s="77"/>
      <c r="BC73" s="77"/>
      <c r="BD73" s="77"/>
      <c r="BE73" s="77"/>
      <c r="BF73" s="77"/>
      <c r="BG73" s="77"/>
      <c r="BH73" s="77"/>
      <c r="BI73" s="77"/>
      <c r="BJ73" s="77"/>
      <c r="BK73" s="77"/>
      <c r="BL73" s="77"/>
      <c r="BM73" s="77"/>
      <c r="BN73" s="77"/>
      <c r="BO73" s="77"/>
      <c r="BP73" s="77"/>
      <c r="BQ73" s="77"/>
      <c r="BR73" s="77"/>
      <c r="BS73" s="77"/>
      <c r="BT73" s="77"/>
      <c r="BU73" s="77"/>
    </row>
    <row r="74" spans="1:73" x14ac:dyDescent="0.2">
      <c r="A74" s="14"/>
      <c r="B74" s="10" t="s">
        <v>32</v>
      </c>
      <c r="C74" s="4">
        <v>13.1</v>
      </c>
      <c r="D74" s="4">
        <v>16.100000000000001</v>
      </c>
      <c r="E74" s="4">
        <v>19.600000000000001</v>
      </c>
      <c r="F74" s="4">
        <v>20.6</v>
      </c>
      <c r="G74" s="4">
        <v>15.5</v>
      </c>
      <c r="H74" s="4">
        <v>84.9</v>
      </c>
      <c r="I74" s="13">
        <v>41737</v>
      </c>
      <c r="J74" s="4">
        <v>11.9</v>
      </c>
      <c r="K74" s="4">
        <v>15.5</v>
      </c>
      <c r="L74" s="4">
        <v>20.100000000000001</v>
      </c>
      <c r="M74" s="4">
        <v>20.8</v>
      </c>
      <c r="N74" s="4">
        <v>16</v>
      </c>
      <c r="O74" s="4">
        <v>84.3</v>
      </c>
      <c r="P74" s="13">
        <v>46097</v>
      </c>
      <c r="Q74" s="4">
        <v>12.5</v>
      </c>
      <c r="R74" s="4">
        <v>15.8</v>
      </c>
      <c r="S74" s="4">
        <v>19.899999999999999</v>
      </c>
      <c r="T74" s="4">
        <v>20.7</v>
      </c>
      <c r="U74" s="4">
        <v>15.7</v>
      </c>
      <c r="V74" s="4">
        <v>84.6</v>
      </c>
      <c r="W74" s="13">
        <v>87834</v>
      </c>
      <c r="X74" s="14"/>
      <c r="Y74" s="14"/>
      <c r="Z74" s="14"/>
      <c r="AA74" s="74"/>
      <c r="AB74" s="74"/>
      <c r="AC74" s="74"/>
      <c r="AD74" s="74"/>
      <c r="AE74" s="74"/>
      <c r="AF74" s="74"/>
      <c r="AG74" s="74"/>
      <c r="AH74" s="74"/>
      <c r="AI74" s="74"/>
      <c r="AJ74" s="74"/>
      <c r="AK74" s="74"/>
      <c r="AL74" s="74"/>
      <c r="AM74" s="74"/>
      <c r="AN74" s="74"/>
      <c r="AO74" s="74"/>
      <c r="AP74" s="74"/>
      <c r="AQ74" s="74"/>
      <c r="AR74" s="74"/>
      <c r="AS74" s="74"/>
      <c r="AT74" s="74"/>
      <c r="AU74" s="74"/>
      <c r="AV74" s="74"/>
      <c r="AW74" s="74"/>
      <c r="AY74" s="77"/>
      <c r="AZ74" s="77"/>
      <c r="BA74" s="77"/>
      <c r="BB74" s="77"/>
      <c r="BC74" s="77"/>
      <c r="BD74" s="77"/>
      <c r="BE74" s="77"/>
      <c r="BF74" s="77"/>
      <c r="BG74" s="77"/>
      <c r="BH74" s="77"/>
      <c r="BI74" s="77"/>
      <c r="BJ74" s="77"/>
      <c r="BK74" s="77"/>
      <c r="BL74" s="77"/>
      <c r="BM74" s="77"/>
      <c r="BN74" s="77"/>
      <c r="BO74" s="77"/>
      <c r="BP74" s="77"/>
      <c r="BQ74" s="77"/>
      <c r="BR74" s="77"/>
      <c r="BS74" s="77"/>
      <c r="BT74" s="77"/>
      <c r="BU74" s="77"/>
    </row>
    <row r="75" spans="1:73" x14ac:dyDescent="0.2">
      <c r="A75" s="14"/>
      <c r="B75" s="10" t="s">
        <v>46</v>
      </c>
      <c r="C75" s="4">
        <v>17.7</v>
      </c>
      <c r="D75" s="4">
        <v>18.2</v>
      </c>
      <c r="E75" s="4">
        <v>20.7</v>
      </c>
      <c r="F75" s="4">
        <v>18.8</v>
      </c>
      <c r="G75" s="4">
        <v>13.1</v>
      </c>
      <c r="H75" s="4">
        <v>88.4</v>
      </c>
      <c r="I75" s="13">
        <v>312630</v>
      </c>
      <c r="J75" s="4">
        <v>18.2</v>
      </c>
      <c r="K75" s="4">
        <v>20</v>
      </c>
      <c r="L75" s="4">
        <v>22</v>
      </c>
      <c r="M75" s="4">
        <v>18.399999999999999</v>
      </c>
      <c r="N75" s="4">
        <v>11.9</v>
      </c>
      <c r="O75" s="4">
        <v>90.5</v>
      </c>
      <c r="P75" s="13">
        <v>359732</v>
      </c>
      <c r="Q75" s="4">
        <v>18</v>
      </c>
      <c r="R75" s="4">
        <v>19.100000000000001</v>
      </c>
      <c r="S75" s="4">
        <v>21.4</v>
      </c>
      <c r="T75" s="4">
        <v>18.600000000000001</v>
      </c>
      <c r="U75" s="4">
        <v>12.5</v>
      </c>
      <c r="V75" s="4">
        <v>89.5</v>
      </c>
      <c r="W75" s="13">
        <v>672362</v>
      </c>
      <c r="X75" s="14"/>
      <c r="Y75" s="14"/>
      <c r="Z75" s="1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Y75" s="77"/>
      <c r="AZ75" s="77"/>
      <c r="BA75" s="77"/>
      <c r="BB75" s="77"/>
      <c r="BC75" s="77"/>
      <c r="BD75" s="77"/>
      <c r="BE75" s="77"/>
      <c r="BF75" s="77"/>
      <c r="BG75" s="77"/>
      <c r="BH75" s="77"/>
      <c r="BI75" s="77"/>
      <c r="BJ75" s="77"/>
      <c r="BK75" s="77"/>
      <c r="BL75" s="77"/>
      <c r="BM75" s="77"/>
      <c r="BN75" s="77"/>
      <c r="BO75" s="77"/>
      <c r="BP75" s="77"/>
      <c r="BQ75" s="77"/>
      <c r="BR75" s="77"/>
      <c r="BS75" s="77"/>
      <c r="BT75" s="77"/>
      <c r="BU75" s="77"/>
    </row>
    <row r="76" spans="1:73" x14ac:dyDescent="0.2">
      <c r="A76" s="14"/>
    </row>
    <row r="77" spans="1:73" x14ac:dyDescent="0.2">
      <c r="A77" s="14"/>
      <c r="B77" s="10" t="s">
        <v>0</v>
      </c>
      <c r="C77" s="4">
        <f>ROUND(C41,1)</f>
        <v>16</v>
      </c>
      <c r="D77" s="4">
        <f t="shared" ref="D77:V77" si="0">ROUND(D41,1)</f>
        <v>18.2</v>
      </c>
      <c r="E77" s="4">
        <f t="shared" si="0"/>
        <v>19.3</v>
      </c>
      <c r="F77" s="4">
        <f t="shared" si="0"/>
        <v>18.600000000000001</v>
      </c>
      <c r="G77" s="4">
        <f t="shared" si="0"/>
        <v>15.4</v>
      </c>
      <c r="H77" s="4">
        <f t="shared" si="0"/>
        <v>87.5</v>
      </c>
      <c r="I77" s="13">
        <f>ROUND(I41,0)</f>
        <v>17752</v>
      </c>
      <c r="J77" s="4">
        <f t="shared" si="0"/>
        <v>18.8</v>
      </c>
      <c r="K77" s="4">
        <f t="shared" si="0"/>
        <v>20.8</v>
      </c>
      <c r="L77" s="4">
        <f t="shared" si="0"/>
        <v>20.2</v>
      </c>
      <c r="M77" s="4">
        <f t="shared" si="0"/>
        <v>17.100000000000001</v>
      </c>
      <c r="N77" s="4">
        <f t="shared" si="0"/>
        <v>13</v>
      </c>
      <c r="O77" s="4">
        <f t="shared" si="0"/>
        <v>90.1</v>
      </c>
      <c r="P77" s="13">
        <f>ROUND(P41,0)</f>
        <v>28438</v>
      </c>
      <c r="Q77" s="4">
        <f t="shared" si="0"/>
        <v>17.7</v>
      </c>
      <c r="R77" s="4">
        <f t="shared" si="0"/>
        <v>19.8</v>
      </c>
      <c r="S77" s="4">
        <f t="shared" si="0"/>
        <v>19.899999999999999</v>
      </c>
      <c r="T77" s="4">
        <f t="shared" si="0"/>
        <v>17.7</v>
      </c>
      <c r="U77" s="4">
        <f t="shared" si="0"/>
        <v>13.9</v>
      </c>
      <c r="V77" s="4">
        <f t="shared" si="0"/>
        <v>89.1</v>
      </c>
      <c r="W77" s="13">
        <f>ROUND(W41,0)</f>
        <v>46190</v>
      </c>
    </row>
    <row r="78" spans="1:73" x14ac:dyDescent="0.2">
      <c r="A78" s="14"/>
      <c r="B78" s="10" t="s">
        <v>1</v>
      </c>
      <c r="C78" s="4">
        <f t="shared" ref="C78:H78" si="1">ROUND(C42,1)</f>
        <v>24.1</v>
      </c>
      <c r="D78" s="4">
        <f t="shared" si="1"/>
        <v>21.3</v>
      </c>
      <c r="E78" s="4">
        <f t="shared" si="1"/>
        <v>18.399999999999999</v>
      </c>
      <c r="F78" s="4">
        <f t="shared" si="1"/>
        <v>15.1</v>
      </c>
      <c r="G78" s="4">
        <f t="shared" si="1"/>
        <v>10.9</v>
      </c>
      <c r="H78" s="4">
        <f t="shared" si="1"/>
        <v>89.7</v>
      </c>
      <c r="I78" s="13">
        <f t="shared" ref="I78:I111" si="2">ROUND(I42,0)</f>
        <v>18253</v>
      </c>
      <c r="J78" s="4">
        <f t="shared" ref="J78:O78" si="3">ROUND(J42,1)</f>
        <v>27.2</v>
      </c>
      <c r="K78" s="4">
        <f t="shared" si="3"/>
        <v>23.1</v>
      </c>
      <c r="L78" s="4">
        <f t="shared" si="3"/>
        <v>18.899999999999999</v>
      </c>
      <c r="M78" s="4">
        <f t="shared" si="3"/>
        <v>14.2</v>
      </c>
      <c r="N78" s="4">
        <f t="shared" si="3"/>
        <v>9</v>
      </c>
      <c r="O78" s="4">
        <f t="shared" si="3"/>
        <v>92.5</v>
      </c>
      <c r="P78" s="13">
        <f t="shared" ref="P78:P111" si="4">ROUND(P42,0)</f>
        <v>17037</v>
      </c>
      <c r="Q78" s="4">
        <f t="shared" ref="Q78:V78" si="5">ROUND(Q42,1)</f>
        <v>25.6</v>
      </c>
      <c r="R78" s="4">
        <f t="shared" si="5"/>
        <v>22.2</v>
      </c>
      <c r="S78" s="4">
        <f t="shared" si="5"/>
        <v>18.600000000000001</v>
      </c>
      <c r="T78" s="4">
        <f t="shared" si="5"/>
        <v>14.7</v>
      </c>
      <c r="U78" s="4">
        <f t="shared" si="5"/>
        <v>10</v>
      </c>
      <c r="V78" s="4">
        <f t="shared" si="5"/>
        <v>91.1</v>
      </c>
      <c r="W78" s="13">
        <f t="shared" ref="W78:W111" si="6">ROUND(W42,0)</f>
        <v>35290</v>
      </c>
    </row>
    <row r="79" spans="1:73" x14ac:dyDescent="0.2">
      <c r="A79" s="14"/>
      <c r="B79" s="10" t="s">
        <v>2</v>
      </c>
      <c r="C79" s="4">
        <f t="shared" ref="C79:H79" si="7">ROUND(C43,1)</f>
        <v>24.1</v>
      </c>
      <c r="D79" s="4">
        <f t="shared" si="7"/>
        <v>19.2</v>
      </c>
      <c r="E79" s="4">
        <f t="shared" si="7"/>
        <v>18.399999999999999</v>
      </c>
      <c r="F79" s="4">
        <f t="shared" si="7"/>
        <v>15.6</v>
      </c>
      <c r="G79" s="4">
        <f t="shared" si="7"/>
        <v>11.8</v>
      </c>
      <c r="H79" s="4">
        <f t="shared" si="7"/>
        <v>89.2</v>
      </c>
      <c r="I79" s="13">
        <f t="shared" si="2"/>
        <v>21795</v>
      </c>
      <c r="J79" s="4">
        <f t="shared" ref="J79:O79" si="8">ROUND(J43,1)</f>
        <v>28.8</v>
      </c>
      <c r="K79" s="4">
        <f t="shared" si="8"/>
        <v>22.2</v>
      </c>
      <c r="L79" s="4">
        <f t="shared" si="8"/>
        <v>18.3</v>
      </c>
      <c r="M79" s="4">
        <f t="shared" si="8"/>
        <v>13.5</v>
      </c>
      <c r="N79" s="4">
        <f t="shared" si="8"/>
        <v>9.8000000000000007</v>
      </c>
      <c r="O79" s="4">
        <f t="shared" si="8"/>
        <v>92.5</v>
      </c>
      <c r="P79" s="13">
        <f t="shared" si="4"/>
        <v>6396</v>
      </c>
      <c r="Q79" s="4">
        <f t="shared" ref="Q79:V79" si="9">ROUND(Q43,1)</f>
        <v>25.2</v>
      </c>
      <c r="R79" s="4">
        <f t="shared" si="9"/>
        <v>19.899999999999999</v>
      </c>
      <c r="S79" s="4">
        <f t="shared" si="9"/>
        <v>18.399999999999999</v>
      </c>
      <c r="T79" s="4">
        <f t="shared" si="9"/>
        <v>15.1</v>
      </c>
      <c r="U79" s="4">
        <f t="shared" si="9"/>
        <v>11.3</v>
      </c>
      <c r="V79" s="4">
        <f t="shared" si="9"/>
        <v>89.9</v>
      </c>
      <c r="W79" s="13">
        <f t="shared" si="6"/>
        <v>28191</v>
      </c>
    </row>
    <row r="80" spans="1:73" x14ac:dyDescent="0.2">
      <c r="A80" s="14"/>
      <c r="B80" s="10" t="s">
        <v>3</v>
      </c>
      <c r="C80" s="4">
        <f t="shared" ref="C80:H80" si="10">ROUND(C44,1)</f>
        <v>14.5</v>
      </c>
      <c r="D80" s="4">
        <f t="shared" si="10"/>
        <v>13.4</v>
      </c>
      <c r="E80" s="4">
        <f t="shared" si="10"/>
        <v>20.7</v>
      </c>
      <c r="F80" s="4">
        <f t="shared" si="10"/>
        <v>21.7</v>
      </c>
      <c r="G80" s="4">
        <f t="shared" si="10"/>
        <v>16.5</v>
      </c>
      <c r="H80" s="4">
        <f t="shared" si="10"/>
        <v>86.9</v>
      </c>
      <c r="I80" s="13">
        <f t="shared" si="2"/>
        <v>2396</v>
      </c>
      <c r="J80" s="4">
        <f t="shared" ref="J80:O80" si="11">ROUND(J44,1)</f>
        <v>13.3</v>
      </c>
      <c r="K80" s="4">
        <f t="shared" si="11"/>
        <v>17.3</v>
      </c>
      <c r="L80" s="4">
        <f t="shared" si="11"/>
        <v>21.6</v>
      </c>
      <c r="M80" s="4">
        <f t="shared" si="11"/>
        <v>21.5</v>
      </c>
      <c r="N80" s="4">
        <f t="shared" si="11"/>
        <v>15.4</v>
      </c>
      <c r="O80" s="4">
        <f t="shared" si="11"/>
        <v>89.2</v>
      </c>
      <c r="P80" s="13">
        <f t="shared" si="4"/>
        <v>1438</v>
      </c>
      <c r="Q80" s="4">
        <f t="shared" ref="Q80:V80" si="12">ROUND(Q44,1)</f>
        <v>14</v>
      </c>
      <c r="R80" s="4">
        <f t="shared" si="12"/>
        <v>14.9</v>
      </c>
      <c r="S80" s="4">
        <f t="shared" si="12"/>
        <v>21</v>
      </c>
      <c r="T80" s="4">
        <f t="shared" si="12"/>
        <v>21.6</v>
      </c>
      <c r="U80" s="4">
        <f t="shared" si="12"/>
        <v>16.100000000000001</v>
      </c>
      <c r="V80" s="4">
        <f t="shared" si="12"/>
        <v>87.7</v>
      </c>
      <c r="W80" s="13">
        <f t="shared" si="6"/>
        <v>3834</v>
      </c>
    </row>
    <row r="81" spans="1:23" x14ac:dyDescent="0.2">
      <c r="A81" s="14"/>
      <c r="B81" s="10" t="s">
        <v>4</v>
      </c>
      <c r="C81" s="4">
        <f t="shared" ref="C81:H81" si="13">ROUND(C45,1)</f>
        <v>26.8</v>
      </c>
      <c r="D81" s="4">
        <f t="shared" si="13"/>
        <v>18.5</v>
      </c>
      <c r="E81" s="4">
        <f t="shared" si="13"/>
        <v>16.899999999999999</v>
      </c>
      <c r="F81" s="4">
        <f t="shared" si="13"/>
        <v>15.1</v>
      </c>
      <c r="G81" s="4">
        <f t="shared" si="13"/>
        <v>10.9</v>
      </c>
      <c r="H81" s="4">
        <f t="shared" si="13"/>
        <v>88.2</v>
      </c>
      <c r="I81" s="13">
        <f t="shared" si="2"/>
        <v>33499</v>
      </c>
      <c r="J81" s="4">
        <f t="shared" ref="J81:O81" si="14">ROUND(J45,1)</f>
        <v>28.7</v>
      </c>
      <c r="K81" s="4">
        <f t="shared" si="14"/>
        <v>20.399999999999999</v>
      </c>
      <c r="L81" s="4">
        <f t="shared" si="14"/>
        <v>17.7</v>
      </c>
      <c r="M81" s="4">
        <f t="shared" si="14"/>
        <v>14.3</v>
      </c>
      <c r="N81" s="4">
        <f t="shared" si="14"/>
        <v>10.199999999999999</v>
      </c>
      <c r="O81" s="4">
        <f t="shared" si="14"/>
        <v>91.3</v>
      </c>
      <c r="P81" s="13">
        <f t="shared" si="4"/>
        <v>20175</v>
      </c>
      <c r="Q81" s="4">
        <f t="shared" ref="Q81:V81" si="15">ROUND(Q45,1)</f>
        <v>27.5</v>
      </c>
      <c r="R81" s="4">
        <f t="shared" si="15"/>
        <v>19.2</v>
      </c>
      <c r="S81" s="4">
        <f t="shared" si="15"/>
        <v>17.2</v>
      </c>
      <c r="T81" s="4">
        <f t="shared" si="15"/>
        <v>14.8</v>
      </c>
      <c r="U81" s="4">
        <f t="shared" si="15"/>
        <v>10.7</v>
      </c>
      <c r="V81" s="4">
        <f t="shared" si="15"/>
        <v>89.4</v>
      </c>
      <c r="W81" s="13">
        <f t="shared" si="6"/>
        <v>53674</v>
      </c>
    </row>
    <row r="82" spans="1:23" x14ac:dyDescent="0.2">
      <c r="A82" s="14"/>
      <c r="B82" s="10" t="s">
        <v>5</v>
      </c>
      <c r="C82" s="4">
        <f t="shared" ref="C82:H82" si="16">ROUND(C46,1)</f>
        <v>49.9</v>
      </c>
      <c r="D82" s="4">
        <f t="shared" si="16"/>
        <v>18.8</v>
      </c>
      <c r="E82" s="4">
        <f t="shared" si="16"/>
        <v>13</v>
      </c>
      <c r="F82" s="4">
        <f t="shared" si="16"/>
        <v>9</v>
      </c>
      <c r="G82" s="4">
        <f t="shared" si="16"/>
        <v>5.3</v>
      </c>
      <c r="H82" s="4">
        <f t="shared" si="16"/>
        <v>96.1</v>
      </c>
      <c r="I82" s="13">
        <f t="shared" si="2"/>
        <v>3520</v>
      </c>
      <c r="J82" s="4">
        <f t="shared" ref="J82:O82" si="17">ROUND(J46,1)</f>
        <v>51.5</v>
      </c>
      <c r="K82" s="4">
        <f t="shared" si="17"/>
        <v>18.600000000000001</v>
      </c>
      <c r="L82" s="4">
        <f t="shared" si="17"/>
        <v>13</v>
      </c>
      <c r="M82" s="4">
        <f t="shared" si="17"/>
        <v>8.5</v>
      </c>
      <c r="N82" s="4">
        <f t="shared" si="17"/>
        <v>4.5</v>
      </c>
      <c r="O82" s="4">
        <f t="shared" si="17"/>
        <v>96.2</v>
      </c>
      <c r="P82" s="13">
        <f t="shared" si="4"/>
        <v>1495</v>
      </c>
      <c r="Q82" s="4">
        <f t="shared" ref="Q82:V82" si="18">ROUND(Q46,1)</f>
        <v>50.4</v>
      </c>
      <c r="R82" s="4">
        <f t="shared" si="18"/>
        <v>18.8</v>
      </c>
      <c r="S82" s="4">
        <f t="shared" si="18"/>
        <v>13</v>
      </c>
      <c r="T82" s="4">
        <f t="shared" si="18"/>
        <v>8.9</v>
      </c>
      <c r="U82" s="4">
        <f t="shared" si="18"/>
        <v>5.0999999999999996</v>
      </c>
      <c r="V82" s="4">
        <f t="shared" si="18"/>
        <v>96.1</v>
      </c>
      <c r="W82" s="13">
        <f t="shared" si="6"/>
        <v>5015</v>
      </c>
    </row>
    <row r="83" spans="1:23" x14ac:dyDescent="0.2">
      <c r="A83" s="14"/>
      <c r="B83" s="10" t="s">
        <v>6</v>
      </c>
      <c r="C83" s="4">
        <f t="shared" ref="C83:H83" si="19">ROUND(C47,1)</f>
        <v>13.3</v>
      </c>
      <c r="D83" s="4">
        <f t="shared" si="19"/>
        <v>15.7</v>
      </c>
      <c r="E83" s="4">
        <f t="shared" si="19"/>
        <v>25.9</v>
      </c>
      <c r="F83" s="4">
        <f t="shared" si="19"/>
        <v>22.2</v>
      </c>
      <c r="G83" s="4">
        <f t="shared" si="19"/>
        <v>13.9</v>
      </c>
      <c r="H83" s="4">
        <f t="shared" si="19"/>
        <v>91</v>
      </c>
      <c r="I83" s="13">
        <f t="shared" si="2"/>
        <v>9159</v>
      </c>
      <c r="J83" s="4">
        <f t="shared" ref="J83:O83" si="20">ROUND(J47,1)</f>
        <v>14.9</v>
      </c>
      <c r="K83" s="4">
        <f t="shared" si="20"/>
        <v>18.899999999999999</v>
      </c>
      <c r="L83" s="4">
        <f t="shared" si="20"/>
        <v>28</v>
      </c>
      <c r="M83" s="4">
        <f t="shared" si="20"/>
        <v>22.2</v>
      </c>
      <c r="N83" s="4">
        <f t="shared" si="20"/>
        <v>10.5</v>
      </c>
      <c r="O83" s="4">
        <f t="shared" si="20"/>
        <v>94.5</v>
      </c>
      <c r="P83" s="13">
        <f t="shared" si="4"/>
        <v>3591</v>
      </c>
      <c r="Q83" s="4">
        <f t="shared" ref="Q83:V83" si="21">ROUND(Q47,1)</f>
        <v>13.8</v>
      </c>
      <c r="R83" s="4">
        <f t="shared" si="21"/>
        <v>16.600000000000001</v>
      </c>
      <c r="S83" s="4">
        <f t="shared" si="21"/>
        <v>26.5</v>
      </c>
      <c r="T83" s="4">
        <f t="shared" si="21"/>
        <v>22.2</v>
      </c>
      <c r="U83" s="4">
        <f t="shared" si="21"/>
        <v>13</v>
      </c>
      <c r="V83" s="4">
        <f t="shared" si="21"/>
        <v>92</v>
      </c>
      <c r="W83" s="13">
        <f t="shared" si="6"/>
        <v>12750</v>
      </c>
    </row>
    <row r="84" spans="1:23" x14ac:dyDescent="0.2">
      <c r="A84" s="14"/>
      <c r="B84" s="10" t="s">
        <v>7</v>
      </c>
      <c r="C84" s="4">
        <f t="shared" ref="C84:H84" si="22">ROUND(C48,1)</f>
        <v>9.9</v>
      </c>
      <c r="D84" s="4">
        <f t="shared" si="22"/>
        <v>13.6</v>
      </c>
      <c r="E84" s="4">
        <f t="shared" si="22"/>
        <v>18.100000000000001</v>
      </c>
      <c r="F84" s="4">
        <f t="shared" si="22"/>
        <v>20.7</v>
      </c>
      <c r="G84" s="4">
        <f t="shared" si="22"/>
        <v>17.2</v>
      </c>
      <c r="H84" s="4">
        <f t="shared" si="22"/>
        <v>79.5</v>
      </c>
      <c r="I84" s="13">
        <f t="shared" si="2"/>
        <v>9230</v>
      </c>
      <c r="J84" s="4">
        <f t="shared" ref="J84:O84" si="23">ROUND(J48,1)</f>
        <v>6.2</v>
      </c>
      <c r="K84" s="4">
        <f t="shared" si="23"/>
        <v>11.9</v>
      </c>
      <c r="L84" s="4">
        <f t="shared" si="23"/>
        <v>18.3</v>
      </c>
      <c r="M84" s="4">
        <f t="shared" si="23"/>
        <v>20.399999999999999</v>
      </c>
      <c r="N84" s="4">
        <f t="shared" si="23"/>
        <v>20.2</v>
      </c>
      <c r="O84" s="4">
        <f t="shared" si="23"/>
        <v>77.099999999999994</v>
      </c>
      <c r="P84" s="13">
        <f t="shared" si="4"/>
        <v>1621</v>
      </c>
      <c r="Q84" s="4">
        <f t="shared" ref="Q84:V84" si="24">ROUND(Q48,1)</f>
        <v>9.4</v>
      </c>
      <c r="R84" s="4">
        <f t="shared" si="24"/>
        <v>13.3</v>
      </c>
      <c r="S84" s="4">
        <f t="shared" si="24"/>
        <v>18.100000000000001</v>
      </c>
      <c r="T84" s="4">
        <f t="shared" si="24"/>
        <v>20.7</v>
      </c>
      <c r="U84" s="4">
        <f t="shared" si="24"/>
        <v>17.7</v>
      </c>
      <c r="V84" s="4">
        <f t="shared" si="24"/>
        <v>79.2</v>
      </c>
      <c r="W84" s="13">
        <f t="shared" si="6"/>
        <v>10851</v>
      </c>
    </row>
    <row r="85" spans="1:23" x14ac:dyDescent="0.2">
      <c r="A85" s="14"/>
      <c r="B85" s="10" t="s">
        <v>8</v>
      </c>
      <c r="C85" s="4">
        <f t="shared" ref="C85:H85" si="25">ROUND(C49,1)</f>
        <v>5</v>
      </c>
      <c r="D85" s="4">
        <f t="shared" si="25"/>
        <v>14</v>
      </c>
      <c r="E85" s="4">
        <f t="shared" si="25"/>
        <v>25</v>
      </c>
      <c r="F85" s="4">
        <f t="shared" si="25"/>
        <v>27.8</v>
      </c>
      <c r="G85" s="4">
        <f t="shared" si="25"/>
        <v>17.5</v>
      </c>
      <c r="H85" s="4">
        <f t="shared" si="25"/>
        <v>89.3</v>
      </c>
      <c r="I85" s="13">
        <f t="shared" si="2"/>
        <v>4154</v>
      </c>
      <c r="J85" s="4">
        <f t="shared" ref="J85:O85" si="26">ROUND(J49,1)</f>
        <v>6.1</v>
      </c>
      <c r="K85" s="4">
        <f t="shared" si="26"/>
        <v>15.1</v>
      </c>
      <c r="L85" s="4">
        <f t="shared" si="26"/>
        <v>26.3</v>
      </c>
      <c r="M85" s="4">
        <f t="shared" si="26"/>
        <v>28.4</v>
      </c>
      <c r="N85" s="4">
        <f t="shared" si="26"/>
        <v>15.9</v>
      </c>
      <c r="O85" s="4">
        <f t="shared" si="26"/>
        <v>91.8</v>
      </c>
      <c r="P85" s="13">
        <f t="shared" si="4"/>
        <v>2133</v>
      </c>
      <c r="Q85" s="4">
        <f t="shared" ref="Q85:V85" si="27">ROUND(Q49,1)</f>
        <v>5.4</v>
      </c>
      <c r="R85" s="4">
        <f t="shared" si="27"/>
        <v>14.4</v>
      </c>
      <c r="S85" s="4">
        <f t="shared" si="27"/>
        <v>25.4</v>
      </c>
      <c r="T85" s="4">
        <f t="shared" si="27"/>
        <v>28</v>
      </c>
      <c r="U85" s="4">
        <f t="shared" si="27"/>
        <v>17</v>
      </c>
      <c r="V85" s="4">
        <f t="shared" si="27"/>
        <v>90.2</v>
      </c>
      <c r="W85" s="13">
        <f t="shared" si="6"/>
        <v>6287</v>
      </c>
    </row>
    <row r="86" spans="1:23" x14ac:dyDescent="0.2">
      <c r="A86" s="14"/>
      <c r="B86" s="10" t="s">
        <v>9</v>
      </c>
      <c r="C86" s="4">
        <f t="shared" ref="C86:H86" si="28">ROUND(C50,1)</f>
        <v>3.2</v>
      </c>
      <c r="D86" s="4">
        <f t="shared" si="28"/>
        <v>7.4</v>
      </c>
      <c r="E86" s="4">
        <f t="shared" si="28"/>
        <v>16</v>
      </c>
      <c r="F86" s="4">
        <f t="shared" si="28"/>
        <v>26.6</v>
      </c>
      <c r="G86" s="4">
        <f t="shared" si="28"/>
        <v>18.100000000000001</v>
      </c>
      <c r="H86" s="4">
        <f t="shared" si="28"/>
        <v>71.3</v>
      </c>
      <c r="I86" s="13">
        <f t="shared" si="2"/>
        <v>94</v>
      </c>
      <c r="J86" s="4">
        <f t="shared" ref="J86:O86" si="29">ROUND(J50,1)</f>
        <v>12.7</v>
      </c>
      <c r="K86" s="4">
        <f t="shared" si="29"/>
        <v>14.1</v>
      </c>
      <c r="L86" s="4">
        <f t="shared" si="29"/>
        <v>22.5</v>
      </c>
      <c r="M86" s="4">
        <f t="shared" si="29"/>
        <v>21.2</v>
      </c>
      <c r="N86" s="4">
        <f t="shared" si="29"/>
        <v>13.1</v>
      </c>
      <c r="O86" s="4">
        <f t="shared" si="29"/>
        <v>83.7</v>
      </c>
      <c r="P86" s="13">
        <f t="shared" si="4"/>
        <v>1244</v>
      </c>
      <c r="Q86" s="4">
        <f t="shared" ref="Q86:V86" si="30">ROUND(Q50,1)</f>
        <v>12</v>
      </c>
      <c r="R86" s="4">
        <f t="shared" si="30"/>
        <v>13.7</v>
      </c>
      <c r="S86" s="4">
        <f t="shared" si="30"/>
        <v>22</v>
      </c>
      <c r="T86" s="4">
        <f t="shared" si="30"/>
        <v>21.6</v>
      </c>
      <c r="U86" s="4">
        <f t="shared" si="30"/>
        <v>13.5</v>
      </c>
      <c r="V86" s="4">
        <f t="shared" si="30"/>
        <v>82.8</v>
      </c>
      <c r="W86" s="13">
        <f t="shared" si="6"/>
        <v>1338</v>
      </c>
    </row>
    <row r="87" spans="1:23" x14ac:dyDescent="0.2">
      <c r="A87" s="14"/>
      <c r="B87" s="10" t="s">
        <v>10</v>
      </c>
      <c r="C87" s="4">
        <f t="shared" ref="C87:H87" si="31">ROUND(C51,1)</f>
        <v>9.6</v>
      </c>
      <c r="D87" s="4">
        <f t="shared" si="31"/>
        <v>14.6</v>
      </c>
      <c r="E87" s="4">
        <f t="shared" si="31"/>
        <v>16.3</v>
      </c>
      <c r="F87" s="4">
        <f t="shared" si="31"/>
        <v>16.600000000000001</v>
      </c>
      <c r="G87" s="4">
        <f t="shared" si="31"/>
        <v>11.8</v>
      </c>
      <c r="H87" s="4">
        <f t="shared" si="31"/>
        <v>68.8</v>
      </c>
      <c r="I87" s="13">
        <f t="shared" si="2"/>
        <v>1208</v>
      </c>
      <c r="J87" s="4">
        <f t="shared" ref="J87:O87" si="32">ROUND(J51,1)</f>
        <v>9.1</v>
      </c>
      <c r="K87" s="4">
        <f t="shared" si="32"/>
        <v>14.8</v>
      </c>
      <c r="L87" s="4">
        <f t="shared" si="32"/>
        <v>17.399999999999999</v>
      </c>
      <c r="M87" s="4">
        <f t="shared" si="32"/>
        <v>16.399999999999999</v>
      </c>
      <c r="N87" s="4">
        <f t="shared" si="32"/>
        <v>14</v>
      </c>
      <c r="O87" s="4">
        <f t="shared" si="32"/>
        <v>71.7</v>
      </c>
      <c r="P87" s="13">
        <f t="shared" si="4"/>
        <v>736</v>
      </c>
      <c r="Q87" s="4">
        <f t="shared" ref="Q87:V87" si="33">ROUND(Q51,1)</f>
        <v>9.4</v>
      </c>
      <c r="R87" s="4">
        <f t="shared" si="33"/>
        <v>14.7</v>
      </c>
      <c r="S87" s="4">
        <f t="shared" si="33"/>
        <v>16.7</v>
      </c>
      <c r="T87" s="4">
        <f t="shared" si="33"/>
        <v>16.5</v>
      </c>
      <c r="U87" s="4">
        <f t="shared" si="33"/>
        <v>12.6</v>
      </c>
      <c r="V87" s="4">
        <f t="shared" si="33"/>
        <v>69.900000000000006</v>
      </c>
      <c r="W87" s="13">
        <f t="shared" si="6"/>
        <v>1944</v>
      </c>
    </row>
    <row r="88" spans="1:23" x14ac:dyDescent="0.2">
      <c r="A88" s="14"/>
      <c r="B88" s="10" t="s">
        <v>11</v>
      </c>
      <c r="C88" s="4">
        <f t="shared" ref="C88:H88" si="34">ROUND(C52,1)</f>
        <v>8.8000000000000007</v>
      </c>
      <c r="D88" s="4">
        <f t="shared" si="34"/>
        <v>19.2</v>
      </c>
      <c r="E88" s="4">
        <f t="shared" si="34"/>
        <v>26</v>
      </c>
      <c r="F88" s="4">
        <f t="shared" si="34"/>
        <v>21.9</v>
      </c>
      <c r="G88" s="4">
        <f t="shared" si="34"/>
        <v>13.4</v>
      </c>
      <c r="H88" s="4">
        <f t="shared" si="34"/>
        <v>89.4</v>
      </c>
      <c r="I88" s="13">
        <f t="shared" si="2"/>
        <v>16899</v>
      </c>
      <c r="J88" s="4">
        <f t="shared" ref="J88:O88" si="35">ROUND(J52,1)</f>
        <v>11.4</v>
      </c>
      <c r="K88" s="4">
        <f t="shared" si="35"/>
        <v>20</v>
      </c>
      <c r="L88" s="4">
        <f t="shared" si="35"/>
        <v>25.7</v>
      </c>
      <c r="M88" s="4">
        <f t="shared" si="35"/>
        <v>20.5</v>
      </c>
      <c r="N88" s="4">
        <f t="shared" si="35"/>
        <v>12.1</v>
      </c>
      <c r="O88" s="4">
        <f t="shared" si="35"/>
        <v>89.7</v>
      </c>
      <c r="P88" s="13">
        <f t="shared" si="4"/>
        <v>14177</v>
      </c>
      <c r="Q88" s="4">
        <f t="shared" ref="Q88:V88" si="36">ROUND(Q52,1)</f>
        <v>10</v>
      </c>
      <c r="R88" s="4">
        <f t="shared" si="36"/>
        <v>19.600000000000001</v>
      </c>
      <c r="S88" s="4">
        <f t="shared" si="36"/>
        <v>25.9</v>
      </c>
      <c r="T88" s="4">
        <f t="shared" si="36"/>
        <v>21.3</v>
      </c>
      <c r="U88" s="4">
        <f t="shared" si="36"/>
        <v>12.8</v>
      </c>
      <c r="V88" s="4">
        <f t="shared" si="36"/>
        <v>89.5</v>
      </c>
      <c r="W88" s="13">
        <f t="shared" si="6"/>
        <v>31076</v>
      </c>
    </row>
    <row r="89" spans="1:23" x14ac:dyDescent="0.2">
      <c r="A89" s="14"/>
      <c r="B89" s="10" t="s">
        <v>12</v>
      </c>
      <c r="C89" s="4">
        <f t="shared" ref="C89:H89" si="37">ROUND(C53,1)</f>
        <v>21.2</v>
      </c>
      <c r="D89" s="4">
        <f t="shared" si="37"/>
        <v>18.7</v>
      </c>
      <c r="E89" s="4">
        <f t="shared" si="37"/>
        <v>18.899999999999999</v>
      </c>
      <c r="F89" s="4">
        <f t="shared" si="37"/>
        <v>17.8</v>
      </c>
      <c r="G89" s="4">
        <f t="shared" si="37"/>
        <v>12.5</v>
      </c>
      <c r="H89" s="4">
        <f t="shared" si="37"/>
        <v>89.2</v>
      </c>
      <c r="I89" s="13">
        <f t="shared" si="2"/>
        <v>11350</v>
      </c>
      <c r="J89" s="4">
        <f t="shared" ref="J89:O89" si="38">ROUND(J53,1)</f>
        <v>21.5</v>
      </c>
      <c r="K89" s="4">
        <f t="shared" si="38"/>
        <v>18.5</v>
      </c>
      <c r="L89" s="4">
        <f t="shared" si="38"/>
        <v>18.399999999999999</v>
      </c>
      <c r="M89" s="4">
        <f t="shared" si="38"/>
        <v>17.399999999999999</v>
      </c>
      <c r="N89" s="4">
        <f t="shared" si="38"/>
        <v>12.8</v>
      </c>
      <c r="O89" s="4">
        <f t="shared" si="38"/>
        <v>88.6</v>
      </c>
      <c r="P89" s="13">
        <f t="shared" si="4"/>
        <v>5934</v>
      </c>
      <c r="Q89" s="4">
        <f t="shared" ref="Q89:V89" si="39">ROUND(Q53,1)</f>
        <v>21.3</v>
      </c>
      <c r="R89" s="4">
        <f t="shared" si="39"/>
        <v>18.600000000000001</v>
      </c>
      <c r="S89" s="4">
        <f t="shared" si="39"/>
        <v>18.7</v>
      </c>
      <c r="T89" s="4">
        <f t="shared" si="39"/>
        <v>17.7</v>
      </c>
      <c r="U89" s="4">
        <f t="shared" si="39"/>
        <v>12.6</v>
      </c>
      <c r="V89" s="4">
        <f t="shared" si="39"/>
        <v>88.9</v>
      </c>
      <c r="W89" s="13">
        <f t="shared" si="6"/>
        <v>17284</v>
      </c>
    </row>
    <row r="90" spans="1:23" x14ac:dyDescent="0.2">
      <c r="A90" s="14"/>
      <c r="B90" s="10" t="s">
        <v>13</v>
      </c>
      <c r="C90" s="4">
        <f t="shared" ref="C90:H90" si="40">ROUND(C54,1)</f>
        <v>15.5</v>
      </c>
      <c r="D90" s="4">
        <f t="shared" si="40"/>
        <v>21.1</v>
      </c>
      <c r="E90" s="4">
        <f t="shared" si="40"/>
        <v>23.1</v>
      </c>
      <c r="F90" s="4">
        <f t="shared" si="40"/>
        <v>19.2</v>
      </c>
      <c r="G90" s="4">
        <f t="shared" si="40"/>
        <v>12.8</v>
      </c>
      <c r="H90" s="4">
        <f t="shared" si="40"/>
        <v>91.7</v>
      </c>
      <c r="I90" s="13">
        <f t="shared" si="2"/>
        <v>17931</v>
      </c>
      <c r="J90" s="4">
        <f t="shared" ref="J90:O90" si="41">ROUND(J54,1)</f>
        <v>21.4</v>
      </c>
      <c r="K90" s="4">
        <f t="shared" si="41"/>
        <v>23.9</v>
      </c>
      <c r="L90" s="4">
        <f t="shared" si="41"/>
        <v>22.3</v>
      </c>
      <c r="M90" s="4">
        <f t="shared" si="41"/>
        <v>16.3</v>
      </c>
      <c r="N90" s="4">
        <f t="shared" si="41"/>
        <v>9.6999999999999993</v>
      </c>
      <c r="O90" s="4">
        <f t="shared" si="41"/>
        <v>93.6</v>
      </c>
      <c r="P90" s="13">
        <f t="shared" si="4"/>
        <v>15086</v>
      </c>
      <c r="Q90" s="4">
        <f t="shared" ref="Q90:V90" si="42">ROUND(Q54,1)</f>
        <v>18.2</v>
      </c>
      <c r="R90" s="4">
        <f t="shared" si="42"/>
        <v>22.4</v>
      </c>
      <c r="S90" s="4">
        <f t="shared" si="42"/>
        <v>22.7</v>
      </c>
      <c r="T90" s="4">
        <f t="shared" si="42"/>
        <v>17.899999999999999</v>
      </c>
      <c r="U90" s="4">
        <f t="shared" si="42"/>
        <v>11.4</v>
      </c>
      <c r="V90" s="4">
        <f t="shared" si="42"/>
        <v>92.6</v>
      </c>
      <c r="W90" s="13">
        <f t="shared" si="6"/>
        <v>33017</v>
      </c>
    </row>
    <row r="91" spans="1:23" x14ac:dyDescent="0.2">
      <c r="A91" s="14"/>
      <c r="B91" s="10" t="s">
        <v>14</v>
      </c>
      <c r="C91" s="4">
        <f t="shared" ref="C91:H91" si="43">ROUND(C55,1)</f>
        <v>22.2</v>
      </c>
      <c r="D91" s="4">
        <f t="shared" si="43"/>
        <v>21.5</v>
      </c>
      <c r="E91" s="4">
        <f t="shared" si="43"/>
        <v>22.9</v>
      </c>
      <c r="F91" s="4">
        <f t="shared" si="43"/>
        <v>15</v>
      </c>
      <c r="G91" s="4">
        <f t="shared" si="43"/>
        <v>10.3</v>
      </c>
      <c r="H91" s="4">
        <f t="shared" si="43"/>
        <v>92</v>
      </c>
      <c r="I91" s="13">
        <f t="shared" si="2"/>
        <v>4129</v>
      </c>
      <c r="J91" s="4">
        <f t="shared" ref="J91:O91" si="44">ROUND(J55,1)</f>
        <v>24.2</v>
      </c>
      <c r="K91" s="4">
        <f t="shared" si="44"/>
        <v>22.5</v>
      </c>
      <c r="L91" s="4">
        <f t="shared" si="44"/>
        <v>20.8</v>
      </c>
      <c r="M91" s="4">
        <f t="shared" si="44"/>
        <v>15</v>
      </c>
      <c r="N91" s="4">
        <f t="shared" si="44"/>
        <v>9.6999999999999993</v>
      </c>
      <c r="O91" s="4">
        <f t="shared" si="44"/>
        <v>92.1</v>
      </c>
      <c r="P91" s="13">
        <f t="shared" si="4"/>
        <v>3157</v>
      </c>
      <c r="Q91" s="4">
        <f t="shared" ref="Q91:V91" si="45">ROUND(Q55,1)</f>
        <v>23</v>
      </c>
      <c r="R91" s="4">
        <f t="shared" si="45"/>
        <v>21.9</v>
      </c>
      <c r="S91" s="4">
        <f t="shared" si="45"/>
        <v>22</v>
      </c>
      <c r="T91" s="4">
        <f t="shared" si="45"/>
        <v>15</v>
      </c>
      <c r="U91" s="4">
        <f t="shared" si="45"/>
        <v>10</v>
      </c>
      <c r="V91" s="4">
        <f t="shared" si="45"/>
        <v>92.1</v>
      </c>
      <c r="W91" s="13">
        <f t="shared" si="6"/>
        <v>7286</v>
      </c>
    </row>
    <row r="92" spans="1:23" x14ac:dyDescent="0.2">
      <c r="A92" s="14"/>
      <c r="B92" s="10" t="s">
        <v>15</v>
      </c>
      <c r="C92" s="4">
        <f t="shared" ref="C92:H92" si="46">ROUND(C56,1)</f>
        <v>17.5</v>
      </c>
      <c r="D92" s="4">
        <f t="shared" si="46"/>
        <v>20.2</v>
      </c>
      <c r="E92" s="4">
        <f t="shared" si="46"/>
        <v>22.1</v>
      </c>
      <c r="F92" s="4">
        <f t="shared" si="46"/>
        <v>18.100000000000001</v>
      </c>
      <c r="G92" s="4">
        <f t="shared" si="46"/>
        <v>11.3</v>
      </c>
      <c r="H92" s="4">
        <f t="shared" si="46"/>
        <v>89.3</v>
      </c>
      <c r="I92" s="13">
        <f t="shared" si="2"/>
        <v>15044</v>
      </c>
      <c r="J92" s="4">
        <f t="shared" ref="J92:O92" si="47">ROUND(J56,1)</f>
        <v>17.600000000000001</v>
      </c>
      <c r="K92" s="4">
        <f t="shared" si="47"/>
        <v>20.100000000000001</v>
      </c>
      <c r="L92" s="4">
        <f t="shared" si="47"/>
        <v>22.5</v>
      </c>
      <c r="M92" s="4">
        <f t="shared" si="47"/>
        <v>17.600000000000001</v>
      </c>
      <c r="N92" s="4">
        <f t="shared" si="47"/>
        <v>11.4</v>
      </c>
      <c r="O92" s="4">
        <f t="shared" si="47"/>
        <v>89.2</v>
      </c>
      <c r="P92" s="13">
        <f t="shared" si="4"/>
        <v>18096</v>
      </c>
      <c r="Q92" s="4">
        <f t="shared" ref="Q92:V92" si="48">ROUND(Q56,1)</f>
        <v>17.5</v>
      </c>
      <c r="R92" s="4">
        <f t="shared" si="48"/>
        <v>20.2</v>
      </c>
      <c r="S92" s="4">
        <f t="shared" si="48"/>
        <v>22.3</v>
      </c>
      <c r="T92" s="4">
        <f t="shared" si="48"/>
        <v>17.8</v>
      </c>
      <c r="U92" s="4">
        <f t="shared" si="48"/>
        <v>11.4</v>
      </c>
      <c r="V92" s="4">
        <f t="shared" si="48"/>
        <v>89.2</v>
      </c>
      <c r="W92" s="13">
        <f t="shared" si="6"/>
        <v>33140</v>
      </c>
    </row>
    <row r="93" spans="1:23" x14ac:dyDescent="0.2">
      <c r="A93" s="14"/>
      <c r="B93" s="10" t="s">
        <v>16</v>
      </c>
      <c r="C93" s="4">
        <f t="shared" ref="C93:H93" si="49">ROUND(C57,1)</f>
        <v>8.6999999999999993</v>
      </c>
      <c r="D93" s="4">
        <f t="shared" si="49"/>
        <v>14</v>
      </c>
      <c r="E93" s="4">
        <f t="shared" si="49"/>
        <v>18.3</v>
      </c>
      <c r="F93" s="4">
        <f t="shared" si="49"/>
        <v>17.2</v>
      </c>
      <c r="G93" s="4">
        <f t="shared" si="49"/>
        <v>15</v>
      </c>
      <c r="H93" s="4">
        <f t="shared" si="49"/>
        <v>73.3</v>
      </c>
      <c r="I93" s="13">
        <f t="shared" si="2"/>
        <v>2789</v>
      </c>
      <c r="J93" s="4">
        <f t="shared" ref="J93:O93" si="50">ROUND(J57,1)</f>
        <v>11.8</v>
      </c>
      <c r="K93" s="4">
        <f t="shared" si="50"/>
        <v>16.600000000000001</v>
      </c>
      <c r="L93" s="4">
        <f t="shared" si="50"/>
        <v>17.600000000000001</v>
      </c>
      <c r="M93" s="4">
        <f t="shared" si="50"/>
        <v>17.2</v>
      </c>
      <c r="N93" s="4">
        <f t="shared" si="50"/>
        <v>14.7</v>
      </c>
      <c r="O93" s="4">
        <f t="shared" si="50"/>
        <v>77.900000000000006</v>
      </c>
      <c r="P93" s="13">
        <f t="shared" si="4"/>
        <v>4400</v>
      </c>
      <c r="Q93" s="4">
        <f t="shared" ref="Q93:V93" si="51">ROUND(Q57,1)</f>
        <v>10.6</v>
      </c>
      <c r="R93" s="4">
        <f t="shared" si="51"/>
        <v>15.6</v>
      </c>
      <c r="S93" s="4">
        <f t="shared" si="51"/>
        <v>17.899999999999999</v>
      </c>
      <c r="T93" s="4">
        <f t="shared" si="51"/>
        <v>17.2</v>
      </c>
      <c r="U93" s="4">
        <f t="shared" si="51"/>
        <v>14.8</v>
      </c>
      <c r="V93" s="4">
        <f t="shared" si="51"/>
        <v>76.099999999999994</v>
      </c>
      <c r="W93" s="13">
        <f t="shared" si="6"/>
        <v>7189</v>
      </c>
    </row>
    <row r="94" spans="1:23" x14ac:dyDescent="0.2">
      <c r="A94" s="14"/>
      <c r="B94" s="10" t="s">
        <v>17</v>
      </c>
      <c r="C94" s="4">
        <f t="shared" ref="C94:H94" si="52">ROUND(C58,1)</f>
        <v>8</v>
      </c>
      <c r="D94" s="4">
        <f t="shared" si="52"/>
        <v>14.2</v>
      </c>
      <c r="E94" s="4">
        <f t="shared" si="52"/>
        <v>21</v>
      </c>
      <c r="F94" s="4">
        <f t="shared" si="52"/>
        <v>20.6</v>
      </c>
      <c r="G94" s="4">
        <f t="shared" si="52"/>
        <v>17</v>
      </c>
      <c r="H94" s="4">
        <f t="shared" si="52"/>
        <v>80.8</v>
      </c>
      <c r="I94" s="13">
        <f t="shared" si="2"/>
        <v>5637</v>
      </c>
      <c r="J94" s="4">
        <f t="shared" ref="J94:O94" si="53">ROUND(J58,1)</f>
        <v>14</v>
      </c>
      <c r="K94" s="4">
        <f t="shared" si="53"/>
        <v>21.4</v>
      </c>
      <c r="L94" s="4">
        <f t="shared" si="53"/>
        <v>21.6</v>
      </c>
      <c r="M94" s="4">
        <f t="shared" si="53"/>
        <v>18.8</v>
      </c>
      <c r="N94" s="4">
        <f t="shared" si="53"/>
        <v>13.2</v>
      </c>
      <c r="O94" s="4">
        <f t="shared" si="53"/>
        <v>89</v>
      </c>
      <c r="P94" s="13">
        <f t="shared" si="4"/>
        <v>19436</v>
      </c>
      <c r="Q94" s="4">
        <f t="shared" ref="Q94:V94" si="54">ROUND(Q58,1)</f>
        <v>12.6</v>
      </c>
      <c r="R94" s="4">
        <f t="shared" si="54"/>
        <v>19.8</v>
      </c>
      <c r="S94" s="4">
        <f t="shared" si="54"/>
        <v>21.5</v>
      </c>
      <c r="T94" s="4">
        <f t="shared" si="54"/>
        <v>19.2</v>
      </c>
      <c r="U94" s="4">
        <f t="shared" si="54"/>
        <v>14</v>
      </c>
      <c r="V94" s="4">
        <f t="shared" si="54"/>
        <v>87.1</v>
      </c>
      <c r="W94" s="13">
        <f t="shared" si="6"/>
        <v>25073</v>
      </c>
    </row>
    <row r="95" spans="1:23" x14ac:dyDescent="0.2">
      <c r="A95" s="14"/>
      <c r="B95" s="10" t="s">
        <v>18</v>
      </c>
      <c r="C95" s="4">
        <f t="shared" ref="C95:H95" si="55">ROUND(C59,1)</f>
        <v>11.7</v>
      </c>
      <c r="D95" s="4">
        <f t="shared" si="55"/>
        <v>17.600000000000001</v>
      </c>
      <c r="E95" s="4">
        <f t="shared" si="55"/>
        <v>19.3</v>
      </c>
      <c r="F95" s="4">
        <f t="shared" si="55"/>
        <v>17.899999999999999</v>
      </c>
      <c r="G95" s="4">
        <f t="shared" si="55"/>
        <v>14.7</v>
      </c>
      <c r="H95" s="4">
        <f t="shared" si="55"/>
        <v>81.099999999999994</v>
      </c>
      <c r="I95" s="13">
        <f t="shared" si="2"/>
        <v>4447</v>
      </c>
      <c r="J95" s="4">
        <f t="shared" ref="J95:O95" si="56">ROUND(J59,1)</f>
        <v>15.1</v>
      </c>
      <c r="K95" s="4">
        <f t="shared" si="56"/>
        <v>21.1</v>
      </c>
      <c r="L95" s="4">
        <f t="shared" si="56"/>
        <v>20.7</v>
      </c>
      <c r="M95" s="4">
        <f t="shared" si="56"/>
        <v>17.100000000000001</v>
      </c>
      <c r="N95" s="4">
        <f t="shared" si="56"/>
        <v>12.6</v>
      </c>
      <c r="O95" s="4">
        <f t="shared" si="56"/>
        <v>86.6</v>
      </c>
      <c r="P95" s="13">
        <f t="shared" si="4"/>
        <v>15123</v>
      </c>
      <c r="Q95" s="4">
        <f t="shared" ref="Q95:V95" si="57">ROUND(Q59,1)</f>
        <v>14.3</v>
      </c>
      <c r="R95" s="4">
        <f t="shared" si="57"/>
        <v>20.3</v>
      </c>
      <c r="S95" s="4">
        <f t="shared" si="57"/>
        <v>20.399999999999999</v>
      </c>
      <c r="T95" s="4">
        <f t="shared" si="57"/>
        <v>17.3</v>
      </c>
      <c r="U95" s="4">
        <f t="shared" si="57"/>
        <v>13.1</v>
      </c>
      <c r="V95" s="4">
        <f t="shared" si="57"/>
        <v>85.3</v>
      </c>
      <c r="W95" s="13">
        <f t="shared" si="6"/>
        <v>19570</v>
      </c>
    </row>
    <row r="96" spans="1:23" x14ac:dyDescent="0.2">
      <c r="A96" s="14"/>
      <c r="B96" s="10" t="s">
        <v>19</v>
      </c>
      <c r="C96" s="4">
        <f t="shared" ref="C96:H96" si="58">ROUND(C60,1)</f>
        <v>9.6999999999999993</v>
      </c>
      <c r="D96" s="4">
        <f t="shared" si="58"/>
        <v>14.1</v>
      </c>
      <c r="E96" s="4">
        <f t="shared" si="58"/>
        <v>16.3</v>
      </c>
      <c r="F96" s="4">
        <f t="shared" si="58"/>
        <v>15.2</v>
      </c>
      <c r="G96" s="4">
        <f t="shared" si="58"/>
        <v>17</v>
      </c>
      <c r="H96" s="4">
        <f t="shared" si="58"/>
        <v>72.3</v>
      </c>
      <c r="I96" s="13">
        <f t="shared" si="2"/>
        <v>658</v>
      </c>
      <c r="J96" s="4">
        <f t="shared" ref="J96:O96" si="59">ROUND(J60,1)</f>
        <v>13.5</v>
      </c>
      <c r="K96" s="4">
        <f t="shared" si="59"/>
        <v>16</v>
      </c>
      <c r="L96" s="4">
        <f t="shared" si="59"/>
        <v>16.600000000000001</v>
      </c>
      <c r="M96" s="4">
        <f t="shared" si="59"/>
        <v>19.5</v>
      </c>
      <c r="N96" s="4">
        <f t="shared" si="59"/>
        <v>15.2</v>
      </c>
      <c r="O96" s="4">
        <f t="shared" si="59"/>
        <v>80.7</v>
      </c>
      <c r="P96" s="13">
        <f t="shared" si="4"/>
        <v>771</v>
      </c>
      <c r="Q96" s="4">
        <f t="shared" ref="Q96:V96" si="60">ROUND(Q60,1)</f>
        <v>11.8</v>
      </c>
      <c r="R96" s="4">
        <f t="shared" si="60"/>
        <v>15.1</v>
      </c>
      <c r="S96" s="4">
        <f t="shared" si="60"/>
        <v>16.399999999999999</v>
      </c>
      <c r="T96" s="4">
        <f t="shared" si="60"/>
        <v>17.5</v>
      </c>
      <c r="U96" s="4">
        <f t="shared" si="60"/>
        <v>16</v>
      </c>
      <c r="V96" s="4">
        <f t="shared" si="60"/>
        <v>76.8</v>
      </c>
      <c r="W96" s="13">
        <f t="shared" si="6"/>
        <v>1429</v>
      </c>
    </row>
    <row r="97" spans="1:23" x14ac:dyDescent="0.2">
      <c r="A97" s="14"/>
      <c r="B97" s="10" t="s">
        <v>20</v>
      </c>
      <c r="C97" s="4">
        <f t="shared" ref="C97:H97" si="61">ROUND(C61,1)</f>
        <v>20.100000000000001</v>
      </c>
      <c r="D97" s="4">
        <f t="shared" si="61"/>
        <v>18.8</v>
      </c>
      <c r="E97" s="4">
        <f t="shared" si="61"/>
        <v>22.9</v>
      </c>
      <c r="F97" s="4">
        <f t="shared" si="61"/>
        <v>18.3</v>
      </c>
      <c r="G97" s="4">
        <f t="shared" si="61"/>
        <v>11</v>
      </c>
      <c r="H97" s="4">
        <f t="shared" si="61"/>
        <v>91</v>
      </c>
      <c r="I97" s="13">
        <f t="shared" si="2"/>
        <v>12516</v>
      </c>
      <c r="J97" s="4">
        <f t="shared" ref="J97:O97" si="62">ROUND(J61,1)</f>
        <v>24.6</v>
      </c>
      <c r="K97" s="4">
        <f t="shared" si="62"/>
        <v>21.5</v>
      </c>
      <c r="L97" s="4">
        <f t="shared" si="62"/>
        <v>24.3</v>
      </c>
      <c r="M97" s="4">
        <f t="shared" si="62"/>
        <v>16.399999999999999</v>
      </c>
      <c r="N97" s="4">
        <f t="shared" si="62"/>
        <v>8</v>
      </c>
      <c r="O97" s="4">
        <f t="shared" si="62"/>
        <v>94.8</v>
      </c>
      <c r="P97" s="13">
        <f t="shared" si="4"/>
        <v>21634</v>
      </c>
      <c r="Q97" s="4">
        <f t="shared" ref="Q97:V97" si="63">ROUND(Q61,1)</f>
        <v>22.9</v>
      </c>
      <c r="R97" s="4">
        <f t="shared" si="63"/>
        <v>20.5</v>
      </c>
      <c r="S97" s="4">
        <f t="shared" si="63"/>
        <v>23.8</v>
      </c>
      <c r="T97" s="4">
        <f t="shared" si="63"/>
        <v>17.100000000000001</v>
      </c>
      <c r="U97" s="4">
        <f t="shared" si="63"/>
        <v>9.1</v>
      </c>
      <c r="V97" s="4">
        <f t="shared" si="63"/>
        <v>93.4</v>
      </c>
      <c r="W97" s="13">
        <f t="shared" si="6"/>
        <v>34150</v>
      </c>
    </row>
    <row r="98" spans="1:23" x14ac:dyDescent="0.2">
      <c r="A98" s="14"/>
      <c r="B98" s="10" t="s">
        <v>21</v>
      </c>
      <c r="C98" s="4">
        <f t="shared" ref="C98:H98" si="64">ROUND(C62,1)</f>
        <v>12.2</v>
      </c>
      <c r="D98" s="4">
        <f t="shared" si="64"/>
        <v>14.7</v>
      </c>
      <c r="E98" s="4">
        <f t="shared" si="64"/>
        <v>26.9</v>
      </c>
      <c r="F98" s="4">
        <f t="shared" si="64"/>
        <v>22</v>
      </c>
      <c r="G98" s="4">
        <f t="shared" si="64"/>
        <v>13.5</v>
      </c>
      <c r="H98" s="4">
        <f t="shared" si="64"/>
        <v>89.3</v>
      </c>
      <c r="I98" s="13">
        <f t="shared" si="2"/>
        <v>3052</v>
      </c>
      <c r="J98" s="4">
        <f t="shared" ref="J98:O98" si="65">ROUND(J62,1)</f>
        <v>14.5</v>
      </c>
      <c r="K98" s="4">
        <f t="shared" si="65"/>
        <v>18.600000000000001</v>
      </c>
      <c r="L98" s="4">
        <f t="shared" si="65"/>
        <v>28.5</v>
      </c>
      <c r="M98" s="4">
        <f t="shared" si="65"/>
        <v>20.9</v>
      </c>
      <c r="N98" s="4">
        <f t="shared" si="65"/>
        <v>10.5</v>
      </c>
      <c r="O98" s="4">
        <f t="shared" si="65"/>
        <v>93.1</v>
      </c>
      <c r="P98" s="13">
        <f t="shared" si="4"/>
        <v>8043</v>
      </c>
      <c r="Q98" s="4">
        <f t="shared" ref="Q98:V98" si="66">ROUND(Q62,1)</f>
        <v>13.9</v>
      </c>
      <c r="R98" s="4">
        <f t="shared" si="66"/>
        <v>17.600000000000001</v>
      </c>
      <c r="S98" s="4">
        <f t="shared" si="66"/>
        <v>28</v>
      </c>
      <c r="T98" s="4">
        <f t="shared" si="66"/>
        <v>21.2</v>
      </c>
      <c r="U98" s="4">
        <f t="shared" si="66"/>
        <v>11.3</v>
      </c>
      <c r="V98" s="4">
        <f t="shared" si="66"/>
        <v>92</v>
      </c>
      <c r="W98" s="13">
        <f t="shared" si="6"/>
        <v>11095</v>
      </c>
    </row>
    <row r="99" spans="1:23" x14ac:dyDescent="0.2">
      <c r="A99" s="14"/>
      <c r="B99" s="10" t="s">
        <v>22</v>
      </c>
      <c r="C99" s="4">
        <f t="shared" ref="C99:H99" si="67">ROUND(C63,1)</f>
        <v>16.899999999999999</v>
      </c>
      <c r="D99" s="4">
        <f t="shared" si="67"/>
        <v>19.8</v>
      </c>
      <c r="E99" s="4">
        <f t="shared" si="67"/>
        <v>23.2</v>
      </c>
      <c r="F99" s="4">
        <f t="shared" si="67"/>
        <v>20</v>
      </c>
      <c r="G99" s="4">
        <f t="shared" si="67"/>
        <v>12.5</v>
      </c>
      <c r="H99" s="4">
        <f t="shared" si="67"/>
        <v>92.5</v>
      </c>
      <c r="I99" s="13">
        <f t="shared" si="2"/>
        <v>21893</v>
      </c>
      <c r="J99" s="4">
        <f t="shared" ref="J99:O99" si="68">ROUND(J63,1)</f>
        <v>15.6</v>
      </c>
      <c r="K99" s="4">
        <f t="shared" si="68"/>
        <v>19.600000000000001</v>
      </c>
      <c r="L99" s="4">
        <f t="shared" si="68"/>
        <v>24.5</v>
      </c>
      <c r="M99" s="4">
        <f t="shared" si="68"/>
        <v>21.4</v>
      </c>
      <c r="N99" s="4">
        <f t="shared" si="68"/>
        <v>12.6</v>
      </c>
      <c r="O99" s="4">
        <f t="shared" si="68"/>
        <v>93.8</v>
      </c>
      <c r="P99" s="13">
        <f t="shared" si="4"/>
        <v>52450</v>
      </c>
      <c r="Q99" s="4">
        <f t="shared" ref="Q99:V99" si="69">ROUND(Q63,1)</f>
        <v>16</v>
      </c>
      <c r="R99" s="4">
        <f t="shared" si="69"/>
        <v>19.600000000000001</v>
      </c>
      <c r="S99" s="4">
        <f t="shared" si="69"/>
        <v>24.2</v>
      </c>
      <c r="T99" s="4">
        <f t="shared" si="69"/>
        <v>21</v>
      </c>
      <c r="U99" s="4">
        <f t="shared" si="69"/>
        <v>12.6</v>
      </c>
      <c r="V99" s="4">
        <f t="shared" si="69"/>
        <v>93.4</v>
      </c>
      <c r="W99" s="13">
        <f t="shared" si="6"/>
        <v>74343</v>
      </c>
    </row>
    <row r="100" spans="1:23" x14ac:dyDescent="0.2">
      <c r="A100" s="14"/>
      <c r="B100" s="10" t="s">
        <v>51</v>
      </c>
      <c r="C100" s="4">
        <f t="shared" ref="C100:H100" si="70">ROUND(C64,1)</f>
        <v>8</v>
      </c>
      <c r="D100" s="4">
        <f t="shared" si="70"/>
        <v>14.1</v>
      </c>
      <c r="E100" s="4">
        <f t="shared" si="70"/>
        <v>28.9</v>
      </c>
      <c r="F100" s="4">
        <f t="shared" si="70"/>
        <v>28</v>
      </c>
      <c r="G100" s="4">
        <f t="shared" si="70"/>
        <v>14.1</v>
      </c>
      <c r="H100" s="4">
        <f t="shared" si="70"/>
        <v>93.1</v>
      </c>
      <c r="I100" s="13">
        <f t="shared" si="2"/>
        <v>5008</v>
      </c>
      <c r="J100" s="4">
        <f t="shared" ref="J100:O100" si="71">ROUND(J64,1)</f>
        <v>10.199999999999999</v>
      </c>
      <c r="K100" s="4">
        <f t="shared" si="71"/>
        <v>18.7</v>
      </c>
      <c r="L100" s="4">
        <f t="shared" si="71"/>
        <v>31.6</v>
      </c>
      <c r="M100" s="4">
        <f t="shared" si="71"/>
        <v>24.9</v>
      </c>
      <c r="N100" s="4">
        <f t="shared" si="71"/>
        <v>10.199999999999999</v>
      </c>
      <c r="O100" s="4">
        <f t="shared" si="71"/>
        <v>95.5</v>
      </c>
      <c r="P100" s="13">
        <f t="shared" si="4"/>
        <v>7158</v>
      </c>
      <c r="Q100" s="4">
        <f t="shared" ref="Q100:V100" si="72">ROUND(Q64,1)</f>
        <v>9.3000000000000007</v>
      </c>
      <c r="R100" s="4">
        <f t="shared" si="72"/>
        <v>16.8</v>
      </c>
      <c r="S100" s="4">
        <f t="shared" si="72"/>
        <v>30.4</v>
      </c>
      <c r="T100" s="4">
        <f t="shared" si="72"/>
        <v>26.2</v>
      </c>
      <c r="U100" s="4">
        <f t="shared" si="72"/>
        <v>11.8</v>
      </c>
      <c r="V100" s="4">
        <f t="shared" si="72"/>
        <v>94.5</v>
      </c>
      <c r="W100" s="13">
        <f t="shared" si="6"/>
        <v>12166</v>
      </c>
    </row>
    <row r="101" spans="1:23" x14ac:dyDescent="0.2">
      <c r="A101" s="14"/>
      <c r="B101" s="10" t="s">
        <v>23</v>
      </c>
      <c r="C101" s="4">
        <f t="shared" ref="C101:H101" si="73">ROUND(C65,1)</f>
        <v>9</v>
      </c>
      <c r="D101" s="4">
        <f t="shared" si="73"/>
        <v>15.7</v>
      </c>
      <c r="E101" s="4">
        <f t="shared" si="73"/>
        <v>20</v>
      </c>
      <c r="F101" s="4">
        <f t="shared" si="73"/>
        <v>20.3</v>
      </c>
      <c r="G101" s="4">
        <f t="shared" si="73"/>
        <v>14.9</v>
      </c>
      <c r="H101" s="4">
        <f t="shared" si="73"/>
        <v>79.8</v>
      </c>
      <c r="I101" s="13">
        <f t="shared" si="2"/>
        <v>2439</v>
      </c>
      <c r="J101" s="4">
        <f t="shared" ref="J101:O101" si="74">ROUND(J65,1)</f>
        <v>9.6999999999999993</v>
      </c>
      <c r="K101" s="4">
        <f t="shared" si="74"/>
        <v>22.2</v>
      </c>
      <c r="L101" s="4">
        <f t="shared" si="74"/>
        <v>26.2</v>
      </c>
      <c r="M101" s="4">
        <f t="shared" si="74"/>
        <v>21.3</v>
      </c>
      <c r="N101" s="4">
        <f t="shared" si="74"/>
        <v>10.5</v>
      </c>
      <c r="O101" s="4">
        <f t="shared" si="74"/>
        <v>89.9</v>
      </c>
      <c r="P101" s="13">
        <f t="shared" si="4"/>
        <v>4750</v>
      </c>
      <c r="Q101" s="4">
        <f t="shared" ref="Q101:V101" si="75">ROUND(Q65,1)</f>
        <v>9.5</v>
      </c>
      <c r="R101" s="4">
        <f t="shared" si="75"/>
        <v>20</v>
      </c>
      <c r="S101" s="4">
        <f t="shared" si="75"/>
        <v>24.1</v>
      </c>
      <c r="T101" s="4">
        <f t="shared" si="75"/>
        <v>20.9</v>
      </c>
      <c r="U101" s="4">
        <f t="shared" si="75"/>
        <v>12</v>
      </c>
      <c r="V101" s="4">
        <f t="shared" si="75"/>
        <v>86.5</v>
      </c>
      <c r="W101" s="13">
        <f t="shared" si="6"/>
        <v>7189</v>
      </c>
    </row>
    <row r="102" spans="1:23" x14ac:dyDescent="0.2">
      <c r="A102" s="14"/>
      <c r="B102" s="10" t="s">
        <v>24</v>
      </c>
      <c r="C102" s="4">
        <f t="shared" ref="C102:H102" si="76">ROUND(C66,1)</f>
        <v>26.5</v>
      </c>
      <c r="D102" s="4">
        <f t="shared" si="76"/>
        <v>21.9</v>
      </c>
      <c r="E102" s="4">
        <f t="shared" si="76"/>
        <v>19.899999999999999</v>
      </c>
      <c r="F102" s="4">
        <f t="shared" si="76"/>
        <v>14.5</v>
      </c>
      <c r="G102" s="4">
        <f t="shared" si="76"/>
        <v>10</v>
      </c>
      <c r="H102" s="4">
        <f t="shared" si="76"/>
        <v>92.8</v>
      </c>
      <c r="I102" s="13">
        <f t="shared" si="2"/>
        <v>4456</v>
      </c>
      <c r="J102" s="4">
        <f t="shared" ref="J102:O102" si="77">ROUND(J66,1)</f>
        <v>22.8</v>
      </c>
      <c r="K102" s="4">
        <f t="shared" si="77"/>
        <v>21.1</v>
      </c>
      <c r="L102" s="4">
        <f t="shared" si="77"/>
        <v>20.100000000000001</v>
      </c>
      <c r="M102" s="4">
        <f t="shared" si="77"/>
        <v>17</v>
      </c>
      <c r="N102" s="4">
        <f t="shared" si="77"/>
        <v>11</v>
      </c>
      <c r="O102" s="4">
        <f t="shared" si="77"/>
        <v>92.1</v>
      </c>
      <c r="P102" s="13">
        <f t="shared" si="4"/>
        <v>10784</v>
      </c>
      <c r="Q102" s="4">
        <f t="shared" ref="Q102:V102" si="78">ROUND(Q66,1)</f>
        <v>23.8</v>
      </c>
      <c r="R102" s="4">
        <f t="shared" si="78"/>
        <v>21.4</v>
      </c>
      <c r="S102" s="4">
        <f t="shared" si="78"/>
        <v>20</v>
      </c>
      <c r="T102" s="4">
        <f t="shared" si="78"/>
        <v>16.3</v>
      </c>
      <c r="U102" s="4">
        <f t="shared" si="78"/>
        <v>10.7</v>
      </c>
      <c r="V102" s="4">
        <f t="shared" si="78"/>
        <v>92.3</v>
      </c>
      <c r="W102" s="13">
        <f t="shared" si="6"/>
        <v>15240</v>
      </c>
    </row>
    <row r="103" spans="1:23" x14ac:dyDescent="0.2">
      <c r="A103" s="14"/>
      <c r="B103" s="10" t="s">
        <v>25</v>
      </c>
      <c r="C103" s="4">
        <f t="shared" ref="C103:H103" si="79">ROUND(C67,1)</f>
        <v>34.6</v>
      </c>
      <c r="D103" s="4">
        <f t="shared" si="79"/>
        <v>19.8</v>
      </c>
      <c r="E103" s="4">
        <f t="shared" si="79"/>
        <v>15.8</v>
      </c>
      <c r="F103" s="4">
        <f t="shared" si="79"/>
        <v>13.7</v>
      </c>
      <c r="G103" s="4">
        <f t="shared" si="79"/>
        <v>9.5</v>
      </c>
      <c r="H103" s="4">
        <f t="shared" si="79"/>
        <v>93.4</v>
      </c>
      <c r="I103" s="13">
        <f t="shared" si="2"/>
        <v>2434</v>
      </c>
      <c r="J103" s="4">
        <f t="shared" ref="J103:O103" si="80">ROUND(J67,1)</f>
        <v>26.9</v>
      </c>
      <c r="K103" s="4">
        <f t="shared" si="80"/>
        <v>19.8</v>
      </c>
      <c r="L103" s="4">
        <f t="shared" si="80"/>
        <v>19.399999999999999</v>
      </c>
      <c r="M103" s="4">
        <f t="shared" si="80"/>
        <v>16.3</v>
      </c>
      <c r="N103" s="4">
        <f t="shared" si="80"/>
        <v>11.3</v>
      </c>
      <c r="O103" s="4">
        <f t="shared" si="80"/>
        <v>93.6</v>
      </c>
      <c r="P103" s="13">
        <f t="shared" si="4"/>
        <v>5147</v>
      </c>
      <c r="Q103" s="4">
        <f t="shared" ref="Q103:V103" si="81">ROUND(Q67,1)</f>
        <v>29.4</v>
      </c>
      <c r="R103" s="4">
        <f t="shared" si="81"/>
        <v>19.8</v>
      </c>
      <c r="S103" s="4">
        <f t="shared" si="81"/>
        <v>18.2</v>
      </c>
      <c r="T103" s="4">
        <f t="shared" si="81"/>
        <v>15.5</v>
      </c>
      <c r="U103" s="4">
        <f t="shared" si="81"/>
        <v>10.7</v>
      </c>
      <c r="V103" s="4">
        <f t="shared" si="81"/>
        <v>93.5</v>
      </c>
      <c r="W103" s="13">
        <f t="shared" si="6"/>
        <v>7581</v>
      </c>
    </row>
    <row r="104" spans="1:23" x14ac:dyDescent="0.2">
      <c r="A104" s="14"/>
      <c r="B104" s="10" t="s">
        <v>26</v>
      </c>
      <c r="C104" s="4">
        <f t="shared" ref="C104:H104" si="82">ROUND(C68,1)</f>
        <v>27.8</v>
      </c>
      <c r="D104" s="4">
        <f t="shared" si="82"/>
        <v>25.7</v>
      </c>
      <c r="E104" s="4">
        <f t="shared" si="82"/>
        <v>19.600000000000001</v>
      </c>
      <c r="F104" s="4">
        <f t="shared" si="82"/>
        <v>13.2</v>
      </c>
      <c r="G104" s="4">
        <f t="shared" si="82"/>
        <v>8.3000000000000007</v>
      </c>
      <c r="H104" s="4">
        <f t="shared" si="82"/>
        <v>94.7</v>
      </c>
      <c r="I104" s="13">
        <f t="shared" si="2"/>
        <v>1351</v>
      </c>
      <c r="J104" s="4">
        <f t="shared" ref="J104:O104" si="83">ROUND(J68,1)</f>
        <v>24.4</v>
      </c>
      <c r="K104" s="4">
        <f t="shared" si="83"/>
        <v>23.9</v>
      </c>
      <c r="L104" s="4">
        <f t="shared" si="83"/>
        <v>19.600000000000001</v>
      </c>
      <c r="M104" s="4">
        <f t="shared" si="83"/>
        <v>14.6</v>
      </c>
      <c r="N104" s="4">
        <f t="shared" si="83"/>
        <v>10</v>
      </c>
      <c r="O104" s="4">
        <f t="shared" si="83"/>
        <v>92.5</v>
      </c>
      <c r="P104" s="13">
        <f t="shared" si="4"/>
        <v>3165</v>
      </c>
      <c r="Q104" s="4">
        <f t="shared" ref="Q104:V104" si="84">ROUND(Q68,1)</f>
        <v>25.4</v>
      </c>
      <c r="R104" s="4">
        <f t="shared" si="84"/>
        <v>24.4</v>
      </c>
      <c r="S104" s="4">
        <f t="shared" si="84"/>
        <v>19.600000000000001</v>
      </c>
      <c r="T104" s="4">
        <f t="shared" si="84"/>
        <v>14.2</v>
      </c>
      <c r="U104" s="4">
        <f t="shared" si="84"/>
        <v>9.5</v>
      </c>
      <c r="V104" s="4">
        <f t="shared" si="84"/>
        <v>93.2</v>
      </c>
      <c r="W104" s="13">
        <f t="shared" si="6"/>
        <v>4516</v>
      </c>
    </row>
    <row r="105" spans="1:23" x14ac:dyDescent="0.2">
      <c r="A105" s="14"/>
      <c r="B105" s="10" t="s">
        <v>27</v>
      </c>
      <c r="C105" s="4">
        <f t="shared" ref="C105:H105" si="85">ROUND(C69,1)</f>
        <v>32.799999999999997</v>
      </c>
      <c r="D105" s="4">
        <f t="shared" si="85"/>
        <v>23.7</v>
      </c>
      <c r="E105" s="4">
        <f t="shared" si="85"/>
        <v>16</v>
      </c>
      <c r="F105" s="4">
        <f t="shared" si="85"/>
        <v>10.3</v>
      </c>
      <c r="G105" s="4">
        <f t="shared" si="85"/>
        <v>6.7</v>
      </c>
      <c r="H105" s="4">
        <f t="shared" si="85"/>
        <v>89.5</v>
      </c>
      <c r="I105" s="13">
        <f t="shared" si="2"/>
        <v>1584</v>
      </c>
      <c r="J105" s="4">
        <f t="shared" ref="J105:O105" si="86">ROUND(J69,1)</f>
        <v>39.5</v>
      </c>
      <c r="K105" s="4">
        <f t="shared" si="86"/>
        <v>27.3</v>
      </c>
      <c r="L105" s="4">
        <f t="shared" si="86"/>
        <v>16.5</v>
      </c>
      <c r="M105" s="4">
        <f t="shared" si="86"/>
        <v>8.5</v>
      </c>
      <c r="N105" s="4">
        <f t="shared" si="86"/>
        <v>3.9</v>
      </c>
      <c r="O105" s="4">
        <f t="shared" si="86"/>
        <v>95.7</v>
      </c>
      <c r="P105" s="13">
        <f t="shared" si="4"/>
        <v>2076</v>
      </c>
      <c r="Q105" s="4">
        <f t="shared" ref="Q105:V105" si="87">ROUND(Q69,1)</f>
        <v>36.6</v>
      </c>
      <c r="R105" s="4">
        <f t="shared" si="87"/>
        <v>25.8</v>
      </c>
      <c r="S105" s="4">
        <f t="shared" si="87"/>
        <v>16.3</v>
      </c>
      <c r="T105" s="4">
        <f t="shared" si="87"/>
        <v>9.3000000000000007</v>
      </c>
      <c r="U105" s="4">
        <f t="shared" si="87"/>
        <v>5.0999999999999996</v>
      </c>
      <c r="V105" s="4">
        <f t="shared" si="87"/>
        <v>93</v>
      </c>
      <c r="W105" s="13">
        <f t="shared" si="6"/>
        <v>3660</v>
      </c>
    </row>
    <row r="106" spans="1:23" x14ac:dyDescent="0.2">
      <c r="A106" s="14"/>
      <c r="B106" s="10" t="s">
        <v>28</v>
      </c>
      <c r="C106" s="4">
        <f t="shared" ref="C106:H106" si="88">ROUND(C70,1)</f>
        <v>29.7</v>
      </c>
      <c r="D106" s="4">
        <f t="shared" si="88"/>
        <v>21.8</v>
      </c>
      <c r="E106" s="4">
        <f t="shared" si="88"/>
        <v>20.2</v>
      </c>
      <c r="F106" s="4">
        <f t="shared" si="88"/>
        <v>14</v>
      </c>
      <c r="G106" s="4">
        <f t="shared" si="88"/>
        <v>7.4</v>
      </c>
      <c r="H106" s="4">
        <f t="shared" si="88"/>
        <v>93.1</v>
      </c>
      <c r="I106" s="13">
        <f t="shared" si="2"/>
        <v>2140</v>
      </c>
      <c r="J106" s="4">
        <f t="shared" ref="J106:O106" si="89">ROUND(J70,1)</f>
        <v>29.4</v>
      </c>
      <c r="K106" s="4">
        <f t="shared" si="89"/>
        <v>25</v>
      </c>
      <c r="L106" s="4">
        <f t="shared" si="89"/>
        <v>21.1</v>
      </c>
      <c r="M106" s="4">
        <f t="shared" si="89"/>
        <v>12.3</v>
      </c>
      <c r="N106" s="4">
        <f t="shared" si="89"/>
        <v>6.9</v>
      </c>
      <c r="O106" s="4">
        <f t="shared" si="89"/>
        <v>94.8</v>
      </c>
      <c r="P106" s="13">
        <f t="shared" si="4"/>
        <v>2879</v>
      </c>
      <c r="Q106" s="4">
        <f t="shared" ref="Q106:V106" si="90">ROUND(Q70,1)</f>
        <v>29.5</v>
      </c>
      <c r="R106" s="4">
        <f t="shared" si="90"/>
        <v>23.7</v>
      </c>
      <c r="S106" s="4">
        <f t="shared" si="90"/>
        <v>20.7</v>
      </c>
      <c r="T106" s="4">
        <f t="shared" si="90"/>
        <v>13.1</v>
      </c>
      <c r="U106" s="4">
        <f t="shared" si="90"/>
        <v>7.1</v>
      </c>
      <c r="V106" s="4">
        <f t="shared" si="90"/>
        <v>94.1</v>
      </c>
      <c r="W106" s="13">
        <f t="shared" si="6"/>
        <v>5019</v>
      </c>
    </row>
    <row r="107" spans="1:23" x14ac:dyDescent="0.2">
      <c r="A107" s="14"/>
      <c r="B107" s="10" t="s">
        <v>29</v>
      </c>
      <c r="C107" s="4">
        <f t="shared" ref="C107:H107" si="91">ROUND(C71,1)</f>
        <v>18.3</v>
      </c>
      <c r="D107" s="4">
        <f t="shared" si="91"/>
        <v>24.4</v>
      </c>
      <c r="E107" s="4">
        <f t="shared" si="91"/>
        <v>22.8</v>
      </c>
      <c r="F107" s="4">
        <f t="shared" si="91"/>
        <v>17.100000000000001</v>
      </c>
      <c r="G107" s="4">
        <f t="shared" si="91"/>
        <v>8.1999999999999993</v>
      </c>
      <c r="H107" s="4">
        <f t="shared" si="91"/>
        <v>90.8</v>
      </c>
      <c r="I107" s="13">
        <f t="shared" si="2"/>
        <v>1839</v>
      </c>
      <c r="J107" s="4">
        <f t="shared" ref="J107:O107" si="92">ROUND(J71,1)</f>
        <v>15.5</v>
      </c>
      <c r="K107" s="4">
        <f t="shared" si="92"/>
        <v>22.6</v>
      </c>
      <c r="L107" s="4">
        <f t="shared" si="92"/>
        <v>24.6</v>
      </c>
      <c r="M107" s="4">
        <f t="shared" si="92"/>
        <v>18.899999999999999</v>
      </c>
      <c r="N107" s="4">
        <f t="shared" si="92"/>
        <v>10.6</v>
      </c>
      <c r="O107" s="4">
        <f t="shared" si="92"/>
        <v>92.2</v>
      </c>
      <c r="P107" s="13">
        <f t="shared" si="4"/>
        <v>5322</v>
      </c>
      <c r="Q107" s="4">
        <f t="shared" ref="Q107:V107" si="93">ROUND(Q71,1)</f>
        <v>16.2</v>
      </c>
      <c r="R107" s="4">
        <f t="shared" si="93"/>
        <v>23.1</v>
      </c>
      <c r="S107" s="4">
        <f t="shared" si="93"/>
        <v>24.1</v>
      </c>
      <c r="T107" s="4">
        <f t="shared" si="93"/>
        <v>18.399999999999999</v>
      </c>
      <c r="U107" s="4">
        <f t="shared" si="93"/>
        <v>10</v>
      </c>
      <c r="V107" s="4">
        <f t="shared" si="93"/>
        <v>91.8</v>
      </c>
      <c r="W107" s="13">
        <f t="shared" si="6"/>
        <v>7161</v>
      </c>
    </row>
    <row r="108" spans="1:23" x14ac:dyDescent="0.2">
      <c r="A108" s="14"/>
      <c r="B108" s="10" t="s">
        <v>30</v>
      </c>
      <c r="C108" s="4">
        <f t="shared" ref="C108:H108" si="94">ROUND(C72,1)</f>
        <v>21.1</v>
      </c>
      <c r="D108" s="4">
        <f t="shared" si="94"/>
        <v>18.600000000000001</v>
      </c>
      <c r="E108" s="4">
        <f t="shared" si="94"/>
        <v>22.6</v>
      </c>
      <c r="F108" s="4">
        <f t="shared" si="94"/>
        <v>19.100000000000001</v>
      </c>
      <c r="G108" s="4">
        <f t="shared" si="94"/>
        <v>10.7</v>
      </c>
      <c r="H108" s="4">
        <f t="shared" si="94"/>
        <v>92</v>
      </c>
      <c r="I108" s="13">
        <f t="shared" si="2"/>
        <v>2651</v>
      </c>
      <c r="J108" s="4">
        <f t="shared" ref="J108:O108" si="95">ROUND(J72,1)</f>
        <v>22.2</v>
      </c>
      <c r="K108" s="4">
        <f t="shared" si="95"/>
        <v>20.3</v>
      </c>
      <c r="L108" s="4">
        <f t="shared" si="95"/>
        <v>24.3</v>
      </c>
      <c r="M108" s="4">
        <f t="shared" si="95"/>
        <v>18</v>
      </c>
      <c r="N108" s="4">
        <f t="shared" si="95"/>
        <v>9.6</v>
      </c>
      <c r="O108" s="4">
        <f t="shared" si="95"/>
        <v>94.4</v>
      </c>
      <c r="P108" s="13">
        <f t="shared" si="4"/>
        <v>3476</v>
      </c>
      <c r="Q108" s="4">
        <f t="shared" ref="Q108:V108" si="96">ROUND(Q72,1)</f>
        <v>21.7</v>
      </c>
      <c r="R108" s="4">
        <f t="shared" si="96"/>
        <v>19.5</v>
      </c>
      <c r="S108" s="4">
        <f t="shared" si="96"/>
        <v>23.5</v>
      </c>
      <c r="T108" s="4">
        <f t="shared" si="96"/>
        <v>18.5</v>
      </c>
      <c r="U108" s="4">
        <f t="shared" si="96"/>
        <v>10.1</v>
      </c>
      <c r="V108" s="4">
        <f t="shared" si="96"/>
        <v>93.4</v>
      </c>
      <c r="W108" s="13">
        <f t="shared" si="6"/>
        <v>6127</v>
      </c>
    </row>
    <row r="109" spans="1:23" x14ac:dyDescent="0.2">
      <c r="A109" s="14"/>
      <c r="B109" s="10" t="s">
        <v>31</v>
      </c>
      <c r="C109" s="4">
        <f t="shared" ref="C109:H109" si="97">ROUND(C73,1)</f>
        <v>7.2</v>
      </c>
      <c r="D109" s="4">
        <f t="shared" si="97"/>
        <v>11.8</v>
      </c>
      <c r="E109" s="4">
        <f t="shared" si="97"/>
        <v>23.4</v>
      </c>
      <c r="F109" s="4">
        <f t="shared" si="97"/>
        <v>27.8</v>
      </c>
      <c r="G109" s="4">
        <f t="shared" si="97"/>
        <v>19.399999999999999</v>
      </c>
      <c r="H109" s="4">
        <f t="shared" si="97"/>
        <v>89.6</v>
      </c>
      <c r="I109" s="13">
        <f t="shared" si="2"/>
        <v>9586</v>
      </c>
      <c r="J109" s="4">
        <f t="shared" ref="J109:O109" si="98">ROUND(J73,1)</f>
        <v>16.2</v>
      </c>
      <c r="K109" s="4">
        <f t="shared" si="98"/>
        <v>17.2</v>
      </c>
      <c r="L109" s="4">
        <f t="shared" si="98"/>
        <v>23.4</v>
      </c>
      <c r="M109" s="4">
        <f t="shared" si="98"/>
        <v>22</v>
      </c>
      <c r="N109" s="4">
        <f t="shared" si="98"/>
        <v>13.8</v>
      </c>
      <c r="O109" s="4">
        <f t="shared" si="98"/>
        <v>92.6</v>
      </c>
      <c r="P109" s="13">
        <f t="shared" si="4"/>
        <v>6267</v>
      </c>
      <c r="Q109" s="4">
        <f t="shared" ref="Q109:V109" si="99">ROUND(Q73,1)</f>
        <v>10.8</v>
      </c>
      <c r="R109" s="4">
        <f t="shared" si="99"/>
        <v>13.9</v>
      </c>
      <c r="S109" s="4">
        <f t="shared" si="99"/>
        <v>23.4</v>
      </c>
      <c r="T109" s="4">
        <f t="shared" si="99"/>
        <v>25.5</v>
      </c>
      <c r="U109" s="4">
        <f t="shared" si="99"/>
        <v>17.2</v>
      </c>
      <c r="V109" s="4">
        <f t="shared" si="99"/>
        <v>90.8</v>
      </c>
      <c r="W109" s="13">
        <f t="shared" si="6"/>
        <v>15853</v>
      </c>
    </row>
    <row r="110" spans="1:23" x14ac:dyDescent="0.2">
      <c r="A110" s="14"/>
      <c r="B110" s="10" t="s">
        <v>32</v>
      </c>
      <c r="C110" s="4">
        <f t="shared" ref="C110:H111" si="100">ROUND(C74,1)</f>
        <v>13.1</v>
      </c>
      <c r="D110" s="4">
        <f t="shared" si="100"/>
        <v>16.100000000000001</v>
      </c>
      <c r="E110" s="4">
        <f t="shared" si="100"/>
        <v>19.600000000000001</v>
      </c>
      <c r="F110" s="4">
        <f t="shared" si="100"/>
        <v>20.6</v>
      </c>
      <c r="G110" s="4">
        <f t="shared" si="100"/>
        <v>15.5</v>
      </c>
      <c r="H110" s="4">
        <f t="shared" si="100"/>
        <v>84.9</v>
      </c>
      <c r="I110" s="13">
        <f t="shared" si="2"/>
        <v>41737</v>
      </c>
      <c r="J110" s="4">
        <f t="shared" ref="J110:O111" si="101">ROUND(J74,1)</f>
        <v>11.9</v>
      </c>
      <c r="K110" s="4">
        <f t="shared" si="101"/>
        <v>15.5</v>
      </c>
      <c r="L110" s="4">
        <f t="shared" si="101"/>
        <v>20.100000000000001</v>
      </c>
      <c r="M110" s="4">
        <f t="shared" si="101"/>
        <v>20.8</v>
      </c>
      <c r="N110" s="4">
        <f t="shared" si="101"/>
        <v>16</v>
      </c>
      <c r="O110" s="4">
        <f t="shared" si="101"/>
        <v>84.3</v>
      </c>
      <c r="P110" s="13">
        <f t="shared" si="4"/>
        <v>46097</v>
      </c>
      <c r="Q110" s="4">
        <f t="shared" ref="Q110:V111" si="102">ROUND(Q74,1)</f>
        <v>12.5</v>
      </c>
      <c r="R110" s="4">
        <f t="shared" si="102"/>
        <v>15.8</v>
      </c>
      <c r="S110" s="4">
        <f t="shared" si="102"/>
        <v>19.899999999999999</v>
      </c>
      <c r="T110" s="4">
        <f t="shared" si="102"/>
        <v>20.7</v>
      </c>
      <c r="U110" s="4">
        <f t="shared" si="102"/>
        <v>15.7</v>
      </c>
      <c r="V110" s="4">
        <f t="shared" si="102"/>
        <v>84.6</v>
      </c>
      <c r="W110" s="13">
        <f t="shared" si="6"/>
        <v>87834</v>
      </c>
    </row>
    <row r="111" spans="1:23" x14ac:dyDescent="0.2">
      <c r="A111" s="14"/>
      <c r="B111" s="10" t="s">
        <v>46</v>
      </c>
      <c r="C111" s="4">
        <f t="shared" si="100"/>
        <v>17.7</v>
      </c>
      <c r="D111" s="4">
        <f t="shared" si="100"/>
        <v>18.2</v>
      </c>
      <c r="E111" s="4">
        <f t="shared" si="100"/>
        <v>20.7</v>
      </c>
      <c r="F111" s="4">
        <f t="shared" si="100"/>
        <v>18.8</v>
      </c>
      <c r="G111" s="4">
        <f t="shared" si="100"/>
        <v>13.1</v>
      </c>
      <c r="H111" s="4">
        <f t="shared" si="100"/>
        <v>88.4</v>
      </c>
      <c r="I111" s="13">
        <f t="shared" si="2"/>
        <v>312630</v>
      </c>
      <c r="J111" s="4">
        <f t="shared" si="101"/>
        <v>18.2</v>
      </c>
      <c r="K111" s="4">
        <f t="shared" si="101"/>
        <v>20</v>
      </c>
      <c r="L111" s="4">
        <f t="shared" si="101"/>
        <v>22</v>
      </c>
      <c r="M111" s="4">
        <f t="shared" si="101"/>
        <v>18.399999999999999</v>
      </c>
      <c r="N111" s="4">
        <f t="shared" si="101"/>
        <v>11.9</v>
      </c>
      <c r="O111" s="4">
        <f t="shared" si="101"/>
        <v>90.5</v>
      </c>
      <c r="P111" s="13">
        <f t="shared" si="4"/>
        <v>359732</v>
      </c>
      <c r="Q111" s="4">
        <f t="shared" si="102"/>
        <v>18</v>
      </c>
      <c r="R111" s="4">
        <f t="shared" si="102"/>
        <v>19.100000000000001</v>
      </c>
      <c r="S111" s="4">
        <f t="shared" si="102"/>
        <v>21.4</v>
      </c>
      <c r="T111" s="4">
        <f t="shared" si="102"/>
        <v>18.600000000000001</v>
      </c>
      <c r="U111" s="4">
        <f t="shared" si="102"/>
        <v>12.5</v>
      </c>
      <c r="V111" s="4">
        <f t="shared" si="102"/>
        <v>89.5</v>
      </c>
      <c r="W111" s="13">
        <f t="shared" si="6"/>
        <v>672362</v>
      </c>
    </row>
  </sheetData>
  <phoneticPr fontId="3" type="noConversion"/>
  <conditionalFormatting sqref="C5:Z39">
    <cfRule type="cellIs" dxfId="11" priority="1" operator="between">
      <formula>1</formula>
      <formula>2</formula>
    </cfRule>
  </conditionalFormatting>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3:BV112"/>
  <sheetViews>
    <sheetView workbookViewId="0">
      <selection activeCell="A2" sqref="A2"/>
    </sheetView>
  </sheetViews>
  <sheetFormatPr defaultColWidth="9.140625" defaultRowHeight="11.25" x14ac:dyDescent="0.2"/>
  <cols>
    <col min="1" max="16384" width="9.140625" style="11"/>
  </cols>
  <sheetData>
    <row r="3" spans="2:26" ht="11.25" customHeight="1" x14ac:dyDescent="0.2">
      <c r="C3" s="29" t="s">
        <v>39</v>
      </c>
      <c r="D3" s="29"/>
      <c r="E3" s="29"/>
      <c r="F3" s="29"/>
      <c r="G3" s="29"/>
      <c r="H3" s="29"/>
      <c r="I3" s="29" t="s">
        <v>40</v>
      </c>
      <c r="J3" s="29"/>
      <c r="K3" s="29"/>
      <c r="L3" s="29"/>
      <c r="M3" s="29"/>
      <c r="N3" s="29"/>
      <c r="O3" s="29" t="s">
        <v>54</v>
      </c>
      <c r="P3" s="29"/>
      <c r="Q3" s="29"/>
      <c r="R3" s="29"/>
      <c r="S3" s="29"/>
      <c r="T3" s="29"/>
      <c r="U3" s="29" t="s">
        <v>41</v>
      </c>
      <c r="V3" s="29"/>
      <c r="W3" s="29"/>
      <c r="X3" s="29" t="s">
        <v>45</v>
      </c>
      <c r="Y3" s="29"/>
      <c r="Z3" s="29"/>
    </row>
    <row r="4" spans="2:26" x14ac:dyDescent="0.2">
      <c r="C4" s="11" t="s">
        <v>33</v>
      </c>
      <c r="D4" s="11" t="s">
        <v>34</v>
      </c>
      <c r="E4" s="11" t="s">
        <v>35</v>
      </c>
      <c r="F4" s="11" t="s">
        <v>36</v>
      </c>
      <c r="G4" s="11" t="s">
        <v>37</v>
      </c>
      <c r="H4" s="11" t="s">
        <v>38</v>
      </c>
      <c r="I4" s="11" t="s">
        <v>33</v>
      </c>
      <c r="J4" s="11" t="s">
        <v>34</v>
      </c>
      <c r="K4" s="11" t="s">
        <v>35</v>
      </c>
      <c r="L4" s="11" t="s">
        <v>36</v>
      </c>
      <c r="M4" s="11" t="s">
        <v>37</v>
      </c>
      <c r="N4" s="11" t="s">
        <v>38</v>
      </c>
      <c r="O4" s="11" t="s">
        <v>33</v>
      </c>
      <c r="P4" s="11" t="s">
        <v>34</v>
      </c>
      <c r="Q4" s="11" t="s">
        <v>35</v>
      </c>
      <c r="R4" s="11" t="s">
        <v>36</v>
      </c>
      <c r="S4" s="11" t="s">
        <v>37</v>
      </c>
      <c r="T4" s="11" t="s">
        <v>38</v>
      </c>
      <c r="U4" s="11" t="s">
        <v>42</v>
      </c>
      <c r="V4" s="11" t="s">
        <v>43</v>
      </c>
      <c r="W4" s="11" t="s">
        <v>44</v>
      </c>
      <c r="X4" s="11" t="s">
        <v>42</v>
      </c>
      <c r="Y4" s="11" t="s">
        <v>43</v>
      </c>
      <c r="Z4" s="11" t="s">
        <v>44</v>
      </c>
    </row>
    <row r="5" spans="2:26" x14ac:dyDescent="0.2">
      <c r="B5" s="10" t="s">
        <v>0</v>
      </c>
      <c r="C5" s="10">
        <v>2836</v>
      </c>
      <c r="D5" s="10">
        <v>3175</v>
      </c>
      <c r="E5" s="10">
        <v>3392</v>
      </c>
      <c r="F5" s="10">
        <v>2969</v>
      </c>
      <c r="G5" s="10">
        <v>2589</v>
      </c>
      <c r="H5" s="10">
        <v>2064</v>
      </c>
      <c r="I5" s="10">
        <v>5487</v>
      </c>
      <c r="J5" s="10">
        <v>5771</v>
      </c>
      <c r="K5" s="10">
        <v>5481</v>
      </c>
      <c r="L5" s="10">
        <v>4625</v>
      </c>
      <c r="M5" s="10">
        <v>3521</v>
      </c>
      <c r="N5" s="10">
        <v>2682</v>
      </c>
      <c r="O5" s="10">
        <v>8323</v>
      </c>
      <c r="P5" s="10">
        <v>8946</v>
      </c>
      <c r="Q5" s="10">
        <v>8873</v>
      </c>
      <c r="R5" s="10">
        <v>7594</v>
      </c>
      <c r="S5" s="10">
        <v>6110</v>
      </c>
      <c r="T5" s="10">
        <v>4746</v>
      </c>
      <c r="U5" s="11">
        <v>17025</v>
      </c>
      <c r="V5" s="11">
        <v>27567</v>
      </c>
      <c r="W5" s="11">
        <v>44592</v>
      </c>
      <c r="X5" s="11">
        <v>14961</v>
      </c>
      <c r="Y5" s="11">
        <v>24885</v>
      </c>
      <c r="Z5" s="11">
        <v>39846</v>
      </c>
    </row>
    <row r="6" spans="2:26" x14ac:dyDescent="0.2">
      <c r="B6" s="10" t="s">
        <v>1</v>
      </c>
      <c r="C6" s="10">
        <v>4384</v>
      </c>
      <c r="D6" s="10">
        <v>3570</v>
      </c>
      <c r="E6" s="10">
        <v>3150</v>
      </c>
      <c r="F6" s="10">
        <v>2535</v>
      </c>
      <c r="G6" s="10">
        <v>1882</v>
      </c>
      <c r="H6" s="10">
        <v>1603</v>
      </c>
      <c r="I6" s="10">
        <v>4597</v>
      </c>
      <c r="J6" s="10">
        <v>3861</v>
      </c>
      <c r="K6" s="10">
        <v>3151</v>
      </c>
      <c r="L6" s="10">
        <v>2239</v>
      </c>
      <c r="M6" s="10">
        <v>1637</v>
      </c>
      <c r="N6" s="10">
        <v>1262</v>
      </c>
      <c r="O6" s="10">
        <v>8981</v>
      </c>
      <c r="P6" s="10">
        <v>7431</v>
      </c>
      <c r="Q6" s="10">
        <v>6301</v>
      </c>
      <c r="R6" s="10">
        <v>4774</v>
      </c>
      <c r="S6" s="10">
        <v>3519</v>
      </c>
      <c r="T6" s="10">
        <v>2865</v>
      </c>
      <c r="U6" s="11">
        <v>17124</v>
      </c>
      <c r="V6" s="11">
        <v>16747</v>
      </c>
      <c r="W6" s="11">
        <v>33871</v>
      </c>
      <c r="X6" s="11">
        <v>15521</v>
      </c>
      <c r="Y6" s="11">
        <v>15485</v>
      </c>
      <c r="Z6" s="11">
        <v>31006</v>
      </c>
    </row>
    <row r="7" spans="2:26" x14ac:dyDescent="0.2">
      <c r="B7" s="10" t="s">
        <v>2</v>
      </c>
      <c r="C7" s="10">
        <v>5373</v>
      </c>
      <c r="D7" s="10">
        <v>4215</v>
      </c>
      <c r="E7" s="10">
        <v>4069</v>
      </c>
      <c r="F7" s="10">
        <v>3279</v>
      </c>
      <c r="G7" s="10">
        <v>2673</v>
      </c>
      <c r="H7" s="10">
        <v>2401</v>
      </c>
      <c r="I7" s="10">
        <v>1665</v>
      </c>
      <c r="J7" s="10">
        <v>1393</v>
      </c>
      <c r="K7" s="10">
        <v>1098</v>
      </c>
      <c r="L7" s="10">
        <v>848</v>
      </c>
      <c r="M7" s="10">
        <v>560</v>
      </c>
      <c r="N7" s="10">
        <v>457</v>
      </c>
      <c r="O7" s="10">
        <v>7038</v>
      </c>
      <c r="P7" s="10">
        <v>5608</v>
      </c>
      <c r="Q7" s="10">
        <v>5167</v>
      </c>
      <c r="R7" s="10">
        <v>4127</v>
      </c>
      <c r="S7" s="10">
        <v>3233</v>
      </c>
      <c r="T7" s="10">
        <v>2858</v>
      </c>
      <c r="U7" s="11">
        <v>22010</v>
      </c>
      <c r="V7" s="11">
        <v>6021</v>
      </c>
      <c r="W7" s="11">
        <v>28031</v>
      </c>
      <c r="X7" s="11">
        <v>19609</v>
      </c>
      <c r="Y7" s="11">
        <v>5564</v>
      </c>
      <c r="Z7" s="11">
        <v>25173</v>
      </c>
    </row>
    <row r="8" spans="2:26" x14ac:dyDescent="0.2">
      <c r="B8" s="10" t="s">
        <v>3</v>
      </c>
      <c r="C8" s="10">
        <v>390</v>
      </c>
      <c r="D8" s="10">
        <v>361</v>
      </c>
      <c r="E8" s="10">
        <v>473</v>
      </c>
      <c r="F8" s="10">
        <v>480</v>
      </c>
      <c r="G8" s="10">
        <v>371</v>
      </c>
      <c r="H8" s="10">
        <v>276</v>
      </c>
      <c r="I8" s="10">
        <v>168</v>
      </c>
      <c r="J8" s="10">
        <v>201</v>
      </c>
      <c r="K8" s="10">
        <v>278</v>
      </c>
      <c r="L8" s="10">
        <v>262</v>
      </c>
      <c r="M8" s="10">
        <v>207</v>
      </c>
      <c r="N8" s="10">
        <v>120</v>
      </c>
      <c r="O8" s="10">
        <v>558</v>
      </c>
      <c r="P8" s="10">
        <v>562</v>
      </c>
      <c r="Q8" s="10">
        <v>751</v>
      </c>
      <c r="R8" s="10">
        <v>742</v>
      </c>
      <c r="S8" s="10">
        <v>578</v>
      </c>
      <c r="T8" s="10">
        <v>396</v>
      </c>
      <c r="U8" s="11">
        <v>2351</v>
      </c>
      <c r="V8" s="11">
        <v>1236</v>
      </c>
      <c r="W8" s="11">
        <v>3587</v>
      </c>
      <c r="X8" s="11">
        <v>2075</v>
      </c>
      <c r="Y8" s="11">
        <v>1116</v>
      </c>
      <c r="Z8" s="11">
        <v>3191</v>
      </c>
    </row>
    <row r="9" spans="2:26" x14ac:dyDescent="0.2">
      <c r="B9" s="10" t="s">
        <v>4</v>
      </c>
      <c r="C9" s="10">
        <v>9131</v>
      </c>
      <c r="D9" s="10">
        <v>6014</v>
      </c>
      <c r="E9" s="10">
        <v>5428</v>
      </c>
      <c r="F9" s="10">
        <v>5037</v>
      </c>
      <c r="G9" s="10">
        <v>3985</v>
      </c>
      <c r="H9" s="10">
        <v>4308</v>
      </c>
      <c r="I9" s="10">
        <v>5653</v>
      </c>
      <c r="J9" s="10">
        <v>4147</v>
      </c>
      <c r="K9" s="10">
        <v>3582</v>
      </c>
      <c r="L9" s="10">
        <v>2888</v>
      </c>
      <c r="M9" s="10">
        <v>2123</v>
      </c>
      <c r="N9" s="10">
        <v>1861</v>
      </c>
      <c r="O9" s="10">
        <v>14784</v>
      </c>
      <c r="P9" s="10">
        <v>10161</v>
      </c>
      <c r="Q9" s="10">
        <v>9010</v>
      </c>
      <c r="R9" s="10">
        <v>7925</v>
      </c>
      <c r="S9" s="10">
        <v>6108</v>
      </c>
      <c r="T9" s="10">
        <v>6169</v>
      </c>
      <c r="U9" s="11">
        <v>33903</v>
      </c>
      <c r="V9" s="11">
        <v>20254</v>
      </c>
      <c r="W9" s="11">
        <v>54157</v>
      </c>
      <c r="X9" s="11">
        <v>29595</v>
      </c>
      <c r="Y9" s="11">
        <v>18393</v>
      </c>
      <c r="Z9" s="11">
        <v>47988</v>
      </c>
    </row>
    <row r="10" spans="2:26" x14ac:dyDescent="0.2">
      <c r="B10" s="10" t="s">
        <v>5</v>
      </c>
      <c r="C10" s="10">
        <v>1899</v>
      </c>
      <c r="D10" s="10">
        <v>670</v>
      </c>
      <c r="E10" s="10">
        <v>468</v>
      </c>
      <c r="F10" s="10">
        <v>325</v>
      </c>
      <c r="G10" s="10">
        <v>191</v>
      </c>
      <c r="H10" s="10">
        <v>184</v>
      </c>
      <c r="I10" s="10">
        <v>700</v>
      </c>
      <c r="J10" s="10">
        <v>249</v>
      </c>
      <c r="K10" s="10">
        <v>163</v>
      </c>
      <c r="L10" s="10">
        <v>110</v>
      </c>
      <c r="M10" s="10">
        <v>63</v>
      </c>
      <c r="N10" s="10">
        <v>41</v>
      </c>
      <c r="O10" s="10">
        <v>2599</v>
      </c>
      <c r="P10" s="10">
        <v>919</v>
      </c>
      <c r="Q10" s="10">
        <v>631</v>
      </c>
      <c r="R10" s="10">
        <v>435</v>
      </c>
      <c r="S10" s="10">
        <v>254</v>
      </c>
      <c r="T10" s="10">
        <v>225</v>
      </c>
      <c r="U10" s="11">
        <v>3737</v>
      </c>
      <c r="V10" s="11">
        <v>1326</v>
      </c>
      <c r="W10" s="11">
        <v>5063</v>
      </c>
      <c r="X10" s="11">
        <v>3553</v>
      </c>
      <c r="Y10" s="11">
        <v>1285</v>
      </c>
      <c r="Z10" s="11">
        <v>4838</v>
      </c>
    </row>
    <row r="11" spans="2:26" x14ac:dyDescent="0.2">
      <c r="B11" s="10" t="s">
        <v>6</v>
      </c>
      <c r="C11" s="10">
        <v>1389</v>
      </c>
      <c r="D11" s="10">
        <v>1510</v>
      </c>
      <c r="E11" s="10">
        <v>2364</v>
      </c>
      <c r="F11" s="10">
        <v>2165</v>
      </c>
      <c r="G11" s="10">
        <v>1344</v>
      </c>
      <c r="H11" s="10">
        <v>909</v>
      </c>
      <c r="I11" s="10">
        <v>690</v>
      </c>
      <c r="J11" s="10">
        <v>811</v>
      </c>
      <c r="K11" s="10">
        <v>1143</v>
      </c>
      <c r="L11" s="10">
        <v>780</v>
      </c>
      <c r="M11" s="10">
        <v>437</v>
      </c>
      <c r="N11" s="10">
        <v>239</v>
      </c>
      <c r="O11" s="10">
        <v>2079</v>
      </c>
      <c r="P11" s="10">
        <v>2321</v>
      </c>
      <c r="Q11" s="10">
        <v>3507</v>
      </c>
      <c r="R11" s="10">
        <v>2945</v>
      </c>
      <c r="S11" s="10">
        <v>1781</v>
      </c>
      <c r="T11" s="10">
        <v>1148</v>
      </c>
      <c r="U11" s="11">
        <v>9681</v>
      </c>
      <c r="V11" s="11">
        <v>4100</v>
      </c>
      <c r="W11" s="11">
        <v>13781</v>
      </c>
      <c r="X11" s="11">
        <v>8772</v>
      </c>
      <c r="Y11" s="11">
        <v>3861</v>
      </c>
      <c r="Z11" s="11">
        <v>12633</v>
      </c>
    </row>
    <row r="12" spans="2:26" x14ac:dyDescent="0.2">
      <c r="B12" s="10" t="s">
        <v>168</v>
      </c>
      <c r="C12" s="10">
        <v>1019</v>
      </c>
      <c r="D12" s="10">
        <v>1249</v>
      </c>
      <c r="E12" s="10">
        <v>1751</v>
      </c>
      <c r="F12" s="10">
        <v>1972</v>
      </c>
      <c r="G12" s="10">
        <v>1552</v>
      </c>
      <c r="H12" s="10">
        <v>1819</v>
      </c>
      <c r="I12" s="10">
        <v>111</v>
      </c>
      <c r="J12" s="10">
        <v>200</v>
      </c>
      <c r="K12" s="10">
        <v>312</v>
      </c>
      <c r="L12" s="10">
        <v>295</v>
      </c>
      <c r="M12" s="10">
        <v>290</v>
      </c>
      <c r="N12" s="10">
        <v>343</v>
      </c>
      <c r="O12" s="10">
        <v>1130</v>
      </c>
      <c r="P12" s="10">
        <v>1449</v>
      </c>
      <c r="Q12" s="10">
        <v>2063</v>
      </c>
      <c r="R12" s="10">
        <v>2267</v>
      </c>
      <c r="S12" s="10">
        <v>1842</v>
      </c>
      <c r="T12" s="10">
        <v>2162</v>
      </c>
      <c r="U12" s="11">
        <v>9362</v>
      </c>
      <c r="V12" s="11">
        <v>1551</v>
      </c>
      <c r="W12" s="11">
        <v>10913</v>
      </c>
      <c r="X12" s="11">
        <v>7543</v>
      </c>
      <c r="Y12" s="11">
        <v>1208</v>
      </c>
      <c r="Z12" s="11">
        <v>8751</v>
      </c>
    </row>
    <row r="13" spans="2:26" x14ac:dyDescent="0.2">
      <c r="B13" s="10" t="s">
        <v>8</v>
      </c>
      <c r="C13" s="10">
        <v>310</v>
      </c>
      <c r="D13" s="10">
        <v>855</v>
      </c>
      <c r="E13" s="10">
        <v>1564</v>
      </c>
      <c r="F13" s="10">
        <v>1607</v>
      </c>
      <c r="G13" s="10">
        <v>1138</v>
      </c>
      <c r="H13" s="10">
        <v>698</v>
      </c>
      <c r="I13" s="10">
        <v>183</v>
      </c>
      <c r="J13" s="10">
        <v>528</v>
      </c>
      <c r="K13" s="10">
        <v>763</v>
      </c>
      <c r="L13" s="10">
        <v>795</v>
      </c>
      <c r="M13" s="10">
        <v>524</v>
      </c>
      <c r="N13" s="10">
        <v>251</v>
      </c>
      <c r="O13" s="10">
        <v>493</v>
      </c>
      <c r="P13" s="10">
        <v>1383</v>
      </c>
      <c r="Q13" s="10">
        <v>2327</v>
      </c>
      <c r="R13" s="10">
        <v>2402</v>
      </c>
      <c r="S13" s="10">
        <v>1662</v>
      </c>
      <c r="T13" s="10">
        <v>949</v>
      </c>
      <c r="U13" s="11">
        <v>6172</v>
      </c>
      <c r="V13" s="11">
        <v>3044</v>
      </c>
      <c r="W13" s="11">
        <v>9216</v>
      </c>
      <c r="X13" s="11">
        <v>5474</v>
      </c>
      <c r="Y13" s="11">
        <v>2793</v>
      </c>
      <c r="Z13" s="11">
        <v>8267</v>
      </c>
    </row>
    <row r="14" spans="2:26" x14ac:dyDescent="0.2">
      <c r="B14" s="10" t="s">
        <v>9</v>
      </c>
      <c r="C14" s="10">
        <v>4</v>
      </c>
      <c r="D14" s="10">
        <v>5</v>
      </c>
      <c r="E14" s="10">
        <v>24</v>
      </c>
      <c r="F14" s="10">
        <v>12</v>
      </c>
      <c r="G14" s="10">
        <v>11</v>
      </c>
      <c r="H14" s="10">
        <v>19</v>
      </c>
      <c r="I14" s="10">
        <v>150</v>
      </c>
      <c r="J14" s="10">
        <v>193</v>
      </c>
      <c r="K14" s="10">
        <v>208</v>
      </c>
      <c r="L14" s="10">
        <v>231</v>
      </c>
      <c r="M14" s="10">
        <v>168</v>
      </c>
      <c r="N14" s="10">
        <v>165</v>
      </c>
      <c r="O14" s="10">
        <v>154</v>
      </c>
      <c r="P14" s="10">
        <v>198</v>
      </c>
      <c r="Q14" s="10">
        <v>232</v>
      </c>
      <c r="R14" s="10">
        <v>243</v>
      </c>
      <c r="S14" s="10">
        <v>179</v>
      </c>
      <c r="T14" s="10">
        <v>184</v>
      </c>
      <c r="U14" s="11">
        <v>75</v>
      </c>
      <c r="V14" s="11">
        <v>1115</v>
      </c>
      <c r="W14" s="11">
        <v>1190</v>
      </c>
      <c r="X14" s="11">
        <v>56</v>
      </c>
      <c r="Y14" s="11">
        <v>950</v>
      </c>
      <c r="Z14" s="11">
        <v>1006</v>
      </c>
    </row>
    <row r="15" spans="2:26" x14ac:dyDescent="0.2">
      <c r="B15" s="10" t="s">
        <v>10</v>
      </c>
      <c r="C15" s="10">
        <v>123</v>
      </c>
      <c r="D15" s="10">
        <v>216</v>
      </c>
      <c r="E15" s="10">
        <v>181</v>
      </c>
      <c r="F15" s="10">
        <v>185</v>
      </c>
      <c r="G15" s="10">
        <v>149</v>
      </c>
      <c r="H15" s="10">
        <v>320</v>
      </c>
      <c r="I15" s="10">
        <v>76</v>
      </c>
      <c r="J15" s="10">
        <v>120</v>
      </c>
      <c r="K15" s="10">
        <v>125</v>
      </c>
      <c r="L15" s="10">
        <v>139</v>
      </c>
      <c r="M15" s="10">
        <v>120</v>
      </c>
      <c r="N15" s="10">
        <v>202</v>
      </c>
      <c r="O15" s="10">
        <v>199</v>
      </c>
      <c r="P15" s="10">
        <v>336</v>
      </c>
      <c r="Q15" s="10">
        <v>306</v>
      </c>
      <c r="R15" s="10">
        <v>324</v>
      </c>
      <c r="S15" s="10">
        <v>269</v>
      </c>
      <c r="T15" s="10">
        <v>522</v>
      </c>
      <c r="U15" s="11">
        <v>1174</v>
      </c>
      <c r="V15" s="11">
        <v>782</v>
      </c>
      <c r="W15" s="11">
        <v>1956</v>
      </c>
      <c r="X15" s="11">
        <v>854</v>
      </c>
      <c r="Y15" s="11">
        <v>580</v>
      </c>
      <c r="Z15" s="11">
        <v>1434</v>
      </c>
    </row>
    <row r="16" spans="2:26" x14ac:dyDescent="0.2">
      <c r="B16" s="10" t="s">
        <v>11</v>
      </c>
      <c r="C16" s="10">
        <v>1780</v>
      </c>
      <c r="D16" s="10">
        <v>3594</v>
      </c>
      <c r="E16" s="10">
        <v>4469</v>
      </c>
      <c r="F16" s="10">
        <v>3661</v>
      </c>
      <c r="G16" s="10">
        <v>2049</v>
      </c>
      <c r="H16" s="10">
        <v>1487</v>
      </c>
      <c r="I16" s="10">
        <v>1620</v>
      </c>
      <c r="J16" s="10">
        <v>2967</v>
      </c>
      <c r="K16" s="10">
        <v>3556</v>
      </c>
      <c r="L16" s="10">
        <v>2742</v>
      </c>
      <c r="M16" s="10">
        <v>1684</v>
      </c>
      <c r="N16" s="10">
        <v>1231</v>
      </c>
      <c r="O16" s="10">
        <v>3400</v>
      </c>
      <c r="P16" s="10">
        <v>6561</v>
      </c>
      <c r="Q16" s="10">
        <v>8025</v>
      </c>
      <c r="R16" s="10">
        <v>6403</v>
      </c>
      <c r="S16" s="10">
        <v>3733</v>
      </c>
      <c r="T16" s="10">
        <v>2718</v>
      </c>
      <c r="U16" s="11">
        <v>17040</v>
      </c>
      <c r="V16" s="11">
        <v>13800</v>
      </c>
      <c r="W16" s="11">
        <v>30840</v>
      </c>
      <c r="X16" s="11">
        <v>15553</v>
      </c>
      <c r="Y16" s="11">
        <v>12569</v>
      </c>
      <c r="Z16" s="11">
        <v>28122</v>
      </c>
    </row>
    <row r="17" spans="2:26" x14ac:dyDescent="0.2">
      <c r="B17" s="10" t="s">
        <v>12</v>
      </c>
      <c r="C17" s="10">
        <v>2514</v>
      </c>
      <c r="D17" s="10">
        <v>2146</v>
      </c>
      <c r="E17" s="10">
        <v>2271</v>
      </c>
      <c r="F17" s="10">
        <v>1973</v>
      </c>
      <c r="G17" s="10">
        <v>1260</v>
      </c>
      <c r="H17" s="10">
        <v>1066</v>
      </c>
      <c r="I17" s="10">
        <v>1280</v>
      </c>
      <c r="J17" s="10">
        <v>1051</v>
      </c>
      <c r="K17" s="10">
        <v>1153</v>
      </c>
      <c r="L17" s="10">
        <v>990</v>
      </c>
      <c r="M17" s="10">
        <v>630</v>
      </c>
      <c r="N17" s="10">
        <v>594</v>
      </c>
      <c r="O17" s="10">
        <v>3794</v>
      </c>
      <c r="P17" s="10">
        <v>3197</v>
      </c>
      <c r="Q17" s="10">
        <v>3424</v>
      </c>
      <c r="R17" s="10">
        <v>2963</v>
      </c>
      <c r="S17" s="10">
        <v>1890</v>
      </c>
      <c r="T17" s="10">
        <v>1660</v>
      </c>
      <c r="U17" s="11">
        <v>11230</v>
      </c>
      <c r="V17" s="11">
        <v>5698</v>
      </c>
      <c r="W17" s="11">
        <v>16928</v>
      </c>
      <c r="X17" s="11">
        <v>10164</v>
      </c>
      <c r="Y17" s="11">
        <v>5104</v>
      </c>
      <c r="Z17" s="11">
        <v>15268</v>
      </c>
    </row>
    <row r="18" spans="2:26" x14ac:dyDescent="0.2">
      <c r="B18" s="10" t="s">
        <v>13</v>
      </c>
      <c r="C18" s="10">
        <v>2852</v>
      </c>
      <c r="D18" s="10">
        <v>3864</v>
      </c>
      <c r="E18" s="10">
        <v>4069</v>
      </c>
      <c r="F18" s="10">
        <v>3457</v>
      </c>
      <c r="G18" s="10">
        <v>2198</v>
      </c>
      <c r="H18" s="10">
        <v>1465</v>
      </c>
      <c r="I18" s="10">
        <v>3513</v>
      </c>
      <c r="J18" s="10">
        <v>3563</v>
      </c>
      <c r="K18" s="10">
        <v>3385</v>
      </c>
      <c r="L18" s="10">
        <v>2421</v>
      </c>
      <c r="M18" s="10">
        <v>1413</v>
      </c>
      <c r="N18" s="10">
        <v>906</v>
      </c>
      <c r="O18" s="10">
        <v>6365</v>
      </c>
      <c r="P18" s="10">
        <v>7427</v>
      </c>
      <c r="Q18" s="10">
        <v>7454</v>
      </c>
      <c r="R18" s="10">
        <v>5878</v>
      </c>
      <c r="S18" s="10">
        <v>3611</v>
      </c>
      <c r="T18" s="10">
        <v>2371</v>
      </c>
      <c r="U18" s="11">
        <v>17905</v>
      </c>
      <c r="V18" s="11">
        <v>15201</v>
      </c>
      <c r="W18" s="11">
        <v>33106</v>
      </c>
      <c r="X18" s="11">
        <v>16440</v>
      </c>
      <c r="Y18" s="11">
        <v>14295</v>
      </c>
      <c r="Z18" s="11">
        <v>30735</v>
      </c>
    </row>
    <row r="19" spans="2:26" x14ac:dyDescent="0.2">
      <c r="B19" s="10" t="s">
        <v>14</v>
      </c>
      <c r="C19" s="10">
        <v>893</v>
      </c>
      <c r="D19" s="10">
        <v>893</v>
      </c>
      <c r="E19" s="10">
        <v>945</v>
      </c>
      <c r="F19" s="10">
        <v>691</v>
      </c>
      <c r="G19" s="10">
        <v>401</v>
      </c>
      <c r="H19" s="10">
        <v>288</v>
      </c>
      <c r="I19" s="10">
        <v>698</v>
      </c>
      <c r="J19" s="10">
        <v>712</v>
      </c>
      <c r="K19" s="10">
        <v>648</v>
      </c>
      <c r="L19" s="10">
        <v>466</v>
      </c>
      <c r="M19" s="10">
        <v>263</v>
      </c>
      <c r="N19" s="10">
        <v>245</v>
      </c>
      <c r="O19" s="10">
        <v>1591</v>
      </c>
      <c r="P19" s="10">
        <v>1605</v>
      </c>
      <c r="Q19" s="10">
        <v>1593</v>
      </c>
      <c r="R19" s="10">
        <v>1157</v>
      </c>
      <c r="S19" s="10">
        <v>664</v>
      </c>
      <c r="T19" s="10">
        <v>533</v>
      </c>
      <c r="U19" s="11">
        <v>4111</v>
      </c>
      <c r="V19" s="11">
        <v>3032</v>
      </c>
      <c r="W19" s="11">
        <v>7143</v>
      </c>
      <c r="X19" s="11">
        <v>3823</v>
      </c>
      <c r="Y19" s="11">
        <v>2787</v>
      </c>
      <c r="Z19" s="11">
        <v>6610</v>
      </c>
    </row>
    <row r="20" spans="2:26" x14ac:dyDescent="0.2">
      <c r="B20" s="10" t="s">
        <v>15</v>
      </c>
      <c r="C20" s="10">
        <v>2904</v>
      </c>
      <c r="D20" s="10">
        <v>3367</v>
      </c>
      <c r="E20" s="10">
        <v>3561</v>
      </c>
      <c r="F20" s="10">
        <v>2793</v>
      </c>
      <c r="G20" s="10">
        <v>1628</v>
      </c>
      <c r="H20" s="10">
        <v>1640</v>
      </c>
      <c r="I20" s="10">
        <v>3397</v>
      </c>
      <c r="J20" s="10">
        <v>3708</v>
      </c>
      <c r="K20" s="10">
        <v>3905</v>
      </c>
      <c r="L20" s="10">
        <v>3116</v>
      </c>
      <c r="M20" s="10">
        <v>1835</v>
      </c>
      <c r="N20" s="10">
        <v>1976</v>
      </c>
      <c r="O20" s="10">
        <v>6301</v>
      </c>
      <c r="P20" s="10">
        <v>7075</v>
      </c>
      <c r="Q20" s="10">
        <v>7466</v>
      </c>
      <c r="R20" s="10">
        <v>5909</v>
      </c>
      <c r="S20" s="10">
        <v>3463</v>
      </c>
      <c r="T20" s="10">
        <v>3616</v>
      </c>
      <c r="U20" s="11">
        <v>15893</v>
      </c>
      <c r="V20" s="11">
        <v>17937</v>
      </c>
      <c r="W20" s="11">
        <v>33830</v>
      </c>
      <c r="X20" s="11">
        <v>14253</v>
      </c>
      <c r="Y20" s="11">
        <v>15961</v>
      </c>
      <c r="Z20" s="11">
        <v>30214</v>
      </c>
    </row>
    <row r="21" spans="2:26" x14ac:dyDescent="0.2">
      <c r="B21" s="10" t="s">
        <v>16</v>
      </c>
      <c r="C21" s="10">
        <v>323</v>
      </c>
      <c r="D21" s="10">
        <v>405</v>
      </c>
      <c r="E21" s="10">
        <v>517</v>
      </c>
      <c r="F21" s="10">
        <v>497</v>
      </c>
      <c r="G21" s="10">
        <v>481</v>
      </c>
      <c r="H21" s="10">
        <v>670</v>
      </c>
      <c r="I21" s="10">
        <v>602</v>
      </c>
      <c r="J21" s="10">
        <v>714</v>
      </c>
      <c r="K21" s="10">
        <v>820</v>
      </c>
      <c r="L21" s="10">
        <v>777</v>
      </c>
      <c r="M21" s="10">
        <v>647</v>
      </c>
      <c r="N21" s="10">
        <v>945</v>
      </c>
      <c r="O21" s="10">
        <v>925</v>
      </c>
      <c r="P21" s="10">
        <v>1119</v>
      </c>
      <c r="Q21" s="10">
        <v>1337</v>
      </c>
      <c r="R21" s="10">
        <v>1274</v>
      </c>
      <c r="S21" s="10">
        <v>1128</v>
      </c>
      <c r="T21" s="10">
        <v>1615</v>
      </c>
      <c r="U21" s="11">
        <v>2893</v>
      </c>
      <c r="V21" s="11">
        <v>4505</v>
      </c>
      <c r="W21" s="11">
        <v>7398</v>
      </c>
      <c r="X21" s="11">
        <v>2223</v>
      </c>
      <c r="Y21" s="11">
        <v>3560</v>
      </c>
      <c r="Z21" s="11">
        <v>5783</v>
      </c>
    </row>
    <row r="22" spans="2:26" x14ac:dyDescent="0.2">
      <c r="B22" s="10" t="s">
        <v>17</v>
      </c>
      <c r="C22" s="10">
        <v>525</v>
      </c>
      <c r="D22" s="10">
        <v>964</v>
      </c>
      <c r="E22" s="10">
        <v>1250</v>
      </c>
      <c r="F22" s="10">
        <v>1174</v>
      </c>
      <c r="G22" s="10">
        <v>878</v>
      </c>
      <c r="H22" s="10">
        <v>1120</v>
      </c>
      <c r="I22" s="10">
        <v>3120</v>
      </c>
      <c r="J22" s="10">
        <v>4514</v>
      </c>
      <c r="K22" s="10">
        <v>4667</v>
      </c>
      <c r="L22" s="10">
        <v>3669</v>
      </c>
      <c r="M22" s="10">
        <v>2595</v>
      </c>
      <c r="N22" s="10">
        <v>2207</v>
      </c>
      <c r="O22" s="10">
        <v>3645</v>
      </c>
      <c r="P22" s="10">
        <v>5478</v>
      </c>
      <c r="Q22" s="10">
        <v>5917</v>
      </c>
      <c r="R22" s="10">
        <v>4843</v>
      </c>
      <c r="S22" s="10">
        <v>3473</v>
      </c>
      <c r="T22" s="10">
        <v>3327</v>
      </c>
      <c r="U22" s="11">
        <v>5911</v>
      </c>
      <c r="V22" s="11">
        <v>20772</v>
      </c>
      <c r="W22" s="11">
        <v>26683</v>
      </c>
      <c r="X22" s="11">
        <v>4791</v>
      </c>
      <c r="Y22" s="11">
        <v>18565</v>
      </c>
      <c r="Z22" s="11">
        <v>23356</v>
      </c>
    </row>
    <row r="23" spans="2:26" x14ac:dyDescent="0.2">
      <c r="B23" s="10" t="s">
        <v>18</v>
      </c>
      <c r="C23" s="10">
        <v>559</v>
      </c>
      <c r="D23" s="10">
        <v>744</v>
      </c>
      <c r="E23" s="10">
        <v>901</v>
      </c>
      <c r="F23" s="10">
        <v>821</v>
      </c>
      <c r="G23" s="10">
        <v>638</v>
      </c>
      <c r="H23" s="10">
        <v>819</v>
      </c>
      <c r="I23" s="10">
        <v>2258</v>
      </c>
      <c r="J23" s="10">
        <v>3094</v>
      </c>
      <c r="K23" s="10">
        <v>3060</v>
      </c>
      <c r="L23" s="10">
        <v>2405</v>
      </c>
      <c r="M23" s="10">
        <v>1869</v>
      </c>
      <c r="N23" s="10">
        <v>1923</v>
      </c>
      <c r="O23" s="10">
        <v>2817</v>
      </c>
      <c r="P23" s="10">
        <v>3838</v>
      </c>
      <c r="Q23" s="10">
        <v>3961</v>
      </c>
      <c r="R23" s="10">
        <v>3226</v>
      </c>
      <c r="S23" s="10">
        <v>2507</v>
      </c>
      <c r="T23" s="10">
        <v>2742</v>
      </c>
      <c r="U23" s="11">
        <v>4482</v>
      </c>
      <c r="V23" s="11">
        <v>14609</v>
      </c>
      <c r="W23" s="11">
        <v>19091</v>
      </c>
      <c r="X23" s="11">
        <v>3663</v>
      </c>
      <c r="Y23" s="11">
        <v>12686</v>
      </c>
      <c r="Z23" s="11">
        <v>16349</v>
      </c>
    </row>
    <row r="24" spans="2:26" x14ac:dyDescent="0.2">
      <c r="B24" s="10" t="s">
        <v>19</v>
      </c>
      <c r="C24" s="10">
        <v>66</v>
      </c>
      <c r="D24" s="10">
        <v>107</v>
      </c>
      <c r="E24" s="10">
        <v>128</v>
      </c>
      <c r="F24" s="10">
        <v>117</v>
      </c>
      <c r="G24" s="10">
        <v>76</v>
      </c>
      <c r="H24" s="10">
        <v>136</v>
      </c>
      <c r="I24" s="10">
        <v>106</v>
      </c>
      <c r="J24" s="10">
        <v>141</v>
      </c>
      <c r="K24" s="10">
        <v>146</v>
      </c>
      <c r="L24" s="10">
        <v>102</v>
      </c>
      <c r="M24" s="10">
        <v>98</v>
      </c>
      <c r="N24" s="10">
        <v>131</v>
      </c>
      <c r="O24" s="10">
        <v>172</v>
      </c>
      <c r="P24" s="10">
        <v>248</v>
      </c>
      <c r="Q24" s="10">
        <v>274</v>
      </c>
      <c r="R24" s="10">
        <v>219</v>
      </c>
      <c r="S24" s="10">
        <v>174</v>
      </c>
      <c r="T24" s="10">
        <v>267</v>
      </c>
      <c r="U24" s="11">
        <v>630</v>
      </c>
      <c r="V24" s="11">
        <v>724</v>
      </c>
      <c r="W24" s="11">
        <v>1354</v>
      </c>
      <c r="X24" s="11">
        <v>494</v>
      </c>
      <c r="Y24" s="11">
        <v>593</v>
      </c>
      <c r="Z24" s="11">
        <v>1087</v>
      </c>
    </row>
    <row r="25" spans="2:26" x14ac:dyDescent="0.2">
      <c r="B25" s="10" t="s">
        <v>20</v>
      </c>
      <c r="C25" s="10">
        <v>2819</v>
      </c>
      <c r="D25" s="10">
        <v>2250</v>
      </c>
      <c r="E25" s="10">
        <v>2969</v>
      </c>
      <c r="F25" s="10">
        <v>2285</v>
      </c>
      <c r="G25" s="10">
        <v>1224</v>
      </c>
      <c r="H25" s="10">
        <v>857</v>
      </c>
      <c r="I25" s="10">
        <v>6226</v>
      </c>
      <c r="J25" s="10">
        <v>5084</v>
      </c>
      <c r="K25" s="10">
        <v>5760</v>
      </c>
      <c r="L25" s="10">
        <v>3481</v>
      </c>
      <c r="M25" s="10">
        <v>1517</v>
      </c>
      <c r="N25" s="10">
        <v>865</v>
      </c>
      <c r="O25" s="10">
        <v>9045</v>
      </c>
      <c r="P25" s="10">
        <v>7334</v>
      </c>
      <c r="Q25" s="10">
        <v>8729</v>
      </c>
      <c r="R25" s="10">
        <v>5766</v>
      </c>
      <c r="S25" s="10">
        <v>2741</v>
      </c>
      <c r="T25" s="10">
        <v>1722</v>
      </c>
      <c r="U25" s="11">
        <v>12404</v>
      </c>
      <c r="V25" s="11">
        <v>22933</v>
      </c>
      <c r="W25" s="11">
        <v>35337</v>
      </c>
      <c r="X25" s="11">
        <v>11547</v>
      </c>
      <c r="Y25" s="11">
        <v>22068</v>
      </c>
      <c r="Z25" s="11">
        <v>33615</v>
      </c>
    </row>
    <row r="26" spans="2:26" x14ac:dyDescent="0.2">
      <c r="B26" s="10" t="s">
        <v>21</v>
      </c>
      <c r="C26" s="10">
        <v>339</v>
      </c>
      <c r="D26" s="10">
        <v>503</v>
      </c>
      <c r="E26" s="10">
        <v>954</v>
      </c>
      <c r="F26" s="10">
        <v>703</v>
      </c>
      <c r="G26" s="10">
        <v>400</v>
      </c>
      <c r="H26" s="10">
        <v>276</v>
      </c>
      <c r="I26" s="10">
        <v>1416</v>
      </c>
      <c r="J26" s="10">
        <v>1582</v>
      </c>
      <c r="K26" s="10">
        <v>2490</v>
      </c>
      <c r="L26" s="10">
        <v>1734</v>
      </c>
      <c r="M26" s="10">
        <v>868</v>
      </c>
      <c r="N26" s="10">
        <v>520</v>
      </c>
      <c r="O26" s="10">
        <v>1755</v>
      </c>
      <c r="P26" s="10">
        <v>2085</v>
      </c>
      <c r="Q26" s="10">
        <v>3444</v>
      </c>
      <c r="R26" s="10">
        <v>2437</v>
      </c>
      <c r="S26" s="10">
        <v>1268</v>
      </c>
      <c r="T26" s="10">
        <v>796</v>
      </c>
      <c r="U26" s="11">
        <v>3175</v>
      </c>
      <c r="V26" s="11">
        <v>8610</v>
      </c>
      <c r="W26" s="11">
        <v>11785</v>
      </c>
      <c r="X26" s="11">
        <v>2899</v>
      </c>
      <c r="Y26" s="11">
        <v>8090</v>
      </c>
      <c r="Z26" s="11">
        <v>10989</v>
      </c>
    </row>
    <row r="27" spans="2:26" x14ac:dyDescent="0.2">
      <c r="B27" s="10" t="s">
        <v>22</v>
      </c>
      <c r="C27" s="10">
        <v>3811</v>
      </c>
      <c r="D27" s="10">
        <v>4386</v>
      </c>
      <c r="E27" s="10">
        <v>5072</v>
      </c>
      <c r="F27" s="10">
        <v>4284</v>
      </c>
      <c r="G27" s="10">
        <v>2628</v>
      </c>
      <c r="H27" s="10">
        <v>1579</v>
      </c>
      <c r="I27" s="10">
        <v>8415</v>
      </c>
      <c r="J27" s="10">
        <v>10253</v>
      </c>
      <c r="K27" s="10">
        <v>12850</v>
      </c>
      <c r="L27" s="10">
        <v>11078</v>
      </c>
      <c r="M27" s="10">
        <v>6313</v>
      </c>
      <c r="N27" s="10">
        <v>3080</v>
      </c>
      <c r="O27" s="10">
        <v>12226</v>
      </c>
      <c r="P27" s="10">
        <v>14639</v>
      </c>
      <c r="Q27" s="10">
        <v>17922</v>
      </c>
      <c r="R27" s="10">
        <v>15362</v>
      </c>
      <c r="S27" s="10">
        <v>8941</v>
      </c>
      <c r="T27" s="10">
        <v>4659</v>
      </c>
      <c r="U27" s="11">
        <v>21760</v>
      </c>
      <c r="V27" s="11">
        <v>51989</v>
      </c>
      <c r="W27" s="11">
        <v>73749</v>
      </c>
      <c r="X27" s="11">
        <v>20181</v>
      </c>
      <c r="Y27" s="11">
        <v>48909</v>
      </c>
      <c r="Z27" s="11">
        <v>69090</v>
      </c>
    </row>
    <row r="28" spans="2:26" x14ac:dyDescent="0.2">
      <c r="B28" s="10" t="s">
        <v>51</v>
      </c>
      <c r="C28" s="10">
        <v>559</v>
      </c>
      <c r="D28" s="10">
        <v>892</v>
      </c>
      <c r="E28" s="10">
        <v>1796</v>
      </c>
      <c r="F28" s="10">
        <v>1455</v>
      </c>
      <c r="G28" s="10">
        <v>643</v>
      </c>
      <c r="H28" s="10">
        <v>338</v>
      </c>
      <c r="I28" s="10">
        <v>926</v>
      </c>
      <c r="J28" s="10">
        <v>1526</v>
      </c>
      <c r="K28" s="10">
        <v>2777</v>
      </c>
      <c r="L28" s="10">
        <v>1760</v>
      </c>
      <c r="M28" s="10">
        <v>675</v>
      </c>
      <c r="N28" s="10">
        <v>309</v>
      </c>
      <c r="O28" s="10">
        <v>1485</v>
      </c>
      <c r="P28" s="10">
        <v>2418</v>
      </c>
      <c r="Q28" s="10">
        <v>4573</v>
      </c>
      <c r="R28" s="10">
        <v>3215</v>
      </c>
      <c r="S28" s="10">
        <v>1318</v>
      </c>
      <c r="T28" s="10">
        <v>647</v>
      </c>
      <c r="U28" s="11">
        <v>5683</v>
      </c>
      <c r="V28" s="11">
        <v>7973</v>
      </c>
      <c r="W28" s="11">
        <v>13656</v>
      </c>
      <c r="X28" s="11">
        <v>5345</v>
      </c>
      <c r="Y28" s="11">
        <v>7664</v>
      </c>
      <c r="Z28" s="11">
        <v>13009</v>
      </c>
    </row>
    <row r="29" spans="2:26" x14ac:dyDescent="0.2">
      <c r="B29" s="10" t="s">
        <v>23</v>
      </c>
      <c r="C29" s="10">
        <v>243</v>
      </c>
      <c r="D29" s="10">
        <v>397</v>
      </c>
      <c r="E29" s="10">
        <v>525</v>
      </c>
      <c r="F29" s="10">
        <v>456</v>
      </c>
      <c r="G29" s="10">
        <v>319</v>
      </c>
      <c r="H29" s="10">
        <v>399</v>
      </c>
      <c r="I29" s="10">
        <v>604</v>
      </c>
      <c r="J29" s="10">
        <v>1063</v>
      </c>
      <c r="K29" s="10">
        <v>1434</v>
      </c>
      <c r="L29" s="10">
        <v>883</v>
      </c>
      <c r="M29" s="10">
        <v>446</v>
      </c>
      <c r="N29" s="10">
        <v>397</v>
      </c>
      <c r="O29" s="10">
        <v>847</v>
      </c>
      <c r="P29" s="10">
        <v>1460</v>
      </c>
      <c r="Q29" s="10">
        <v>1959</v>
      </c>
      <c r="R29" s="10">
        <v>1339</v>
      </c>
      <c r="S29" s="10">
        <v>765</v>
      </c>
      <c r="T29" s="10">
        <v>796</v>
      </c>
      <c r="U29" s="11">
        <v>2339</v>
      </c>
      <c r="V29" s="11">
        <v>4827</v>
      </c>
      <c r="W29" s="11">
        <v>7166</v>
      </c>
      <c r="X29" s="11">
        <v>1940</v>
      </c>
      <c r="Y29" s="11">
        <v>4430</v>
      </c>
      <c r="Z29" s="11">
        <v>6370</v>
      </c>
    </row>
    <row r="30" spans="2:26" x14ac:dyDescent="0.2">
      <c r="B30" s="10" t="s">
        <v>24</v>
      </c>
      <c r="C30" s="10">
        <v>1287</v>
      </c>
      <c r="D30" s="10">
        <v>1013</v>
      </c>
      <c r="E30" s="10">
        <v>914</v>
      </c>
      <c r="F30" s="10">
        <v>719</v>
      </c>
      <c r="G30" s="10">
        <v>436</v>
      </c>
      <c r="H30" s="10">
        <v>326</v>
      </c>
      <c r="I30" s="10">
        <v>2562</v>
      </c>
      <c r="J30" s="10">
        <v>2148</v>
      </c>
      <c r="K30" s="10">
        <v>2075</v>
      </c>
      <c r="L30" s="10">
        <v>1753</v>
      </c>
      <c r="M30" s="10">
        <v>1241</v>
      </c>
      <c r="N30" s="10">
        <v>919</v>
      </c>
      <c r="O30" s="10">
        <v>3849</v>
      </c>
      <c r="P30" s="10">
        <v>3161</v>
      </c>
      <c r="Q30" s="10">
        <v>2989</v>
      </c>
      <c r="R30" s="10">
        <v>2472</v>
      </c>
      <c r="S30" s="10">
        <v>1677</v>
      </c>
      <c r="T30" s="10">
        <v>1245</v>
      </c>
      <c r="U30" s="11">
        <v>4695</v>
      </c>
      <c r="V30" s="11">
        <v>10698</v>
      </c>
      <c r="W30" s="11">
        <v>15393</v>
      </c>
      <c r="X30" s="11">
        <v>4369</v>
      </c>
      <c r="Y30" s="11">
        <v>9779</v>
      </c>
      <c r="Z30" s="11">
        <v>14148</v>
      </c>
    </row>
    <row r="31" spans="2:26" x14ac:dyDescent="0.2">
      <c r="B31" s="10" t="s">
        <v>25</v>
      </c>
      <c r="C31" s="10">
        <v>846</v>
      </c>
      <c r="D31" s="10">
        <v>519</v>
      </c>
      <c r="E31" s="10">
        <v>469</v>
      </c>
      <c r="F31" s="10">
        <v>326</v>
      </c>
      <c r="G31" s="10">
        <v>230</v>
      </c>
      <c r="H31" s="10">
        <v>134</v>
      </c>
      <c r="I31" s="10">
        <v>1387</v>
      </c>
      <c r="J31" s="10">
        <v>1023</v>
      </c>
      <c r="K31" s="10">
        <v>955</v>
      </c>
      <c r="L31" s="10">
        <v>804</v>
      </c>
      <c r="M31" s="10">
        <v>537</v>
      </c>
      <c r="N31" s="10">
        <v>377</v>
      </c>
      <c r="O31" s="10">
        <v>2233</v>
      </c>
      <c r="P31" s="10">
        <v>1542</v>
      </c>
      <c r="Q31" s="10">
        <v>1424</v>
      </c>
      <c r="R31" s="10">
        <v>1130</v>
      </c>
      <c r="S31" s="10">
        <v>767</v>
      </c>
      <c r="T31" s="10">
        <v>511</v>
      </c>
      <c r="U31" s="11">
        <v>2524</v>
      </c>
      <c r="V31" s="11">
        <v>5083</v>
      </c>
      <c r="W31" s="11">
        <v>7607</v>
      </c>
      <c r="X31" s="11">
        <v>2390</v>
      </c>
      <c r="Y31" s="11">
        <v>4706</v>
      </c>
      <c r="Z31" s="11">
        <v>7096</v>
      </c>
    </row>
    <row r="32" spans="2:26" x14ac:dyDescent="0.2">
      <c r="B32" s="10" t="s">
        <v>26</v>
      </c>
      <c r="C32" s="10">
        <v>439</v>
      </c>
      <c r="D32" s="10">
        <v>336</v>
      </c>
      <c r="E32" s="10">
        <v>258</v>
      </c>
      <c r="F32" s="10">
        <v>160</v>
      </c>
      <c r="G32" s="10">
        <v>97</v>
      </c>
      <c r="H32" s="10">
        <v>73</v>
      </c>
      <c r="I32" s="10">
        <v>795</v>
      </c>
      <c r="J32" s="10">
        <v>715</v>
      </c>
      <c r="K32" s="10">
        <v>610</v>
      </c>
      <c r="L32" s="10">
        <v>450</v>
      </c>
      <c r="M32" s="10">
        <v>314</v>
      </c>
      <c r="N32" s="10">
        <v>254</v>
      </c>
      <c r="O32" s="10">
        <v>1234</v>
      </c>
      <c r="P32" s="10">
        <v>1051</v>
      </c>
      <c r="Q32" s="10">
        <v>868</v>
      </c>
      <c r="R32" s="10">
        <v>610</v>
      </c>
      <c r="S32" s="10">
        <v>411</v>
      </c>
      <c r="T32" s="10">
        <v>327</v>
      </c>
      <c r="U32" s="11">
        <v>1363</v>
      </c>
      <c r="V32" s="11">
        <v>3138</v>
      </c>
      <c r="W32" s="11">
        <v>4501</v>
      </c>
      <c r="X32" s="11">
        <v>1290</v>
      </c>
      <c r="Y32" s="11">
        <v>2884</v>
      </c>
      <c r="Z32" s="11">
        <v>4174</v>
      </c>
    </row>
    <row r="33" spans="1:74" x14ac:dyDescent="0.2">
      <c r="B33" s="10" t="s">
        <v>27</v>
      </c>
      <c r="C33" s="10">
        <v>577</v>
      </c>
      <c r="D33" s="10">
        <v>422</v>
      </c>
      <c r="E33" s="10">
        <v>291</v>
      </c>
      <c r="F33" s="10">
        <v>105</v>
      </c>
      <c r="G33" s="10">
        <v>52</v>
      </c>
      <c r="H33" s="10">
        <v>81</v>
      </c>
      <c r="I33" s="10">
        <v>870</v>
      </c>
      <c r="J33" s="10">
        <v>450</v>
      </c>
      <c r="K33" s="10">
        <v>291</v>
      </c>
      <c r="L33" s="10">
        <v>138</v>
      </c>
      <c r="M33" s="10">
        <v>64</v>
      </c>
      <c r="N33" s="10">
        <v>68</v>
      </c>
      <c r="O33" s="10">
        <v>1447</v>
      </c>
      <c r="P33" s="10">
        <v>872</v>
      </c>
      <c r="Q33" s="10">
        <v>582</v>
      </c>
      <c r="R33" s="10">
        <v>243</v>
      </c>
      <c r="S33" s="10">
        <v>116</v>
      </c>
      <c r="T33" s="10">
        <v>149</v>
      </c>
      <c r="U33" s="11">
        <v>1528</v>
      </c>
      <c r="V33" s="11">
        <v>1881</v>
      </c>
      <c r="W33" s="11">
        <v>3409</v>
      </c>
      <c r="X33" s="11">
        <v>1447</v>
      </c>
      <c r="Y33" s="11">
        <v>1813</v>
      </c>
      <c r="Z33" s="11">
        <v>3260</v>
      </c>
    </row>
    <row r="34" spans="1:74" x14ac:dyDescent="0.2">
      <c r="B34" s="10" t="s">
        <v>28</v>
      </c>
      <c r="C34" s="10">
        <v>599</v>
      </c>
      <c r="D34" s="10">
        <v>505</v>
      </c>
      <c r="E34" s="10">
        <v>366</v>
      </c>
      <c r="F34" s="10">
        <v>261</v>
      </c>
      <c r="G34" s="10">
        <v>120</v>
      </c>
      <c r="H34" s="10">
        <v>115</v>
      </c>
      <c r="I34" s="10">
        <v>795</v>
      </c>
      <c r="J34" s="10">
        <v>784</v>
      </c>
      <c r="K34" s="10">
        <v>604</v>
      </c>
      <c r="L34" s="10">
        <v>368</v>
      </c>
      <c r="M34" s="10">
        <v>134</v>
      </c>
      <c r="N34" s="10">
        <v>86</v>
      </c>
      <c r="O34" s="10">
        <v>1394</v>
      </c>
      <c r="P34" s="10">
        <v>1289</v>
      </c>
      <c r="Q34" s="10">
        <v>970</v>
      </c>
      <c r="R34" s="10">
        <v>629</v>
      </c>
      <c r="S34" s="10">
        <v>254</v>
      </c>
      <c r="T34" s="10">
        <v>201</v>
      </c>
      <c r="U34" s="11">
        <v>1966</v>
      </c>
      <c r="V34" s="11">
        <v>2771</v>
      </c>
      <c r="W34" s="11">
        <v>4737</v>
      </c>
      <c r="X34" s="11">
        <v>1851</v>
      </c>
      <c r="Y34" s="11">
        <v>2685</v>
      </c>
      <c r="Z34" s="11">
        <v>4536</v>
      </c>
    </row>
    <row r="35" spans="1:74" x14ac:dyDescent="0.2">
      <c r="B35" s="10" t="s">
        <v>29</v>
      </c>
      <c r="C35" s="10">
        <v>368</v>
      </c>
      <c r="D35" s="10">
        <v>464</v>
      </c>
      <c r="E35" s="10">
        <v>448</v>
      </c>
      <c r="F35" s="10">
        <v>303</v>
      </c>
      <c r="G35" s="10">
        <v>166</v>
      </c>
      <c r="H35" s="10">
        <v>142</v>
      </c>
      <c r="I35" s="10">
        <v>976</v>
      </c>
      <c r="J35" s="10">
        <v>1292</v>
      </c>
      <c r="K35" s="10">
        <v>1497</v>
      </c>
      <c r="L35" s="10">
        <v>980</v>
      </c>
      <c r="M35" s="10">
        <v>476</v>
      </c>
      <c r="N35" s="10">
        <v>372</v>
      </c>
      <c r="O35" s="10">
        <v>1344</v>
      </c>
      <c r="P35" s="10">
        <v>1756</v>
      </c>
      <c r="Q35" s="10">
        <v>1945</v>
      </c>
      <c r="R35" s="10">
        <v>1283</v>
      </c>
      <c r="S35" s="10">
        <v>642</v>
      </c>
      <c r="T35" s="10">
        <v>514</v>
      </c>
      <c r="U35" s="11">
        <v>1891</v>
      </c>
      <c r="V35" s="11">
        <v>5593</v>
      </c>
      <c r="W35" s="11">
        <v>7484</v>
      </c>
      <c r="X35" s="11">
        <v>1749</v>
      </c>
      <c r="Y35" s="11">
        <v>5221</v>
      </c>
      <c r="Z35" s="11">
        <v>6970</v>
      </c>
    </row>
    <row r="36" spans="1:74" x14ac:dyDescent="0.2">
      <c r="B36" s="10" t="s">
        <v>30</v>
      </c>
      <c r="C36" s="10">
        <v>604</v>
      </c>
      <c r="D36" s="10">
        <v>523</v>
      </c>
      <c r="E36" s="10">
        <v>652</v>
      </c>
      <c r="F36" s="10">
        <v>550</v>
      </c>
      <c r="G36" s="10">
        <v>242</v>
      </c>
      <c r="H36" s="10">
        <v>184</v>
      </c>
      <c r="I36" s="10">
        <v>776</v>
      </c>
      <c r="J36" s="10">
        <v>667</v>
      </c>
      <c r="K36" s="10">
        <v>873</v>
      </c>
      <c r="L36" s="10">
        <v>643</v>
      </c>
      <c r="M36" s="10">
        <v>351</v>
      </c>
      <c r="N36" s="10">
        <v>176</v>
      </c>
      <c r="O36" s="10">
        <v>1380</v>
      </c>
      <c r="P36" s="10">
        <v>1190</v>
      </c>
      <c r="Q36" s="10">
        <v>1525</v>
      </c>
      <c r="R36" s="10">
        <v>1193</v>
      </c>
      <c r="S36" s="10">
        <v>593</v>
      </c>
      <c r="T36" s="10">
        <v>360</v>
      </c>
      <c r="U36" s="11">
        <v>2755</v>
      </c>
      <c r="V36" s="11">
        <v>3486</v>
      </c>
      <c r="W36" s="11">
        <v>6241</v>
      </c>
      <c r="X36" s="11">
        <v>2571</v>
      </c>
      <c r="Y36" s="11">
        <v>3310</v>
      </c>
      <c r="Z36" s="11">
        <v>5881</v>
      </c>
    </row>
    <row r="37" spans="1:74" x14ac:dyDescent="0.2">
      <c r="B37" s="10" t="s">
        <v>31</v>
      </c>
      <c r="C37" s="10">
        <v>823</v>
      </c>
      <c r="D37" s="10">
        <v>1222</v>
      </c>
      <c r="E37" s="10">
        <v>2490</v>
      </c>
      <c r="F37" s="10">
        <v>2768</v>
      </c>
      <c r="G37" s="10">
        <v>1891</v>
      </c>
      <c r="H37" s="10">
        <v>963</v>
      </c>
      <c r="I37" s="10">
        <v>1174</v>
      </c>
      <c r="J37" s="10">
        <v>1074</v>
      </c>
      <c r="K37" s="10">
        <v>1560</v>
      </c>
      <c r="L37" s="10">
        <v>1475</v>
      </c>
      <c r="M37" s="10">
        <v>877</v>
      </c>
      <c r="N37" s="10">
        <v>462</v>
      </c>
      <c r="O37" s="10">
        <v>1997</v>
      </c>
      <c r="P37" s="10">
        <v>2296</v>
      </c>
      <c r="Q37" s="10">
        <v>4050</v>
      </c>
      <c r="R37" s="10">
        <v>4243</v>
      </c>
      <c r="S37" s="10">
        <v>2768</v>
      </c>
      <c r="T37" s="10">
        <v>1425</v>
      </c>
      <c r="U37" s="11">
        <v>10157</v>
      </c>
      <c r="V37" s="11">
        <v>6622</v>
      </c>
      <c r="W37" s="11">
        <v>16779</v>
      </c>
      <c r="X37" s="11">
        <v>9194</v>
      </c>
      <c r="Y37" s="11">
        <v>6160</v>
      </c>
      <c r="Z37" s="11">
        <v>15354</v>
      </c>
    </row>
    <row r="38" spans="1:74" x14ac:dyDescent="0.2">
      <c r="B38" s="10" t="s">
        <v>32</v>
      </c>
      <c r="C38" s="10">
        <v>6073</v>
      </c>
      <c r="D38" s="10">
        <v>7223</v>
      </c>
      <c r="E38" s="10">
        <v>8346</v>
      </c>
      <c r="F38" s="10">
        <v>8746</v>
      </c>
      <c r="G38" s="10">
        <v>6598</v>
      </c>
      <c r="H38" s="10">
        <v>6472</v>
      </c>
      <c r="I38" s="10">
        <v>5858</v>
      </c>
      <c r="J38" s="10">
        <v>7461</v>
      </c>
      <c r="K38" s="10">
        <v>9208</v>
      </c>
      <c r="L38" s="10">
        <v>9917</v>
      </c>
      <c r="M38" s="10">
        <v>7916</v>
      </c>
      <c r="N38" s="10">
        <v>7161</v>
      </c>
      <c r="O38" s="10">
        <v>11931</v>
      </c>
      <c r="P38" s="10">
        <v>14684</v>
      </c>
      <c r="Q38" s="10">
        <v>17554</v>
      </c>
      <c r="R38" s="10">
        <v>18663</v>
      </c>
      <c r="S38" s="10">
        <v>14514</v>
      </c>
      <c r="T38" s="10">
        <v>13633</v>
      </c>
      <c r="U38" s="11">
        <v>43458</v>
      </c>
      <c r="V38" s="11">
        <v>47521</v>
      </c>
      <c r="W38" s="11">
        <v>90979</v>
      </c>
      <c r="X38" s="11">
        <v>36986</v>
      </c>
      <c r="Y38" s="11">
        <v>40360</v>
      </c>
      <c r="Z38" s="11">
        <v>77346</v>
      </c>
    </row>
    <row r="39" spans="1:74" x14ac:dyDescent="0.2">
      <c r="B39" s="10" t="s">
        <v>46</v>
      </c>
      <c r="C39" s="10">
        <v>58661</v>
      </c>
      <c r="D39" s="10">
        <v>58579</v>
      </c>
      <c r="E39" s="10">
        <v>66525</v>
      </c>
      <c r="F39" s="10">
        <v>58871</v>
      </c>
      <c r="G39" s="10">
        <v>40540</v>
      </c>
      <c r="H39" s="10">
        <v>35231</v>
      </c>
      <c r="I39" s="10">
        <v>68854</v>
      </c>
      <c r="J39" s="10">
        <v>73060</v>
      </c>
      <c r="K39" s="10">
        <v>80628</v>
      </c>
      <c r="L39" s="10">
        <v>65364</v>
      </c>
      <c r="M39" s="10">
        <v>42413</v>
      </c>
      <c r="N39" s="10">
        <v>32827</v>
      </c>
      <c r="O39" s="10">
        <v>127515</v>
      </c>
      <c r="P39" s="10">
        <v>131639</v>
      </c>
      <c r="Q39" s="10">
        <v>147153</v>
      </c>
      <c r="R39" s="10">
        <v>124235</v>
      </c>
      <c r="S39" s="10">
        <v>82953</v>
      </c>
      <c r="T39" s="10">
        <v>68058</v>
      </c>
      <c r="U39" s="11">
        <v>318407</v>
      </c>
      <c r="V39" s="11">
        <v>363146</v>
      </c>
      <c r="W39" s="11">
        <v>681553</v>
      </c>
      <c r="X39" s="11">
        <v>283176</v>
      </c>
      <c r="Y39" s="11">
        <v>330319</v>
      </c>
      <c r="Z39" s="11">
        <v>613495</v>
      </c>
      <c r="AB39" s="118"/>
      <c r="AC39" s="118"/>
      <c r="AD39" s="118"/>
      <c r="AE39" s="118"/>
      <c r="AF39" s="118"/>
      <c r="AG39" s="118"/>
      <c r="AH39" s="118"/>
      <c r="AI39" s="118"/>
      <c r="AJ39" s="118"/>
      <c r="AK39" s="118"/>
      <c r="AL39" s="118"/>
      <c r="AM39" s="118"/>
      <c r="AN39" s="118"/>
      <c r="AO39" s="118"/>
      <c r="AP39" s="118"/>
      <c r="AQ39" s="118"/>
      <c r="AR39" s="118"/>
      <c r="AS39" s="118"/>
      <c r="AT39" s="118"/>
      <c r="AU39" s="118"/>
      <c r="AV39" s="118"/>
      <c r="AW39" s="118"/>
      <c r="AX39" s="118"/>
      <c r="AY39" s="119"/>
      <c r="AZ39" s="119"/>
      <c r="BA39" s="119"/>
      <c r="BB39" s="119"/>
      <c r="BC39" s="119"/>
      <c r="BD39" s="119"/>
      <c r="BE39" s="119"/>
      <c r="BF39" s="119"/>
      <c r="BG39" s="119"/>
      <c r="BH39" s="119"/>
      <c r="BI39" s="119"/>
      <c r="BJ39" s="119"/>
      <c r="BK39" s="119"/>
      <c r="BL39" s="119"/>
      <c r="BM39" s="119"/>
      <c r="BN39" s="119"/>
      <c r="BO39" s="119"/>
      <c r="BP39" s="119"/>
      <c r="BQ39" s="119"/>
      <c r="BR39" s="119"/>
      <c r="BS39" s="119"/>
      <c r="BT39" s="119"/>
      <c r="BU39" s="119"/>
      <c r="BV39" s="119"/>
    </row>
    <row r="40" spans="1:74" x14ac:dyDescent="0.2">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77"/>
      <c r="AZ40" s="77"/>
      <c r="BA40" s="77"/>
      <c r="BB40" s="77"/>
      <c r="BC40" s="77"/>
      <c r="BD40" s="77"/>
      <c r="BE40" s="77"/>
      <c r="BF40" s="77"/>
      <c r="BG40" s="77"/>
      <c r="BH40" s="77"/>
      <c r="BI40" s="77"/>
      <c r="BJ40" s="77"/>
      <c r="BK40" s="77"/>
      <c r="BL40" s="77"/>
      <c r="BM40" s="77"/>
      <c r="BN40" s="77"/>
      <c r="BO40" s="77"/>
      <c r="BP40" s="77"/>
      <c r="BQ40" s="77"/>
      <c r="BR40" s="77"/>
      <c r="BS40" s="77"/>
      <c r="BT40" s="77"/>
      <c r="BU40" s="77"/>
      <c r="BV40" s="77"/>
    </row>
    <row r="41" spans="1:74" x14ac:dyDescent="0.2">
      <c r="A41" s="14"/>
      <c r="B41" s="10" t="s">
        <v>0</v>
      </c>
      <c r="C41" s="4">
        <v>16.7</v>
      </c>
      <c r="D41" s="4">
        <v>18.600000000000001</v>
      </c>
      <c r="E41" s="4">
        <v>19.899999999999999</v>
      </c>
      <c r="F41" s="4">
        <v>17.399999999999999</v>
      </c>
      <c r="G41" s="4">
        <v>15.2</v>
      </c>
      <c r="H41" s="4">
        <v>87.9</v>
      </c>
      <c r="I41" s="13">
        <v>17025</v>
      </c>
      <c r="J41" s="4">
        <v>19.899999999999999</v>
      </c>
      <c r="K41" s="4">
        <v>20.9</v>
      </c>
      <c r="L41" s="4">
        <v>19.899999999999999</v>
      </c>
      <c r="M41" s="4">
        <v>16.8</v>
      </c>
      <c r="N41" s="4">
        <v>12.8</v>
      </c>
      <c r="O41" s="4">
        <v>90.3</v>
      </c>
      <c r="P41" s="13">
        <v>27567</v>
      </c>
      <c r="Q41" s="4">
        <v>18.7</v>
      </c>
      <c r="R41" s="4">
        <v>20.100000000000001</v>
      </c>
      <c r="S41" s="4">
        <v>19.899999999999999</v>
      </c>
      <c r="T41" s="4">
        <v>17</v>
      </c>
      <c r="U41" s="4">
        <v>13.7</v>
      </c>
      <c r="V41" s="4">
        <v>89.4</v>
      </c>
      <c r="W41" s="13">
        <v>44592</v>
      </c>
      <c r="X41" s="14"/>
      <c r="Y41" s="14"/>
      <c r="Z41" s="14"/>
      <c r="AA41" s="74"/>
      <c r="AB41" s="74"/>
      <c r="AC41" s="74"/>
      <c r="AD41" s="74"/>
      <c r="AE41" s="74"/>
      <c r="AF41" s="74"/>
      <c r="AG41" s="74"/>
      <c r="AH41" s="74"/>
      <c r="AI41" s="74"/>
      <c r="AJ41" s="74"/>
      <c r="AK41" s="74"/>
      <c r="AL41" s="74"/>
      <c r="AM41" s="74"/>
      <c r="AN41" s="74"/>
      <c r="AO41" s="74"/>
      <c r="AP41" s="74"/>
      <c r="AQ41" s="74"/>
      <c r="AR41" s="74"/>
      <c r="AS41" s="74"/>
      <c r="AT41" s="74"/>
      <c r="AU41" s="74"/>
      <c r="AV41" s="74"/>
      <c r="AX41" s="77"/>
      <c r="AY41" s="77"/>
      <c r="AZ41" s="77"/>
      <c r="BA41" s="77"/>
      <c r="BB41" s="77"/>
      <c r="BC41" s="77"/>
      <c r="BD41" s="77"/>
      <c r="BE41" s="77"/>
      <c r="BF41" s="77"/>
      <c r="BG41" s="77"/>
      <c r="BH41" s="77"/>
      <c r="BI41" s="77"/>
      <c r="BJ41" s="77"/>
      <c r="BK41" s="77"/>
      <c r="BL41" s="77"/>
      <c r="BM41" s="77"/>
      <c r="BN41" s="77"/>
      <c r="BO41" s="77"/>
      <c r="BP41" s="77"/>
      <c r="BQ41" s="77"/>
      <c r="BR41" s="77"/>
      <c r="BS41" s="77"/>
    </row>
    <row r="42" spans="1:74" x14ac:dyDescent="0.2">
      <c r="A42" s="14"/>
      <c r="B42" s="10" t="s">
        <v>1</v>
      </c>
      <c r="C42" s="4">
        <v>25.6</v>
      </c>
      <c r="D42" s="4">
        <v>20.8</v>
      </c>
      <c r="E42" s="4">
        <v>18.399999999999999</v>
      </c>
      <c r="F42" s="4">
        <v>14.8</v>
      </c>
      <c r="G42" s="4">
        <v>11</v>
      </c>
      <c r="H42" s="4">
        <v>90.6</v>
      </c>
      <c r="I42" s="13">
        <v>17124</v>
      </c>
      <c r="J42" s="4">
        <v>27.4</v>
      </c>
      <c r="K42" s="4">
        <v>23.1</v>
      </c>
      <c r="L42" s="4">
        <v>18.8</v>
      </c>
      <c r="M42" s="4">
        <v>13.4</v>
      </c>
      <c r="N42" s="4">
        <v>9.8000000000000007</v>
      </c>
      <c r="O42" s="4">
        <v>92.5</v>
      </c>
      <c r="P42" s="13">
        <v>16747</v>
      </c>
      <c r="Q42" s="4">
        <v>26.5</v>
      </c>
      <c r="R42" s="4">
        <v>21.9</v>
      </c>
      <c r="S42" s="4">
        <v>18.600000000000001</v>
      </c>
      <c r="T42" s="4">
        <v>14.1</v>
      </c>
      <c r="U42" s="4">
        <v>10.4</v>
      </c>
      <c r="V42" s="4">
        <v>91.5</v>
      </c>
      <c r="W42" s="13">
        <v>33871</v>
      </c>
      <c r="X42" s="14"/>
      <c r="Y42" s="14"/>
      <c r="Z42" s="14"/>
      <c r="AA42" s="74"/>
      <c r="AB42" s="74"/>
      <c r="AC42" s="74"/>
      <c r="AD42" s="74"/>
      <c r="AE42" s="74"/>
      <c r="AF42" s="74"/>
      <c r="AG42" s="74"/>
      <c r="AH42" s="74"/>
      <c r="AI42" s="74"/>
      <c r="AJ42" s="74"/>
      <c r="AK42" s="74"/>
      <c r="AL42" s="74"/>
      <c r="AM42" s="74"/>
      <c r="AN42" s="74"/>
      <c r="AO42" s="74"/>
      <c r="AP42" s="74"/>
      <c r="AQ42" s="74"/>
      <c r="AR42" s="74"/>
      <c r="AS42" s="74"/>
      <c r="AT42" s="74"/>
      <c r="AU42" s="74"/>
      <c r="AV42" s="74"/>
      <c r="AX42" s="77"/>
      <c r="AY42" s="77"/>
      <c r="AZ42" s="77"/>
      <c r="BA42" s="77"/>
      <c r="BB42" s="77"/>
      <c r="BC42" s="77"/>
      <c r="BD42" s="77"/>
      <c r="BE42" s="77"/>
      <c r="BF42" s="77"/>
      <c r="BG42" s="77"/>
      <c r="BH42" s="77"/>
      <c r="BI42" s="77"/>
      <c r="BJ42" s="77"/>
      <c r="BK42" s="77"/>
      <c r="BL42" s="77"/>
      <c r="BM42" s="77"/>
      <c r="BN42" s="77"/>
      <c r="BO42" s="77"/>
      <c r="BP42" s="77"/>
      <c r="BQ42" s="77"/>
      <c r="BR42" s="77"/>
      <c r="BS42" s="77"/>
    </row>
    <row r="43" spans="1:74" x14ac:dyDescent="0.2">
      <c r="A43" s="14"/>
      <c r="B43" s="10" t="s">
        <v>2</v>
      </c>
      <c r="C43" s="4">
        <v>24.4</v>
      </c>
      <c r="D43" s="4">
        <v>19.2</v>
      </c>
      <c r="E43" s="4">
        <v>18.5</v>
      </c>
      <c r="F43" s="4">
        <v>14.9</v>
      </c>
      <c r="G43" s="4">
        <v>12.1</v>
      </c>
      <c r="H43" s="4">
        <v>89.1</v>
      </c>
      <c r="I43" s="13">
        <v>22010</v>
      </c>
      <c r="J43" s="4">
        <v>27.7</v>
      </c>
      <c r="K43" s="4">
        <v>23.1</v>
      </c>
      <c r="L43" s="4">
        <v>18.2</v>
      </c>
      <c r="M43" s="4">
        <v>14.1</v>
      </c>
      <c r="N43" s="4">
        <v>9.3000000000000007</v>
      </c>
      <c r="O43" s="4">
        <v>92.4</v>
      </c>
      <c r="P43" s="13">
        <v>6021</v>
      </c>
      <c r="Q43" s="4">
        <v>25.1</v>
      </c>
      <c r="R43" s="4">
        <v>20</v>
      </c>
      <c r="S43" s="4">
        <v>18.399999999999999</v>
      </c>
      <c r="T43" s="4">
        <v>14.7</v>
      </c>
      <c r="U43" s="4">
        <v>11.5</v>
      </c>
      <c r="V43" s="4">
        <v>89.8</v>
      </c>
      <c r="W43" s="13">
        <v>28031</v>
      </c>
      <c r="X43" s="14"/>
      <c r="Y43" s="14"/>
      <c r="Z43" s="14"/>
      <c r="AA43" s="74"/>
      <c r="AB43" s="74"/>
      <c r="AC43" s="74"/>
      <c r="AD43" s="74"/>
      <c r="AE43" s="74"/>
      <c r="AF43" s="74"/>
      <c r="AG43" s="74"/>
      <c r="AH43" s="74"/>
      <c r="AI43" s="74"/>
      <c r="AJ43" s="74"/>
      <c r="AK43" s="74"/>
      <c r="AL43" s="74"/>
      <c r="AM43" s="74"/>
      <c r="AN43" s="74"/>
      <c r="AO43" s="74"/>
      <c r="AP43" s="74"/>
      <c r="AQ43" s="74"/>
      <c r="AR43" s="74"/>
      <c r="AS43" s="74"/>
      <c r="AT43" s="74"/>
      <c r="AU43" s="74"/>
      <c r="AV43" s="74"/>
      <c r="AX43" s="77"/>
      <c r="AY43" s="77"/>
      <c r="AZ43" s="77"/>
      <c r="BA43" s="77"/>
      <c r="BB43" s="77"/>
      <c r="BC43" s="77"/>
      <c r="BD43" s="77"/>
      <c r="BE43" s="77"/>
      <c r="BF43" s="77"/>
      <c r="BG43" s="77"/>
      <c r="BH43" s="77"/>
      <c r="BI43" s="77"/>
      <c r="BJ43" s="77"/>
      <c r="BK43" s="77"/>
      <c r="BL43" s="77"/>
      <c r="BM43" s="77"/>
      <c r="BN43" s="77"/>
      <c r="BO43" s="77"/>
      <c r="BP43" s="77"/>
      <c r="BQ43" s="77"/>
      <c r="BR43" s="77"/>
      <c r="BS43" s="77"/>
    </row>
    <row r="44" spans="1:74" x14ac:dyDescent="0.2">
      <c r="A44" s="14"/>
      <c r="B44" s="10" t="s">
        <v>3</v>
      </c>
      <c r="C44" s="4">
        <v>16.600000000000001</v>
      </c>
      <c r="D44" s="4">
        <v>15.4</v>
      </c>
      <c r="E44" s="4">
        <v>20.100000000000001</v>
      </c>
      <c r="F44" s="4">
        <v>20.399999999999999</v>
      </c>
      <c r="G44" s="4">
        <v>15.8</v>
      </c>
      <c r="H44" s="4">
        <v>88.3</v>
      </c>
      <c r="I44" s="13">
        <v>2351</v>
      </c>
      <c r="J44" s="4">
        <v>13.6</v>
      </c>
      <c r="K44" s="4">
        <v>16.3</v>
      </c>
      <c r="L44" s="4">
        <v>22.5</v>
      </c>
      <c r="M44" s="4">
        <v>21.2</v>
      </c>
      <c r="N44" s="4">
        <v>16.7</v>
      </c>
      <c r="O44" s="4">
        <v>90.3</v>
      </c>
      <c r="P44" s="13">
        <v>1236</v>
      </c>
      <c r="Q44" s="4">
        <v>15.6</v>
      </c>
      <c r="R44" s="4">
        <v>15.7</v>
      </c>
      <c r="S44" s="4">
        <v>20.9</v>
      </c>
      <c r="T44" s="4">
        <v>20.7</v>
      </c>
      <c r="U44" s="4">
        <v>16.100000000000001</v>
      </c>
      <c r="V44" s="4">
        <v>89</v>
      </c>
      <c r="W44" s="13">
        <v>3587</v>
      </c>
      <c r="X44" s="14"/>
      <c r="Y44" s="14"/>
      <c r="Z44" s="14"/>
      <c r="AA44" s="74"/>
      <c r="AB44" s="74"/>
      <c r="AC44" s="74"/>
      <c r="AD44" s="74"/>
      <c r="AE44" s="74"/>
      <c r="AF44" s="74"/>
      <c r="AG44" s="74"/>
      <c r="AH44" s="74"/>
      <c r="AI44" s="74"/>
      <c r="AJ44" s="74"/>
      <c r="AK44" s="74"/>
      <c r="AL44" s="74"/>
      <c r="AM44" s="74"/>
      <c r="AN44" s="74"/>
      <c r="AO44" s="74"/>
      <c r="AP44" s="74"/>
      <c r="AQ44" s="74"/>
      <c r="AR44" s="74"/>
      <c r="AS44" s="74"/>
      <c r="AT44" s="74"/>
      <c r="AU44" s="74"/>
      <c r="AV44" s="74"/>
      <c r="AX44" s="77"/>
      <c r="AY44" s="77"/>
      <c r="AZ44" s="77"/>
      <c r="BA44" s="77"/>
      <c r="BB44" s="77"/>
      <c r="BC44" s="77"/>
      <c r="BD44" s="77"/>
      <c r="BE44" s="77"/>
      <c r="BF44" s="77"/>
      <c r="BG44" s="77"/>
      <c r="BH44" s="77"/>
      <c r="BI44" s="77"/>
      <c r="BJ44" s="77"/>
      <c r="BK44" s="77"/>
      <c r="BL44" s="77"/>
      <c r="BM44" s="77"/>
      <c r="BN44" s="77"/>
      <c r="BO44" s="77"/>
      <c r="BP44" s="77"/>
      <c r="BQ44" s="77"/>
      <c r="BR44" s="77"/>
      <c r="BS44" s="77"/>
    </row>
    <row r="45" spans="1:74" x14ac:dyDescent="0.2">
      <c r="A45" s="14"/>
      <c r="B45" s="10" t="s">
        <v>4</v>
      </c>
      <c r="C45" s="4">
        <v>26.9</v>
      </c>
      <c r="D45" s="4">
        <v>17.7</v>
      </c>
      <c r="E45" s="4">
        <v>16</v>
      </c>
      <c r="F45" s="4">
        <v>14.9</v>
      </c>
      <c r="G45" s="4">
        <v>11.8</v>
      </c>
      <c r="H45" s="4">
        <v>87.3</v>
      </c>
      <c r="I45" s="13">
        <v>33903</v>
      </c>
      <c r="J45" s="4">
        <v>27.9</v>
      </c>
      <c r="K45" s="4">
        <v>20.5</v>
      </c>
      <c r="L45" s="4">
        <v>17.7</v>
      </c>
      <c r="M45" s="4">
        <v>14.3</v>
      </c>
      <c r="N45" s="4">
        <v>10.5</v>
      </c>
      <c r="O45" s="4">
        <v>90.8</v>
      </c>
      <c r="P45" s="13">
        <v>20254</v>
      </c>
      <c r="Q45" s="4">
        <v>27.3</v>
      </c>
      <c r="R45" s="4">
        <v>18.8</v>
      </c>
      <c r="S45" s="4">
        <v>16.600000000000001</v>
      </c>
      <c r="T45" s="4">
        <v>14.6</v>
      </c>
      <c r="U45" s="4">
        <v>11.3</v>
      </c>
      <c r="V45" s="4">
        <v>88.6</v>
      </c>
      <c r="W45" s="13">
        <v>54157</v>
      </c>
      <c r="X45" s="14"/>
      <c r="Y45" s="14"/>
      <c r="Z45" s="14"/>
      <c r="AA45" s="74"/>
      <c r="AB45" s="74"/>
      <c r="AC45" s="74"/>
      <c r="AD45" s="74"/>
      <c r="AE45" s="74"/>
      <c r="AF45" s="74"/>
      <c r="AG45" s="74"/>
      <c r="AH45" s="74"/>
      <c r="AI45" s="74"/>
      <c r="AJ45" s="74"/>
      <c r="AK45" s="74"/>
      <c r="AL45" s="74"/>
      <c r="AM45" s="74"/>
      <c r="AN45" s="74"/>
      <c r="AO45" s="74"/>
      <c r="AP45" s="74"/>
      <c r="AQ45" s="74"/>
      <c r="AR45" s="74"/>
      <c r="AS45" s="74"/>
      <c r="AT45" s="74"/>
      <c r="AU45" s="74"/>
      <c r="AV45" s="74"/>
      <c r="AX45" s="77"/>
      <c r="AY45" s="77"/>
      <c r="AZ45" s="77"/>
      <c r="BA45" s="77"/>
      <c r="BB45" s="77"/>
      <c r="BC45" s="77"/>
      <c r="BD45" s="77"/>
      <c r="BE45" s="77"/>
      <c r="BF45" s="77"/>
      <c r="BG45" s="77"/>
      <c r="BH45" s="77"/>
      <c r="BI45" s="77"/>
      <c r="BJ45" s="77"/>
      <c r="BK45" s="77"/>
      <c r="BL45" s="77"/>
      <c r="BM45" s="77"/>
      <c r="BN45" s="77"/>
      <c r="BO45" s="77"/>
      <c r="BP45" s="77"/>
      <c r="BQ45" s="77"/>
      <c r="BR45" s="77"/>
      <c r="BS45" s="77"/>
    </row>
    <row r="46" spans="1:74" x14ac:dyDescent="0.2">
      <c r="A46" s="14"/>
      <c r="B46" s="10" t="s">
        <v>5</v>
      </c>
      <c r="C46" s="4">
        <v>50.8</v>
      </c>
      <c r="D46" s="4">
        <v>17.899999999999999</v>
      </c>
      <c r="E46" s="4">
        <v>12.5</v>
      </c>
      <c r="F46" s="4">
        <v>8.6999999999999993</v>
      </c>
      <c r="G46" s="4">
        <v>5.0999999999999996</v>
      </c>
      <c r="H46" s="4">
        <v>95.1</v>
      </c>
      <c r="I46" s="13">
        <v>3737</v>
      </c>
      <c r="J46" s="4">
        <v>52.8</v>
      </c>
      <c r="K46" s="4">
        <v>18.8</v>
      </c>
      <c r="L46" s="4">
        <v>12.3</v>
      </c>
      <c r="M46" s="4">
        <v>8.3000000000000007</v>
      </c>
      <c r="N46" s="4">
        <v>4.8</v>
      </c>
      <c r="O46" s="4">
        <v>96.9</v>
      </c>
      <c r="P46" s="13">
        <v>1326</v>
      </c>
      <c r="Q46" s="4">
        <v>51.3</v>
      </c>
      <c r="R46" s="4">
        <v>18.2</v>
      </c>
      <c r="S46" s="4">
        <v>12.5</v>
      </c>
      <c r="T46" s="4">
        <v>8.6</v>
      </c>
      <c r="U46" s="4">
        <v>5</v>
      </c>
      <c r="V46" s="4">
        <v>95.6</v>
      </c>
      <c r="W46" s="13">
        <v>5063</v>
      </c>
      <c r="X46" s="14"/>
      <c r="Y46" s="14"/>
      <c r="Z46" s="14"/>
      <c r="AA46" s="74"/>
      <c r="AB46" s="74"/>
      <c r="AC46" s="74"/>
      <c r="AD46" s="74"/>
      <c r="AE46" s="74"/>
      <c r="AF46" s="74"/>
      <c r="AG46" s="74"/>
      <c r="AH46" s="74"/>
      <c r="AI46" s="74"/>
      <c r="AJ46" s="74"/>
      <c r="AK46" s="74"/>
      <c r="AL46" s="74"/>
      <c r="AM46" s="74"/>
      <c r="AN46" s="74"/>
      <c r="AO46" s="74"/>
      <c r="AP46" s="74"/>
      <c r="AQ46" s="74"/>
      <c r="AR46" s="74"/>
      <c r="AS46" s="74"/>
      <c r="AT46" s="74"/>
      <c r="AU46" s="74"/>
      <c r="AV46" s="74"/>
      <c r="AX46" s="77"/>
      <c r="AY46" s="77"/>
      <c r="AZ46" s="77"/>
      <c r="BA46" s="77"/>
      <c r="BB46" s="77"/>
      <c r="BC46" s="77"/>
      <c r="BD46" s="77"/>
      <c r="BE46" s="77"/>
      <c r="BF46" s="77"/>
      <c r="BG46" s="77"/>
      <c r="BH46" s="77"/>
      <c r="BI46" s="77"/>
      <c r="BJ46" s="77"/>
      <c r="BK46" s="77"/>
      <c r="BL46" s="77"/>
      <c r="BM46" s="77"/>
      <c r="BN46" s="77"/>
      <c r="BO46" s="77"/>
      <c r="BP46" s="77"/>
      <c r="BQ46" s="77"/>
      <c r="BR46" s="77"/>
      <c r="BS46" s="77"/>
    </row>
    <row r="47" spans="1:74" x14ac:dyDescent="0.2">
      <c r="A47" s="14"/>
      <c r="B47" s="10" t="s">
        <v>6</v>
      </c>
      <c r="C47" s="4">
        <v>14.3</v>
      </c>
      <c r="D47" s="4">
        <v>15.6</v>
      </c>
      <c r="E47" s="4">
        <v>24.4</v>
      </c>
      <c r="F47" s="4">
        <v>22.4</v>
      </c>
      <c r="G47" s="4">
        <v>13.9</v>
      </c>
      <c r="H47" s="4">
        <v>90.6</v>
      </c>
      <c r="I47" s="13">
        <v>9681</v>
      </c>
      <c r="J47" s="4">
        <v>16.8</v>
      </c>
      <c r="K47" s="4">
        <v>19.8</v>
      </c>
      <c r="L47" s="4">
        <v>27.9</v>
      </c>
      <c r="M47" s="4">
        <v>19</v>
      </c>
      <c r="N47" s="4">
        <v>10.7</v>
      </c>
      <c r="O47" s="4">
        <v>94.2</v>
      </c>
      <c r="P47" s="13">
        <v>4100</v>
      </c>
      <c r="Q47" s="4">
        <v>15.1</v>
      </c>
      <c r="R47" s="4">
        <v>16.8</v>
      </c>
      <c r="S47" s="4">
        <v>25.4</v>
      </c>
      <c r="T47" s="4">
        <v>21.4</v>
      </c>
      <c r="U47" s="4">
        <v>12.9</v>
      </c>
      <c r="V47" s="4">
        <v>91.7</v>
      </c>
      <c r="W47" s="13">
        <v>13781</v>
      </c>
      <c r="X47" s="14"/>
      <c r="Y47" s="14"/>
      <c r="Z47" s="14"/>
      <c r="AA47" s="74"/>
      <c r="AB47" s="74"/>
      <c r="AC47" s="74"/>
      <c r="AD47" s="74"/>
      <c r="AE47" s="74"/>
      <c r="AF47" s="74"/>
      <c r="AG47" s="74"/>
      <c r="AH47" s="74"/>
      <c r="AI47" s="74"/>
      <c r="AJ47" s="74"/>
      <c r="AK47" s="74"/>
      <c r="AL47" s="74"/>
      <c r="AM47" s="74"/>
      <c r="AN47" s="74"/>
      <c r="AO47" s="74"/>
      <c r="AP47" s="74"/>
      <c r="AQ47" s="74"/>
      <c r="AR47" s="74"/>
      <c r="AS47" s="74"/>
      <c r="AT47" s="74"/>
      <c r="AU47" s="74"/>
      <c r="AV47" s="74"/>
      <c r="AX47" s="77"/>
      <c r="AY47" s="77"/>
      <c r="AZ47" s="77"/>
      <c r="BA47" s="77"/>
      <c r="BB47" s="77"/>
      <c r="BC47" s="77"/>
      <c r="BD47" s="77"/>
      <c r="BE47" s="77"/>
      <c r="BF47" s="77"/>
      <c r="BG47" s="77"/>
      <c r="BH47" s="77"/>
      <c r="BI47" s="77"/>
      <c r="BJ47" s="77"/>
      <c r="BK47" s="77"/>
      <c r="BL47" s="77"/>
      <c r="BM47" s="77"/>
      <c r="BN47" s="77"/>
      <c r="BO47" s="77"/>
      <c r="BP47" s="77"/>
      <c r="BQ47" s="77"/>
      <c r="BR47" s="77"/>
      <c r="BS47" s="77"/>
    </row>
    <row r="48" spans="1:74" x14ac:dyDescent="0.2">
      <c r="A48" s="14"/>
      <c r="B48" s="10" t="s">
        <v>168</v>
      </c>
      <c r="C48" s="4">
        <v>10.9</v>
      </c>
      <c r="D48" s="4">
        <v>13.3</v>
      </c>
      <c r="E48" s="4">
        <v>18.7</v>
      </c>
      <c r="F48" s="4">
        <v>21.1</v>
      </c>
      <c r="G48" s="4">
        <v>16.600000000000001</v>
      </c>
      <c r="H48" s="4">
        <v>80.599999999999994</v>
      </c>
      <c r="I48" s="13">
        <v>9362</v>
      </c>
      <c r="J48" s="4">
        <v>7.2</v>
      </c>
      <c r="K48" s="4">
        <v>12.9</v>
      </c>
      <c r="L48" s="4">
        <v>20.100000000000001</v>
      </c>
      <c r="M48" s="4">
        <v>19</v>
      </c>
      <c r="N48" s="4">
        <v>18.7</v>
      </c>
      <c r="O48" s="4">
        <v>77.900000000000006</v>
      </c>
      <c r="P48" s="13">
        <v>1551</v>
      </c>
      <c r="Q48" s="4">
        <v>10.4</v>
      </c>
      <c r="R48" s="4">
        <v>13.3</v>
      </c>
      <c r="S48" s="4">
        <v>18.899999999999999</v>
      </c>
      <c r="T48" s="4">
        <v>20.8</v>
      </c>
      <c r="U48" s="4">
        <v>16.899999999999999</v>
      </c>
      <c r="V48" s="4">
        <v>80.2</v>
      </c>
      <c r="W48" s="13">
        <v>10913</v>
      </c>
      <c r="X48" s="14"/>
      <c r="Y48" s="14"/>
      <c r="Z48" s="14"/>
      <c r="AA48" s="74"/>
      <c r="AB48" s="74"/>
      <c r="AC48" s="74"/>
      <c r="AD48" s="74"/>
      <c r="AE48" s="74"/>
      <c r="AF48" s="74"/>
      <c r="AG48" s="74"/>
      <c r="AH48" s="74"/>
      <c r="AI48" s="74"/>
      <c r="AJ48" s="74"/>
      <c r="AK48" s="74"/>
      <c r="AL48" s="74"/>
      <c r="AM48" s="74"/>
      <c r="AN48" s="74"/>
      <c r="AO48" s="74"/>
      <c r="AP48" s="74"/>
      <c r="AQ48" s="74"/>
      <c r="AR48" s="74"/>
      <c r="AS48" s="74"/>
      <c r="AT48" s="74"/>
      <c r="AU48" s="74"/>
      <c r="AV48" s="74"/>
      <c r="AX48" s="77"/>
      <c r="AY48" s="77"/>
      <c r="AZ48" s="77"/>
      <c r="BA48" s="77"/>
      <c r="BB48" s="77"/>
      <c r="BC48" s="77"/>
      <c r="BD48" s="77"/>
      <c r="BE48" s="77"/>
      <c r="BF48" s="77"/>
      <c r="BG48" s="77"/>
      <c r="BH48" s="77"/>
      <c r="BI48" s="77"/>
      <c r="BJ48" s="77"/>
      <c r="BK48" s="77"/>
      <c r="BL48" s="77"/>
      <c r="BM48" s="77"/>
      <c r="BN48" s="77"/>
      <c r="BO48" s="77"/>
      <c r="BP48" s="77"/>
      <c r="BQ48" s="77"/>
      <c r="BR48" s="77"/>
      <c r="BS48" s="77"/>
    </row>
    <row r="49" spans="1:71" x14ac:dyDescent="0.2">
      <c r="A49" s="14"/>
      <c r="B49" s="10" t="s">
        <v>8</v>
      </c>
      <c r="C49" s="4">
        <v>5</v>
      </c>
      <c r="D49" s="4">
        <v>13.9</v>
      </c>
      <c r="E49" s="4">
        <v>25.3</v>
      </c>
      <c r="F49" s="4">
        <v>26</v>
      </c>
      <c r="G49" s="4">
        <v>18.399999999999999</v>
      </c>
      <c r="H49" s="4">
        <v>88.7</v>
      </c>
      <c r="I49" s="13">
        <v>6172</v>
      </c>
      <c r="J49" s="4">
        <v>6</v>
      </c>
      <c r="K49" s="4">
        <v>17.3</v>
      </c>
      <c r="L49" s="4">
        <v>25.1</v>
      </c>
      <c r="M49" s="4">
        <v>26.1</v>
      </c>
      <c r="N49" s="4">
        <v>17.2</v>
      </c>
      <c r="O49" s="4">
        <v>91.8</v>
      </c>
      <c r="P49" s="13">
        <v>3044</v>
      </c>
      <c r="Q49" s="4">
        <v>5.3</v>
      </c>
      <c r="R49" s="4">
        <v>15</v>
      </c>
      <c r="S49" s="4">
        <v>25.2</v>
      </c>
      <c r="T49" s="4">
        <v>26.1</v>
      </c>
      <c r="U49" s="4">
        <v>18</v>
      </c>
      <c r="V49" s="4">
        <v>89.7</v>
      </c>
      <c r="W49" s="13">
        <v>9216</v>
      </c>
      <c r="X49" s="14"/>
      <c r="Y49" s="14"/>
      <c r="Z49" s="14"/>
      <c r="AA49" s="74"/>
      <c r="AB49" s="74"/>
      <c r="AC49" s="74"/>
      <c r="AD49" s="74"/>
      <c r="AE49" s="74"/>
      <c r="AF49" s="74"/>
      <c r="AG49" s="74"/>
      <c r="AH49" s="74"/>
      <c r="AI49" s="74"/>
      <c r="AJ49" s="74"/>
      <c r="AK49" s="74"/>
      <c r="AL49" s="74"/>
      <c r="AM49" s="74"/>
      <c r="AN49" s="74"/>
      <c r="AO49" s="74"/>
      <c r="AP49" s="74"/>
      <c r="AQ49" s="74"/>
      <c r="AR49" s="74"/>
      <c r="AS49" s="74"/>
      <c r="AT49" s="74"/>
      <c r="AU49" s="74"/>
      <c r="AV49" s="74"/>
      <c r="AX49" s="77"/>
      <c r="AY49" s="77"/>
      <c r="AZ49" s="77"/>
      <c r="BA49" s="77"/>
      <c r="BB49" s="77"/>
      <c r="BC49" s="77"/>
      <c r="BD49" s="77"/>
      <c r="BE49" s="77"/>
      <c r="BF49" s="77"/>
      <c r="BG49" s="77"/>
      <c r="BH49" s="77"/>
      <c r="BI49" s="77"/>
      <c r="BJ49" s="77"/>
      <c r="BK49" s="77"/>
      <c r="BL49" s="77"/>
      <c r="BM49" s="77"/>
      <c r="BN49" s="77"/>
      <c r="BO49" s="77"/>
      <c r="BP49" s="77"/>
      <c r="BQ49" s="77"/>
      <c r="BR49" s="77"/>
      <c r="BS49" s="77"/>
    </row>
    <row r="50" spans="1:71" x14ac:dyDescent="0.2">
      <c r="A50" s="14"/>
      <c r="B50" s="10" t="s">
        <v>9</v>
      </c>
      <c r="C50" s="4">
        <v>5.3</v>
      </c>
      <c r="D50" s="4">
        <v>6.7</v>
      </c>
      <c r="E50" s="4">
        <v>32</v>
      </c>
      <c r="F50" s="4">
        <v>16</v>
      </c>
      <c r="G50" s="4">
        <v>14.7</v>
      </c>
      <c r="H50" s="4">
        <v>74.7</v>
      </c>
      <c r="I50" s="13">
        <v>75</v>
      </c>
      <c r="J50" s="4">
        <v>13.5</v>
      </c>
      <c r="K50" s="4">
        <v>17.3</v>
      </c>
      <c r="L50" s="4">
        <v>18.7</v>
      </c>
      <c r="M50" s="4">
        <v>20.7</v>
      </c>
      <c r="N50" s="4">
        <v>15.1</v>
      </c>
      <c r="O50" s="4">
        <v>85.2</v>
      </c>
      <c r="P50" s="13">
        <v>1115</v>
      </c>
      <c r="Q50" s="4">
        <v>12.9</v>
      </c>
      <c r="R50" s="4">
        <v>16.600000000000001</v>
      </c>
      <c r="S50" s="4">
        <v>19.5</v>
      </c>
      <c r="T50" s="4">
        <v>20.399999999999999</v>
      </c>
      <c r="U50" s="4">
        <v>15</v>
      </c>
      <c r="V50" s="4">
        <v>84.5</v>
      </c>
      <c r="W50" s="13">
        <v>1190</v>
      </c>
      <c r="X50" s="14"/>
      <c r="Y50" s="14"/>
      <c r="Z50" s="14"/>
      <c r="AA50" s="74"/>
      <c r="AB50" s="74"/>
      <c r="AC50" s="74"/>
      <c r="AD50" s="74"/>
      <c r="AE50" s="74"/>
      <c r="AF50" s="74"/>
      <c r="AG50" s="74"/>
      <c r="AH50" s="74"/>
      <c r="AI50" s="74"/>
      <c r="AJ50" s="74"/>
      <c r="AK50" s="74"/>
      <c r="AL50" s="74"/>
      <c r="AM50" s="74"/>
      <c r="AN50" s="74"/>
      <c r="AO50" s="74"/>
      <c r="AP50" s="74"/>
      <c r="AQ50" s="74"/>
      <c r="AR50" s="74"/>
      <c r="AS50" s="74"/>
      <c r="AT50" s="74"/>
      <c r="AU50" s="74"/>
      <c r="AV50" s="74"/>
      <c r="AX50" s="77"/>
      <c r="AY50" s="77"/>
      <c r="AZ50" s="77"/>
      <c r="BA50" s="77"/>
      <c r="BB50" s="77"/>
      <c r="BC50" s="77"/>
      <c r="BD50" s="77"/>
      <c r="BE50" s="77"/>
      <c r="BF50" s="77"/>
      <c r="BG50" s="77"/>
      <c r="BH50" s="77"/>
      <c r="BI50" s="77"/>
      <c r="BJ50" s="77"/>
      <c r="BK50" s="77"/>
      <c r="BL50" s="77"/>
      <c r="BM50" s="77"/>
      <c r="BN50" s="77"/>
      <c r="BO50" s="77"/>
      <c r="BP50" s="77"/>
      <c r="BQ50" s="77"/>
      <c r="BR50" s="77"/>
      <c r="BS50" s="77"/>
    </row>
    <row r="51" spans="1:71" x14ac:dyDescent="0.2">
      <c r="A51" s="14"/>
      <c r="B51" s="10" t="s">
        <v>10</v>
      </c>
      <c r="C51" s="4">
        <v>10.5</v>
      </c>
      <c r="D51" s="4">
        <v>18.399999999999999</v>
      </c>
      <c r="E51" s="4">
        <v>15.4</v>
      </c>
      <c r="F51" s="4">
        <v>15.8</v>
      </c>
      <c r="G51" s="4">
        <v>12.7</v>
      </c>
      <c r="H51" s="4">
        <v>72.7</v>
      </c>
      <c r="I51" s="13">
        <v>1174</v>
      </c>
      <c r="J51" s="4">
        <v>9.6999999999999993</v>
      </c>
      <c r="K51" s="4">
        <v>15.3</v>
      </c>
      <c r="L51" s="4">
        <v>16</v>
      </c>
      <c r="M51" s="4">
        <v>17.8</v>
      </c>
      <c r="N51" s="4">
        <v>15.3</v>
      </c>
      <c r="O51" s="4">
        <v>74.2</v>
      </c>
      <c r="P51" s="13">
        <v>782</v>
      </c>
      <c r="Q51" s="4">
        <v>10.199999999999999</v>
      </c>
      <c r="R51" s="4">
        <v>17.2</v>
      </c>
      <c r="S51" s="4">
        <v>15.6</v>
      </c>
      <c r="T51" s="4">
        <v>16.600000000000001</v>
      </c>
      <c r="U51" s="4">
        <v>13.8</v>
      </c>
      <c r="V51" s="4">
        <v>73.3</v>
      </c>
      <c r="W51" s="13">
        <v>1956</v>
      </c>
      <c r="X51" s="14"/>
      <c r="Y51" s="14"/>
      <c r="Z51" s="14"/>
      <c r="AA51" s="74"/>
      <c r="AB51" s="74"/>
      <c r="AC51" s="74"/>
      <c r="AD51" s="74"/>
      <c r="AE51" s="74"/>
      <c r="AF51" s="74"/>
      <c r="AG51" s="74"/>
      <c r="AH51" s="74"/>
      <c r="AI51" s="74"/>
      <c r="AJ51" s="74"/>
      <c r="AK51" s="74"/>
      <c r="AL51" s="74"/>
      <c r="AM51" s="74"/>
      <c r="AN51" s="74"/>
      <c r="AO51" s="74"/>
      <c r="AP51" s="74"/>
      <c r="AQ51" s="74"/>
      <c r="AR51" s="74"/>
      <c r="AS51" s="74"/>
      <c r="AT51" s="74"/>
      <c r="AU51" s="74"/>
      <c r="AV51" s="74"/>
      <c r="AX51" s="77"/>
      <c r="AY51" s="77"/>
      <c r="AZ51" s="77"/>
      <c r="BA51" s="77"/>
      <c r="BB51" s="77"/>
      <c r="BC51" s="77"/>
      <c r="BD51" s="77"/>
      <c r="BE51" s="77"/>
      <c r="BF51" s="77"/>
      <c r="BG51" s="77"/>
      <c r="BH51" s="77"/>
      <c r="BI51" s="77"/>
      <c r="BJ51" s="77"/>
      <c r="BK51" s="77"/>
      <c r="BL51" s="77"/>
      <c r="BM51" s="77"/>
      <c r="BN51" s="77"/>
      <c r="BO51" s="77"/>
      <c r="BP51" s="77"/>
      <c r="BQ51" s="77"/>
      <c r="BR51" s="77"/>
      <c r="BS51" s="77"/>
    </row>
    <row r="52" spans="1:71" x14ac:dyDescent="0.2">
      <c r="A52" s="14"/>
      <c r="B52" s="10" t="s">
        <v>11</v>
      </c>
      <c r="C52" s="4">
        <v>10.4</v>
      </c>
      <c r="D52" s="4">
        <v>21.1</v>
      </c>
      <c r="E52" s="4">
        <v>26.2</v>
      </c>
      <c r="F52" s="4">
        <v>21.5</v>
      </c>
      <c r="G52" s="4">
        <v>12</v>
      </c>
      <c r="H52" s="4">
        <v>91.3</v>
      </c>
      <c r="I52" s="13">
        <v>17040</v>
      </c>
      <c r="J52" s="4">
        <v>11.7</v>
      </c>
      <c r="K52" s="4">
        <v>21.5</v>
      </c>
      <c r="L52" s="4">
        <v>25.8</v>
      </c>
      <c r="M52" s="4">
        <v>19.899999999999999</v>
      </c>
      <c r="N52" s="4">
        <v>12.2</v>
      </c>
      <c r="O52" s="4">
        <v>91.1</v>
      </c>
      <c r="P52" s="13">
        <v>13800</v>
      </c>
      <c r="Q52" s="4">
        <v>11</v>
      </c>
      <c r="R52" s="4">
        <v>21.3</v>
      </c>
      <c r="S52" s="4">
        <v>26</v>
      </c>
      <c r="T52" s="4">
        <v>20.8</v>
      </c>
      <c r="U52" s="4">
        <v>12.1</v>
      </c>
      <c r="V52" s="4">
        <v>91.2</v>
      </c>
      <c r="W52" s="13">
        <v>30840</v>
      </c>
      <c r="X52" s="14"/>
      <c r="Y52" s="14"/>
      <c r="Z52" s="14"/>
      <c r="AA52" s="74"/>
      <c r="AB52" s="74"/>
      <c r="AC52" s="74"/>
      <c r="AD52" s="74"/>
      <c r="AE52" s="74"/>
      <c r="AF52" s="74"/>
      <c r="AG52" s="74"/>
      <c r="AH52" s="74"/>
      <c r="AI52" s="74"/>
      <c r="AJ52" s="74"/>
      <c r="AK52" s="74"/>
      <c r="AL52" s="74"/>
      <c r="AM52" s="74"/>
      <c r="AN52" s="74"/>
      <c r="AO52" s="74"/>
      <c r="AP52" s="74"/>
      <c r="AQ52" s="74"/>
      <c r="AR52" s="74"/>
      <c r="AS52" s="74"/>
      <c r="AT52" s="74"/>
      <c r="AU52" s="74"/>
      <c r="AV52" s="74"/>
      <c r="AX52" s="77"/>
      <c r="AY52" s="77"/>
      <c r="AZ52" s="77"/>
      <c r="BA52" s="77"/>
      <c r="BB52" s="77"/>
      <c r="BC52" s="77"/>
      <c r="BD52" s="77"/>
      <c r="BE52" s="77"/>
      <c r="BF52" s="77"/>
      <c r="BG52" s="77"/>
      <c r="BH52" s="77"/>
      <c r="BI52" s="77"/>
      <c r="BJ52" s="77"/>
      <c r="BK52" s="77"/>
      <c r="BL52" s="77"/>
      <c r="BM52" s="77"/>
      <c r="BN52" s="77"/>
      <c r="BO52" s="77"/>
      <c r="BP52" s="77"/>
      <c r="BQ52" s="77"/>
      <c r="BR52" s="77"/>
      <c r="BS52" s="77"/>
    </row>
    <row r="53" spans="1:71" x14ac:dyDescent="0.2">
      <c r="A53" s="14"/>
      <c r="B53" s="10" t="s">
        <v>12</v>
      </c>
      <c r="C53" s="4">
        <v>22.4</v>
      </c>
      <c r="D53" s="4">
        <v>19.100000000000001</v>
      </c>
      <c r="E53" s="4">
        <v>20.2</v>
      </c>
      <c r="F53" s="4">
        <v>17.600000000000001</v>
      </c>
      <c r="G53" s="4">
        <v>11.2</v>
      </c>
      <c r="H53" s="4">
        <v>90.5</v>
      </c>
      <c r="I53" s="13">
        <v>11230</v>
      </c>
      <c r="J53" s="4">
        <v>22.5</v>
      </c>
      <c r="K53" s="4">
        <v>18.399999999999999</v>
      </c>
      <c r="L53" s="4">
        <v>20.2</v>
      </c>
      <c r="M53" s="4">
        <v>17.399999999999999</v>
      </c>
      <c r="N53" s="4">
        <v>11.1</v>
      </c>
      <c r="O53" s="4">
        <v>89.6</v>
      </c>
      <c r="P53" s="13">
        <v>5698</v>
      </c>
      <c r="Q53" s="4">
        <v>22.4</v>
      </c>
      <c r="R53" s="4">
        <v>18.899999999999999</v>
      </c>
      <c r="S53" s="4">
        <v>20.2</v>
      </c>
      <c r="T53" s="4">
        <v>17.5</v>
      </c>
      <c r="U53" s="4">
        <v>11.2</v>
      </c>
      <c r="V53" s="4">
        <v>90.2</v>
      </c>
      <c r="W53" s="13">
        <v>16928</v>
      </c>
      <c r="X53" s="14"/>
      <c r="Y53" s="14"/>
      <c r="Z53" s="14"/>
      <c r="AA53" s="74"/>
      <c r="AB53" s="74"/>
      <c r="AC53" s="74"/>
      <c r="AD53" s="74"/>
      <c r="AE53" s="74"/>
      <c r="AF53" s="74"/>
      <c r="AG53" s="74"/>
      <c r="AH53" s="74"/>
      <c r="AI53" s="74"/>
      <c r="AJ53" s="74"/>
      <c r="AK53" s="74"/>
      <c r="AL53" s="74"/>
      <c r="AM53" s="74"/>
      <c r="AN53" s="74"/>
      <c r="AO53" s="74"/>
      <c r="AP53" s="74"/>
      <c r="AQ53" s="74"/>
      <c r="AR53" s="74"/>
      <c r="AS53" s="74"/>
      <c r="AT53" s="74"/>
      <c r="AU53" s="74"/>
      <c r="AV53" s="74"/>
      <c r="AX53" s="77"/>
      <c r="AY53" s="77"/>
      <c r="AZ53" s="77"/>
      <c r="BA53" s="77"/>
      <c r="BB53" s="77"/>
      <c r="BC53" s="77"/>
      <c r="BD53" s="77"/>
      <c r="BE53" s="77"/>
      <c r="BF53" s="77"/>
      <c r="BG53" s="77"/>
      <c r="BH53" s="77"/>
      <c r="BI53" s="77"/>
      <c r="BJ53" s="77"/>
      <c r="BK53" s="77"/>
      <c r="BL53" s="77"/>
      <c r="BM53" s="77"/>
      <c r="BN53" s="77"/>
      <c r="BO53" s="77"/>
      <c r="BP53" s="77"/>
      <c r="BQ53" s="77"/>
      <c r="BR53" s="77"/>
      <c r="BS53" s="77"/>
    </row>
    <row r="54" spans="1:71" x14ac:dyDescent="0.2">
      <c r="A54" s="14"/>
      <c r="B54" s="10" t="s">
        <v>13</v>
      </c>
      <c r="C54" s="4">
        <v>15.9</v>
      </c>
      <c r="D54" s="4">
        <v>21.6</v>
      </c>
      <c r="E54" s="4">
        <v>22.7</v>
      </c>
      <c r="F54" s="4">
        <v>19.3</v>
      </c>
      <c r="G54" s="4">
        <v>12.3</v>
      </c>
      <c r="H54" s="4">
        <v>91.8</v>
      </c>
      <c r="I54" s="13">
        <v>17905</v>
      </c>
      <c r="J54" s="4">
        <v>23.1</v>
      </c>
      <c r="K54" s="4">
        <v>23.4</v>
      </c>
      <c r="L54" s="4">
        <v>22.3</v>
      </c>
      <c r="M54" s="4">
        <v>15.9</v>
      </c>
      <c r="N54" s="4">
        <v>9.3000000000000007</v>
      </c>
      <c r="O54" s="4">
        <v>94</v>
      </c>
      <c r="P54" s="13">
        <v>15201</v>
      </c>
      <c r="Q54" s="4">
        <v>19.2</v>
      </c>
      <c r="R54" s="4">
        <v>22.4</v>
      </c>
      <c r="S54" s="4">
        <v>22.5</v>
      </c>
      <c r="T54" s="4">
        <v>17.8</v>
      </c>
      <c r="U54" s="4">
        <v>10.9</v>
      </c>
      <c r="V54" s="4">
        <v>92.8</v>
      </c>
      <c r="W54" s="13">
        <v>33106</v>
      </c>
      <c r="X54" s="14"/>
      <c r="Y54" s="14"/>
      <c r="Z54" s="14"/>
      <c r="AA54" s="74"/>
      <c r="AB54" s="74"/>
      <c r="AC54" s="74"/>
      <c r="AD54" s="74"/>
      <c r="AE54" s="74"/>
      <c r="AF54" s="74"/>
      <c r="AG54" s="74"/>
      <c r="AH54" s="74"/>
      <c r="AI54" s="74"/>
      <c r="AJ54" s="74"/>
      <c r="AK54" s="74"/>
      <c r="AL54" s="74"/>
      <c r="AM54" s="74"/>
      <c r="AN54" s="74"/>
      <c r="AO54" s="74"/>
      <c r="AP54" s="74"/>
      <c r="AQ54" s="74"/>
      <c r="AR54" s="74"/>
      <c r="AS54" s="74"/>
      <c r="AT54" s="74"/>
      <c r="AU54" s="74"/>
      <c r="AV54" s="74"/>
      <c r="AX54" s="77"/>
      <c r="AY54" s="77"/>
      <c r="AZ54" s="77"/>
      <c r="BA54" s="77"/>
      <c r="BB54" s="77"/>
      <c r="BC54" s="77"/>
      <c r="BD54" s="77"/>
      <c r="BE54" s="77"/>
      <c r="BF54" s="77"/>
      <c r="BG54" s="77"/>
      <c r="BH54" s="77"/>
      <c r="BI54" s="77"/>
      <c r="BJ54" s="77"/>
      <c r="BK54" s="77"/>
      <c r="BL54" s="77"/>
      <c r="BM54" s="77"/>
      <c r="BN54" s="77"/>
      <c r="BO54" s="77"/>
      <c r="BP54" s="77"/>
      <c r="BQ54" s="77"/>
      <c r="BR54" s="77"/>
      <c r="BS54" s="77"/>
    </row>
    <row r="55" spans="1:71" x14ac:dyDescent="0.2">
      <c r="A55" s="14"/>
      <c r="B55" s="10" t="s">
        <v>14</v>
      </c>
      <c r="C55" s="4">
        <v>21.7</v>
      </c>
      <c r="D55" s="4">
        <v>21.7</v>
      </c>
      <c r="E55" s="4">
        <v>23</v>
      </c>
      <c r="F55" s="4">
        <v>16.8</v>
      </c>
      <c r="G55" s="4">
        <v>9.8000000000000007</v>
      </c>
      <c r="H55" s="4">
        <v>93</v>
      </c>
      <c r="I55" s="13">
        <v>4111</v>
      </c>
      <c r="J55" s="4">
        <v>23</v>
      </c>
      <c r="K55" s="4">
        <v>23.5</v>
      </c>
      <c r="L55" s="4">
        <v>21.4</v>
      </c>
      <c r="M55" s="4">
        <v>15.4</v>
      </c>
      <c r="N55" s="4">
        <v>8.6999999999999993</v>
      </c>
      <c r="O55" s="4">
        <v>91.9</v>
      </c>
      <c r="P55" s="13">
        <v>3032</v>
      </c>
      <c r="Q55" s="4">
        <v>22.3</v>
      </c>
      <c r="R55" s="4">
        <v>22.5</v>
      </c>
      <c r="S55" s="4">
        <v>22.3</v>
      </c>
      <c r="T55" s="4">
        <v>16.2</v>
      </c>
      <c r="U55" s="4">
        <v>9.3000000000000007</v>
      </c>
      <c r="V55" s="4">
        <v>92.5</v>
      </c>
      <c r="W55" s="13">
        <v>7143</v>
      </c>
      <c r="X55" s="14"/>
      <c r="Y55" s="14"/>
      <c r="Z55" s="14"/>
      <c r="AA55" s="74"/>
      <c r="AB55" s="74"/>
      <c r="AC55" s="74"/>
      <c r="AD55" s="74"/>
      <c r="AE55" s="74"/>
      <c r="AF55" s="74"/>
      <c r="AG55" s="74"/>
      <c r="AH55" s="74"/>
      <c r="AI55" s="74"/>
      <c r="AJ55" s="74"/>
      <c r="AK55" s="74"/>
      <c r="AL55" s="74"/>
      <c r="AM55" s="74"/>
      <c r="AN55" s="74"/>
      <c r="AO55" s="74"/>
      <c r="AP55" s="74"/>
      <c r="AQ55" s="74"/>
      <c r="AR55" s="74"/>
      <c r="AS55" s="74"/>
      <c r="AT55" s="74"/>
      <c r="AU55" s="74"/>
      <c r="AV55" s="74"/>
      <c r="AX55" s="77"/>
      <c r="AY55" s="77"/>
      <c r="AZ55" s="77"/>
      <c r="BA55" s="77"/>
      <c r="BB55" s="77"/>
      <c r="BC55" s="77"/>
      <c r="BD55" s="77"/>
      <c r="BE55" s="77"/>
      <c r="BF55" s="77"/>
      <c r="BG55" s="77"/>
      <c r="BH55" s="77"/>
      <c r="BI55" s="77"/>
      <c r="BJ55" s="77"/>
      <c r="BK55" s="77"/>
      <c r="BL55" s="77"/>
      <c r="BM55" s="77"/>
      <c r="BN55" s="77"/>
      <c r="BO55" s="77"/>
      <c r="BP55" s="77"/>
      <c r="BQ55" s="77"/>
      <c r="BR55" s="77"/>
      <c r="BS55" s="77"/>
    </row>
    <row r="56" spans="1:71" x14ac:dyDescent="0.2">
      <c r="A56" s="14"/>
      <c r="B56" s="10" t="s">
        <v>15</v>
      </c>
      <c r="C56" s="4">
        <v>18.3</v>
      </c>
      <c r="D56" s="4">
        <v>21.2</v>
      </c>
      <c r="E56" s="4">
        <v>22.4</v>
      </c>
      <c r="F56" s="4">
        <v>17.600000000000001</v>
      </c>
      <c r="G56" s="4">
        <v>10.199999999999999</v>
      </c>
      <c r="H56" s="4">
        <v>89.7</v>
      </c>
      <c r="I56" s="13">
        <v>15893</v>
      </c>
      <c r="J56" s="4">
        <v>18.899999999999999</v>
      </c>
      <c r="K56" s="4">
        <v>20.7</v>
      </c>
      <c r="L56" s="4">
        <v>21.8</v>
      </c>
      <c r="M56" s="4">
        <v>17.399999999999999</v>
      </c>
      <c r="N56" s="4">
        <v>10.199999999999999</v>
      </c>
      <c r="O56" s="4">
        <v>89</v>
      </c>
      <c r="P56" s="13">
        <v>17937</v>
      </c>
      <c r="Q56" s="4">
        <v>18.600000000000001</v>
      </c>
      <c r="R56" s="4">
        <v>20.9</v>
      </c>
      <c r="S56" s="4">
        <v>22.1</v>
      </c>
      <c r="T56" s="4">
        <v>17.5</v>
      </c>
      <c r="U56" s="4">
        <v>10.199999999999999</v>
      </c>
      <c r="V56" s="4">
        <v>89.3</v>
      </c>
      <c r="W56" s="13">
        <v>33830</v>
      </c>
      <c r="X56" s="14"/>
      <c r="Y56" s="14"/>
      <c r="Z56" s="14"/>
      <c r="AA56" s="74"/>
      <c r="AB56" s="74"/>
      <c r="AC56" s="74"/>
      <c r="AD56" s="74"/>
      <c r="AE56" s="74"/>
      <c r="AF56" s="74"/>
      <c r="AG56" s="74"/>
      <c r="AH56" s="74"/>
      <c r="AI56" s="74"/>
      <c r="AJ56" s="74"/>
      <c r="AK56" s="74"/>
      <c r="AL56" s="74"/>
      <c r="AM56" s="74"/>
      <c r="AN56" s="74"/>
      <c r="AO56" s="74"/>
      <c r="AP56" s="74"/>
      <c r="AQ56" s="74"/>
      <c r="AR56" s="74"/>
      <c r="AS56" s="74"/>
      <c r="AT56" s="74"/>
      <c r="AU56" s="74"/>
      <c r="AV56" s="74"/>
      <c r="AX56" s="77"/>
      <c r="AY56" s="77"/>
      <c r="AZ56" s="77"/>
      <c r="BA56" s="77"/>
      <c r="BB56" s="77"/>
      <c r="BC56" s="77"/>
      <c r="BD56" s="77"/>
      <c r="BE56" s="77"/>
      <c r="BF56" s="77"/>
      <c r="BG56" s="77"/>
      <c r="BH56" s="77"/>
      <c r="BI56" s="77"/>
      <c r="BJ56" s="77"/>
      <c r="BK56" s="77"/>
      <c r="BL56" s="77"/>
      <c r="BM56" s="77"/>
      <c r="BN56" s="77"/>
      <c r="BO56" s="77"/>
      <c r="BP56" s="77"/>
      <c r="BQ56" s="77"/>
      <c r="BR56" s="77"/>
      <c r="BS56" s="77"/>
    </row>
    <row r="57" spans="1:71" x14ac:dyDescent="0.2">
      <c r="A57" s="14"/>
      <c r="B57" s="10" t="s">
        <v>16</v>
      </c>
      <c r="C57" s="4">
        <v>11.2</v>
      </c>
      <c r="D57" s="4">
        <v>14</v>
      </c>
      <c r="E57" s="4">
        <v>17.899999999999999</v>
      </c>
      <c r="F57" s="4">
        <v>17.2</v>
      </c>
      <c r="G57" s="4">
        <v>16.600000000000001</v>
      </c>
      <c r="H57" s="4">
        <v>76.8</v>
      </c>
      <c r="I57" s="13">
        <v>2893</v>
      </c>
      <c r="J57" s="4">
        <v>13.4</v>
      </c>
      <c r="K57" s="4">
        <v>15.8</v>
      </c>
      <c r="L57" s="4">
        <v>18.2</v>
      </c>
      <c r="M57" s="4">
        <v>17.2</v>
      </c>
      <c r="N57" s="4">
        <v>14.4</v>
      </c>
      <c r="O57" s="4">
        <v>79</v>
      </c>
      <c r="P57" s="13">
        <v>4505</v>
      </c>
      <c r="Q57" s="4">
        <v>12.5</v>
      </c>
      <c r="R57" s="4">
        <v>15.1</v>
      </c>
      <c r="S57" s="4">
        <v>18.100000000000001</v>
      </c>
      <c r="T57" s="4">
        <v>17.2</v>
      </c>
      <c r="U57" s="4">
        <v>15.2</v>
      </c>
      <c r="V57" s="4">
        <v>78.2</v>
      </c>
      <c r="W57" s="13">
        <v>7398</v>
      </c>
      <c r="X57" s="14"/>
      <c r="Y57" s="14"/>
      <c r="Z57" s="14"/>
      <c r="AA57" s="74"/>
      <c r="AB57" s="74"/>
      <c r="AC57" s="74"/>
      <c r="AD57" s="74"/>
      <c r="AE57" s="74"/>
      <c r="AF57" s="74"/>
      <c r="AG57" s="74"/>
      <c r="AH57" s="74"/>
      <c r="AI57" s="74"/>
      <c r="AJ57" s="74"/>
      <c r="AK57" s="74"/>
      <c r="AL57" s="74"/>
      <c r="AM57" s="74"/>
      <c r="AN57" s="74"/>
      <c r="AO57" s="74"/>
      <c r="AP57" s="74"/>
      <c r="AQ57" s="74"/>
      <c r="AR57" s="74"/>
      <c r="AS57" s="74"/>
      <c r="AT57" s="74"/>
      <c r="AU57" s="74"/>
      <c r="AV57" s="74"/>
      <c r="AX57" s="77"/>
      <c r="AY57" s="77"/>
      <c r="AZ57" s="77"/>
      <c r="BA57" s="77"/>
      <c r="BB57" s="77"/>
      <c r="BC57" s="77"/>
      <c r="BD57" s="77"/>
      <c r="BE57" s="77"/>
      <c r="BF57" s="77"/>
      <c r="BG57" s="77"/>
      <c r="BH57" s="77"/>
      <c r="BI57" s="77"/>
      <c r="BJ57" s="77"/>
      <c r="BK57" s="77"/>
      <c r="BL57" s="77"/>
      <c r="BM57" s="77"/>
      <c r="BN57" s="77"/>
      <c r="BO57" s="77"/>
      <c r="BP57" s="77"/>
      <c r="BQ57" s="77"/>
      <c r="BR57" s="77"/>
      <c r="BS57" s="77"/>
    </row>
    <row r="58" spans="1:71" x14ac:dyDescent="0.2">
      <c r="A58" s="14"/>
      <c r="B58" s="10" t="s">
        <v>17</v>
      </c>
      <c r="C58" s="4">
        <v>8.9</v>
      </c>
      <c r="D58" s="4">
        <v>16.3</v>
      </c>
      <c r="E58" s="4">
        <v>21.1</v>
      </c>
      <c r="F58" s="4">
        <v>19.899999999999999</v>
      </c>
      <c r="G58" s="4">
        <v>14.9</v>
      </c>
      <c r="H58" s="4">
        <v>81.099999999999994</v>
      </c>
      <c r="I58" s="13">
        <v>5911</v>
      </c>
      <c r="J58" s="4">
        <v>15</v>
      </c>
      <c r="K58" s="4">
        <v>21.7</v>
      </c>
      <c r="L58" s="4">
        <v>22.5</v>
      </c>
      <c r="M58" s="4">
        <v>17.7</v>
      </c>
      <c r="N58" s="4">
        <v>12.5</v>
      </c>
      <c r="O58" s="4">
        <v>89.4</v>
      </c>
      <c r="P58" s="13">
        <v>20772</v>
      </c>
      <c r="Q58" s="4">
        <v>13.7</v>
      </c>
      <c r="R58" s="4">
        <v>20.5</v>
      </c>
      <c r="S58" s="4">
        <v>22.2</v>
      </c>
      <c r="T58" s="4">
        <v>18.2</v>
      </c>
      <c r="U58" s="4">
        <v>13</v>
      </c>
      <c r="V58" s="4">
        <v>87.5</v>
      </c>
      <c r="W58" s="13">
        <v>26683</v>
      </c>
      <c r="X58" s="14"/>
      <c r="Y58" s="14"/>
      <c r="Z58" s="14"/>
      <c r="AA58" s="74"/>
      <c r="AB58" s="74"/>
      <c r="AC58" s="74"/>
      <c r="AD58" s="74"/>
      <c r="AE58" s="74"/>
      <c r="AF58" s="74"/>
      <c r="AG58" s="74"/>
      <c r="AH58" s="74"/>
      <c r="AI58" s="74"/>
      <c r="AJ58" s="74"/>
      <c r="AK58" s="74"/>
      <c r="AL58" s="74"/>
      <c r="AM58" s="74"/>
      <c r="AN58" s="74"/>
      <c r="AO58" s="74"/>
      <c r="AP58" s="74"/>
      <c r="AQ58" s="74"/>
      <c r="AR58" s="74"/>
      <c r="AS58" s="74"/>
      <c r="AT58" s="74"/>
      <c r="AU58" s="74"/>
      <c r="AV58" s="74"/>
      <c r="AX58" s="77"/>
      <c r="AY58" s="77"/>
      <c r="AZ58" s="77"/>
      <c r="BA58" s="77"/>
      <c r="BB58" s="77"/>
      <c r="BC58" s="77"/>
      <c r="BD58" s="77"/>
      <c r="BE58" s="77"/>
      <c r="BF58" s="77"/>
      <c r="BG58" s="77"/>
      <c r="BH58" s="77"/>
      <c r="BI58" s="77"/>
      <c r="BJ58" s="77"/>
      <c r="BK58" s="77"/>
      <c r="BL58" s="77"/>
      <c r="BM58" s="77"/>
      <c r="BN58" s="77"/>
      <c r="BO58" s="77"/>
      <c r="BP58" s="77"/>
      <c r="BQ58" s="77"/>
      <c r="BR58" s="77"/>
      <c r="BS58" s="77"/>
    </row>
    <row r="59" spans="1:71" x14ac:dyDescent="0.2">
      <c r="A59" s="14"/>
      <c r="B59" s="10" t="s">
        <v>18</v>
      </c>
      <c r="C59" s="4">
        <v>12.5</v>
      </c>
      <c r="D59" s="4">
        <v>16.600000000000001</v>
      </c>
      <c r="E59" s="4">
        <v>20.100000000000001</v>
      </c>
      <c r="F59" s="4">
        <v>18.3</v>
      </c>
      <c r="G59" s="4">
        <v>14.2</v>
      </c>
      <c r="H59" s="4">
        <v>81.7</v>
      </c>
      <c r="I59" s="13">
        <v>4482</v>
      </c>
      <c r="J59" s="4">
        <v>15.5</v>
      </c>
      <c r="K59" s="4">
        <v>21.2</v>
      </c>
      <c r="L59" s="4">
        <v>20.9</v>
      </c>
      <c r="M59" s="4">
        <v>16.5</v>
      </c>
      <c r="N59" s="4">
        <v>12.8</v>
      </c>
      <c r="O59" s="4">
        <v>86.8</v>
      </c>
      <c r="P59" s="13">
        <v>14609</v>
      </c>
      <c r="Q59" s="4">
        <v>14.8</v>
      </c>
      <c r="R59" s="4">
        <v>20.100000000000001</v>
      </c>
      <c r="S59" s="4">
        <v>20.7</v>
      </c>
      <c r="T59" s="4">
        <v>16.899999999999999</v>
      </c>
      <c r="U59" s="4">
        <v>13.1</v>
      </c>
      <c r="V59" s="4">
        <v>85.6</v>
      </c>
      <c r="W59" s="13">
        <v>19091</v>
      </c>
      <c r="X59" s="14"/>
      <c r="Y59" s="14"/>
      <c r="Z59" s="14"/>
      <c r="AA59" s="74"/>
      <c r="AB59" s="74"/>
      <c r="AC59" s="74"/>
      <c r="AD59" s="74"/>
      <c r="AE59" s="74"/>
      <c r="AF59" s="74"/>
      <c r="AG59" s="74"/>
      <c r="AH59" s="74"/>
      <c r="AI59" s="74"/>
      <c r="AJ59" s="74"/>
      <c r="AK59" s="74"/>
      <c r="AL59" s="74"/>
      <c r="AM59" s="74"/>
      <c r="AN59" s="74"/>
      <c r="AO59" s="74"/>
      <c r="AP59" s="74"/>
      <c r="AQ59" s="74"/>
      <c r="AR59" s="74"/>
      <c r="AS59" s="74"/>
      <c r="AT59" s="74"/>
      <c r="AU59" s="74"/>
      <c r="AV59" s="74"/>
      <c r="AX59" s="77"/>
      <c r="AY59" s="77"/>
      <c r="AZ59" s="77"/>
      <c r="BA59" s="77"/>
      <c r="BB59" s="77"/>
      <c r="BC59" s="77"/>
      <c r="BD59" s="77"/>
      <c r="BE59" s="77"/>
      <c r="BF59" s="77"/>
      <c r="BG59" s="77"/>
      <c r="BH59" s="77"/>
      <c r="BI59" s="77"/>
      <c r="BJ59" s="77"/>
      <c r="BK59" s="77"/>
      <c r="BL59" s="77"/>
      <c r="BM59" s="77"/>
      <c r="BN59" s="77"/>
      <c r="BO59" s="77"/>
      <c r="BP59" s="77"/>
      <c r="BQ59" s="77"/>
      <c r="BR59" s="77"/>
      <c r="BS59" s="77"/>
    </row>
    <row r="60" spans="1:71" x14ac:dyDescent="0.2">
      <c r="A60" s="14"/>
      <c r="B60" s="10" t="s">
        <v>19</v>
      </c>
      <c r="C60" s="4">
        <v>10.5</v>
      </c>
      <c r="D60" s="4">
        <v>17</v>
      </c>
      <c r="E60" s="4">
        <v>20.3</v>
      </c>
      <c r="F60" s="4">
        <v>18.600000000000001</v>
      </c>
      <c r="G60" s="4">
        <v>12.1</v>
      </c>
      <c r="H60" s="4">
        <v>78.400000000000006</v>
      </c>
      <c r="I60" s="13">
        <v>630</v>
      </c>
      <c r="J60" s="4">
        <v>14.6</v>
      </c>
      <c r="K60" s="4">
        <v>19.5</v>
      </c>
      <c r="L60" s="4">
        <v>20.2</v>
      </c>
      <c r="M60" s="4">
        <v>14.1</v>
      </c>
      <c r="N60" s="4">
        <v>13.5</v>
      </c>
      <c r="O60" s="4">
        <v>81.900000000000006</v>
      </c>
      <c r="P60" s="13">
        <v>724</v>
      </c>
      <c r="Q60" s="4">
        <v>12.7</v>
      </c>
      <c r="R60" s="4">
        <v>18.3</v>
      </c>
      <c r="S60" s="4">
        <v>20.2</v>
      </c>
      <c r="T60" s="4">
        <v>16.2</v>
      </c>
      <c r="U60" s="4">
        <v>12.9</v>
      </c>
      <c r="V60" s="4">
        <v>80.3</v>
      </c>
      <c r="W60" s="13">
        <v>1354</v>
      </c>
      <c r="X60" s="14"/>
      <c r="Y60" s="14"/>
      <c r="Z60" s="14"/>
      <c r="AA60" s="74"/>
      <c r="AB60" s="74"/>
      <c r="AC60" s="74"/>
      <c r="AD60" s="74"/>
      <c r="AE60" s="74"/>
      <c r="AF60" s="74"/>
      <c r="AG60" s="74"/>
      <c r="AH60" s="74"/>
      <c r="AI60" s="74"/>
      <c r="AJ60" s="74"/>
      <c r="AK60" s="74"/>
      <c r="AL60" s="74"/>
      <c r="AM60" s="74"/>
      <c r="AN60" s="74"/>
      <c r="AO60" s="74"/>
      <c r="AP60" s="74"/>
      <c r="AQ60" s="74"/>
      <c r="AR60" s="74"/>
      <c r="AS60" s="74"/>
      <c r="AT60" s="74"/>
      <c r="AU60" s="74"/>
      <c r="AV60" s="74"/>
      <c r="AX60" s="77"/>
      <c r="AY60" s="77"/>
      <c r="AZ60" s="77"/>
      <c r="BA60" s="77"/>
      <c r="BB60" s="77"/>
      <c r="BC60" s="77"/>
      <c r="BD60" s="77"/>
      <c r="BE60" s="77"/>
      <c r="BF60" s="77"/>
      <c r="BG60" s="77"/>
      <c r="BH60" s="77"/>
      <c r="BI60" s="77"/>
      <c r="BJ60" s="77"/>
      <c r="BK60" s="77"/>
      <c r="BL60" s="77"/>
      <c r="BM60" s="77"/>
      <c r="BN60" s="77"/>
      <c r="BO60" s="77"/>
      <c r="BP60" s="77"/>
      <c r="BQ60" s="77"/>
      <c r="BR60" s="77"/>
      <c r="BS60" s="77"/>
    </row>
    <row r="61" spans="1:71" x14ac:dyDescent="0.2">
      <c r="A61" s="14"/>
      <c r="B61" s="10" t="s">
        <v>20</v>
      </c>
      <c r="C61" s="4">
        <v>22.7</v>
      </c>
      <c r="D61" s="4">
        <v>18.100000000000001</v>
      </c>
      <c r="E61" s="4">
        <v>23.9</v>
      </c>
      <c r="F61" s="4">
        <v>18.399999999999999</v>
      </c>
      <c r="G61" s="4">
        <v>9.9</v>
      </c>
      <c r="H61" s="4">
        <v>93.1</v>
      </c>
      <c r="I61" s="13">
        <v>12404</v>
      </c>
      <c r="J61" s="4">
        <v>27.1</v>
      </c>
      <c r="K61" s="4">
        <v>22.2</v>
      </c>
      <c r="L61" s="4">
        <v>25.1</v>
      </c>
      <c r="M61" s="4">
        <v>15.2</v>
      </c>
      <c r="N61" s="4">
        <v>6.6</v>
      </c>
      <c r="O61" s="4">
        <v>96.2</v>
      </c>
      <c r="P61" s="13">
        <v>22933</v>
      </c>
      <c r="Q61" s="4">
        <v>25.6</v>
      </c>
      <c r="R61" s="4">
        <v>20.8</v>
      </c>
      <c r="S61" s="4">
        <v>24.7</v>
      </c>
      <c r="T61" s="4">
        <v>16.3</v>
      </c>
      <c r="U61" s="4">
        <v>7.8</v>
      </c>
      <c r="V61" s="4">
        <v>95.1</v>
      </c>
      <c r="W61" s="13">
        <v>35337</v>
      </c>
      <c r="X61" s="14"/>
      <c r="Y61" s="14"/>
      <c r="Z61" s="14"/>
      <c r="AA61" s="74"/>
      <c r="AB61" s="74"/>
      <c r="AC61" s="74"/>
      <c r="AD61" s="74"/>
      <c r="AE61" s="74"/>
      <c r="AF61" s="74"/>
      <c r="AG61" s="74"/>
      <c r="AH61" s="74"/>
      <c r="AI61" s="74"/>
      <c r="AJ61" s="74"/>
      <c r="AK61" s="74"/>
      <c r="AL61" s="74"/>
      <c r="AM61" s="74"/>
      <c r="AN61" s="74"/>
      <c r="AO61" s="74"/>
      <c r="AP61" s="74"/>
      <c r="AQ61" s="74"/>
      <c r="AR61" s="74"/>
      <c r="AS61" s="74"/>
      <c r="AT61" s="74"/>
      <c r="AU61" s="74"/>
      <c r="AV61" s="74"/>
      <c r="AX61" s="77"/>
      <c r="AY61" s="77"/>
      <c r="AZ61" s="77"/>
      <c r="BA61" s="77"/>
      <c r="BB61" s="77"/>
      <c r="BC61" s="77"/>
      <c r="BD61" s="77"/>
      <c r="BE61" s="77"/>
      <c r="BF61" s="77"/>
      <c r="BG61" s="77"/>
      <c r="BH61" s="77"/>
      <c r="BI61" s="77"/>
      <c r="BJ61" s="77"/>
      <c r="BK61" s="77"/>
      <c r="BL61" s="77"/>
      <c r="BM61" s="77"/>
      <c r="BN61" s="77"/>
      <c r="BO61" s="77"/>
      <c r="BP61" s="77"/>
      <c r="BQ61" s="77"/>
      <c r="BR61" s="77"/>
      <c r="BS61" s="77"/>
    </row>
    <row r="62" spans="1:71" x14ac:dyDescent="0.2">
      <c r="A62" s="14"/>
      <c r="B62" s="10" t="s">
        <v>21</v>
      </c>
      <c r="C62" s="4">
        <v>10.7</v>
      </c>
      <c r="D62" s="4">
        <v>15.8</v>
      </c>
      <c r="E62" s="4">
        <v>30</v>
      </c>
      <c r="F62" s="4">
        <v>22.1</v>
      </c>
      <c r="G62" s="4">
        <v>12.6</v>
      </c>
      <c r="H62" s="4">
        <v>91.3</v>
      </c>
      <c r="I62" s="13">
        <v>3175</v>
      </c>
      <c r="J62" s="4">
        <v>16.399999999999999</v>
      </c>
      <c r="K62" s="4">
        <v>18.399999999999999</v>
      </c>
      <c r="L62" s="4">
        <v>28.9</v>
      </c>
      <c r="M62" s="4">
        <v>20.100000000000001</v>
      </c>
      <c r="N62" s="4">
        <v>10.1</v>
      </c>
      <c r="O62" s="4">
        <v>94</v>
      </c>
      <c r="P62" s="13">
        <v>8610</v>
      </c>
      <c r="Q62" s="4">
        <v>14.9</v>
      </c>
      <c r="R62" s="4">
        <v>17.7</v>
      </c>
      <c r="S62" s="4">
        <v>29.2</v>
      </c>
      <c r="T62" s="4">
        <v>20.7</v>
      </c>
      <c r="U62" s="4">
        <v>10.8</v>
      </c>
      <c r="V62" s="4">
        <v>93.2</v>
      </c>
      <c r="W62" s="13">
        <v>11785</v>
      </c>
      <c r="X62" s="14"/>
      <c r="Y62" s="14"/>
      <c r="Z62" s="14"/>
      <c r="AA62" s="74"/>
      <c r="AB62" s="74"/>
      <c r="AC62" s="74"/>
      <c r="AD62" s="74"/>
      <c r="AE62" s="74"/>
      <c r="AF62" s="74"/>
      <c r="AG62" s="74"/>
      <c r="AH62" s="74"/>
      <c r="AI62" s="74"/>
      <c r="AJ62" s="74"/>
      <c r="AK62" s="74"/>
      <c r="AL62" s="74"/>
      <c r="AM62" s="74"/>
      <c r="AN62" s="74"/>
      <c r="AO62" s="74"/>
      <c r="AP62" s="74"/>
      <c r="AQ62" s="74"/>
      <c r="AR62" s="74"/>
      <c r="AS62" s="74"/>
      <c r="AT62" s="74"/>
      <c r="AU62" s="74"/>
      <c r="AV62" s="74"/>
      <c r="AX62" s="77"/>
      <c r="AY62" s="77"/>
      <c r="AZ62" s="77"/>
      <c r="BA62" s="77"/>
      <c r="BB62" s="77"/>
      <c r="BC62" s="77"/>
      <c r="BD62" s="77"/>
      <c r="BE62" s="77"/>
      <c r="BF62" s="77"/>
      <c r="BG62" s="77"/>
      <c r="BH62" s="77"/>
      <c r="BI62" s="77"/>
      <c r="BJ62" s="77"/>
      <c r="BK62" s="77"/>
      <c r="BL62" s="77"/>
      <c r="BM62" s="77"/>
      <c r="BN62" s="77"/>
      <c r="BO62" s="77"/>
      <c r="BP62" s="77"/>
      <c r="BQ62" s="77"/>
      <c r="BR62" s="77"/>
      <c r="BS62" s="77"/>
    </row>
    <row r="63" spans="1:71" x14ac:dyDescent="0.2">
      <c r="A63" s="14"/>
      <c r="B63" s="10" t="s">
        <v>22</v>
      </c>
      <c r="C63" s="4">
        <v>17.5</v>
      </c>
      <c r="D63" s="4">
        <v>20.2</v>
      </c>
      <c r="E63" s="4">
        <v>23.3</v>
      </c>
      <c r="F63" s="4">
        <v>19.7</v>
      </c>
      <c r="G63" s="4">
        <v>12.1</v>
      </c>
      <c r="H63" s="4">
        <v>92.7</v>
      </c>
      <c r="I63" s="13">
        <v>21760</v>
      </c>
      <c r="J63" s="4">
        <v>16.2</v>
      </c>
      <c r="K63" s="4">
        <v>19.7</v>
      </c>
      <c r="L63" s="4">
        <v>24.7</v>
      </c>
      <c r="M63" s="4">
        <v>21.3</v>
      </c>
      <c r="N63" s="4">
        <v>12.1</v>
      </c>
      <c r="O63" s="4">
        <v>94.1</v>
      </c>
      <c r="P63" s="13">
        <v>51989</v>
      </c>
      <c r="Q63" s="4">
        <v>16.600000000000001</v>
      </c>
      <c r="R63" s="4">
        <v>19.8</v>
      </c>
      <c r="S63" s="4">
        <v>24.3</v>
      </c>
      <c r="T63" s="4">
        <v>20.8</v>
      </c>
      <c r="U63" s="4">
        <v>12.1</v>
      </c>
      <c r="V63" s="4">
        <v>93.7</v>
      </c>
      <c r="W63" s="13">
        <v>73749</v>
      </c>
      <c r="X63" s="14"/>
      <c r="Y63" s="14"/>
      <c r="Z63" s="14"/>
      <c r="AA63" s="74"/>
      <c r="AB63" s="74"/>
      <c r="AC63" s="74"/>
      <c r="AD63" s="74"/>
      <c r="AE63" s="74"/>
      <c r="AF63" s="74"/>
      <c r="AG63" s="74"/>
      <c r="AH63" s="74"/>
      <c r="AI63" s="74"/>
      <c r="AJ63" s="74"/>
      <c r="AK63" s="74"/>
      <c r="AL63" s="74"/>
      <c r="AM63" s="74"/>
      <c r="AN63" s="74"/>
      <c r="AO63" s="74"/>
      <c r="AP63" s="74"/>
      <c r="AQ63" s="74"/>
      <c r="AR63" s="74"/>
      <c r="AS63" s="74"/>
      <c r="AT63" s="74"/>
      <c r="AU63" s="74"/>
      <c r="AV63" s="74"/>
      <c r="AX63" s="77"/>
      <c r="AY63" s="77"/>
      <c r="AZ63" s="77"/>
      <c r="BA63" s="77"/>
      <c r="BB63" s="77"/>
      <c r="BC63" s="77"/>
      <c r="BD63" s="77"/>
      <c r="BE63" s="77"/>
      <c r="BF63" s="77"/>
      <c r="BG63" s="77"/>
      <c r="BH63" s="77"/>
      <c r="BI63" s="77"/>
      <c r="BJ63" s="77"/>
      <c r="BK63" s="77"/>
      <c r="BL63" s="77"/>
      <c r="BM63" s="77"/>
      <c r="BN63" s="77"/>
      <c r="BO63" s="77"/>
      <c r="BP63" s="77"/>
      <c r="BQ63" s="77"/>
      <c r="BR63" s="77"/>
      <c r="BS63" s="77"/>
    </row>
    <row r="64" spans="1:71" x14ac:dyDescent="0.2">
      <c r="A64" s="14"/>
      <c r="B64" s="10" t="s">
        <v>51</v>
      </c>
      <c r="C64" s="4">
        <v>9.8000000000000007</v>
      </c>
      <c r="D64" s="4">
        <v>15.7</v>
      </c>
      <c r="E64" s="4">
        <v>31.6</v>
      </c>
      <c r="F64" s="4">
        <v>25.6</v>
      </c>
      <c r="G64" s="4">
        <v>11.3</v>
      </c>
      <c r="H64" s="4">
        <v>94.1</v>
      </c>
      <c r="I64" s="13">
        <v>5683</v>
      </c>
      <c r="J64" s="4">
        <v>11.6</v>
      </c>
      <c r="K64" s="4">
        <v>19.100000000000001</v>
      </c>
      <c r="L64" s="4">
        <v>34.799999999999997</v>
      </c>
      <c r="M64" s="4">
        <v>22.1</v>
      </c>
      <c r="N64" s="4">
        <v>8.5</v>
      </c>
      <c r="O64" s="4">
        <v>96.1</v>
      </c>
      <c r="P64" s="13">
        <v>7973</v>
      </c>
      <c r="Q64" s="4">
        <v>10.9</v>
      </c>
      <c r="R64" s="4">
        <v>17.7</v>
      </c>
      <c r="S64" s="4">
        <v>33.5</v>
      </c>
      <c r="T64" s="4">
        <v>23.5</v>
      </c>
      <c r="U64" s="4">
        <v>9.6999999999999993</v>
      </c>
      <c r="V64" s="4">
        <v>95.3</v>
      </c>
      <c r="W64" s="13">
        <v>13656</v>
      </c>
      <c r="X64" s="14"/>
      <c r="Y64" s="14"/>
      <c r="Z64" s="14"/>
      <c r="AA64" s="74"/>
      <c r="AB64" s="74"/>
      <c r="AC64" s="74"/>
      <c r="AD64" s="74"/>
      <c r="AE64" s="74"/>
      <c r="AF64" s="74"/>
      <c r="AG64" s="74"/>
      <c r="AH64" s="74"/>
      <c r="AI64" s="74"/>
      <c r="AJ64" s="74"/>
      <c r="AK64" s="74"/>
      <c r="AL64" s="74"/>
      <c r="AM64" s="74"/>
      <c r="AN64" s="74"/>
      <c r="AO64" s="74"/>
      <c r="AP64" s="74"/>
      <c r="AQ64" s="74"/>
      <c r="AR64" s="74"/>
      <c r="AS64" s="74"/>
      <c r="AT64" s="74"/>
      <c r="AU64" s="74"/>
      <c r="AV64" s="74"/>
      <c r="AX64" s="77"/>
      <c r="AY64" s="77"/>
      <c r="AZ64" s="77"/>
      <c r="BA64" s="77"/>
      <c r="BB64" s="77"/>
      <c r="BC64" s="77"/>
      <c r="BD64" s="77"/>
      <c r="BE64" s="77"/>
      <c r="BF64" s="77"/>
      <c r="BG64" s="77"/>
      <c r="BH64" s="77"/>
      <c r="BI64" s="77"/>
      <c r="BJ64" s="77"/>
      <c r="BK64" s="77"/>
      <c r="BL64" s="77"/>
      <c r="BM64" s="77"/>
      <c r="BN64" s="77"/>
      <c r="BO64" s="77"/>
      <c r="BP64" s="77"/>
      <c r="BQ64" s="77"/>
      <c r="BR64" s="77"/>
      <c r="BS64" s="77"/>
    </row>
    <row r="65" spans="1:71" x14ac:dyDescent="0.2">
      <c r="A65" s="14"/>
      <c r="B65" s="10" t="s">
        <v>23</v>
      </c>
      <c r="C65" s="4">
        <v>10.4</v>
      </c>
      <c r="D65" s="4">
        <v>17</v>
      </c>
      <c r="E65" s="4">
        <v>22.4</v>
      </c>
      <c r="F65" s="4">
        <v>19.5</v>
      </c>
      <c r="G65" s="4">
        <v>13.6</v>
      </c>
      <c r="H65" s="4">
        <v>82.9</v>
      </c>
      <c r="I65" s="13">
        <v>2339</v>
      </c>
      <c r="J65" s="4">
        <v>12.5</v>
      </c>
      <c r="K65" s="4">
        <v>22</v>
      </c>
      <c r="L65" s="4">
        <v>29.7</v>
      </c>
      <c r="M65" s="4">
        <v>18.3</v>
      </c>
      <c r="N65" s="4">
        <v>9.1999999999999993</v>
      </c>
      <c r="O65" s="4">
        <v>91.8</v>
      </c>
      <c r="P65" s="13">
        <v>4827</v>
      </c>
      <c r="Q65" s="4">
        <v>11.8</v>
      </c>
      <c r="R65" s="4">
        <v>20.399999999999999</v>
      </c>
      <c r="S65" s="4">
        <v>27.3</v>
      </c>
      <c r="T65" s="4">
        <v>18.7</v>
      </c>
      <c r="U65" s="4">
        <v>10.7</v>
      </c>
      <c r="V65" s="4">
        <v>88.9</v>
      </c>
      <c r="W65" s="13">
        <v>7166</v>
      </c>
      <c r="X65" s="14"/>
      <c r="Y65" s="14"/>
      <c r="Z65" s="14"/>
      <c r="AA65" s="74"/>
      <c r="AB65" s="74"/>
      <c r="AC65" s="74"/>
      <c r="AD65" s="74"/>
      <c r="AE65" s="74"/>
      <c r="AF65" s="74"/>
      <c r="AG65" s="74"/>
      <c r="AH65" s="74"/>
      <c r="AI65" s="74"/>
      <c r="AJ65" s="74"/>
      <c r="AK65" s="74"/>
      <c r="AL65" s="74"/>
      <c r="AM65" s="74"/>
      <c r="AN65" s="74"/>
      <c r="AO65" s="74"/>
      <c r="AP65" s="74"/>
      <c r="AQ65" s="74"/>
      <c r="AR65" s="74"/>
      <c r="AS65" s="74"/>
      <c r="AT65" s="74"/>
      <c r="AU65" s="74"/>
      <c r="AV65" s="74"/>
      <c r="AX65" s="77"/>
      <c r="AY65" s="77"/>
      <c r="AZ65" s="77"/>
      <c r="BA65" s="77"/>
      <c r="BB65" s="77"/>
      <c r="BC65" s="77"/>
      <c r="BD65" s="77"/>
      <c r="BE65" s="77"/>
      <c r="BF65" s="77"/>
      <c r="BG65" s="77"/>
      <c r="BH65" s="77"/>
      <c r="BI65" s="77"/>
      <c r="BJ65" s="77"/>
      <c r="BK65" s="77"/>
      <c r="BL65" s="77"/>
      <c r="BM65" s="77"/>
      <c r="BN65" s="77"/>
      <c r="BO65" s="77"/>
      <c r="BP65" s="77"/>
      <c r="BQ65" s="77"/>
      <c r="BR65" s="77"/>
      <c r="BS65" s="77"/>
    </row>
    <row r="66" spans="1:71" x14ac:dyDescent="0.2">
      <c r="A66" s="14"/>
      <c r="B66" s="10" t="s">
        <v>24</v>
      </c>
      <c r="C66" s="4">
        <v>27.4</v>
      </c>
      <c r="D66" s="4">
        <v>21.6</v>
      </c>
      <c r="E66" s="4">
        <v>19.5</v>
      </c>
      <c r="F66" s="4">
        <v>15.3</v>
      </c>
      <c r="G66" s="4">
        <v>9.3000000000000007</v>
      </c>
      <c r="H66" s="4">
        <v>93.1</v>
      </c>
      <c r="I66" s="13">
        <v>4695</v>
      </c>
      <c r="J66" s="4">
        <v>23.9</v>
      </c>
      <c r="K66" s="4">
        <v>20.100000000000001</v>
      </c>
      <c r="L66" s="4">
        <v>19.399999999999999</v>
      </c>
      <c r="M66" s="4">
        <v>16.399999999999999</v>
      </c>
      <c r="N66" s="4">
        <v>11.6</v>
      </c>
      <c r="O66" s="4">
        <v>91.4</v>
      </c>
      <c r="P66" s="13">
        <v>10698</v>
      </c>
      <c r="Q66" s="4">
        <v>25</v>
      </c>
      <c r="R66" s="4">
        <v>20.5</v>
      </c>
      <c r="S66" s="4">
        <v>19.399999999999999</v>
      </c>
      <c r="T66" s="4">
        <v>16.100000000000001</v>
      </c>
      <c r="U66" s="4">
        <v>10.9</v>
      </c>
      <c r="V66" s="4">
        <v>91.9</v>
      </c>
      <c r="W66" s="13">
        <v>15393</v>
      </c>
      <c r="X66" s="14"/>
      <c r="Y66" s="14"/>
      <c r="Z66" s="14"/>
      <c r="AA66" s="74"/>
      <c r="AB66" s="74"/>
      <c r="AC66" s="74"/>
      <c r="AD66" s="74"/>
      <c r="AE66" s="74"/>
      <c r="AF66" s="74"/>
      <c r="AG66" s="74"/>
      <c r="AH66" s="74"/>
      <c r="AI66" s="74"/>
      <c r="AJ66" s="74"/>
      <c r="AK66" s="74"/>
      <c r="AL66" s="74"/>
      <c r="AM66" s="74"/>
      <c r="AN66" s="74"/>
      <c r="AO66" s="74"/>
      <c r="AP66" s="74"/>
      <c r="AQ66" s="74"/>
      <c r="AR66" s="74"/>
      <c r="AS66" s="74"/>
      <c r="AT66" s="74"/>
      <c r="AU66" s="74"/>
      <c r="AV66" s="74"/>
      <c r="AX66" s="77"/>
      <c r="AY66" s="77"/>
      <c r="AZ66" s="77"/>
      <c r="BA66" s="77"/>
      <c r="BB66" s="77"/>
      <c r="BC66" s="77"/>
      <c r="BD66" s="77"/>
      <c r="BE66" s="77"/>
      <c r="BF66" s="77"/>
      <c r="BG66" s="77"/>
      <c r="BH66" s="77"/>
      <c r="BI66" s="77"/>
      <c r="BJ66" s="77"/>
      <c r="BK66" s="77"/>
      <c r="BL66" s="77"/>
      <c r="BM66" s="77"/>
      <c r="BN66" s="77"/>
      <c r="BO66" s="77"/>
      <c r="BP66" s="77"/>
      <c r="BQ66" s="77"/>
      <c r="BR66" s="77"/>
      <c r="BS66" s="77"/>
    </row>
    <row r="67" spans="1:71" x14ac:dyDescent="0.2">
      <c r="A67" s="14"/>
      <c r="B67" s="10" t="s">
        <v>25</v>
      </c>
      <c r="C67" s="4">
        <v>33.5</v>
      </c>
      <c r="D67" s="4">
        <v>20.6</v>
      </c>
      <c r="E67" s="4">
        <v>18.600000000000001</v>
      </c>
      <c r="F67" s="4">
        <v>12.9</v>
      </c>
      <c r="G67" s="4">
        <v>9.1</v>
      </c>
      <c r="H67" s="4">
        <v>94.7</v>
      </c>
      <c r="I67" s="13">
        <v>2524</v>
      </c>
      <c r="J67" s="4">
        <v>27.3</v>
      </c>
      <c r="K67" s="4">
        <v>20.100000000000001</v>
      </c>
      <c r="L67" s="4">
        <v>18.8</v>
      </c>
      <c r="M67" s="4">
        <v>15.8</v>
      </c>
      <c r="N67" s="4">
        <v>10.6</v>
      </c>
      <c r="O67" s="4">
        <v>92.6</v>
      </c>
      <c r="P67" s="13">
        <v>5083</v>
      </c>
      <c r="Q67" s="4">
        <v>29.4</v>
      </c>
      <c r="R67" s="4">
        <v>20.3</v>
      </c>
      <c r="S67" s="4">
        <v>18.7</v>
      </c>
      <c r="T67" s="4">
        <v>14.9</v>
      </c>
      <c r="U67" s="4">
        <v>10.1</v>
      </c>
      <c r="V67" s="4">
        <v>93.3</v>
      </c>
      <c r="W67" s="13">
        <v>7607</v>
      </c>
      <c r="X67" s="14"/>
      <c r="Y67" s="14"/>
      <c r="Z67" s="14"/>
      <c r="AA67" s="74"/>
      <c r="AB67" s="74"/>
      <c r="AC67" s="74"/>
      <c r="AD67" s="74"/>
      <c r="AE67" s="74"/>
      <c r="AF67" s="74"/>
      <c r="AG67" s="74"/>
      <c r="AH67" s="74"/>
      <c r="AI67" s="74"/>
      <c r="AJ67" s="74"/>
      <c r="AK67" s="74"/>
      <c r="AL67" s="74"/>
      <c r="AM67" s="74"/>
      <c r="AN67" s="74"/>
      <c r="AO67" s="74"/>
      <c r="AP67" s="74"/>
      <c r="AQ67" s="74"/>
      <c r="AR67" s="74"/>
      <c r="AS67" s="74"/>
      <c r="AT67" s="74"/>
      <c r="AU67" s="74"/>
      <c r="AV67" s="74"/>
      <c r="AX67" s="77"/>
      <c r="AY67" s="77"/>
      <c r="AZ67" s="77"/>
      <c r="BA67" s="77"/>
      <c r="BB67" s="77"/>
      <c r="BC67" s="77"/>
      <c r="BD67" s="77"/>
      <c r="BE67" s="77"/>
      <c r="BF67" s="77"/>
      <c r="BG67" s="77"/>
      <c r="BH67" s="77"/>
      <c r="BI67" s="77"/>
      <c r="BJ67" s="77"/>
      <c r="BK67" s="77"/>
      <c r="BL67" s="77"/>
      <c r="BM67" s="77"/>
      <c r="BN67" s="77"/>
      <c r="BO67" s="77"/>
      <c r="BP67" s="77"/>
      <c r="BQ67" s="77"/>
      <c r="BR67" s="77"/>
      <c r="BS67" s="77"/>
    </row>
    <row r="68" spans="1:71" x14ac:dyDescent="0.2">
      <c r="A68" s="14"/>
      <c r="B68" s="10" t="s">
        <v>26</v>
      </c>
      <c r="C68" s="4">
        <v>32.200000000000003</v>
      </c>
      <c r="D68" s="4">
        <v>24.7</v>
      </c>
      <c r="E68" s="4">
        <v>18.899999999999999</v>
      </c>
      <c r="F68" s="4">
        <v>11.7</v>
      </c>
      <c r="G68" s="4">
        <v>7.1</v>
      </c>
      <c r="H68" s="4">
        <v>94.6</v>
      </c>
      <c r="I68" s="13">
        <v>1363</v>
      </c>
      <c r="J68" s="4">
        <v>25.3</v>
      </c>
      <c r="K68" s="4">
        <v>22.8</v>
      </c>
      <c r="L68" s="4">
        <v>19.399999999999999</v>
      </c>
      <c r="M68" s="4">
        <v>14.3</v>
      </c>
      <c r="N68" s="4">
        <v>10</v>
      </c>
      <c r="O68" s="4">
        <v>91.9</v>
      </c>
      <c r="P68" s="13">
        <v>3138</v>
      </c>
      <c r="Q68" s="4">
        <v>27.4</v>
      </c>
      <c r="R68" s="4">
        <v>23.4</v>
      </c>
      <c r="S68" s="4">
        <v>19.3</v>
      </c>
      <c r="T68" s="4">
        <v>13.6</v>
      </c>
      <c r="U68" s="4">
        <v>9.1</v>
      </c>
      <c r="V68" s="4">
        <v>92.7</v>
      </c>
      <c r="W68" s="13">
        <v>4501</v>
      </c>
      <c r="X68" s="14"/>
      <c r="Y68" s="14"/>
      <c r="Z68" s="14"/>
      <c r="AA68" s="74"/>
      <c r="AB68" s="74"/>
      <c r="AC68" s="74"/>
      <c r="AD68" s="74"/>
      <c r="AE68" s="74"/>
      <c r="AF68" s="74"/>
      <c r="AG68" s="74"/>
      <c r="AH68" s="74"/>
      <c r="AI68" s="74"/>
      <c r="AJ68" s="74"/>
      <c r="AK68" s="74"/>
      <c r="AL68" s="74"/>
      <c r="AM68" s="74"/>
      <c r="AN68" s="74"/>
      <c r="AO68" s="74"/>
      <c r="AP68" s="74"/>
      <c r="AQ68" s="74"/>
      <c r="AR68" s="74"/>
      <c r="AS68" s="74"/>
      <c r="AT68" s="74"/>
      <c r="AU68" s="74"/>
      <c r="AV68" s="74"/>
      <c r="AX68" s="77"/>
      <c r="AY68" s="77"/>
      <c r="AZ68" s="77"/>
      <c r="BA68" s="77"/>
      <c r="BB68" s="77"/>
      <c r="BC68" s="77"/>
      <c r="BD68" s="77"/>
      <c r="BE68" s="77"/>
      <c r="BF68" s="77"/>
      <c r="BG68" s="77"/>
      <c r="BH68" s="77"/>
      <c r="BI68" s="77"/>
      <c r="BJ68" s="77"/>
      <c r="BK68" s="77"/>
      <c r="BL68" s="77"/>
      <c r="BM68" s="77"/>
      <c r="BN68" s="77"/>
      <c r="BO68" s="77"/>
      <c r="BP68" s="77"/>
      <c r="BQ68" s="77"/>
      <c r="BR68" s="77"/>
      <c r="BS68" s="77"/>
    </row>
    <row r="69" spans="1:71" x14ac:dyDescent="0.2">
      <c r="A69" s="14"/>
      <c r="B69" s="10" t="s">
        <v>27</v>
      </c>
      <c r="C69" s="4">
        <v>37.799999999999997</v>
      </c>
      <c r="D69" s="4">
        <v>27.6</v>
      </c>
      <c r="E69" s="4">
        <v>19</v>
      </c>
      <c r="F69" s="4">
        <v>6.9</v>
      </c>
      <c r="G69" s="4">
        <v>3.4</v>
      </c>
      <c r="H69" s="4">
        <v>94.7</v>
      </c>
      <c r="I69" s="13">
        <v>1528</v>
      </c>
      <c r="J69" s="4">
        <v>46.3</v>
      </c>
      <c r="K69" s="4">
        <v>23.9</v>
      </c>
      <c r="L69" s="4">
        <v>15.5</v>
      </c>
      <c r="M69" s="4">
        <v>7.3</v>
      </c>
      <c r="N69" s="4">
        <v>3.4</v>
      </c>
      <c r="O69" s="4">
        <v>96.4</v>
      </c>
      <c r="P69" s="13">
        <v>1881</v>
      </c>
      <c r="Q69" s="4">
        <v>42.4</v>
      </c>
      <c r="R69" s="4">
        <v>25.6</v>
      </c>
      <c r="S69" s="4">
        <v>17.100000000000001</v>
      </c>
      <c r="T69" s="4">
        <v>7.1</v>
      </c>
      <c r="U69" s="4">
        <v>3.4</v>
      </c>
      <c r="V69" s="4">
        <v>95.6</v>
      </c>
      <c r="W69" s="13">
        <v>3409</v>
      </c>
      <c r="X69" s="14"/>
      <c r="Y69" s="14"/>
      <c r="Z69" s="14"/>
      <c r="AA69" s="74"/>
      <c r="AB69" s="74"/>
      <c r="AC69" s="74"/>
      <c r="AD69" s="74"/>
      <c r="AE69" s="74"/>
      <c r="AF69" s="74"/>
      <c r="AG69" s="74"/>
      <c r="AH69" s="74"/>
      <c r="AI69" s="74"/>
      <c r="AJ69" s="74"/>
      <c r="AK69" s="74"/>
      <c r="AL69" s="74"/>
      <c r="AM69" s="74"/>
      <c r="AN69" s="74"/>
      <c r="AO69" s="74"/>
      <c r="AP69" s="74"/>
      <c r="AQ69" s="74"/>
      <c r="AR69" s="74"/>
      <c r="AS69" s="74"/>
      <c r="AT69" s="74"/>
      <c r="AU69" s="74"/>
      <c r="AV69" s="74"/>
      <c r="AX69" s="77"/>
      <c r="AY69" s="77"/>
      <c r="AZ69" s="77"/>
      <c r="BA69" s="77"/>
      <c r="BB69" s="77"/>
      <c r="BC69" s="77"/>
      <c r="BD69" s="77"/>
      <c r="BE69" s="77"/>
      <c r="BF69" s="77"/>
      <c r="BG69" s="77"/>
      <c r="BH69" s="77"/>
      <c r="BI69" s="77"/>
      <c r="BJ69" s="77"/>
      <c r="BK69" s="77"/>
      <c r="BL69" s="77"/>
      <c r="BM69" s="77"/>
      <c r="BN69" s="77"/>
      <c r="BO69" s="77"/>
      <c r="BP69" s="77"/>
      <c r="BQ69" s="77"/>
      <c r="BR69" s="77"/>
      <c r="BS69" s="77"/>
    </row>
    <row r="70" spans="1:71" x14ac:dyDescent="0.2">
      <c r="A70" s="14"/>
      <c r="B70" s="10" t="s">
        <v>28</v>
      </c>
      <c r="C70" s="4">
        <v>30.5</v>
      </c>
      <c r="D70" s="4">
        <v>25.7</v>
      </c>
      <c r="E70" s="4">
        <v>18.600000000000001</v>
      </c>
      <c r="F70" s="4">
        <v>13.3</v>
      </c>
      <c r="G70" s="4">
        <v>6.1</v>
      </c>
      <c r="H70" s="4">
        <v>94.2</v>
      </c>
      <c r="I70" s="13">
        <v>1966</v>
      </c>
      <c r="J70" s="4">
        <v>28.7</v>
      </c>
      <c r="K70" s="4">
        <v>28.3</v>
      </c>
      <c r="L70" s="4">
        <v>21.8</v>
      </c>
      <c r="M70" s="4">
        <v>13.3</v>
      </c>
      <c r="N70" s="4">
        <v>4.8</v>
      </c>
      <c r="O70" s="4">
        <v>96.9</v>
      </c>
      <c r="P70" s="13">
        <v>2771</v>
      </c>
      <c r="Q70" s="4">
        <v>29.4</v>
      </c>
      <c r="R70" s="4">
        <v>27.2</v>
      </c>
      <c r="S70" s="4">
        <v>20.5</v>
      </c>
      <c r="T70" s="4">
        <v>13.3</v>
      </c>
      <c r="U70" s="4">
        <v>5.4</v>
      </c>
      <c r="V70" s="4">
        <v>95.8</v>
      </c>
      <c r="W70" s="13">
        <v>4737</v>
      </c>
      <c r="X70" s="14"/>
      <c r="Y70" s="14"/>
      <c r="Z70" s="14"/>
      <c r="AA70" s="74"/>
      <c r="AB70" s="74"/>
      <c r="AC70" s="74"/>
      <c r="AD70" s="74"/>
      <c r="AE70" s="74"/>
      <c r="AF70" s="74"/>
      <c r="AG70" s="74"/>
      <c r="AH70" s="74"/>
      <c r="AI70" s="74"/>
      <c r="AJ70" s="74"/>
      <c r="AK70" s="74"/>
      <c r="AL70" s="74"/>
      <c r="AM70" s="74"/>
      <c r="AN70" s="74"/>
      <c r="AO70" s="74"/>
      <c r="AP70" s="74"/>
      <c r="AQ70" s="74"/>
      <c r="AR70" s="74"/>
      <c r="AS70" s="74"/>
      <c r="AT70" s="74"/>
      <c r="AU70" s="74"/>
      <c r="AV70" s="74"/>
      <c r="AX70" s="77"/>
      <c r="AY70" s="77"/>
      <c r="AZ70" s="77"/>
      <c r="BA70" s="77"/>
      <c r="BB70" s="77"/>
      <c r="BC70" s="77"/>
      <c r="BD70" s="77"/>
      <c r="BE70" s="77"/>
      <c r="BF70" s="77"/>
      <c r="BG70" s="77"/>
      <c r="BH70" s="77"/>
      <c r="BI70" s="77"/>
      <c r="BJ70" s="77"/>
      <c r="BK70" s="77"/>
      <c r="BL70" s="77"/>
      <c r="BM70" s="77"/>
      <c r="BN70" s="77"/>
      <c r="BO70" s="77"/>
      <c r="BP70" s="77"/>
      <c r="BQ70" s="77"/>
      <c r="BR70" s="77"/>
      <c r="BS70" s="77"/>
    </row>
    <row r="71" spans="1:71" x14ac:dyDescent="0.2">
      <c r="A71" s="14"/>
      <c r="B71" s="10" t="s">
        <v>29</v>
      </c>
      <c r="C71" s="4">
        <v>19.5</v>
      </c>
      <c r="D71" s="4">
        <v>24.5</v>
      </c>
      <c r="E71" s="4">
        <v>23.7</v>
      </c>
      <c r="F71" s="4">
        <v>16</v>
      </c>
      <c r="G71" s="4">
        <v>8.8000000000000007</v>
      </c>
      <c r="H71" s="4">
        <v>92.5</v>
      </c>
      <c r="I71" s="13">
        <v>1891</v>
      </c>
      <c r="J71" s="4">
        <v>17.5</v>
      </c>
      <c r="K71" s="4">
        <v>23.1</v>
      </c>
      <c r="L71" s="4">
        <v>26.8</v>
      </c>
      <c r="M71" s="4">
        <v>17.5</v>
      </c>
      <c r="N71" s="4">
        <v>8.5</v>
      </c>
      <c r="O71" s="4">
        <v>93.3</v>
      </c>
      <c r="P71" s="13">
        <v>5593</v>
      </c>
      <c r="Q71" s="4">
        <v>18</v>
      </c>
      <c r="R71" s="4">
        <v>23.5</v>
      </c>
      <c r="S71" s="4">
        <v>26</v>
      </c>
      <c r="T71" s="4">
        <v>17.100000000000001</v>
      </c>
      <c r="U71" s="4">
        <v>8.6</v>
      </c>
      <c r="V71" s="4">
        <v>93.1</v>
      </c>
      <c r="W71" s="13">
        <v>7484</v>
      </c>
      <c r="X71" s="14"/>
      <c r="Y71" s="14"/>
      <c r="Z71" s="14"/>
      <c r="AA71" s="74"/>
      <c r="AB71" s="74"/>
      <c r="AC71" s="74"/>
      <c r="AD71" s="74"/>
      <c r="AE71" s="74"/>
      <c r="AF71" s="74"/>
      <c r="AG71" s="74"/>
      <c r="AH71" s="74"/>
      <c r="AI71" s="74"/>
      <c r="AJ71" s="74"/>
      <c r="AK71" s="74"/>
      <c r="AL71" s="74"/>
      <c r="AM71" s="74"/>
      <c r="AN71" s="74"/>
      <c r="AO71" s="74"/>
      <c r="AP71" s="74"/>
      <c r="AQ71" s="74"/>
      <c r="AR71" s="74"/>
      <c r="AS71" s="74"/>
      <c r="AT71" s="74"/>
      <c r="AU71" s="74"/>
      <c r="AV71" s="74"/>
      <c r="AX71" s="77"/>
      <c r="AY71" s="77"/>
      <c r="AZ71" s="77"/>
      <c r="BA71" s="77"/>
      <c r="BB71" s="77"/>
      <c r="BC71" s="77"/>
      <c r="BD71" s="77"/>
      <c r="BE71" s="77"/>
      <c r="BF71" s="77"/>
      <c r="BG71" s="77"/>
      <c r="BH71" s="77"/>
      <c r="BI71" s="77"/>
      <c r="BJ71" s="77"/>
      <c r="BK71" s="77"/>
      <c r="BL71" s="77"/>
      <c r="BM71" s="77"/>
      <c r="BN71" s="77"/>
      <c r="BO71" s="77"/>
      <c r="BP71" s="77"/>
      <c r="BQ71" s="77"/>
      <c r="BR71" s="77"/>
      <c r="BS71" s="77"/>
    </row>
    <row r="72" spans="1:71" x14ac:dyDescent="0.2">
      <c r="A72" s="14"/>
      <c r="B72" s="10" t="s">
        <v>30</v>
      </c>
      <c r="C72" s="4">
        <v>21.9</v>
      </c>
      <c r="D72" s="4">
        <v>19</v>
      </c>
      <c r="E72" s="4">
        <v>23.7</v>
      </c>
      <c r="F72" s="4">
        <v>20</v>
      </c>
      <c r="G72" s="4">
        <v>8.8000000000000007</v>
      </c>
      <c r="H72" s="4">
        <v>93.3</v>
      </c>
      <c r="I72" s="13">
        <v>2755</v>
      </c>
      <c r="J72" s="4">
        <v>22.3</v>
      </c>
      <c r="K72" s="4">
        <v>19.100000000000001</v>
      </c>
      <c r="L72" s="4">
        <v>25</v>
      </c>
      <c r="M72" s="4">
        <v>18.399999999999999</v>
      </c>
      <c r="N72" s="4">
        <v>10.1</v>
      </c>
      <c r="O72" s="4">
        <v>95</v>
      </c>
      <c r="P72" s="13">
        <v>3486</v>
      </c>
      <c r="Q72" s="4">
        <v>22.1</v>
      </c>
      <c r="R72" s="4">
        <v>19.100000000000001</v>
      </c>
      <c r="S72" s="4">
        <v>24.4</v>
      </c>
      <c r="T72" s="4">
        <v>19.100000000000001</v>
      </c>
      <c r="U72" s="4">
        <v>9.5</v>
      </c>
      <c r="V72" s="4">
        <v>94.2</v>
      </c>
      <c r="W72" s="13">
        <v>6241</v>
      </c>
      <c r="X72" s="14"/>
      <c r="Y72" s="14"/>
      <c r="Z72" s="14"/>
      <c r="AA72" s="74"/>
      <c r="AB72" s="74"/>
      <c r="AC72" s="74"/>
      <c r="AD72" s="74"/>
      <c r="AE72" s="74"/>
      <c r="AF72" s="74"/>
      <c r="AG72" s="74"/>
      <c r="AH72" s="74"/>
      <c r="AI72" s="74"/>
      <c r="AJ72" s="74"/>
      <c r="AK72" s="74"/>
      <c r="AL72" s="74"/>
      <c r="AM72" s="74"/>
      <c r="AN72" s="74"/>
      <c r="AO72" s="74"/>
      <c r="AP72" s="74"/>
      <c r="AQ72" s="74"/>
      <c r="AR72" s="74"/>
      <c r="AS72" s="74"/>
      <c r="AT72" s="74"/>
      <c r="AU72" s="74"/>
      <c r="AV72" s="74"/>
      <c r="AX72" s="77"/>
      <c r="AY72" s="77"/>
      <c r="AZ72" s="77"/>
      <c r="BA72" s="77"/>
      <c r="BB72" s="77"/>
      <c r="BC72" s="77"/>
      <c r="BD72" s="77"/>
      <c r="BE72" s="77"/>
      <c r="BF72" s="77"/>
      <c r="BG72" s="77"/>
      <c r="BH72" s="77"/>
      <c r="BI72" s="77"/>
      <c r="BJ72" s="77"/>
      <c r="BK72" s="77"/>
      <c r="BL72" s="77"/>
      <c r="BM72" s="77"/>
      <c r="BN72" s="77"/>
      <c r="BO72" s="77"/>
      <c r="BP72" s="77"/>
      <c r="BQ72" s="77"/>
      <c r="BR72" s="77"/>
      <c r="BS72" s="77"/>
    </row>
    <row r="73" spans="1:71" x14ac:dyDescent="0.2">
      <c r="A73" s="14"/>
      <c r="B73" s="10" t="s">
        <v>31</v>
      </c>
      <c r="C73" s="4">
        <v>8.1</v>
      </c>
      <c r="D73" s="4">
        <v>12</v>
      </c>
      <c r="E73" s="4">
        <v>24.5</v>
      </c>
      <c r="F73" s="4">
        <v>27.3</v>
      </c>
      <c r="G73" s="4">
        <v>18.600000000000001</v>
      </c>
      <c r="H73" s="4">
        <v>90.5</v>
      </c>
      <c r="I73" s="13">
        <v>10157</v>
      </c>
      <c r="J73" s="4">
        <v>17.7</v>
      </c>
      <c r="K73" s="4">
        <v>16.2</v>
      </c>
      <c r="L73" s="4">
        <v>23.6</v>
      </c>
      <c r="M73" s="4">
        <v>22.3</v>
      </c>
      <c r="N73" s="4">
        <v>13.2</v>
      </c>
      <c r="O73" s="4">
        <v>93</v>
      </c>
      <c r="P73" s="13">
        <v>6622</v>
      </c>
      <c r="Q73" s="4">
        <v>11.9</v>
      </c>
      <c r="R73" s="4">
        <v>13.7</v>
      </c>
      <c r="S73" s="4">
        <v>24.1</v>
      </c>
      <c r="T73" s="4">
        <v>25.3</v>
      </c>
      <c r="U73" s="4">
        <v>16.5</v>
      </c>
      <c r="V73" s="4">
        <v>91.5</v>
      </c>
      <c r="W73" s="13">
        <v>16779</v>
      </c>
      <c r="X73" s="14"/>
      <c r="Y73" s="14"/>
      <c r="Z73" s="14"/>
      <c r="AA73" s="74"/>
      <c r="AB73" s="74"/>
      <c r="AC73" s="74"/>
      <c r="AD73" s="74"/>
      <c r="AE73" s="74"/>
      <c r="AF73" s="74"/>
      <c r="AG73" s="74"/>
      <c r="AH73" s="74"/>
      <c r="AI73" s="74"/>
      <c r="AJ73" s="74"/>
      <c r="AK73" s="74"/>
      <c r="AL73" s="74"/>
      <c r="AM73" s="74"/>
      <c r="AN73" s="74"/>
      <c r="AO73" s="74"/>
      <c r="AP73" s="74"/>
      <c r="AQ73" s="74"/>
      <c r="AR73" s="74"/>
      <c r="AS73" s="74"/>
      <c r="AT73" s="74"/>
      <c r="AU73" s="74"/>
      <c r="AV73" s="74"/>
      <c r="AX73" s="77"/>
      <c r="AY73" s="77"/>
      <c r="AZ73" s="77"/>
      <c r="BA73" s="77"/>
      <c r="BB73" s="77"/>
      <c r="BC73" s="77"/>
      <c r="BD73" s="77"/>
      <c r="BE73" s="77"/>
      <c r="BF73" s="77"/>
      <c r="BG73" s="77"/>
      <c r="BH73" s="77"/>
      <c r="BI73" s="77"/>
      <c r="BJ73" s="77"/>
      <c r="BK73" s="77"/>
      <c r="BL73" s="77"/>
      <c r="BM73" s="77"/>
      <c r="BN73" s="77"/>
      <c r="BO73" s="77"/>
      <c r="BP73" s="77"/>
      <c r="BQ73" s="77"/>
      <c r="BR73" s="77"/>
      <c r="BS73" s="77"/>
    </row>
    <row r="74" spans="1:71" x14ac:dyDescent="0.2">
      <c r="A74" s="14"/>
      <c r="B74" s="10" t="s">
        <v>32</v>
      </c>
      <c r="C74" s="4">
        <v>14</v>
      </c>
      <c r="D74" s="4">
        <v>16.600000000000001</v>
      </c>
      <c r="E74" s="4">
        <v>19.2</v>
      </c>
      <c r="F74" s="4">
        <v>20.100000000000001</v>
      </c>
      <c r="G74" s="4">
        <v>15.2</v>
      </c>
      <c r="H74" s="4">
        <v>85.1</v>
      </c>
      <c r="I74" s="13">
        <v>43458</v>
      </c>
      <c r="J74" s="4">
        <v>12.3</v>
      </c>
      <c r="K74" s="4">
        <v>15.7</v>
      </c>
      <c r="L74" s="4">
        <v>19.399999999999999</v>
      </c>
      <c r="M74" s="4">
        <v>20.9</v>
      </c>
      <c r="N74" s="4">
        <v>16.7</v>
      </c>
      <c r="O74" s="4">
        <v>84.9</v>
      </c>
      <c r="P74" s="13">
        <v>47521</v>
      </c>
      <c r="Q74" s="4">
        <v>13.1</v>
      </c>
      <c r="R74" s="4">
        <v>16.100000000000001</v>
      </c>
      <c r="S74" s="4">
        <v>19.3</v>
      </c>
      <c r="T74" s="4">
        <v>20.5</v>
      </c>
      <c r="U74" s="4">
        <v>16</v>
      </c>
      <c r="V74" s="4">
        <v>85</v>
      </c>
      <c r="W74" s="13">
        <v>90979</v>
      </c>
      <c r="X74" s="14"/>
      <c r="Y74" s="14"/>
      <c r="Z74" s="14"/>
      <c r="AA74" s="74"/>
      <c r="AB74" s="74"/>
      <c r="AC74" s="74"/>
      <c r="AD74" s="74"/>
      <c r="AE74" s="74"/>
      <c r="AF74" s="74"/>
      <c r="AG74" s="74"/>
      <c r="AH74" s="74"/>
      <c r="AI74" s="74"/>
      <c r="AJ74" s="74"/>
      <c r="AK74" s="74"/>
      <c r="AL74" s="74"/>
      <c r="AM74" s="74"/>
      <c r="AN74" s="74"/>
      <c r="AO74" s="74"/>
      <c r="AP74" s="74"/>
      <c r="AQ74" s="74"/>
      <c r="AR74" s="74"/>
      <c r="AS74" s="74"/>
      <c r="AT74" s="74"/>
      <c r="AU74" s="74"/>
      <c r="AV74" s="74"/>
      <c r="AX74" s="77"/>
      <c r="AY74" s="77"/>
      <c r="AZ74" s="77"/>
      <c r="BA74" s="77"/>
      <c r="BB74" s="77"/>
      <c r="BC74" s="77"/>
      <c r="BD74" s="77"/>
      <c r="BE74" s="77"/>
      <c r="BF74" s="77"/>
      <c r="BG74" s="77"/>
      <c r="BH74" s="77"/>
      <c r="BI74" s="77"/>
      <c r="BJ74" s="77"/>
      <c r="BK74" s="77"/>
      <c r="BL74" s="77"/>
      <c r="BM74" s="77"/>
      <c r="BN74" s="77"/>
      <c r="BO74" s="77"/>
      <c r="BP74" s="77"/>
      <c r="BQ74" s="77"/>
      <c r="BR74" s="77"/>
      <c r="BS74" s="77"/>
    </row>
    <row r="75" spans="1:71" x14ac:dyDescent="0.2">
      <c r="A75" s="14"/>
      <c r="B75" s="10" t="s">
        <v>46</v>
      </c>
      <c r="C75" s="4">
        <v>18.399999999999999</v>
      </c>
      <c r="D75" s="4">
        <v>18.399999999999999</v>
      </c>
      <c r="E75" s="4">
        <v>20.9</v>
      </c>
      <c r="F75" s="4">
        <v>18.5</v>
      </c>
      <c r="G75" s="4">
        <v>12.7</v>
      </c>
      <c r="H75" s="4">
        <v>88.9</v>
      </c>
      <c r="I75" s="13">
        <v>318407</v>
      </c>
      <c r="J75" s="4">
        <v>19</v>
      </c>
      <c r="K75" s="4">
        <v>20.100000000000001</v>
      </c>
      <c r="L75" s="4">
        <v>22.2</v>
      </c>
      <c r="M75" s="4">
        <v>18</v>
      </c>
      <c r="N75" s="4">
        <v>11.7</v>
      </c>
      <c r="O75" s="4">
        <v>91</v>
      </c>
      <c r="P75" s="13">
        <v>363146</v>
      </c>
      <c r="Q75" s="4">
        <v>18.7</v>
      </c>
      <c r="R75" s="4">
        <v>19.3</v>
      </c>
      <c r="S75" s="4">
        <v>21.6</v>
      </c>
      <c r="T75" s="4">
        <v>18.2</v>
      </c>
      <c r="U75" s="4">
        <v>12.2</v>
      </c>
      <c r="V75" s="4">
        <v>90</v>
      </c>
      <c r="W75" s="13">
        <v>681553</v>
      </c>
      <c r="X75" s="14"/>
      <c r="Y75" s="14"/>
      <c r="Z75" s="14"/>
      <c r="AA75" s="74"/>
      <c r="AB75" s="74"/>
      <c r="AC75" s="74"/>
      <c r="AD75" s="74"/>
      <c r="AE75" s="74"/>
      <c r="AF75" s="74"/>
      <c r="AG75" s="74"/>
      <c r="AH75" s="74"/>
      <c r="AI75" s="74"/>
      <c r="AJ75" s="74"/>
      <c r="AK75" s="74"/>
      <c r="AL75" s="74"/>
      <c r="AM75" s="74"/>
      <c r="AN75" s="74"/>
      <c r="AO75" s="74"/>
      <c r="AP75" s="74"/>
      <c r="AQ75" s="74"/>
      <c r="AR75" s="74"/>
      <c r="AS75" s="74"/>
      <c r="AT75" s="74"/>
      <c r="AU75" s="74"/>
      <c r="AV75" s="74"/>
      <c r="AX75" s="77"/>
      <c r="AY75" s="77"/>
      <c r="AZ75" s="77"/>
      <c r="BA75" s="77"/>
      <c r="BB75" s="77"/>
      <c r="BC75" s="77"/>
      <c r="BD75" s="77"/>
      <c r="BE75" s="77"/>
      <c r="BF75" s="77"/>
      <c r="BG75" s="77"/>
      <c r="BH75" s="77"/>
      <c r="BI75" s="77"/>
      <c r="BJ75" s="77"/>
      <c r="BK75" s="77"/>
      <c r="BL75" s="77"/>
      <c r="BM75" s="77"/>
      <c r="BN75" s="77"/>
      <c r="BO75" s="77"/>
      <c r="BP75" s="77"/>
      <c r="BQ75" s="77"/>
      <c r="BR75" s="77"/>
      <c r="BS75" s="77"/>
    </row>
    <row r="76" spans="1:71" x14ac:dyDescent="0.2">
      <c r="A76" s="14"/>
      <c r="AY76" s="77"/>
      <c r="AZ76" s="77"/>
      <c r="BA76" s="77"/>
      <c r="BB76" s="77"/>
      <c r="BC76" s="77"/>
      <c r="BD76" s="77"/>
      <c r="BE76" s="77"/>
      <c r="BF76" s="77"/>
      <c r="BG76" s="77"/>
      <c r="BH76" s="77"/>
      <c r="BI76" s="77"/>
      <c r="BJ76" s="77"/>
      <c r="BK76" s="77"/>
      <c r="BL76" s="77"/>
      <c r="BM76" s="77"/>
      <c r="BN76" s="77"/>
      <c r="BO76" s="77"/>
      <c r="BP76" s="77"/>
      <c r="BQ76" s="77"/>
      <c r="BR76" s="77"/>
      <c r="BS76" s="77"/>
    </row>
    <row r="77" spans="1:71" x14ac:dyDescent="0.2">
      <c r="A77" s="14"/>
      <c r="B77" s="11" t="s">
        <v>0</v>
      </c>
      <c r="C77" s="14">
        <f>ROUND(C41,1)</f>
        <v>16.7</v>
      </c>
      <c r="D77" s="14">
        <f t="shared" ref="D77:V77" si="0">ROUND(D41,1)</f>
        <v>18.600000000000001</v>
      </c>
      <c r="E77" s="14">
        <f t="shared" si="0"/>
        <v>19.899999999999999</v>
      </c>
      <c r="F77" s="14">
        <f t="shared" si="0"/>
        <v>17.399999999999999</v>
      </c>
      <c r="G77" s="14">
        <f t="shared" si="0"/>
        <v>15.2</v>
      </c>
      <c r="H77" s="14">
        <f t="shared" si="0"/>
        <v>87.9</v>
      </c>
      <c r="I77" s="120">
        <f>ROUND(I41,0)</f>
        <v>17025</v>
      </c>
      <c r="J77" s="14">
        <f t="shared" si="0"/>
        <v>19.899999999999999</v>
      </c>
      <c r="K77" s="14">
        <f t="shared" si="0"/>
        <v>20.9</v>
      </c>
      <c r="L77" s="14">
        <f t="shared" si="0"/>
        <v>19.899999999999999</v>
      </c>
      <c r="M77" s="14">
        <f t="shared" si="0"/>
        <v>16.8</v>
      </c>
      <c r="N77" s="14">
        <f t="shared" si="0"/>
        <v>12.8</v>
      </c>
      <c r="O77" s="14">
        <f t="shared" si="0"/>
        <v>90.3</v>
      </c>
      <c r="P77" s="120">
        <f>ROUND(P41,0)</f>
        <v>27567</v>
      </c>
      <c r="Q77" s="14">
        <f t="shared" si="0"/>
        <v>18.7</v>
      </c>
      <c r="R77" s="14">
        <f t="shared" si="0"/>
        <v>20.100000000000001</v>
      </c>
      <c r="S77" s="14">
        <f t="shared" si="0"/>
        <v>19.899999999999999</v>
      </c>
      <c r="T77" s="14">
        <f t="shared" si="0"/>
        <v>17</v>
      </c>
      <c r="U77" s="14">
        <f t="shared" si="0"/>
        <v>13.7</v>
      </c>
      <c r="V77" s="14">
        <f t="shared" si="0"/>
        <v>89.4</v>
      </c>
      <c r="W77" s="120">
        <f>ROUND(W41,0)</f>
        <v>44592</v>
      </c>
      <c r="AY77" s="77"/>
      <c r="AZ77" s="77"/>
      <c r="BA77" s="77"/>
      <c r="BB77" s="77"/>
      <c r="BC77" s="77"/>
      <c r="BD77" s="77"/>
      <c r="BE77" s="77"/>
      <c r="BF77" s="77"/>
      <c r="BG77" s="77"/>
      <c r="BH77" s="77"/>
      <c r="BI77" s="77"/>
      <c r="BJ77" s="77"/>
      <c r="BK77" s="77"/>
      <c r="BL77" s="77"/>
      <c r="BM77" s="77"/>
      <c r="BN77" s="77"/>
      <c r="BO77" s="77"/>
      <c r="BP77" s="77"/>
      <c r="BQ77" s="77"/>
      <c r="BR77" s="77"/>
      <c r="BS77" s="77"/>
    </row>
    <row r="78" spans="1:71" x14ac:dyDescent="0.2">
      <c r="A78" s="14"/>
      <c r="B78" s="11" t="s">
        <v>1</v>
      </c>
      <c r="C78" s="14">
        <f t="shared" ref="C78:H78" si="1">ROUND(C42,1)</f>
        <v>25.6</v>
      </c>
      <c r="D78" s="14">
        <f t="shared" si="1"/>
        <v>20.8</v>
      </c>
      <c r="E78" s="14">
        <f t="shared" si="1"/>
        <v>18.399999999999999</v>
      </c>
      <c r="F78" s="14">
        <f t="shared" si="1"/>
        <v>14.8</v>
      </c>
      <c r="G78" s="14">
        <f t="shared" si="1"/>
        <v>11</v>
      </c>
      <c r="H78" s="14">
        <f t="shared" si="1"/>
        <v>90.6</v>
      </c>
      <c r="I78" s="120">
        <f t="shared" ref="I78:I111" si="2">ROUND(I42,0)</f>
        <v>17124</v>
      </c>
      <c r="J78" s="14">
        <f t="shared" ref="J78:O78" si="3">ROUND(J42,1)</f>
        <v>27.4</v>
      </c>
      <c r="K78" s="14">
        <f t="shared" si="3"/>
        <v>23.1</v>
      </c>
      <c r="L78" s="14">
        <f t="shared" si="3"/>
        <v>18.8</v>
      </c>
      <c r="M78" s="14">
        <f t="shared" si="3"/>
        <v>13.4</v>
      </c>
      <c r="N78" s="14">
        <f t="shared" si="3"/>
        <v>9.8000000000000007</v>
      </c>
      <c r="O78" s="14">
        <f t="shared" si="3"/>
        <v>92.5</v>
      </c>
      <c r="P78" s="120">
        <f t="shared" ref="P78:P111" si="4">ROUND(P42,0)</f>
        <v>16747</v>
      </c>
      <c r="Q78" s="14">
        <f t="shared" ref="Q78:V78" si="5">ROUND(Q42,1)</f>
        <v>26.5</v>
      </c>
      <c r="R78" s="14">
        <f t="shared" si="5"/>
        <v>21.9</v>
      </c>
      <c r="S78" s="14">
        <f t="shared" si="5"/>
        <v>18.600000000000001</v>
      </c>
      <c r="T78" s="14">
        <f t="shared" si="5"/>
        <v>14.1</v>
      </c>
      <c r="U78" s="14">
        <f t="shared" si="5"/>
        <v>10.4</v>
      </c>
      <c r="V78" s="14">
        <f t="shared" si="5"/>
        <v>91.5</v>
      </c>
      <c r="W78" s="120">
        <f t="shared" ref="W78:W111" si="6">ROUND(W42,0)</f>
        <v>33871</v>
      </c>
      <c r="AY78" s="77"/>
      <c r="AZ78" s="77"/>
      <c r="BA78" s="77"/>
      <c r="BB78" s="77"/>
      <c r="BC78" s="77"/>
      <c r="BD78" s="77"/>
      <c r="BE78" s="77"/>
      <c r="BF78" s="77"/>
      <c r="BG78" s="77"/>
      <c r="BH78" s="77"/>
      <c r="BI78" s="77"/>
      <c r="BJ78" s="77"/>
      <c r="BK78" s="77"/>
      <c r="BL78" s="77"/>
      <c r="BM78" s="77"/>
      <c r="BN78" s="77"/>
      <c r="BO78" s="77"/>
      <c r="BP78" s="77"/>
      <c r="BQ78" s="77"/>
      <c r="BR78" s="77"/>
      <c r="BS78" s="77"/>
    </row>
    <row r="79" spans="1:71" x14ac:dyDescent="0.2">
      <c r="A79" s="14"/>
      <c r="B79" s="11" t="s">
        <v>2</v>
      </c>
      <c r="C79" s="14">
        <f t="shared" ref="C79:H79" si="7">ROUND(C43,1)</f>
        <v>24.4</v>
      </c>
      <c r="D79" s="14">
        <f t="shared" si="7"/>
        <v>19.2</v>
      </c>
      <c r="E79" s="14">
        <f t="shared" si="7"/>
        <v>18.5</v>
      </c>
      <c r="F79" s="14">
        <f t="shared" si="7"/>
        <v>14.9</v>
      </c>
      <c r="G79" s="14">
        <f t="shared" si="7"/>
        <v>12.1</v>
      </c>
      <c r="H79" s="14">
        <f t="shared" si="7"/>
        <v>89.1</v>
      </c>
      <c r="I79" s="120">
        <f t="shared" si="2"/>
        <v>22010</v>
      </c>
      <c r="J79" s="14">
        <f t="shared" ref="J79:O79" si="8">ROUND(J43,1)</f>
        <v>27.7</v>
      </c>
      <c r="K79" s="14">
        <f t="shared" si="8"/>
        <v>23.1</v>
      </c>
      <c r="L79" s="14">
        <f t="shared" si="8"/>
        <v>18.2</v>
      </c>
      <c r="M79" s="14">
        <f t="shared" si="8"/>
        <v>14.1</v>
      </c>
      <c r="N79" s="14">
        <f t="shared" si="8"/>
        <v>9.3000000000000007</v>
      </c>
      <c r="O79" s="14">
        <f t="shared" si="8"/>
        <v>92.4</v>
      </c>
      <c r="P79" s="120">
        <f t="shared" si="4"/>
        <v>6021</v>
      </c>
      <c r="Q79" s="14">
        <f t="shared" ref="Q79:V79" si="9">ROUND(Q43,1)</f>
        <v>25.1</v>
      </c>
      <c r="R79" s="14">
        <f t="shared" si="9"/>
        <v>20</v>
      </c>
      <c r="S79" s="14">
        <f t="shared" si="9"/>
        <v>18.399999999999999</v>
      </c>
      <c r="T79" s="14">
        <f t="shared" si="9"/>
        <v>14.7</v>
      </c>
      <c r="U79" s="14">
        <f t="shared" si="9"/>
        <v>11.5</v>
      </c>
      <c r="V79" s="14">
        <f t="shared" si="9"/>
        <v>89.8</v>
      </c>
      <c r="W79" s="120">
        <f t="shared" si="6"/>
        <v>28031</v>
      </c>
      <c r="AY79" s="77"/>
      <c r="AZ79" s="77"/>
      <c r="BA79" s="77"/>
      <c r="BB79" s="77"/>
      <c r="BC79" s="77"/>
      <c r="BD79" s="77"/>
      <c r="BE79" s="77"/>
      <c r="BF79" s="77"/>
      <c r="BG79" s="77"/>
      <c r="BH79" s="77"/>
      <c r="BI79" s="77"/>
      <c r="BJ79" s="77"/>
      <c r="BK79" s="77"/>
      <c r="BL79" s="77"/>
      <c r="BM79" s="77"/>
      <c r="BN79" s="77"/>
      <c r="BO79" s="77"/>
      <c r="BP79" s="77"/>
      <c r="BQ79" s="77"/>
      <c r="BR79" s="77"/>
      <c r="BS79" s="77"/>
    </row>
    <row r="80" spans="1:71" x14ac:dyDescent="0.2">
      <c r="A80" s="14"/>
      <c r="B80" s="11" t="s">
        <v>3</v>
      </c>
      <c r="C80" s="14">
        <f t="shared" ref="C80:H80" si="10">ROUND(C44,1)</f>
        <v>16.600000000000001</v>
      </c>
      <c r="D80" s="14">
        <f t="shared" si="10"/>
        <v>15.4</v>
      </c>
      <c r="E80" s="14">
        <f t="shared" si="10"/>
        <v>20.100000000000001</v>
      </c>
      <c r="F80" s="14">
        <f t="shared" si="10"/>
        <v>20.399999999999999</v>
      </c>
      <c r="G80" s="14">
        <f t="shared" si="10"/>
        <v>15.8</v>
      </c>
      <c r="H80" s="14">
        <f t="shared" si="10"/>
        <v>88.3</v>
      </c>
      <c r="I80" s="120">
        <f t="shared" si="2"/>
        <v>2351</v>
      </c>
      <c r="J80" s="14">
        <f t="shared" ref="J80:O80" si="11">ROUND(J44,1)</f>
        <v>13.6</v>
      </c>
      <c r="K80" s="14">
        <f t="shared" si="11"/>
        <v>16.3</v>
      </c>
      <c r="L80" s="14">
        <f t="shared" si="11"/>
        <v>22.5</v>
      </c>
      <c r="M80" s="14">
        <f t="shared" si="11"/>
        <v>21.2</v>
      </c>
      <c r="N80" s="14">
        <f t="shared" si="11"/>
        <v>16.7</v>
      </c>
      <c r="O80" s="14">
        <f t="shared" si="11"/>
        <v>90.3</v>
      </c>
      <c r="P80" s="120">
        <f t="shared" si="4"/>
        <v>1236</v>
      </c>
      <c r="Q80" s="14">
        <f t="shared" ref="Q80:V80" si="12">ROUND(Q44,1)</f>
        <v>15.6</v>
      </c>
      <c r="R80" s="14">
        <f t="shared" si="12"/>
        <v>15.7</v>
      </c>
      <c r="S80" s="14">
        <f t="shared" si="12"/>
        <v>20.9</v>
      </c>
      <c r="T80" s="14">
        <f t="shared" si="12"/>
        <v>20.7</v>
      </c>
      <c r="U80" s="14">
        <f t="shared" si="12"/>
        <v>16.100000000000001</v>
      </c>
      <c r="V80" s="14">
        <f t="shared" si="12"/>
        <v>89</v>
      </c>
      <c r="W80" s="120">
        <f t="shared" si="6"/>
        <v>3587</v>
      </c>
      <c r="AY80" s="77"/>
      <c r="AZ80" s="77"/>
      <c r="BA80" s="77"/>
      <c r="BB80" s="77"/>
      <c r="BC80" s="77"/>
      <c r="BD80" s="77"/>
      <c r="BE80" s="77"/>
      <c r="BF80" s="77"/>
      <c r="BG80" s="77"/>
      <c r="BH80" s="77"/>
      <c r="BI80" s="77"/>
      <c r="BJ80" s="77"/>
      <c r="BK80" s="77"/>
      <c r="BL80" s="77"/>
      <c r="BM80" s="77"/>
      <c r="BN80" s="77"/>
      <c r="BO80" s="77"/>
      <c r="BP80" s="77"/>
      <c r="BQ80" s="77"/>
      <c r="BR80" s="77"/>
      <c r="BS80" s="77"/>
    </row>
    <row r="81" spans="1:71" x14ac:dyDescent="0.2">
      <c r="A81" s="14"/>
      <c r="B81" s="11" t="s">
        <v>4</v>
      </c>
      <c r="C81" s="14">
        <f t="shared" ref="C81:H81" si="13">ROUND(C45,1)</f>
        <v>26.9</v>
      </c>
      <c r="D81" s="14">
        <f t="shared" si="13"/>
        <v>17.7</v>
      </c>
      <c r="E81" s="14">
        <f t="shared" si="13"/>
        <v>16</v>
      </c>
      <c r="F81" s="14">
        <f t="shared" si="13"/>
        <v>14.9</v>
      </c>
      <c r="G81" s="14">
        <f t="shared" si="13"/>
        <v>11.8</v>
      </c>
      <c r="H81" s="14">
        <f t="shared" si="13"/>
        <v>87.3</v>
      </c>
      <c r="I81" s="120">
        <f t="shared" si="2"/>
        <v>33903</v>
      </c>
      <c r="J81" s="14">
        <f t="shared" ref="J81:O81" si="14">ROUND(J45,1)</f>
        <v>27.9</v>
      </c>
      <c r="K81" s="14">
        <f t="shared" si="14"/>
        <v>20.5</v>
      </c>
      <c r="L81" s="14">
        <f t="shared" si="14"/>
        <v>17.7</v>
      </c>
      <c r="M81" s="14">
        <f t="shared" si="14"/>
        <v>14.3</v>
      </c>
      <c r="N81" s="14">
        <f t="shared" si="14"/>
        <v>10.5</v>
      </c>
      <c r="O81" s="14">
        <f t="shared" si="14"/>
        <v>90.8</v>
      </c>
      <c r="P81" s="120">
        <f t="shared" si="4"/>
        <v>20254</v>
      </c>
      <c r="Q81" s="14">
        <f t="shared" ref="Q81:V81" si="15">ROUND(Q45,1)</f>
        <v>27.3</v>
      </c>
      <c r="R81" s="14">
        <f t="shared" si="15"/>
        <v>18.8</v>
      </c>
      <c r="S81" s="14">
        <f t="shared" si="15"/>
        <v>16.600000000000001</v>
      </c>
      <c r="T81" s="14">
        <f t="shared" si="15"/>
        <v>14.6</v>
      </c>
      <c r="U81" s="14">
        <f t="shared" si="15"/>
        <v>11.3</v>
      </c>
      <c r="V81" s="14">
        <f t="shared" si="15"/>
        <v>88.6</v>
      </c>
      <c r="W81" s="120">
        <f t="shared" si="6"/>
        <v>54157</v>
      </c>
      <c r="AY81" s="77"/>
      <c r="AZ81" s="77"/>
      <c r="BA81" s="77"/>
      <c r="BB81" s="77"/>
      <c r="BC81" s="77"/>
      <c r="BD81" s="77"/>
      <c r="BE81" s="77"/>
      <c r="BF81" s="77"/>
      <c r="BG81" s="77"/>
      <c r="BH81" s="77"/>
      <c r="BI81" s="77"/>
      <c r="BJ81" s="77"/>
      <c r="BK81" s="77"/>
      <c r="BL81" s="77"/>
      <c r="BM81" s="77"/>
      <c r="BN81" s="77"/>
      <c r="BO81" s="77"/>
      <c r="BP81" s="77"/>
      <c r="BQ81" s="77"/>
      <c r="BR81" s="77"/>
      <c r="BS81" s="77"/>
    </row>
    <row r="82" spans="1:71" x14ac:dyDescent="0.2">
      <c r="A82" s="14"/>
      <c r="B82" s="11" t="s">
        <v>5</v>
      </c>
      <c r="C82" s="14">
        <f t="shared" ref="C82:H82" si="16">ROUND(C46,1)</f>
        <v>50.8</v>
      </c>
      <c r="D82" s="14">
        <f t="shared" si="16"/>
        <v>17.899999999999999</v>
      </c>
      <c r="E82" s="14">
        <f t="shared" si="16"/>
        <v>12.5</v>
      </c>
      <c r="F82" s="14">
        <f t="shared" si="16"/>
        <v>8.6999999999999993</v>
      </c>
      <c r="G82" s="14">
        <f t="shared" si="16"/>
        <v>5.0999999999999996</v>
      </c>
      <c r="H82" s="14">
        <f t="shared" si="16"/>
        <v>95.1</v>
      </c>
      <c r="I82" s="120">
        <f t="shared" si="2"/>
        <v>3737</v>
      </c>
      <c r="J82" s="14">
        <f t="shared" ref="J82:O82" si="17">ROUND(J46,1)</f>
        <v>52.8</v>
      </c>
      <c r="K82" s="14">
        <f t="shared" si="17"/>
        <v>18.8</v>
      </c>
      <c r="L82" s="14">
        <f t="shared" si="17"/>
        <v>12.3</v>
      </c>
      <c r="M82" s="14">
        <f t="shared" si="17"/>
        <v>8.3000000000000007</v>
      </c>
      <c r="N82" s="14">
        <f t="shared" si="17"/>
        <v>4.8</v>
      </c>
      <c r="O82" s="14">
        <f t="shared" si="17"/>
        <v>96.9</v>
      </c>
      <c r="P82" s="120">
        <f t="shared" si="4"/>
        <v>1326</v>
      </c>
      <c r="Q82" s="14">
        <f t="shared" ref="Q82:V82" si="18">ROUND(Q46,1)</f>
        <v>51.3</v>
      </c>
      <c r="R82" s="14">
        <f t="shared" si="18"/>
        <v>18.2</v>
      </c>
      <c r="S82" s="14">
        <f t="shared" si="18"/>
        <v>12.5</v>
      </c>
      <c r="T82" s="14">
        <f t="shared" si="18"/>
        <v>8.6</v>
      </c>
      <c r="U82" s="14">
        <f t="shared" si="18"/>
        <v>5</v>
      </c>
      <c r="V82" s="14">
        <f t="shared" si="18"/>
        <v>95.6</v>
      </c>
      <c r="W82" s="120">
        <f t="shared" si="6"/>
        <v>5063</v>
      </c>
    </row>
    <row r="83" spans="1:71" x14ac:dyDescent="0.2">
      <c r="B83" s="11" t="s">
        <v>6</v>
      </c>
      <c r="C83" s="14">
        <f t="shared" ref="C83:H83" si="19">ROUND(C47,1)</f>
        <v>14.3</v>
      </c>
      <c r="D83" s="14">
        <f t="shared" si="19"/>
        <v>15.6</v>
      </c>
      <c r="E83" s="14">
        <f t="shared" si="19"/>
        <v>24.4</v>
      </c>
      <c r="F83" s="14">
        <f t="shared" si="19"/>
        <v>22.4</v>
      </c>
      <c r="G83" s="14">
        <f t="shared" si="19"/>
        <v>13.9</v>
      </c>
      <c r="H83" s="14">
        <f t="shared" si="19"/>
        <v>90.6</v>
      </c>
      <c r="I83" s="120">
        <f t="shared" si="2"/>
        <v>9681</v>
      </c>
      <c r="J83" s="14">
        <f t="shared" ref="J83:O83" si="20">ROUND(J47,1)</f>
        <v>16.8</v>
      </c>
      <c r="K83" s="14">
        <f t="shared" si="20"/>
        <v>19.8</v>
      </c>
      <c r="L83" s="14">
        <f t="shared" si="20"/>
        <v>27.9</v>
      </c>
      <c r="M83" s="14">
        <f t="shared" si="20"/>
        <v>19</v>
      </c>
      <c r="N83" s="14">
        <f t="shared" si="20"/>
        <v>10.7</v>
      </c>
      <c r="O83" s="14">
        <f t="shared" si="20"/>
        <v>94.2</v>
      </c>
      <c r="P83" s="120">
        <f t="shared" si="4"/>
        <v>4100</v>
      </c>
      <c r="Q83" s="14">
        <f t="shared" ref="Q83:V83" si="21">ROUND(Q47,1)</f>
        <v>15.1</v>
      </c>
      <c r="R83" s="14">
        <f t="shared" si="21"/>
        <v>16.8</v>
      </c>
      <c r="S83" s="14">
        <f t="shared" si="21"/>
        <v>25.4</v>
      </c>
      <c r="T83" s="14">
        <f t="shared" si="21"/>
        <v>21.4</v>
      </c>
      <c r="U83" s="14">
        <f t="shared" si="21"/>
        <v>12.9</v>
      </c>
      <c r="V83" s="14">
        <f t="shared" si="21"/>
        <v>91.7</v>
      </c>
      <c r="W83" s="120">
        <f t="shared" si="6"/>
        <v>13781</v>
      </c>
    </row>
    <row r="84" spans="1:71" x14ac:dyDescent="0.2">
      <c r="B84" s="11" t="s">
        <v>7</v>
      </c>
      <c r="C84" s="14">
        <f t="shared" ref="C84:H84" si="22">ROUND(C48,1)</f>
        <v>10.9</v>
      </c>
      <c r="D84" s="14">
        <f t="shared" si="22"/>
        <v>13.3</v>
      </c>
      <c r="E84" s="14">
        <f t="shared" si="22"/>
        <v>18.7</v>
      </c>
      <c r="F84" s="14">
        <f t="shared" si="22"/>
        <v>21.1</v>
      </c>
      <c r="G84" s="14">
        <f t="shared" si="22"/>
        <v>16.600000000000001</v>
      </c>
      <c r="H84" s="14">
        <f t="shared" si="22"/>
        <v>80.599999999999994</v>
      </c>
      <c r="I84" s="120">
        <f t="shared" si="2"/>
        <v>9362</v>
      </c>
      <c r="J84" s="14">
        <f t="shared" ref="J84:O84" si="23">ROUND(J48,1)</f>
        <v>7.2</v>
      </c>
      <c r="K84" s="14">
        <f t="shared" si="23"/>
        <v>12.9</v>
      </c>
      <c r="L84" s="14">
        <f t="shared" si="23"/>
        <v>20.100000000000001</v>
      </c>
      <c r="M84" s="14">
        <f t="shared" si="23"/>
        <v>19</v>
      </c>
      <c r="N84" s="14">
        <f t="shared" si="23"/>
        <v>18.7</v>
      </c>
      <c r="O84" s="14">
        <f t="shared" si="23"/>
        <v>77.900000000000006</v>
      </c>
      <c r="P84" s="120">
        <f t="shared" si="4"/>
        <v>1551</v>
      </c>
      <c r="Q84" s="14">
        <f t="shared" ref="Q84:V84" si="24">ROUND(Q48,1)</f>
        <v>10.4</v>
      </c>
      <c r="R84" s="14">
        <f t="shared" si="24"/>
        <v>13.3</v>
      </c>
      <c r="S84" s="14">
        <f t="shared" si="24"/>
        <v>18.899999999999999</v>
      </c>
      <c r="T84" s="14">
        <f t="shared" si="24"/>
        <v>20.8</v>
      </c>
      <c r="U84" s="14">
        <f t="shared" si="24"/>
        <v>16.899999999999999</v>
      </c>
      <c r="V84" s="14">
        <f t="shared" si="24"/>
        <v>80.2</v>
      </c>
      <c r="W84" s="120">
        <f t="shared" si="6"/>
        <v>10913</v>
      </c>
    </row>
    <row r="85" spans="1:71" x14ac:dyDescent="0.2">
      <c r="B85" s="11" t="s">
        <v>8</v>
      </c>
      <c r="C85" s="14">
        <f t="shared" ref="C85:H85" si="25">ROUND(C49,1)</f>
        <v>5</v>
      </c>
      <c r="D85" s="14">
        <f t="shared" si="25"/>
        <v>13.9</v>
      </c>
      <c r="E85" s="14">
        <f t="shared" si="25"/>
        <v>25.3</v>
      </c>
      <c r="F85" s="14">
        <f t="shared" si="25"/>
        <v>26</v>
      </c>
      <c r="G85" s="14">
        <f t="shared" si="25"/>
        <v>18.399999999999999</v>
      </c>
      <c r="H85" s="14">
        <f t="shared" si="25"/>
        <v>88.7</v>
      </c>
      <c r="I85" s="120">
        <f t="shared" si="2"/>
        <v>6172</v>
      </c>
      <c r="J85" s="14">
        <f t="shared" ref="J85:O85" si="26">ROUND(J49,1)</f>
        <v>6</v>
      </c>
      <c r="K85" s="14">
        <f t="shared" si="26"/>
        <v>17.3</v>
      </c>
      <c r="L85" s="14">
        <f t="shared" si="26"/>
        <v>25.1</v>
      </c>
      <c r="M85" s="14">
        <f t="shared" si="26"/>
        <v>26.1</v>
      </c>
      <c r="N85" s="14">
        <f t="shared" si="26"/>
        <v>17.2</v>
      </c>
      <c r="O85" s="14">
        <f t="shared" si="26"/>
        <v>91.8</v>
      </c>
      <c r="P85" s="120">
        <f t="shared" si="4"/>
        <v>3044</v>
      </c>
      <c r="Q85" s="14">
        <f t="shared" ref="Q85:V85" si="27">ROUND(Q49,1)</f>
        <v>5.3</v>
      </c>
      <c r="R85" s="14">
        <f t="shared" si="27"/>
        <v>15</v>
      </c>
      <c r="S85" s="14">
        <f t="shared" si="27"/>
        <v>25.2</v>
      </c>
      <c r="T85" s="14">
        <f t="shared" si="27"/>
        <v>26.1</v>
      </c>
      <c r="U85" s="14">
        <f t="shared" si="27"/>
        <v>18</v>
      </c>
      <c r="V85" s="14">
        <f t="shared" si="27"/>
        <v>89.7</v>
      </c>
      <c r="W85" s="120">
        <f t="shared" si="6"/>
        <v>9216</v>
      </c>
    </row>
    <row r="86" spans="1:71" x14ac:dyDescent="0.2">
      <c r="B86" s="11" t="s">
        <v>9</v>
      </c>
      <c r="C86" s="14">
        <f t="shared" ref="C86:H86" si="28">ROUND(C50,1)</f>
        <v>5.3</v>
      </c>
      <c r="D86" s="14">
        <f t="shared" si="28"/>
        <v>6.7</v>
      </c>
      <c r="E86" s="14">
        <f t="shared" si="28"/>
        <v>32</v>
      </c>
      <c r="F86" s="14">
        <f t="shared" si="28"/>
        <v>16</v>
      </c>
      <c r="G86" s="14">
        <f t="shared" si="28"/>
        <v>14.7</v>
      </c>
      <c r="H86" s="14">
        <f t="shared" si="28"/>
        <v>74.7</v>
      </c>
      <c r="I86" s="120">
        <f t="shared" si="2"/>
        <v>75</v>
      </c>
      <c r="J86" s="14">
        <f t="shared" ref="J86:O86" si="29">ROUND(J50,1)</f>
        <v>13.5</v>
      </c>
      <c r="K86" s="14">
        <f t="shared" si="29"/>
        <v>17.3</v>
      </c>
      <c r="L86" s="14">
        <f t="shared" si="29"/>
        <v>18.7</v>
      </c>
      <c r="M86" s="14">
        <f t="shared" si="29"/>
        <v>20.7</v>
      </c>
      <c r="N86" s="14">
        <f t="shared" si="29"/>
        <v>15.1</v>
      </c>
      <c r="O86" s="14">
        <f t="shared" si="29"/>
        <v>85.2</v>
      </c>
      <c r="P86" s="120">
        <f t="shared" si="4"/>
        <v>1115</v>
      </c>
      <c r="Q86" s="14">
        <f t="shared" ref="Q86:V86" si="30">ROUND(Q50,1)</f>
        <v>12.9</v>
      </c>
      <c r="R86" s="14">
        <f t="shared" si="30"/>
        <v>16.600000000000001</v>
      </c>
      <c r="S86" s="14">
        <f t="shared" si="30"/>
        <v>19.5</v>
      </c>
      <c r="T86" s="14">
        <f t="shared" si="30"/>
        <v>20.399999999999999</v>
      </c>
      <c r="U86" s="14">
        <f t="shared" si="30"/>
        <v>15</v>
      </c>
      <c r="V86" s="14">
        <f t="shared" si="30"/>
        <v>84.5</v>
      </c>
      <c r="W86" s="120">
        <f t="shared" si="6"/>
        <v>1190</v>
      </c>
    </row>
    <row r="87" spans="1:71" x14ac:dyDescent="0.2">
      <c r="B87" s="11" t="s">
        <v>10</v>
      </c>
      <c r="C87" s="14">
        <f t="shared" ref="C87:H87" si="31">ROUND(C51,1)</f>
        <v>10.5</v>
      </c>
      <c r="D87" s="14">
        <f t="shared" si="31"/>
        <v>18.399999999999999</v>
      </c>
      <c r="E87" s="14">
        <f t="shared" si="31"/>
        <v>15.4</v>
      </c>
      <c r="F87" s="14">
        <f t="shared" si="31"/>
        <v>15.8</v>
      </c>
      <c r="G87" s="14">
        <f t="shared" si="31"/>
        <v>12.7</v>
      </c>
      <c r="H87" s="14">
        <f t="shared" si="31"/>
        <v>72.7</v>
      </c>
      <c r="I87" s="120">
        <f t="shared" si="2"/>
        <v>1174</v>
      </c>
      <c r="J87" s="14">
        <f t="shared" ref="J87:O87" si="32">ROUND(J51,1)</f>
        <v>9.6999999999999993</v>
      </c>
      <c r="K87" s="14">
        <f t="shared" si="32"/>
        <v>15.3</v>
      </c>
      <c r="L87" s="14">
        <f t="shared" si="32"/>
        <v>16</v>
      </c>
      <c r="M87" s="14">
        <f t="shared" si="32"/>
        <v>17.8</v>
      </c>
      <c r="N87" s="14">
        <f t="shared" si="32"/>
        <v>15.3</v>
      </c>
      <c r="O87" s="14">
        <f t="shared" si="32"/>
        <v>74.2</v>
      </c>
      <c r="P87" s="120">
        <f t="shared" si="4"/>
        <v>782</v>
      </c>
      <c r="Q87" s="14">
        <f t="shared" ref="Q87:V87" si="33">ROUND(Q51,1)</f>
        <v>10.199999999999999</v>
      </c>
      <c r="R87" s="14">
        <f t="shared" si="33"/>
        <v>17.2</v>
      </c>
      <c r="S87" s="14">
        <f t="shared" si="33"/>
        <v>15.6</v>
      </c>
      <c r="T87" s="14">
        <f t="shared" si="33"/>
        <v>16.600000000000001</v>
      </c>
      <c r="U87" s="14">
        <f t="shared" si="33"/>
        <v>13.8</v>
      </c>
      <c r="V87" s="14">
        <f t="shared" si="33"/>
        <v>73.3</v>
      </c>
      <c r="W87" s="120">
        <f t="shared" si="6"/>
        <v>1956</v>
      </c>
    </row>
    <row r="88" spans="1:71" x14ac:dyDescent="0.2">
      <c r="B88" s="11" t="s">
        <v>11</v>
      </c>
      <c r="C88" s="14">
        <f t="shared" ref="C88:H88" si="34">ROUND(C52,1)</f>
        <v>10.4</v>
      </c>
      <c r="D88" s="14">
        <f t="shared" si="34"/>
        <v>21.1</v>
      </c>
      <c r="E88" s="14">
        <f t="shared" si="34"/>
        <v>26.2</v>
      </c>
      <c r="F88" s="14">
        <f t="shared" si="34"/>
        <v>21.5</v>
      </c>
      <c r="G88" s="14">
        <f t="shared" si="34"/>
        <v>12</v>
      </c>
      <c r="H88" s="14">
        <f t="shared" si="34"/>
        <v>91.3</v>
      </c>
      <c r="I88" s="120">
        <f t="shared" si="2"/>
        <v>17040</v>
      </c>
      <c r="J88" s="14">
        <f t="shared" ref="J88:O88" si="35">ROUND(J52,1)</f>
        <v>11.7</v>
      </c>
      <c r="K88" s="14">
        <f t="shared" si="35"/>
        <v>21.5</v>
      </c>
      <c r="L88" s="14">
        <f t="shared" si="35"/>
        <v>25.8</v>
      </c>
      <c r="M88" s="14">
        <f t="shared" si="35"/>
        <v>19.899999999999999</v>
      </c>
      <c r="N88" s="14">
        <f t="shared" si="35"/>
        <v>12.2</v>
      </c>
      <c r="O88" s="14">
        <f t="shared" si="35"/>
        <v>91.1</v>
      </c>
      <c r="P88" s="120">
        <f t="shared" si="4"/>
        <v>13800</v>
      </c>
      <c r="Q88" s="14">
        <f t="shared" ref="Q88:V88" si="36">ROUND(Q52,1)</f>
        <v>11</v>
      </c>
      <c r="R88" s="14">
        <f t="shared" si="36"/>
        <v>21.3</v>
      </c>
      <c r="S88" s="14">
        <f t="shared" si="36"/>
        <v>26</v>
      </c>
      <c r="T88" s="14">
        <f t="shared" si="36"/>
        <v>20.8</v>
      </c>
      <c r="U88" s="14">
        <f t="shared" si="36"/>
        <v>12.1</v>
      </c>
      <c r="V88" s="14">
        <f t="shared" si="36"/>
        <v>91.2</v>
      </c>
      <c r="W88" s="120">
        <f t="shared" si="6"/>
        <v>30840</v>
      </c>
    </row>
    <row r="89" spans="1:71" x14ac:dyDescent="0.2">
      <c r="B89" s="11" t="s">
        <v>12</v>
      </c>
      <c r="C89" s="14">
        <f t="shared" ref="C89:H89" si="37">ROUND(C53,1)</f>
        <v>22.4</v>
      </c>
      <c r="D89" s="14">
        <f t="shared" si="37"/>
        <v>19.100000000000001</v>
      </c>
      <c r="E89" s="14">
        <f t="shared" si="37"/>
        <v>20.2</v>
      </c>
      <c r="F89" s="14">
        <f t="shared" si="37"/>
        <v>17.600000000000001</v>
      </c>
      <c r="G89" s="14">
        <f t="shared" si="37"/>
        <v>11.2</v>
      </c>
      <c r="H89" s="14">
        <f t="shared" si="37"/>
        <v>90.5</v>
      </c>
      <c r="I89" s="120">
        <f t="shared" si="2"/>
        <v>11230</v>
      </c>
      <c r="J89" s="14">
        <f t="shared" ref="J89:O89" si="38">ROUND(J53,1)</f>
        <v>22.5</v>
      </c>
      <c r="K89" s="14">
        <f t="shared" si="38"/>
        <v>18.399999999999999</v>
      </c>
      <c r="L89" s="14">
        <f t="shared" si="38"/>
        <v>20.2</v>
      </c>
      <c r="M89" s="14">
        <f t="shared" si="38"/>
        <v>17.399999999999999</v>
      </c>
      <c r="N89" s="14">
        <f t="shared" si="38"/>
        <v>11.1</v>
      </c>
      <c r="O89" s="14">
        <f t="shared" si="38"/>
        <v>89.6</v>
      </c>
      <c r="P89" s="120">
        <f t="shared" si="4"/>
        <v>5698</v>
      </c>
      <c r="Q89" s="14">
        <f t="shared" ref="Q89:V89" si="39">ROUND(Q53,1)</f>
        <v>22.4</v>
      </c>
      <c r="R89" s="14">
        <f t="shared" si="39"/>
        <v>18.899999999999999</v>
      </c>
      <c r="S89" s="14">
        <f t="shared" si="39"/>
        <v>20.2</v>
      </c>
      <c r="T89" s="14">
        <f t="shared" si="39"/>
        <v>17.5</v>
      </c>
      <c r="U89" s="14">
        <f t="shared" si="39"/>
        <v>11.2</v>
      </c>
      <c r="V89" s="14">
        <f t="shared" si="39"/>
        <v>90.2</v>
      </c>
      <c r="W89" s="120">
        <f t="shared" si="6"/>
        <v>16928</v>
      </c>
    </row>
    <row r="90" spans="1:71" x14ac:dyDescent="0.2">
      <c r="B90" s="11" t="s">
        <v>13</v>
      </c>
      <c r="C90" s="14">
        <f t="shared" ref="C90:H90" si="40">ROUND(C54,1)</f>
        <v>15.9</v>
      </c>
      <c r="D90" s="14">
        <f t="shared" si="40"/>
        <v>21.6</v>
      </c>
      <c r="E90" s="14">
        <f t="shared" si="40"/>
        <v>22.7</v>
      </c>
      <c r="F90" s="14">
        <f t="shared" si="40"/>
        <v>19.3</v>
      </c>
      <c r="G90" s="14">
        <f t="shared" si="40"/>
        <v>12.3</v>
      </c>
      <c r="H90" s="14">
        <f t="shared" si="40"/>
        <v>91.8</v>
      </c>
      <c r="I90" s="120">
        <f t="shared" si="2"/>
        <v>17905</v>
      </c>
      <c r="J90" s="14">
        <f t="shared" ref="J90:O90" si="41">ROUND(J54,1)</f>
        <v>23.1</v>
      </c>
      <c r="K90" s="14">
        <f t="shared" si="41"/>
        <v>23.4</v>
      </c>
      <c r="L90" s="14">
        <f t="shared" si="41"/>
        <v>22.3</v>
      </c>
      <c r="M90" s="14">
        <f t="shared" si="41"/>
        <v>15.9</v>
      </c>
      <c r="N90" s="14">
        <f t="shared" si="41"/>
        <v>9.3000000000000007</v>
      </c>
      <c r="O90" s="14">
        <f t="shared" si="41"/>
        <v>94</v>
      </c>
      <c r="P90" s="120">
        <f t="shared" si="4"/>
        <v>15201</v>
      </c>
      <c r="Q90" s="14">
        <f t="shared" ref="Q90:V90" si="42">ROUND(Q54,1)</f>
        <v>19.2</v>
      </c>
      <c r="R90" s="14">
        <f t="shared" si="42"/>
        <v>22.4</v>
      </c>
      <c r="S90" s="14">
        <f t="shared" si="42"/>
        <v>22.5</v>
      </c>
      <c r="T90" s="14">
        <f t="shared" si="42"/>
        <v>17.8</v>
      </c>
      <c r="U90" s="14">
        <f t="shared" si="42"/>
        <v>10.9</v>
      </c>
      <c r="V90" s="14">
        <f t="shared" si="42"/>
        <v>92.8</v>
      </c>
      <c r="W90" s="120">
        <f t="shared" si="6"/>
        <v>33106</v>
      </c>
    </row>
    <row r="91" spans="1:71" x14ac:dyDescent="0.2">
      <c r="B91" s="11" t="s">
        <v>14</v>
      </c>
      <c r="C91" s="14">
        <f t="shared" ref="C91:H91" si="43">ROUND(C55,1)</f>
        <v>21.7</v>
      </c>
      <c r="D91" s="14">
        <f t="shared" si="43"/>
        <v>21.7</v>
      </c>
      <c r="E91" s="14">
        <f t="shared" si="43"/>
        <v>23</v>
      </c>
      <c r="F91" s="14">
        <f t="shared" si="43"/>
        <v>16.8</v>
      </c>
      <c r="G91" s="14">
        <f t="shared" si="43"/>
        <v>9.8000000000000007</v>
      </c>
      <c r="H91" s="14">
        <f t="shared" si="43"/>
        <v>93</v>
      </c>
      <c r="I91" s="120">
        <f t="shared" si="2"/>
        <v>4111</v>
      </c>
      <c r="J91" s="14">
        <f t="shared" ref="J91:O91" si="44">ROUND(J55,1)</f>
        <v>23</v>
      </c>
      <c r="K91" s="14">
        <f t="shared" si="44"/>
        <v>23.5</v>
      </c>
      <c r="L91" s="14">
        <f t="shared" si="44"/>
        <v>21.4</v>
      </c>
      <c r="M91" s="14">
        <f t="shared" si="44"/>
        <v>15.4</v>
      </c>
      <c r="N91" s="14">
        <f t="shared" si="44"/>
        <v>8.6999999999999993</v>
      </c>
      <c r="O91" s="14">
        <f t="shared" si="44"/>
        <v>91.9</v>
      </c>
      <c r="P91" s="120">
        <f t="shared" si="4"/>
        <v>3032</v>
      </c>
      <c r="Q91" s="14">
        <f t="shared" ref="Q91:V91" si="45">ROUND(Q55,1)</f>
        <v>22.3</v>
      </c>
      <c r="R91" s="14">
        <f t="shared" si="45"/>
        <v>22.5</v>
      </c>
      <c r="S91" s="14">
        <f t="shared" si="45"/>
        <v>22.3</v>
      </c>
      <c r="T91" s="14">
        <f t="shared" si="45"/>
        <v>16.2</v>
      </c>
      <c r="U91" s="14">
        <f t="shared" si="45"/>
        <v>9.3000000000000007</v>
      </c>
      <c r="V91" s="14">
        <f t="shared" si="45"/>
        <v>92.5</v>
      </c>
      <c r="W91" s="120">
        <f t="shared" si="6"/>
        <v>7143</v>
      </c>
    </row>
    <row r="92" spans="1:71" x14ac:dyDescent="0.2">
      <c r="B92" s="11" t="s">
        <v>15</v>
      </c>
      <c r="C92" s="14">
        <f t="shared" ref="C92:H92" si="46">ROUND(C56,1)</f>
        <v>18.3</v>
      </c>
      <c r="D92" s="14">
        <f t="shared" si="46"/>
        <v>21.2</v>
      </c>
      <c r="E92" s="14">
        <f t="shared" si="46"/>
        <v>22.4</v>
      </c>
      <c r="F92" s="14">
        <f t="shared" si="46"/>
        <v>17.600000000000001</v>
      </c>
      <c r="G92" s="14">
        <f t="shared" si="46"/>
        <v>10.199999999999999</v>
      </c>
      <c r="H92" s="14">
        <f t="shared" si="46"/>
        <v>89.7</v>
      </c>
      <c r="I92" s="120">
        <f t="shared" si="2"/>
        <v>15893</v>
      </c>
      <c r="J92" s="14">
        <f t="shared" ref="J92:O92" si="47">ROUND(J56,1)</f>
        <v>18.899999999999999</v>
      </c>
      <c r="K92" s="14">
        <f t="shared" si="47"/>
        <v>20.7</v>
      </c>
      <c r="L92" s="14">
        <f t="shared" si="47"/>
        <v>21.8</v>
      </c>
      <c r="M92" s="14">
        <f t="shared" si="47"/>
        <v>17.399999999999999</v>
      </c>
      <c r="N92" s="14">
        <f t="shared" si="47"/>
        <v>10.199999999999999</v>
      </c>
      <c r="O92" s="14">
        <f t="shared" si="47"/>
        <v>89</v>
      </c>
      <c r="P92" s="120">
        <f t="shared" si="4"/>
        <v>17937</v>
      </c>
      <c r="Q92" s="14">
        <f t="shared" ref="Q92:V92" si="48">ROUND(Q56,1)</f>
        <v>18.600000000000001</v>
      </c>
      <c r="R92" s="14">
        <f t="shared" si="48"/>
        <v>20.9</v>
      </c>
      <c r="S92" s="14">
        <f t="shared" si="48"/>
        <v>22.1</v>
      </c>
      <c r="T92" s="14">
        <f t="shared" si="48"/>
        <v>17.5</v>
      </c>
      <c r="U92" s="14">
        <f t="shared" si="48"/>
        <v>10.199999999999999</v>
      </c>
      <c r="V92" s="14">
        <f t="shared" si="48"/>
        <v>89.3</v>
      </c>
      <c r="W92" s="120">
        <f t="shared" si="6"/>
        <v>33830</v>
      </c>
    </row>
    <row r="93" spans="1:71" x14ac:dyDescent="0.2">
      <c r="B93" s="11" t="s">
        <v>16</v>
      </c>
      <c r="C93" s="14">
        <f t="shared" ref="C93:H93" si="49">ROUND(C57,1)</f>
        <v>11.2</v>
      </c>
      <c r="D93" s="14">
        <f t="shared" si="49"/>
        <v>14</v>
      </c>
      <c r="E93" s="14">
        <f t="shared" si="49"/>
        <v>17.899999999999999</v>
      </c>
      <c r="F93" s="14">
        <f t="shared" si="49"/>
        <v>17.2</v>
      </c>
      <c r="G93" s="14">
        <f t="shared" si="49"/>
        <v>16.600000000000001</v>
      </c>
      <c r="H93" s="14">
        <f t="shared" si="49"/>
        <v>76.8</v>
      </c>
      <c r="I93" s="120">
        <f t="shared" si="2"/>
        <v>2893</v>
      </c>
      <c r="J93" s="14">
        <f t="shared" ref="J93:O93" si="50">ROUND(J57,1)</f>
        <v>13.4</v>
      </c>
      <c r="K93" s="14">
        <f t="shared" si="50"/>
        <v>15.8</v>
      </c>
      <c r="L93" s="14">
        <f t="shared" si="50"/>
        <v>18.2</v>
      </c>
      <c r="M93" s="14">
        <f t="shared" si="50"/>
        <v>17.2</v>
      </c>
      <c r="N93" s="14">
        <f t="shared" si="50"/>
        <v>14.4</v>
      </c>
      <c r="O93" s="14">
        <f t="shared" si="50"/>
        <v>79</v>
      </c>
      <c r="P93" s="120">
        <f t="shared" si="4"/>
        <v>4505</v>
      </c>
      <c r="Q93" s="14">
        <f t="shared" ref="Q93:V93" si="51">ROUND(Q57,1)</f>
        <v>12.5</v>
      </c>
      <c r="R93" s="14">
        <f t="shared" si="51"/>
        <v>15.1</v>
      </c>
      <c r="S93" s="14">
        <f t="shared" si="51"/>
        <v>18.100000000000001</v>
      </c>
      <c r="T93" s="14">
        <f t="shared" si="51"/>
        <v>17.2</v>
      </c>
      <c r="U93" s="14">
        <f t="shared" si="51"/>
        <v>15.2</v>
      </c>
      <c r="V93" s="14">
        <f t="shared" si="51"/>
        <v>78.2</v>
      </c>
      <c r="W93" s="120">
        <f t="shared" si="6"/>
        <v>7398</v>
      </c>
    </row>
    <row r="94" spans="1:71" x14ac:dyDescent="0.2">
      <c r="B94" s="11" t="s">
        <v>17</v>
      </c>
      <c r="C94" s="14">
        <f t="shared" ref="C94:H94" si="52">ROUND(C58,1)</f>
        <v>8.9</v>
      </c>
      <c r="D94" s="14">
        <f t="shared" si="52"/>
        <v>16.3</v>
      </c>
      <c r="E94" s="14">
        <f t="shared" si="52"/>
        <v>21.1</v>
      </c>
      <c r="F94" s="14">
        <f t="shared" si="52"/>
        <v>19.899999999999999</v>
      </c>
      <c r="G94" s="14">
        <f t="shared" si="52"/>
        <v>14.9</v>
      </c>
      <c r="H94" s="14">
        <f t="shared" si="52"/>
        <v>81.099999999999994</v>
      </c>
      <c r="I94" s="120">
        <f t="shared" si="2"/>
        <v>5911</v>
      </c>
      <c r="J94" s="14">
        <f t="shared" ref="J94:O94" si="53">ROUND(J58,1)</f>
        <v>15</v>
      </c>
      <c r="K94" s="14">
        <f t="shared" si="53"/>
        <v>21.7</v>
      </c>
      <c r="L94" s="14">
        <f t="shared" si="53"/>
        <v>22.5</v>
      </c>
      <c r="M94" s="14">
        <f t="shared" si="53"/>
        <v>17.7</v>
      </c>
      <c r="N94" s="14">
        <f t="shared" si="53"/>
        <v>12.5</v>
      </c>
      <c r="O94" s="14">
        <f t="shared" si="53"/>
        <v>89.4</v>
      </c>
      <c r="P94" s="120">
        <f t="shared" si="4"/>
        <v>20772</v>
      </c>
      <c r="Q94" s="14">
        <f t="shared" ref="Q94:V94" si="54">ROUND(Q58,1)</f>
        <v>13.7</v>
      </c>
      <c r="R94" s="14">
        <f t="shared" si="54"/>
        <v>20.5</v>
      </c>
      <c r="S94" s="14">
        <f t="shared" si="54"/>
        <v>22.2</v>
      </c>
      <c r="T94" s="14">
        <f t="shared" si="54"/>
        <v>18.2</v>
      </c>
      <c r="U94" s="14">
        <f t="shared" si="54"/>
        <v>13</v>
      </c>
      <c r="V94" s="14">
        <f t="shared" si="54"/>
        <v>87.5</v>
      </c>
      <c r="W94" s="120">
        <f t="shared" si="6"/>
        <v>26683</v>
      </c>
    </row>
    <row r="95" spans="1:71" x14ac:dyDescent="0.2">
      <c r="B95" s="11" t="s">
        <v>18</v>
      </c>
      <c r="C95" s="14">
        <f t="shared" ref="C95:H95" si="55">ROUND(C59,1)</f>
        <v>12.5</v>
      </c>
      <c r="D95" s="14">
        <f t="shared" si="55"/>
        <v>16.600000000000001</v>
      </c>
      <c r="E95" s="14">
        <f t="shared" si="55"/>
        <v>20.100000000000001</v>
      </c>
      <c r="F95" s="14">
        <f t="shared" si="55"/>
        <v>18.3</v>
      </c>
      <c r="G95" s="14">
        <f t="shared" si="55"/>
        <v>14.2</v>
      </c>
      <c r="H95" s="14">
        <f t="shared" si="55"/>
        <v>81.7</v>
      </c>
      <c r="I95" s="120">
        <f t="shared" si="2"/>
        <v>4482</v>
      </c>
      <c r="J95" s="14">
        <f t="shared" ref="J95:O95" si="56">ROUND(J59,1)</f>
        <v>15.5</v>
      </c>
      <c r="K95" s="14">
        <f t="shared" si="56"/>
        <v>21.2</v>
      </c>
      <c r="L95" s="14">
        <f t="shared" si="56"/>
        <v>20.9</v>
      </c>
      <c r="M95" s="14">
        <f t="shared" si="56"/>
        <v>16.5</v>
      </c>
      <c r="N95" s="14">
        <f t="shared" si="56"/>
        <v>12.8</v>
      </c>
      <c r="O95" s="14">
        <f t="shared" si="56"/>
        <v>86.8</v>
      </c>
      <c r="P95" s="120">
        <f t="shared" si="4"/>
        <v>14609</v>
      </c>
      <c r="Q95" s="14">
        <f t="shared" ref="Q95:V95" si="57">ROUND(Q59,1)</f>
        <v>14.8</v>
      </c>
      <c r="R95" s="14">
        <f t="shared" si="57"/>
        <v>20.100000000000001</v>
      </c>
      <c r="S95" s="14">
        <f t="shared" si="57"/>
        <v>20.7</v>
      </c>
      <c r="T95" s="14">
        <f t="shared" si="57"/>
        <v>16.899999999999999</v>
      </c>
      <c r="U95" s="14">
        <f t="shared" si="57"/>
        <v>13.1</v>
      </c>
      <c r="V95" s="14">
        <f t="shared" si="57"/>
        <v>85.6</v>
      </c>
      <c r="W95" s="120">
        <f t="shared" si="6"/>
        <v>19091</v>
      </c>
    </row>
    <row r="96" spans="1:71" x14ac:dyDescent="0.2">
      <c r="B96" s="11" t="s">
        <v>19</v>
      </c>
      <c r="C96" s="14">
        <f t="shared" ref="C96:H96" si="58">ROUND(C60,1)</f>
        <v>10.5</v>
      </c>
      <c r="D96" s="14">
        <f t="shared" si="58"/>
        <v>17</v>
      </c>
      <c r="E96" s="14">
        <f t="shared" si="58"/>
        <v>20.3</v>
      </c>
      <c r="F96" s="14">
        <f t="shared" si="58"/>
        <v>18.600000000000001</v>
      </c>
      <c r="G96" s="14">
        <f t="shared" si="58"/>
        <v>12.1</v>
      </c>
      <c r="H96" s="14">
        <f t="shared" si="58"/>
        <v>78.400000000000006</v>
      </c>
      <c r="I96" s="120">
        <f t="shared" si="2"/>
        <v>630</v>
      </c>
      <c r="J96" s="14">
        <f t="shared" ref="J96:O96" si="59">ROUND(J60,1)</f>
        <v>14.6</v>
      </c>
      <c r="K96" s="14">
        <f t="shared" si="59"/>
        <v>19.5</v>
      </c>
      <c r="L96" s="14">
        <f t="shared" si="59"/>
        <v>20.2</v>
      </c>
      <c r="M96" s="14">
        <f t="shared" si="59"/>
        <v>14.1</v>
      </c>
      <c r="N96" s="14">
        <f t="shared" si="59"/>
        <v>13.5</v>
      </c>
      <c r="O96" s="14">
        <f t="shared" si="59"/>
        <v>81.900000000000006</v>
      </c>
      <c r="P96" s="120">
        <f t="shared" si="4"/>
        <v>724</v>
      </c>
      <c r="Q96" s="14">
        <f t="shared" ref="Q96:V96" si="60">ROUND(Q60,1)</f>
        <v>12.7</v>
      </c>
      <c r="R96" s="14">
        <f t="shared" si="60"/>
        <v>18.3</v>
      </c>
      <c r="S96" s="14">
        <f t="shared" si="60"/>
        <v>20.2</v>
      </c>
      <c r="T96" s="14">
        <f t="shared" si="60"/>
        <v>16.2</v>
      </c>
      <c r="U96" s="14">
        <f t="shared" si="60"/>
        <v>12.9</v>
      </c>
      <c r="V96" s="14">
        <f t="shared" si="60"/>
        <v>80.3</v>
      </c>
      <c r="W96" s="120">
        <f t="shared" si="6"/>
        <v>1354</v>
      </c>
    </row>
    <row r="97" spans="2:23" x14ac:dyDescent="0.2">
      <c r="B97" s="11" t="s">
        <v>20</v>
      </c>
      <c r="C97" s="14">
        <f t="shared" ref="C97:H97" si="61">ROUND(C61,1)</f>
        <v>22.7</v>
      </c>
      <c r="D97" s="14">
        <f t="shared" si="61"/>
        <v>18.100000000000001</v>
      </c>
      <c r="E97" s="14">
        <f t="shared" si="61"/>
        <v>23.9</v>
      </c>
      <c r="F97" s="14">
        <f t="shared" si="61"/>
        <v>18.399999999999999</v>
      </c>
      <c r="G97" s="14">
        <f t="shared" si="61"/>
        <v>9.9</v>
      </c>
      <c r="H97" s="14">
        <f t="shared" si="61"/>
        <v>93.1</v>
      </c>
      <c r="I97" s="120">
        <f t="shared" si="2"/>
        <v>12404</v>
      </c>
      <c r="J97" s="14">
        <f t="shared" ref="J97:O97" si="62">ROUND(J61,1)</f>
        <v>27.1</v>
      </c>
      <c r="K97" s="14">
        <f t="shared" si="62"/>
        <v>22.2</v>
      </c>
      <c r="L97" s="14">
        <f t="shared" si="62"/>
        <v>25.1</v>
      </c>
      <c r="M97" s="14">
        <f t="shared" si="62"/>
        <v>15.2</v>
      </c>
      <c r="N97" s="14">
        <f t="shared" si="62"/>
        <v>6.6</v>
      </c>
      <c r="O97" s="14">
        <f t="shared" si="62"/>
        <v>96.2</v>
      </c>
      <c r="P97" s="120">
        <f t="shared" si="4"/>
        <v>22933</v>
      </c>
      <c r="Q97" s="14">
        <f t="shared" ref="Q97:V97" si="63">ROUND(Q61,1)</f>
        <v>25.6</v>
      </c>
      <c r="R97" s="14">
        <f t="shared" si="63"/>
        <v>20.8</v>
      </c>
      <c r="S97" s="14">
        <f t="shared" si="63"/>
        <v>24.7</v>
      </c>
      <c r="T97" s="14">
        <f t="shared" si="63"/>
        <v>16.3</v>
      </c>
      <c r="U97" s="14">
        <f t="shared" si="63"/>
        <v>7.8</v>
      </c>
      <c r="V97" s="14">
        <f t="shared" si="63"/>
        <v>95.1</v>
      </c>
      <c r="W97" s="120">
        <f t="shared" si="6"/>
        <v>35337</v>
      </c>
    </row>
    <row r="98" spans="2:23" x14ac:dyDescent="0.2">
      <c r="B98" s="11" t="s">
        <v>21</v>
      </c>
      <c r="C98" s="14">
        <f t="shared" ref="C98:H98" si="64">ROUND(C62,1)</f>
        <v>10.7</v>
      </c>
      <c r="D98" s="14">
        <f t="shared" si="64"/>
        <v>15.8</v>
      </c>
      <c r="E98" s="14">
        <f t="shared" si="64"/>
        <v>30</v>
      </c>
      <c r="F98" s="14">
        <f t="shared" si="64"/>
        <v>22.1</v>
      </c>
      <c r="G98" s="14">
        <f t="shared" si="64"/>
        <v>12.6</v>
      </c>
      <c r="H98" s="14">
        <f t="shared" si="64"/>
        <v>91.3</v>
      </c>
      <c r="I98" s="120">
        <f t="shared" si="2"/>
        <v>3175</v>
      </c>
      <c r="J98" s="14">
        <f t="shared" ref="J98:O98" si="65">ROUND(J62,1)</f>
        <v>16.399999999999999</v>
      </c>
      <c r="K98" s="14">
        <f t="shared" si="65"/>
        <v>18.399999999999999</v>
      </c>
      <c r="L98" s="14">
        <f t="shared" si="65"/>
        <v>28.9</v>
      </c>
      <c r="M98" s="14">
        <f t="shared" si="65"/>
        <v>20.100000000000001</v>
      </c>
      <c r="N98" s="14">
        <f t="shared" si="65"/>
        <v>10.1</v>
      </c>
      <c r="O98" s="14">
        <f t="shared" si="65"/>
        <v>94</v>
      </c>
      <c r="P98" s="120">
        <f t="shared" si="4"/>
        <v>8610</v>
      </c>
      <c r="Q98" s="14">
        <f t="shared" ref="Q98:V98" si="66">ROUND(Q62,1)</f>
        <v>14.9</v>
      </c>
      <c r="R98" s="14">
        <f t="shared" si="66"/>
        <v>17.7</v>
      </c>
      <c r="S98" s="14">
        <f t="shared" si="66"/>
        <v>29.2</v>
      </c>
      <c r="T98" s="14">
        <f t="shared" si="66"/>
        <v>20.7</v>
      </c>
      <c r="U98" s="14">
        <f t="shared" si="66"/>
        <v>10.8</v>
      </c>
      <c r="V98" s="14">
        <f t="shared" si="66"/>
        <v>93.2</v>
      </c>
      <c r="W98" s="120">
        <f t="shared" si="6"/>
        <v>11785</v>
      </c>
    </row>
    <row r="99" spans="2:23" x14ac:dyDescent="0.2">
      <c r="B99" s="11" t="s">
        <v>22</v>
      </c>
      <c r="C99" s="14">
        <f t="shared" ref="C99:H99" si="67">ROUND(C63,1)</f>
        <v>17.5</v>
      </c>
      <c r="D99" s="14">
        <f t="shared" si="67"/>
        <v>20.2</v>
      </c>
      <c r="E99" s="14">
        <f t="shared" si="67"/>
        <v>23.3</v>
      </c>
      <c r="F99" s="14">
        <f t="shared" si="67"/>
        <v>19.7</v>
      </c>
      <c r="G99" s="14">
        <f t="shared" si="67"/>
        <v>12.1</v>
      </c>
      <c r="H99" s="14">
        <f t="shared" si="67"/>
        <v>92.7</v>
      </c>
      <c r="I99" s="120">
        <f t="shared" si="2"/>
        <v>21760</v>
      </c>
      <c r="J99" s="14">
        <f t="shared" ref="J99:O99" si="68">ROUND(J63,1)</f>
        <v>16.2</v>
      </c>
      <c r="K99" s="14">
        <f t="shared" si="68"/>
        <v>19.7</v>
      </c>
      <c r="L99" s="14">
        <f t="shared" si="68"/>
        <v>24.7</v>
      </c>
      <c r="M99" s="14">
        <f t="shared" si="68"/>
        <v>21.3</v>
      </c>
      <c r="N99" s="14">
        <f t="shared" si="68"/>
        <v>12.1</v>
      </c>
      <c r="O99" s="14">
        <f t="shared" si="68"/>
        <v>94.1</v>
      </c>
      <c r="P99" s="120">
        <f t="shared" si="4"/>
        <v>51989</v>
      </c>
      <c r="Q99" s="14">
        <f t="shared" ref="Q99:V99" si="69">ROUND(Q63,1)</f>
        <v>16.600000000000001</v>
      </c>
      <c r="R99" s="14">
        <f t="shared" si="69"/>
        <v>19.8</v>
      </c>
      <c r="S99" s="14">
        <f t="shared" si="69"/>
        <v>24.3</v>
      </c>
      <c r="T99" s="14">
        <f t="shared" si="69"/>
        <v>20.8</v>
      </c>
      <c r="U99" s="14">
        <f t="shared" si="69"/>
        <v>12.1</v>
      </c>
      <c r="V99" s="14">
        <f t="shared" si="69"/>
        <v>93.7</v>
      </c>
      <c r="W99" s="120">
        <f t="shared" si="6"/>
        <v>73749</v>
      </c>
    </row>
    <row r="100" spans="2:23" x14ac:dyDescent="0.2">
      <c r="B100" s="11" t="s">
        <v>51</v>
      </c>
      <c r="C100" s="14">
        <f t="shared" ref="C100:H100" si="70">ROUND(C64,1)</f>
        <v>9.8000000000000007</v>
      </c>
      <c r="D100" s="14">
        <f t="shared" si="70"/>
        <v>15.7</v>
      </c>
      <c r="E100" s="14">
        <f t="shared" si="70"/>
        <v>31.6</v>
      </c>
      <c r="F100" s="14">
        <f t="shared" si="70"/>
        <v>25.6</v>
      </c>
      <c r="G100" s="14">
        <f t="shared" si="70"/>
        <v>11.3</v>
      </c>
      <c r="H100" s="14">
        <f t="shared" si="70"/>
        <v>94.1</v>
      </c>
      <c r="I100" s="120">
        <f t="shared" si="2"/>
        <v>5683</v>
      </c>
      <c r="J100" s="14">
        <f t="shared" ref="J100:O100" si="71">ROUND(J64,1)</f>
        <v>11.6</v>
      </c>
      <c r="K100" s="14">
        <f t="shared" si="71"/>
        <v>19.100000000000001</v>
      </c>
      <c r="L100" s="14">
        <f t="shared" si="71"/>
        <v>34.799999999999997</v>
      </c>
      <c r="M100" s="14">
        <f t="shared" si="71"/>
        <v>22.1</v>
      </c>
      <c r="N100" s="14">
        <f t="shared" si="71"/>
        <v>8.5</v>
      </c>
      <c r="O100" s="14">
        <f t="shared" si="71"/>
        <v>96.1</v>
      </c>
      <c r="P100" s="120">
        <f t="shared" si="4"/>
        <v>7973</v>
      </c>
      <c r="Q100" s="14">
        <f t="shared" ref="Q100:V100" si="72">ROUND(Q64,1)</f>
        <v>10.9</v>
      </c>
      <c r="R100" s="14">
        <f t="shared" si="72"/>
        <v>17.7</v>
      </c>
      <c r="S100" s="14">
        <f t="shared" si="72"/>
        <v>33.5</v>
      </c>
      <c r="T100" s="14">
        <f t="shared" si="72"/>
        <v>23.5</v>
      </c>
      <c r="U100" s="14">
        <f t="shared" si="72"/>
        <v>9.6999999999999993</v>
      </c>
      <c r="V100" s="14">
        <f t="shared" si="72"/>
        <v>95.3</v>
      </c>
      <c r="W100" s="120">
        <f t="shared" si="6"/>
        <v>13656</v>
      </c>
    </row>
    <row r="101" spans="2:23" x14ac:dyDescent="0.2">
      <c r="B101" s="11" t="s">
        <v>23</v>
      </c>
      <c r="C101" s="14">
        <f t="shared" ref="C101:H101" si="73">ROUND(C65,1)</f>
        <v>10.4</v>
      </c>
      <c r="D101" s="14">
        <f t="shared" si="73"/>
        <v>17</v>
      </c>
      <c r="E101" s="14">
        <f t="shared" si="73"/>
        <v>22.4</v>
      </c>
      <c r="F101" s="14">
        <f t="shared" si="73"/>
        <v>19.5</v>
      </c>
      <c r="G101" s="14">
        <f t="shared" si="73"/>
        <v>13.6</v>
      </c>
      <c r="H101" s="14">
        <f t="shared" si="73"/>
        <v>82.9</v>
      </c>
      <c r="I101" s="120">
        <f t="shared" si="2"/>
        <v>2339</v>
      </c>
      <c r="J101" s="14">
        <f t="shared" ref="J101:O101" si="74">ROUND(J65,1)</f>
        <v>12.5</v>
      </c>
      <c r="K101" s="14">
        <f t="shared" si="74"/>
        <v>22</v>
      </c>
      <c r="L101" s="14">
        <f t="shared" si="74"/>
        <v>29.7</v>
      </c>
      <c r="M101" s="14">
        <f t="shared" si="74"/>
        <v>18.3</v>
      </c>
      <c r="N101" s="14">
        <f t="shared" si="74"/>
        <v>9.1999999999999993</v>
      </c>
      <c r="O101" s="14">
        <f t="shared" si="74"/>
        <v>91.8</v>
      </c>
      <c r="P101" s="120">
        <f t="shared" si="4"/>
        <v>4827</v>
      </c>
      <c r="Q101" s="14">
        <f t="shared" ref="Q101:V101" si="75">ROUND(Q65,1)</f>
        <v>11.8</v>
      </c>
      <c r="R101" s="14">
        <f t="shared" si="75"/>
        <v>20.399999999999999</v>
      </c>
      <c r="S101" s="14">
        <f t="shared" si="75"/>
        <v>27.3</v>
      </c>
      <c r="T101" s="14">
        <f t="shared" si="75"/>
        <v>18.7</v>
      </c>
      <c r="U101" s="14">
        <f t="shared" si="75"/>
        <v>10.7</v>
      </c>
      <c r="V101" s="14">
        <f t="shared" si="75"/>
        <v>88.9</v>
      </c>
      <c r="W101" s="120">
        <f t="shared" si="6"/>
        <v>7166</v>
      </c>
    </row>
    <row r="102" spans="2:23" x14ac:dyDescent="0.2">
      <c r="B102" s="11" t="s">
        <v>24</v>
      </c>
      <c r="C102" s="14">
        <f t="shared" ref="C102:H102" si="76">ROUND(C66,1)</f>
        <v>27.4</v>
      </c>
      <c r="D102" s="14">
        <f t="shared" si="76"/>
        <v>21.6</v>
      </c>
      <c r="E102" s="14">
        <f t="shared" si="76"/>
        <v>19.5</v>
      </c>
      <c r="F102" s="14">
        <f t="shared" si="76"/>
        <v>15.3</v>
      </c>
      <c r="G102" s="14">
        <f t="shared" si="76"/>
        <v>9.3000000000000007</v>
      </c>
      <c r="H102" s="14">
        <f t="shared" si="76"/>
        <v>93.1</v>
      </c>
      <c r="I102" s="120">
        <f t="shared" si="2"/>
        <v>4695</v>
      </c>
      <c r="J102" s="14">
        <f t="shared" ref="J102:O102" si="77">ROUND(J66,1)</f>
        <v>23.9</v>
      </c>
      <c r="K102" s="14">
        <f t="shared" si="77"/>
        <v>20.100000000000001</v>
      </c>
      <c r="L102" s="14">
        <f t="shared" si="77"/>
        <v>19.399999999999999</v>
      </c>
      <c r="M102" s="14">
        <f t="shared" si="77"/>
        <v>16.399999999999999</v>
      </c>
      <c r="N102" s="14">
        <f t="shared" si="77"/>
        <v>11.6</v>
      </c>
      <c r="O102" s="14">
        <f t="shared" si="77"/>
        <v>91.4</v>
      </c>
      <c r="P102" s="120">
        <f t="shared" si="4"/>
        <v>10698</v>
      </c>
      <c r="Q102" s="14">
        <f t="shared" ref="Q102:V102" si="78">ROUND(Q66,1)</f>
        <v>25</v>
      </c>
      <c r="R102" s="14">
        <f t="shared" si="78"/>
        <v>20.5</v>
      </c>
      <c r="S102" s="14">
        <f t="shared" si="78"/>
        <v>19.399999999999999</v>
      </c>
      <c r="T102" s="14">
        <f t="shared" si="78"/>
        <v>16.100000000000001</v>
      </c>
      <c r="U102" s="14">
        <f t="shared" si="78"/>
        <v>10.9</v>
      </c>
      <c r="V102" s="14">
        <f t="shared" si="78"/>
        <v>91.9</v>
      </c>
      <c r="W102" s="120">
        <f t="shared" si="6"/>
        <v>15393</v>
      </c>
    </row>
    <row r="103" spans="2:23" x14ac:dyDescent="0.2">
      <c r="B103" s="11" t="s">
        <v>25</v>
      </c>
      <c r="C103" s="14">
        <f t="shared" ref="C103:H103" si="79">ROUND(C67,1)</f>
        <v>33.5</v>
      </c>
      <c r="D103" s="14">
        <f t="shared" si="79"/>
        <v>20.6</v>
      </c>
      <c r="E103" s="14">
        <f t="shared" si="79"/>
        <v>18.600000000000001</v>
      </c>
      <c r="F103" s="14">
        <f t="shared" si="79"/>
        <v>12.9</v>
      </c>
      <c r="G103" s="14">
        <f t="shared" si="79"/>
        <v>9.1</v>
      </c>
      <c r="H103" s="14">
        <f t="shared" si="79"/>
        <v>94.7</v>
      </c>
      <c r="I103" s="120">
        <f t="shared" si="2"/>
        <v>2524</v>
      </c>
      <c r="J103" s="14">
        <f t="shared" ref="J103:O103" si="80">ROUND(J67,1)</f>
        <v>27.3</v>
      </c>
      <c r="K103" s="14">
        <f t="shared" si="80"/>
        <v>20.100000000000001</v>
      </c>
      <c r="L103" s="14">
        <f t="shared" si="80"/>
        <v>18.8</v>
      </c>
      <c r="M103" s="14">
        <f t="shared" si="80"/>
        <v>15.8</v>
      </c>
      <c r="N103" s="14">
        <f t="shared" si="80"/>
        <v>10.6</v>
      </c>
      <c r="O103" s="14">
        <f t="shared" si="80"/>
        <v>92.6</v>
      </c>
      <c r="P103" s="120">
        <f t="shared" si="4"/>
        <v>5083</v>
      </c>
      <c r="Q103" s="14">
        <f t="shared" ref="Q103:V103" si="81">ROUND(Q67,1)</f>
        <v>29.4</v>
      </c>
      <c r="R103" s="14">
        <f t="shared" si="81"/>
        <v>20.3</v>
      </c>
      <c r="S103" s="14">
        <f t="shared" si="81"/>
        <v>18.7</v>
      </c>
      <c r="T103" s="14">
        <f t="shared" si="81"/>
        <v>14.9</v>
      </c>
      <c r="U103" s="14">
        <f t="shared" si="81"/>
        <v>10.1</v>
      </c>
      <c r="V103" s="14">
        <f t="shared" si="81"/>
        <v>93.3</v>
      </c>
      <c r="W103" s="120">
        <f t="shared" si="6"/>
        <v>7607</v>
      </c>
    </row>
    <row r="104" spans="2:23" x14ac:dyDescent="0.2">
      <c r="B104" s="11" t="s">
        <v>26</v>
      </c>
      <c r="C104" s="14">
        <f t="shared" ref="C104:H104" si="82">ROUND(C68,1)</f>
        <v>32.200000000000003</v>
      </c>
      <c r="D104" s="14">
        <f t="shared" si="82"/>
        <v>24.7</v>
      </c>
      <c r="E104" s="14">
        <f t="shared" si="82"/>
        <v>18.899999999999999</v>
      </c>
      <c r="F104" s="14">
        <f t="shared" si="82"/>
        <v>11.7</v>
      </c>
      <c r="G104" s="14">
        <f t="shared" si="82"/>
        <v>7.1</v>
      </c>
      <c r="H104" s="14">
        <f t="shared" si="82"/>
        <v>94.6</v>
      </c>
      <c r="I104" s="120">
        <f t="shared" si="2"/>
        <v>1363</v>
      </c>
      <c r="J104" s="14">
        <f t="shared" ref="J104:O104" si="83">ROUND(J68,1)</f>
        <v>25.3</v>
      </c>
      <c r="K104" s="14">
        <f t="shared" si="83"/>
        <v>22.8</v>
      </c>
      <c r="L104" s="14">
        <f t="shared" si="83"/>
        <v>19.399999999999999</v>
      </c>
      <c r="M104" s="14">
        <f t="shared" si="83"/>
        <v>14.3</v>
      </c>
      <c r="N104" s="14">
        <f t="shared" si="83"/>
        <v>10</v>
      </c>
      <c r="O104" s="14">
        <f t="shared" si="83"/>
        <v>91.9</v>
      </c>
      <c r="P104" s="120">
        <f t="shared" si="4"/>
        <v>3138</v>
      </c>
      <c r="Q104" s="14">
        <f t="shared" ref="Q104:V104" si="84">ROUND(Q68,1)</f>
        <v>27.4</v>
      </c>
      <c r="R104" s="14">
        <f t="shared" si="84"/>
        <v>23.4</v>
      </c>
      <c r="S104" s="14">
        <f t="shared" si="84"/>
        <v>19.3</v>
      </c>
      <c r="T104" s="14">
        <f t="shared" si="84"/>
        <v>13.6</v>
      </c>
      <c r="U104" s="14">
        <f t="shared" si="84"/>
        <v>9.1</v>
      </c>
      <c r="V104" s="14">
        <f t="shared" si="84"/>
        <v>92.7</v>
      </c>
      <c r="W104" s="120">
        <f t="shared" si="6"/>
        <v>4501</v>
      </c>
    </row>
    <row r="105" spans="2:23" x14ac:dyDescent="0.2">
      <c r="B105" s="11" t="s">
        <v>27</v>
      </c>
      <c r="C105" s="14">
        <f t="shared" ref="C105:H105" si="85">ROUND(C69,1)</f>
        <v>37.799999999999997</v>
      </c>
      <c r="D105" s="14">
        <f t="shared" si="85"/>
        <v>27.6</v>
      </c>
      <c r="E105" s="14">
        <f t="shared" si="85"/>
        <v>19</v>
      </c>
      <c r="F105" s="14">
        <f t="shared" si="85"/>
        <v>6.9</v>
      </c>
      <c r="G105" s="14">
        <f t="shared" si="85"/>
        <v>3.4</v>
      </c>
      <c r="H105" s="14">
        <f t="shared" si="85"/>
        <v>94.7</v>
      </c>
      <c r="I105" s="120">
        <f t="shared" si="2"/>
        <v>1528</v>
      </c>
      <c r="J105" s="14">
        <f t="shared" ref="J105:O105" si="86">ROUND(J69,1)</f>
        <v>46.3</v>
      </c>
      <c r="K105" s="14">
        <f t="shared" si="86"/>
        <v>23.9</v>
      </c>
      <c r="L105" s="14">
        <f t="shared" si="86"/>
        <v>15.5</v>
      </c>
      <c r="M105" s="14">
        <f t="shared" si="86"/>
        <v>7.3</v>
      </c>
      <c r="N105" s="14">
        <f t="shared" si="86"/>
        <v>3.4</v>
      </c>
      <c r="O105" s="14">
        <f t="shared" si="86"/>
        <v>96.4</v>
      </c>
      <c r="P105" s="120">
        <f t="shared" si="4"/>
        <v>1881</v>
      </c>
      <c r="Q105" s="14">
        <f t="shared" ref="Q105:V105" si="87">ROUND(Q69,1)</f>
        <v>42.4</v>
      </c>
      <c r="R105" s="14">
        <f t="shared" si="87"/>
        <v>25.6</v>
      </c>
      <c r="S105" s="14">
        <f t="shared" si="87"/>
        <v>17.100000000000001</v>
      </c>
      <c r="T105" s="14">
        <f t="shared" si="87"/>
        <v>7.1</v>
      </c>
      <c r="U105" s="14">
        <f t="shared" si="87"/>
        <v>3.4</v>
      </c>
      <c r="V105" s="14">
        <f t="shared" si="87"/>
        <v>95.6</v>
      </c>
      <c r="W105" s="120">
        <f t="shared" si="6"/>
        <v>3409</v>
      </c>
    </row>
    <row r="106" spans="2:23" x14ac:dyDescent="0.2">
      <c r="B106" s="11" t="s">
        <v>28</v>
      </c>
      <c r="C106" s="14">
        <f t="shared" ref="C106:H106" si="88">ROUND(C70,1)</f>
        <v>30.5</v>
      </c>
      <c r="D106" s="14">
        <f t="shared" si="88"/>
        <v>25.7</v>
      </c>
      <c r="E106" s="14">
        <f t="shared" si="88"/>
        <v>18.600000000000001</v>
      </c>
      <c r="F106" s="14">
        <f t="shared" si="88"/>
        <v>13.3</v>
      </c>
      <c r="G106" s="14">
        <f t="shared" si="88"/>
        <v>6.1</v>
      </c>
      <c r="H106" s="14">
        <f t="shared" si="88"/>
        <v>94.2</v>
      </c>
      <c r="I106" s="120">
        <f t="shared" si="2"/>
        <v>1966</v>
      </c>
      <c r="J106" s="14">
        <f t="shared" ref="J106:O106" si="89">ROUND(J70,1)</f>
        <v>28.7</v>
      </c>
      <c r="K106" s="14">
        <f t="shared" si="89"/>
        <v>28.3</v>
      </c>
      <c r="L106" s="14">
        <f t="shared" si="89"/>
        <v>21.8</v>
      </c>
      <c r="M106" s="14">
        <f t="shared" si="89"/>
        <v>13.3</v>
      </c>
      <c r="N106" s="14">
        <f t="shared" si="89"/>
        <v>4.8</v>
      </c>
      <c r="O106" s="14">
        <f t="shared" si="89"/>
        <v>96.9</v>
      </c>
      <c r="P106" s="120">
        <f t="shared" si="4"/>
        <v>2771</v>
      </c>
      <c r="Q106" s="14">
        <f t="shared" ref="Q106:V106" si="90">ROUND(Q70,1)</f>
        <v>29.4</v>
      </c>
      <c r="R106" s="14">
        <f t="shared" si="90"/>
        <v>27.2</v>
      </c>
      <c r="S106" s="14">
        <f t="shared" si="90"/>
        <v>20.5</v>
      </c>
      <c r="T106" s="14">
        <f t="shared" si="90"/>
        <v>13.3</v>
      </c>
      <c r="U106" s="14">
        <f t="shared" si="90"/>
        <v>5.4</v>
      </c>
      <c r="V106" s="14">
        <f t="shared" si="90"/>
        <v>95.8</v>
      </c>
      <c r="W106" s="120">
        <f t="shared" si="6"/>
        <v>4737</v>
      </c>
    </row>
    <row r="107" spans="2:23" x14ac:dyDescent="0.2">
      <c r="B107" s="11" t="s">
        <v>29</v>
      </c>
      <c r="C107" s="14">
        <f t="shared" ref="C107:H107" si="91">ROUND(C71,1)</f>
        <v>19.5</v>
      </c>
      <c r="D107" s="14">
        <f t="shared" si="91"/>
        <v>24.5</v>
      </c>
      <c r="E107" s="14">
        <f t="shared" si="91"/>
        <v>23.7</v>
      </c>
      <c r="F107" s="14">
        <f t="shared" si="91"/>
        <v>16</v>
      </c>
      <c r="G107" s="14">
        <f t="shared" si="91"/>
        <v>8.8000000000000007</v>
      </c>
      <c r="H107" s="14">
        <f t="shared" si="91"/>
        <v>92.5</v>
      </c>
      <c r="I107" s="120">
        <f t="shared" si="2"/>
        <v>1891</v>
      </c>
      <c r="J107" s="14">
        <f t="shared" ref="J107:O107" si="92">ROUND(J71,1)</f>
        <v>17.5</v>
      </c>
      <c r="K107" s="14">
        <f t="shared" si="92"/>
        <v>23.1</v>
      </c>
      <c r="L107" s="14">
        <f t="shared" si="92"/>
        <v>26.8</v>
      </c>
      <c r="M107" s="14">
        <f t="shared" si="92"/>
        <v>17.5</v>
      </c>
      <c r="N107" s="14">
        <f t="shared" si="92"/>
        <v>8.5</v>
      </c>
      <c r="O107" s="14">
        <f t="shared" si="92"/>
        <v>93.3</v>
      </c>
      <c r="P107" s="120">
        <f t="shared" si="4"/>
        <v>5593</v>
      </c>
      <c r="Q107" s="14">
        <f t="shared" ref="Q107:V107" si="93">ROUND(Q71,1)</f>
        <v>18</v>
      </c>
      <c r="R107" s="14">
        <f t="shared" si="93"/>
        <v>23.5</v>
      </c>
      <c r="S107" s="14">
        <f t="shared" si="93"/>
        <v>26</v>
      </c>
      <c r="T107" s="14">
        <f t="shared" si="93"/>
        <v>17.100000000000001</v>
      </c>
      <c r="U107" s="14">
        <f t="shared" si="93"/>
        <v>8.6</v>
      </c>
      <c r="V107" s="14">
        <f t="shared" si="93"/>
        <v>93.1</v>
      </c>
      <c r="W107" s="120">
        <f t="shared" si="6"/>
        <v>7484</v>
      </c>
    </row>
    <row r="108" spans="2:23" x14ac:dyDescent="0.2">
      <c r="B108" s="11" t="s">
        <v>30</v>
      </c>
      <c r="C108" s="14">
        <f t="shared" ref="C108:H108" si="94">ROUND(C72,1)</f>
        <v>21.9</v>
      </c>
      <c r="D108" s="14">
        <f t="shared" si="94"/>
        <v>19</v>
      </c>
      <c r="E108" s="14">
        <f t="shared" si="94"/>
        <v>23.7</v>
      </c>
      <c r="F108" s="14">
        <f t="shared" si="94"/>
        <v>20</v>
      </c>
      <c r="G108" s="14">
        <f t="shared" si="94"/>
        <v>8.8000000000000007</v>
      </c>
      <c r="H108" s="14">
        <f t="shared" si="94"/>
        <v>93.3</v>
      </c>
      <c r="I108" s="120">
        <f t="shared" si="2"/>
        <v>2755</v>
      </c>
      <c r="J108" s="14">
        <f t="shared" ref="J108:O108" si="95">ROUND(J72,1)</f>
        <v>22.3</v>
      </c>
      <c r="K108" s="14">
        <f t="shared" si="95"/>
        <v>19.100000000000001</v>
      </c>
      <c r="L108" s="14">
        <f t="shared" si="95"/>
        <v>25</v>
      </c>
      <c r="M108" s="14">
        <f t="shared" si="95"/>
        <v>18.399999999999999</v>
      </c>
      <c r="N108" s="14">
        <f t="shared" si="95"/>
        <v>10.1</v>
      </c>
      <c r="O108" s="14">
        <f t="shared" si="95"/>
        <v>95</v>
      </c>
      <c r="P108" s="120">
        <f t="shared" si="4"/>
        <v>3486</v>
      </c>
      <c r="Q108" s="14">
        <f t="shared" ref="Q108:V108" si="96">ROUND(Q72,1)</f>
        <v>22.1</v>
      </c>
      <c r="R108" s="14">
        <f t="shared" si="96"/>
        <v>19.100000000000001</v>
      </c>
      <c r="S108" s="14">
        <f t="shared" si="96"/>
        <v>24.4</v>
      </c>
      <c r="T108" s="14">
        <f t="shared" si="96"/>
        <v>19.100000000000001</v>
      </c>
      <c r="U108" s="14">
        <f t="shared" si="96"/>
        <v>9.5</v>
      </c>
      <c r="V108" s="14">
        <f t="shared" si="96"/>
        <v>94.2</v>
      </c>
      <c r="W108" s="120">
        <f t="shared" si="6"/>
        <v>6241</v>
      </c>
    </row>
    <row r="109" spans="2:23" x14ac:dyDescent="0.2">
      <c r="B109" s="11" t="s">
        <v>31</v>
      </c>
      <c r="C109" s="14">
        <f t="shared" ref="C109:H109" si="97">ROUND(C73,1)</f>
        <v>8.1</v>
      </c>
      <c r="D109" s="14">
        <f t="shared" si="97"/>
        <v>12</v>
      </c>
      <c r="E109" s="14">
        <f t="shared" si="97"/>
        <v>24.5</v>
      </c>
      <c r="F109" s="14">
        <f t="shared" si="97"/>
        <v>27.3</v>
      </c>
      <c r="G109" s="14">
        <f t="shared" si="97"/>
        <v>18.600000000000001</v>
      </c>
      <c r="H109" s="14">
        <f t="shared" si="97"/>
        <v>90.5</v>
      </c>
      <c r="I109" s="120">
        <f t="shared" si="2"/>
        <v>10157</v>
      </c>
      <c r="J109" s="14">
        <f t="shared" ref="J109:O109" si="98">ROUND(J73,1)</f>
        <v>17.7</v>
      </c>
      <c r="K109" s="14">
        <f t="shared" si="98"/>
        <v>16.2</v>
      </c>
      <c r="L109" s="14">
        <f t="shared" si="98"/>
        <v>23.6</v>
      </c>
      <c r="M109" s="14">
        <f t="shared" si="98"/>
        <v>22.3</v>
      </c>
      <c r="N109" s="14">
        <f t="shared" si="98"/>
        <v>13.2</v>
      </c>
      <c r="O109" s="14">
        <f t="shared" si="98"/>
        <v>93</v>
      </c>
      <c r="P109" s="120">
        <f t="shared" si="4"/>
        <v>6622</v>
      </c>
      <c r="Q109" s="14">
        <f t="shared" ref="Q109:V109" si="99">ROUND(Q73,1)</f>
        <v>11.9</v>
      </c>
      <c r="R109" s="14">
        <f t="shared" si="99"/>
        <v>13.7</v>
      </c>
      <c r="S109" s="14">
        <f t="shared" si="99"/>
        <v>24.1</v>
      </c>
      <c r="T109" s="14">
        <f t="shared" si="99"/>
        <v>25.3</v>
      </c>
      <c r="U109" s="14">
        <f t="shared" si="99"/>
        <v>16.5</v>
      </c>
      <c r="V109" s="14">
        <f t="shared" si="99"/>
        <v>91.5</v>
      </c>
      <c r="W109" s="120">
        <f t="shared" si="6"/>
        <v>16779</v>
      </c>
    </row>
    <row r="110" spans="2:23" x14ac:dyDescent="0.2">
      <c r="B110" s="11" t="s">
        <v>32</v>
      </c>
      <c r="C110" s="14">
        <f t="shared" ref="C110:H110" si="100">ROUND(C74,1)</f>
        <v>14</v>
      </c>
      <c r="D110" s="14">
        <f t="shared" si="100"/>
        <v>16.600000000000001</v>
      </c>
      <c r="E110" s="14">
        <f t="shared" si="100"/>
        <v>19.2</v>
      </c>
      <c r="F110" s="14">
        <f t="shared" si="100"/>
        <v>20.100000000000001</v>
      </c>
      <c r="G110" s="14">
        <f t="shared" si="100"/>
        <v>15.2</v>
      </c>
      <c r="H110" s="14">
        <f t="shared" si="100"/>
        <v>85.1</v>
      </c>
      <c r="I110" s="120">
        <f t="shared" si="2"/>
        <v>43458</v>
      </c>
      <c r="J110" s="14">
        <f t="shared" ref="J110:O110" si="101">ROUND(J74,1)</f>
        <v>12.3</v>
      </c>
      <c r="K110" s="14">
        <f t="shared" si="101"/>
        <v>15.7</v>
      </c>
      <c r="L110" s="14">
        <f t="shared" si="101"/>
        <v>19.399999999999999</v>
      </c>
      <c r="M110" s="14">
        <f t="shared" si="101"/>
        <v>20.9</v>
      </c>
      <c r="N110" s="14">
        <f t="shared" si="101"/>
        <v>16.7</v>
      </c>
      <c r="O110" s="14">
        <f t="shared" si="101"/>
        <v>84.9</v>
      </c>
      <c r="P110" s="120">
        <f t="shared" si="4"/>
        <v>47521</v>
      </c>
      <c r="Q110" s="14">
        <f t="shared" ref="Q110:V110" si="102">ROUND(Q74,1)</f>
        <v>13.1</v>
      </c>
      <c r="R110" s="14">
        <f t="shared" si="102"/>
        <v>16.100000000000001</v>
      </c>
      <c r="S110" s="14">
        <f t="shared" si="102"/>
        <v>19.3</v>
      </c>
      <c r="T110" s="14">
        <f t="shared" si="102"/>
        <v>20.5</v>
      </c>
      <c r="U110" s="14">
        <f t="shared" si="102"/>
        <v>16</v>
      </c>
      <c r="V110" s="14">
        <f t="shared" si="102"/>
        <v>85</v>
      </c>
      <c r="W110" s="120">
        <f t="shared" si="6"/>
        <v>90979</v>
      </c>
    </row>
    <row r="111" spans="2:23" x14ac:dyDescent="0.2">
      <c r="B111" s="11" t="s">
        <v>46</v>
      </c>
      <c r="C111" s="14">
        <f t="shared" ref="C111:H111" si="103">ROUND(C75,1)</f>
        <v>18.399999999999999</v>
      </c>
      <c r="D111" s="14">
        <f t="shared" si="103"/>
        <v>18.399999999999999</v>
      </c>
      <c r="E111" s="14">
        <f t="shared" si="103"/>
        <v>20.9</v>
      </c>
      <c r="F111" s="14">
        <f t="shared" si="103"/>
        <v>18.5</v>
      </c>
      <c r="G111" s="14">
        <f t="shared" si="103"/>
        <v>12.7</v>
      </c>
      <c r="H111" s="14">
        <f t="shared" si="103"/>
        <v>88.9</v>
      </c>
      <c r="I111" s="120">
        <f t="shared" si="2"/>
        <v>318407</v>
      </c>
      <c r="J111" s="14">
        <f t="shared" ref="J111:O111" si="104">ROUND(J75,1)</f>
        <v>19</v>
      </c>
      <c r="K111" s="14">
        <f t="shared" si="104"/>
        <v>20.100000000000001</v>
      </c>
      <c r="L111" s="14">
        <f t="shared" si="104"/>
        <v>22.2</v>
      </c>
      <c r="M111" s="14">
        <f t="shared" si="104"/>
        <v>18</v>
      </c>
      <c r="N111" s="14">
        <f t="shared" si="104"/>
        <v>11.7</v>
      </c>
      <c r="O111" s="14">
        <f t="shared" si="104"/>
        <v>91</v>
      </c>
      <c r="P111" s="120">
        <f t="shared" si="4"/>
        <v>363146</v>
      </c>
      <c r="Q111" s="14">
        <f t="shared" ref="Q111:V111" si="105">ROUND(Q75,1)</f>
        <v>18.7</v>
      </c>
      <c r="R111" s="14">
        <f t="shared" si="105"/>
        <v>19.3</v>
      </c>
      <c r="S111" s="14">
        <f t="shared" si="105"/>
        <v>21.6</v>
      </c>
      <c r="T111" s="14">
        <f t="shared" si="105"/>
        <v>18.2</v>
      </c>
      <c r="U111" s="14">
        <f t="shared" si="105"/>
        <v>12.2</v>
      </c>
      <c r="V111" s="14">
        <f t="shared" si="105"/>
        <v>90</v>
      </c>
      <c r="W111" s="120">
        <f t="shared" si="6"/>
        <v>681553</v>
      </c>
    </row>
    <row r="112" spans="2:23" x14ac:dyDescent="0.2">
      <c r="C112" s="14"/>
      <c r="D112" s="14"/>
      <c r="E112" s="14"/>
      <c r="F112" s="14"/>
      <c r="G112" s="14"/>
      <c r="H112" s="14"/>
      <c r="I112" s="14"/>
      <c r="J112" s="14"/>
      <c r="K112" s="14"/>
      <c r="L112" s="14"/>
      <c r="M112" s="14"/>
      <c r="N112" s="14"/>
      <c r="O112" s="14"/>
      <c r="P112" s="14"/>
      <c r="Q112" s="14"/>
      <c r="R112" s="14"/>
      <c r="S112" s="14"/>
      <c r="T112" s="14"/>
      <c r="U112" s="14"/>
      <c r="V112" s="14"/>
      <c r="W112" s="14"/>
    </row>
  </sheetData>
  <phoneticPr fontId="3" type="noConversion"/>
  <conditionalFormatting sqref="C5:Z39">
    <cfRule type="cellIs" dxfId="10" priority="1" operator="between">
      <formula>1</formula>
      <formula>2</formula>
    </cfRule>
    <cfRule type="cellIs" dxfId="9" priority="2" operator="between">
      <formula>1</formula>
      <formula>2</formula>
    </cfRule>
  </conditionalFormatting>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BU137"/>
  <sheetViews>
    <sheetView topLeftCell="A10" workbookViewId="0">
      <selection activeCell="A2" sqref="A2"/>
    </sheetView>
  </sheetViews>
  <sheetFormatPr defaultColWidth="9.140625" defaultRowHeight="11.25" x14ac:dyDescent="0.2"/>
  <cols>
    <col min="1" max="16384" width="9.140625" style="11"/>
  </cols>
  <sheetData>
    <row r="3" spans="2:26" ht="11.25" customHeight="1" x14ac:dyDescent="0.2">
      <c r="C3" s="29" t="s">
        <v>39</v>
      </c>
      <c r="D3" s="29"/>
      <c r="E3" s="29"/>
      <c r="F3" s="29"/>
      <c r="G3" s="29"/>
      <c r="H3" s="29"/>
      <c r="I3" s="29" t="s">
        <v>40</v>
      </c>
      <c r="J3" s="29"/>
      <c r="K3" s="29"/>
      <c r="L3" s="29"/>
      <c r="M3" s="29"/>
      <c r="N3" s="29"/>
      <c r="O3" s="29" t="s">
        <v>54</v>
      </c>
      <c r="P3" s="29"/>
      <c r="Q3" s="29"/>
      <c r="R3" s="29"/>
      <c r="S3" s="29"/>
      <c r="T3" s="29"/>
      <c r="U3" s="29" t="s">
        <v>41</v>
      </c>
      <c r="V3" s="29"/>
      <c r="W3" s="29"/>
      <c r="X3" s="29" t="s">
        <v>45</v>
      </c>
      <c r="Y3" s="29"/>
      <c r="Z3" s="29"/>
    </row>
    <row r="4" spans="2:26" x14ac:dyDescent="0.2">
      <c r="C4" s="11" t="s">
        <v>33</v>
      </c>
      <c r="D4" s="11" t="s">
        <v>34</v>
      </c>
      <c r="E4" s="11" t="s">
        <v>35</v>
      </c>
      <c r="F4" s="11" t="s">
        <v>36</v>
      </c>
      <c r="G4" s="11" t="s">
        <v>37</v>
      </c>
      <c r="H4" s="11" t="s">
        <v>38</v>
      </c>
      <c r="I4" s="11" t="s">
        <v>33</v>
      </c>
      <c r="J4" s="11" t="s">
        <v>34</v>
      </c>
      <c r="K4" s="11" t="s">
        <v>35</v>
      </c>
      <c r="L4" s="11" t="s">
        <v>36</v>
      </c>
      <c r="M4" s="11" t="s">
        <v>37</v>
      </c>
      <c r="N4" s="11" t="s">
        <v>38</v>
      </c>
      <c r="O4" s="11" t="s">
        <v>33</v>
      </c>
      <c r="P4" s="11" t="s">
        <v>34</v>
      </c>
      <c r="Q4" s="11" t="s">
        <v>35</v>
      </c>
      <c r="R4" s="11" t="s">
        <v>36</v>
      </c>
      <c r="S4" s="11" t="s">
        <v>37</v>
      </c>
      <c r="T4" s="11" t="s">
        <v>38</v>
      </c>
      <c r="U4" s="11" t="s">
        <v>42</v>
      </c>
      <c r="V4" s="11" t="s">
        <v>43</v>
      </c>
      <c r="W4" s="11" t="s">
        <v>44</v>
      </c>
      <c r="X4" s="11" t="s">
        <v>42</v>
      </c>
      <c r="Y4" s="11" t="s">
        <v>43</v>
      </c>
      <c r="Z4" s="11" t="s">
        <v>44</v>
      </c>
    </row>
    <row r="5" spans="2:26" x14ac:dyDescent="0.2">
      <c r="B5" s="10" t="s">
        <v>0</v>
      </c>
      <c r="C5" s="10">
        <v>3328</v>
      </c>
      <c r="D5" s="10">
        <v>3227</v>
      </c>
      <c r="E5" s="10">
        <v>3428</v>
      </c>
      <c r="F5" s="10">
        <v>3208</v>
      </c>
      <c r="G5" s="10">
        <v>2640</v>
      </c>
      <c r="H5" s="10">
        <v>1598</v>
      </c>
      <c r="I5" s="10">
        <v>6332</v>
      </c>
      <c r="J5" s="10">
        <v>5650</v>
      </c>
      <c r="K5" s="10">
        <v>5561</v>
      </c>
      <c r="L5" s="10">
        <v>4968</v>
      </c>
      <c r="M5" s="10">
        <v>3531</v>
      </c>
      <c r="N5" s="10">
        <v>1936</v>
      </c>
      <c r="O5" s="10">
        <v>9660</v>
      </c>
      <c r="P5" s="10">
        <v>8877</v>
      </c>
      <c r="Q5" s="10">
        <v>8989</v>
      </c>
      <c r="R5" s="10">
        <v>8176</v>
      </c>
      <c r="S5" s="10">
        <v>6171</v>
      </c>
      <c r="T5" s="10">
        <v>3534</v>
      </c>
      <c r="U5" s="11">
        <v>17429</v>
      </c>
      <c r="V5" s="11">
        <v>27978</v>
      </c>
      <c r="W5" s="11">
        <v>45407</v>
      </c>
      <c r="X5" s="11">
        <v>15831</v>
      </c>
      <c r="Y5" s="11">
        <v>26042</v>
      </c>
      <c r="Z5" s="11">
        <v>41873</v>
      </c>
    </row>
    <row r="6" spans="2:26" x14ac:dyDescent="0.2">
      <c r="B6" s="10" t="s">
        <v>1</v>
      </c>
      <c r="C6" s="10">
        <v>4273</v>
      </c>
      <c r="D6" s="10">
        <v>3524</v>
      </c>
      <c r="E6" s="10">
        <v>3007</v>
      </c>
      <c r="F6" s="10">
        <v>2445</v>
      </c>
      <c r="G6" s="10">
        <v>1736</v>
      </c>
      <c r="H6" s="10">
        <v>947</v>
      </c>
      <c r="I6" s="10">
        <v>4855</v>
      </c>
      <c r="J6" s="10">
        <v>3978</v>
      </c>
      <c r="K6" s="10">
        <v>3188</v>
      </c>
      <c r="L6" s="10">
        <v>2268</v>
      </c>
      <c r="M6" s="10">
        <v>1436</v>
      </c>
      <c r="N6" s="10">
        <v>667</v>
      </c>
      <c r="O6" s="10">
        <v>9128</v>
      </c>
      <c r="P6" s="10">
        <v>7502</v>
      </c>
      <c r="Q6" s="10">
        <v>6195</v>
      </c>
      <c r="R6" s="10">
        <v>4713</v>
      </c>
      <c r="S6" s="10">
        <v>3172</v>
      </c>
      <c r="T6" s="10">
        <v>1614</v>
      </c>
      <c r="U6" s="11">
        <v>15932</v>
      </c>
      <c r="V6" s="11">
        <v>16392</v>
      </c>
      <c r="W6" s="11">
        <v>32324</v>
      </c>
      <c r="X6" s="11">
        <v>14985</v>
      </c>
      <c r="Y6" s="11">
        <v>15725</v>
      </c>
      <c r="Z6" s="11">
        <v>30710</v>
      </c>
    </row>
    <row r="7" spans="2:26" x14ac:dyDescent="0.2">
      <c r="B7" s="10" t="s">
        <v>2</v>
      </c>
      <c r="C7" s="10">
        <v>5461</v>
      </c>
      <c r="D7" s="10">
        <v>4254</v>
      </c>
      <c r="E7" s="10">
        <v>4004</v>
      </c>
      <c r="F7" s="10">
        <v>3566</v>
      </c>
      <c r="G7" s="10">
        <v>2733</v>
      </c>
      <c r="H7" s="10">
        <v>1523</v>
      </c>
      <c r="I7" s="10">
        <v>2030</v>
      </c>
      <c r="J7" s="10">
        <v>1439</v>
      </c>
      <c r="K7" s="10">
        <v>1156</v>
      </c>
      <c r="L7" s="10">
        <v>920</v>
      </c>
      <c r="M7" s="10">
        <v>526</v>
      </c>
      <c r="N7" s="10">
        <v>248</v>
      </c>
      <c r="O7" s="10">
        <v>7491</v>
      </c>
      <c r="P7" s="10">
        <v>5693</v>
      </c>
      <c r="Q7" s="10">
        <v>5160</v>
      </c>
      <c r="R7" s="10">
        <v>4486</v>
      </c>
      <c r="S7" s="10">
        <v>3259</v>
      </c>
      <c r="T7" s="10">
        <v>1771</v>
      </c>
      <c r="U7" s="11">
        <v>21541</v>
      </c>
      <c r="V7" s="11">
        <v>6319</v>
      </c>
      <c r="W7" s="11">
        <v>27860</v>
      </c>
      <c r="X7" s="11">
        <v>20018</v>
      </c>
      <c r="Y7" s="11">
        <v>6071</v>
      </c>
      <c r="Z7" s="11">
        <v>26089</v>
      </c>
    </row>
    <row r="8" spans="2:26" x14ac:dyDescent="0.2">
      <c r="B8" s="10" t="s">
        <v>3</v>
      </c>
      <c r="C8" s="10">
        <v>512</v>
      </c>
      <c r="D8" s="10">
        <v>506</v>
      </c>
      <c r="E8" s="10">
        <v>509</v>
      </c>
      <c r="F8" s="10">
        <v>503</v>
      </c>
      <c r="G8" s="10">
        <v>339</v>
      </c>
      <c r="H8" s="10">
        <v>145</v>
      </c>
      <c r="I8" s="10">
        <v>246</v>
      </c>
      <c r="J8" s="10">
        <v>240</v>
      </c>
      <c r="K8" s="10">
        <v>266</v>
      </c>
      <c r="L8" s="10">
        <v>248</v>
      </c>
      <c r="M8" s="10">
        <v>149</v>
      </c>
      <c r="N8" s="10">
        <v>77</v>
      </c>
      <c r="O8" s="10">
        <v>758</v>
      </c>
      <c r="P8" s="10">
        <v>746</v>
      </c>
      <c r="Q8" s="10">
        <v>775</v>
      </c>
      <c r="R8" s="10">
        <v>751</v>
      </c>
      <c r="S8" s="10">
        <v>488</v>
      </c>
      <c r="T8" s="10">
        <v>222</v>
      </c>
      <c r="U8" s="11">
        <v>2514</v>
      </c>
      <c r="V8" s="11">
        <v>1226</v>
      </c>
      <c r="W8" s="11">
        <v>3740</v>
      </c>
      <c r="X8" s="11">
        <v>2369</v>
      </c>
      <c r="Y8" s="11">
        <v>1149</v>
      </c>
      <c r="Z8" s="11">
        <v>3518</v>
      </c>
    </row>
    <row r="9" spans="2:26" x14ac:dyDescent="0.2">
      <c r="B9" s="10" t="s">
        <v>4</v>
      </c>
      <c r="C9" s="10">
        <v>9487</v>
      </c>
      <c r="D9" s="10">
        <v>5425</v>
      </c>
      <c r="E9" s="10">
        <v>4645</v>
      </c>
      <c r="F9" s="10">
        <v>3725</v>
      </c>
      <c r="G9" s="10">
        <v>2625</v>
      </c>
      <c r="H9" s="10">
        <v>1868</v>
      </c>
      <c r="I9" s="10">
        <v>6389</v>
      </c>
      <c r="J9" s="10">
        <v>3515</v>
      </c>
      <c r="K9" s="10">
        <v>2718</v>
      </c>
      <c r="L9" s="10">
        <v>1918</v>
      </c>
      <c r="M9" s="10">
        <v>1161</v>
      </c>
      <c r="N9" s="10">
        <v>680</v>
      </c>
      <c r="O9" s="10">
        <v>15876</v>
      </c>
      <c r="P9" s="10">
        <v>8940</v>
      </c>
      <c r="Q9" s="10">
        <v>7363</v>
      </c>
      <c r="R9" s="10">
        <v>5643</v>
      </c>
      <c r="S9" s="10">
        <v>3786</v>
      </c>
      <c r="T9" s="10">
        <v>2548</v>
      </c>
      <c r="U9" s="11">
        <v>27775</v>
      </c>
      <c r="V9" s="11">
        <v>16381</v>
      </c>
      <c r="W9" s="11">
        <v>44156</v>
      </c>
      <c r="X9" s="11">
        <v>25907</v>
      </c>
      <c r="Y9" s="11">
        <v>15701</v>
      </c>
      <c r="Z9" s="11">
        <v>41608</v>
      </c>
    </row>
    <row r="10" spans="2:26" x14ac:dyDescent="0.2">
      <c r="B10" s="10" t="s">
        <v>5</v>
      </c>
      <c r="C10" s="10">
        <v>2008</v>
      </c>
      <c r="D10" s="10">
        <v>535</v>
      </c>
      <c r="E10" s="10">
        <v>315</v>
      </c>
      <c r="F10" s="10">
        <v>196</v>
      </c>
      <c r="G10" s="10">
        <v>111</v>
      </c>
      <c r="H10" s="10">
        <v>86</v>
      </c>
      <c r="I10" s="10">
        <v>826</v>
      </c>
      <c r="J10" s="10">
        <v>202</v>
      </c>
      <c r="K10" s="10">
        <v>106</v>
      </c>
      <c r="L10" s="10">
        <v>58</v>
      </c>
      <c r="M10" s="10">
        <v>33</v>
      </c>
      <c r="N10" s="10">
        <v>22</v>
      </c>
      <c r="O10" s="10">
        <v>2834</v>
      </c>
      <c r="P10" s="10">
        <v>737</v>
      </c>
      <c r="Q10" s="10">
        <v>421</v>
      </c>
      <c r="R10" s="10">
        <v>254</v>
      </c>
      <c r="S10" s="10">
        <v>144</v>
      </c>
      <c r="T10" s="10">
        <v>108</v>
      </c>
      <c r="U10" s="11">
        <v>3251</v>
      </c>
      <c r="V10" s="11">
        <v>1247</v>
      </c>
      <c r="W10" s="11">
        <v>4498</v>
      </c>
      <c r="X10" s="11">
        <v>3165</v>
      </c>
      <c r="Y10" s="11">
        <v>1225</v>
      </c>
      <c r="Z10" s="11">
        <v>4390</v>
      </c>
    </row>
    <row r="11" spans="2:26" x14ac:dyDescent="0.2">
      <c r="B11" s="10" t="s">
        <v>6</v>
      </c>
      <c r="C11" s="10">
        <v>1072</v>
      </c>
      <c r="D11" s="10">
        <v>1742</v>
      </c>
      <c r="E11" s="10">
        <v>2198</v>
      </c>
      <c r="F11" s="10">
        <v>2140</v>
      </c>
      <c r="G11" s="10">
        <v>1353</v>
      </c>
      <c r="H11" s="10">
        <v>537</v>
      </c>
      <c r="I11" s="10">
        <v>821</v>
      </c>
      <c r="J11" s="10">
        <v>1310</v>
      </c>
      <c r="K11" s="10">
        <v>1368</v>
      </c>
      <c r="L11" s="10">
        <v>1012</v>
      </c>
      <c r="M11" s="10">
        <v>505</v>
      </c>
      <c r="N11" s="10">
        <v>128</v>
      </c>
      <c r="O11" s="10">
        <v>1893</v>
      </c>
      <c r="P11" s="10">
        <v>3052</v>
      </c>
      <c r="Q11" s="10">
        <v>3566</v>
      </c>
      <c r="R11" s="10">
        <v>3152</v>
      </c>
      <c r="S11" s="10">
        <v>1858</v>
      </c>
      <c r="T11" s="10">
        <v>665</v>
      </c>
      <c r="U11" s="11">
        <v>9042</v>
      </c>
      <c r="V11" s="11">
        <v>5144</v>
      </c>
      <c r="W11" s="11">
        <v>14186</v>
      </c>
      <c r="X11" s="11">
        <v>8505</v>
      </c>
      <c r="Y11" s="11">
        <v>5016</v>
      </c>
      <c r="Z11" s="11">
        <v>13521</v>
      </c>
    </row>
    <row r="12" spans="2:26" x14ac:dyDescent="0.2">
      <c r="B12" s="10" t="s">
        <v>168</v>
      </c>
      <c r="C12" s="10">
        <v>961</v>
      </c>
      <c r="D12" s="10">
        <v>1367</v>
      </c>
      <c r="E12" s="10">
        <v>1670</v>
      </c>
      <c r="F12" s="10">
        <v>1787</v>
      </c>
      <c r="G12" s="10">
        <v>1543</v>
      </c>
      <c r="H12" s="10">
        <v>937</v>
      </c>
      <c r="I12" s="10">
        <v>120</v>
      </c>
      <c r="J12" s="10">
        <v>182</v>
      </c>
      <c r="K12" s="10">
        <v>233</v>
      </c>
      <c r="L12" s="10">
        <v>230</v>
      </c>
      <c r="M12" s="10">
        <v>200</v>
      </c>
      <c r="N12" s="10">
        <v>99</v>
      </c>
      <c r="O12" s="10">
        <v>1081</v>
      </c>
      <c r="P12" s="10">
        <v>1549</v>
      </c>
      <c r="Q12" s="10">
        <v>1903</v>
      </c>
      <c r="R12" s="10">
        <v>2017</v>
      </c>
      <c r="S12" s="10">
        <v>1743</v>
      </c>
      <c r="T12" s="10">
        <v>1036</v>
      </c>
      <c r="U12" s="11">
        <v>8265</v>
      </c>
      <c r="V12" s="11">
        <v>1064</v>
      </c>
      <c r="W12" s="11">
        <v>9329</v>
      </c>
      <c r="X12" s="11">
        <v>7328</v>
      </c>
      <c r="Y12" s="11">
        <v>965</v>
      </c>
      <c r="Z12" s="11">
        <v>8293</v>
      </c>
    </row>
    <row r="13" spans="2:26" x14ac:dyDescent="0.2">
      <c r="B13" s="10" t="s">
        <v>8</v>
      </c>
      <c r="C13" s="10">
        <v>521</v>
      </c>
      <c r="D13" s="10">
        <v>1214</v>
      </c>
      <c r="E13" s="10">
        <v>2055</v>
      </c>
      <c r="F13" s="10">
        <v>2622</v>
      </c>
      <c r="G13" s="10">
        <v>2184</v>
      </c>
      <c r="H13" s="10">
        <v>1217</v>
      </c>
      <c r="I13" s="10">
        <v>385</v>
      </c>
      <c r="J13" s="10">
        <v>754</v>
      </c>
      <c r="K13" s="10">
        <v>1193</v>
      </c>
      <c r="L13" s="10">
        <v>1386</v>
      </c>
      <c r="M13" s="10">
        <v>1064</v>
      </c>
      <c r="N13" s="10">
        <v>442</v>
      </c>
      <c r="O13" s="10">
        <v>906</v>
      </c>
      <c r="P13" s="10">
        <v>1968</v>
      </c>
      <c r="Q13" s="10">
        <v>3248</v>
      </c>
      <c r="R13" s="10">
        <v>4008</v>
      </c>
      <c r="S13" s="10">
        <v>3248</v>
      </c>
      <c r="T13" s="10">
        <v>1659</v>
      </c>
      <c r="U13" s="11">
        <v>9813</v>
      </c>
      <c r="V13" s="11">
        <v>5224</v>
      </c>
      <c r="W13" s="11">
        <v>15037</v>
      </c>
      <c r="X13" s="11">
        <v>8596</v>
      </c>
      <c r="Y13" s="11">
        <v>4782</v>
      </c>
      <c r="Z13" s="11">
        <v>13378</v>
      </c>
    </row>
    <row r="14" spans="2:26" x14ac:dyDescent="0.2">
      <c r="B14" s="10" t="s">
        <v>9</v>
      </c>
      <c r="C14" s="10">
        <v>2</v>
      </c>
      <c r="D14" s="10">
        <v>4</v>
      </c>
      <c r="E14" s="10">
        <v>9</v>
      </c>
      <c r="F14" s="10">
        <v>9</v>
      </c>
      <c r="G14" s="10">
        <v>5</v>
      </c>
      <c r="H14" s="10">
        <v>6</v>
      </c>
      <c r="I14" s="10">
        <v>94</v>
      </c>
      <c r="J14" s="10">
        <v>137</v>
      </c>
      <c r="K14" s="10">
        <v>181</v>
      </c>
      <c r="L14" s="10">
        <v>126</v>
      </c>
      <c r="M14" s="10">
        <v>81</v>
      </c>
      <c r="N14" s="10">
        <v>37</v>
      </c>
      <c r="O14" s="10">
        <v>96</v>
      </c>
      <c r="P14" s="10">
        <v>141</v>
      </c>
      <c r="Q14" s="10">
        <v>190</v>
      </c>
      <c r="R14" s="10">
        <v>135</v>
      </c>
      <c r="S14" s="10">
        <v>86</v>
      </c>
      <c r="T14" s="10">
        <v>43</v>
      </c>
      <c r="U14" s="11">
        <v>35</v>
      </c>
      <c r="V14" s="11">
        <v>656</v>
      </c>
      <c r="W14" s="11">
        <v>691</v>
      </c>
      <c r="X14" s="11">
        <v>29</v>
      </c>
      <c r="Y14" s="11">
        <v>619</v>
      </c>
      <c r="Z14" s="11">
        <v>648</v>
      </c>
    </row>
    <row r="15" spans="2:26" x14ac:dyDescent="0.2">
      <c r="B15" s="10" t="s">
        <v>10</v>
      </c>
      <c r="C15" s="10">
        <v>150</v>
      </c>
      <c r="D15" s="10">
        <v>211</v>
      </c>
      <c r="E15" s="10">
        <v>239</v>
      </c>
      <c r="F15" s="10">
        <v>290</v>
      </c>
      <c r="G15" s="10">
        <v>254</v>
      </c>
      <c r="H15" s="10">
        <v>213</v>
      </c>
      <c r="I15" s="10">
        <v>108</v>
      </c>
      <c r="J15" s="10">
        <v>110</v>
      </c>
      <c r="K15" s="10">
        <v>132</v>
      </c>
      <c r="L15" s="10">
        <v>157</v>
      </c>
      <c r="M15" s="10">
        <v>156</v>
      </c>
      <c r="N15" s="10">
        <v>118</v>
      </c>
      <c r="O15" s="10">
        <v>258</v>
      </c>
      <c r="P15" s="10">
        <v>321</v>
      </c>
      <c r="Q15" s="10">
        <v>371</v>
      </c>
      <c r="R15" s="10">
        <v>447</v>
      </c>
      <c r="S15" s="10">
        <v>410</v>
      </c>
      <c r="T15" s="10">
        <v>331</v>
      </c>
      <c r="U15" s="11">
        <v>1357</v>
      </c>
      <c r="V15" s="11">
        <v>781</v>
      </c>
      <c r="W15" s="11">
        <v>2138</v>
      </c>
      <c r="X15" s="11">
        <v>1144</v>
      </c>
      <c r="Y15" s="11">
        <v>663</v>
      </c>
      <c r="Z15" s="11">
        <v>1807</v>
      </c>
    </row>
    <row r="16" spans="2:26" x14ac:dyDescent="0.2">
      <c r="B16" s="10" t="s">
        <v>11</v>
      </c>
      <c r="C16" s="10">
        <v>1892</v>
      </c>
      <c r="D16" s="10">
        <v>3783</v>
      </c>
      <c r="E16" s="10">
        <v>5209</v>
      </c>
      <c r="F16" s="10">
        <v>4408</v>
      </c>
      <c r="G16" s="10">
        <v>2548</v>
      </c>
      <c r="H16" s="10">
        <v>839</v>
      </c>
      <c r="I16" s="10">
        <v>1733</v>
      </c>
      <c r="J16" s="10">
        <v>3061</v>
      </c>
      <c r="K16" s="10">
        <v>3699</v>
      </c>
      <c r="L16" s="10">
        <v>2826</v>
      </c>
      <c r="M16" s="10">
        <v>1559</v>
      </c>
      <c r="N16" s="10">
        <v>536</v>
      </c>
      <c r="O16" s="10">
        <v>3625</v>
      </c>
      <c r="P16" s="10">
        <v>6844</v>
      </c>
      <c r="Q16" s="10">
        <v>8908</v>
      </c>
      <c r="R16" s="10">
        <v>7234</v>
      </c>
      <c r="S16" s="10">
        <v>4107</v>
      </c>
      <c r="T16" s="10">
        <v>1375</v>
      </c>
      <c r="U16" s="11">
        <v>18679</v>
      </c>
      <c r="V16" s="11">
        <v>13414</v>
      </c>
      <c r="W16" s="11">
        <v>32093</v>
      </c>
      <c r="X16" s="11">
        <v>17840</v>
      </c>
      <c r="Y16" s="11">
        <v>12878</v>
      </c>
      <c r="Z16" s="11">
        <v>30718</v>
      </c>
    </row>
    <row r="17" spans="2:26" x14ac:dyDescent="0.2">
      <c r="B17" s="10" t="s">
        <v>12</v>
      </c>
      <c r="C17" s="10">
        <v>2460</v>
      </c>
      <c r="D17" s="10">
        <v>2306</v>
      </c>
      <c r="E17" s="10">
        <v>2030</v>
      </c>
      <c r="F17" s="10">
        <v>1445</v>
      </c>
      <c r="G17" s="10">
        <v>760</v>
      </c>
      <c r="H17" s="10">
        <v>345</v>
      </c>
      <c r="I17" s="10">
        <v>1292</v>
      </c>
      <c r="J17" s="10">
        <v>978</v>
      </c>
      <c r="K17" s="10">
        <v>780</v>
      </c>
      <c r="L17" s="10">
        <v>516</v>
      </c>
      <c r="M17" s="10">
        <v>324</v>
      </c>
      <c r="N17" s="10">
        <v>133</v>
      </c>
      <c r="O17" s="10">
        <v>3752</v>
      </c>
      <c r="P17" s="10">
        <v>3284</v>
      </c>
      <c r="Q17" s="10">
        <v>2810</v>
      </c>
      <c r="R17" s="10">
        <v>1961</v>
      </c>
      <c r="S17" s="10">
        <v>1084</v>
      </c>
      <c r="T17" s="10">
        <v>478</v>
      </c>
      <c r="U17" s="11">
        <v>9346</v>
      </c>
      <c r="V17" s="11">
        <v>4023</v>
      </c>
      <c r="W17" s="11">
        <v>13369</v>
      </c>
      <c r="X17" s="11">
        <v>9001</v>
      </c>
      <c r="Y17" s="11">
        <v>3890</v>
      </c>
      <c r="Z17" s="11">
        <v>12891</v>
      </c>
    </row>
    <row r="18" spans="2:26" x14ac:dyDescent="0.2">
      <c r="B18" s="10" t="s">
        <v>13</v>
      </c>
      <c r="C18" s="10">
        <v>2766</v>
      </c>
      <c r="D18" s="10">
        <v>3995</v>
      </c>
      <c r="E18" s="10">
        <v>4332</v>
      </c>
      <c r="F18" s="10">
        <v>3525</v>
      </c>
      <c r="G18" s="10">
        <v>1846</v>
      </c>
      <c r="H18" s="10">
        <v>537</v>
      </c>
      <c r="I18" s="10">
        <v>3521</v>
      </c>
      <c r="J18" s="10">
        <v>3761</v>
      </c>
      <c r="K18" s="10">
        <v>3391</v>
      </c>
      <c r="L18" s="10">
        <v>2146</v>
      </c>
      <c r="M18" s="10">
        <v>993</v>
      </c>
      <c r="N18" s="10">
        <v>254</v>
      </c>
      <c r="O18" s="10">
        <v>6287</v>
      </c>
      <c r="P18" s="10">
        <v>7756</v>
      </c>
      <c r="Q18" s="10">
        <v>7723</v>
      </c>
      <c r="R18" s="10">
        <v>5671</v>
      </c>
      <c r="S18" s="10">
        <v>2839</v>
      </c>
      <c r="T18" s="10">
        <v>791</v>
      </c>
      <c r="U18" s="11">
        <v>17001</v>
      </c>
      <c r="V18" s="11">
        <v>14066</v>
      </c>
      <c r="W18" s="11">
        <v>31067</v>
      </c>
      <c r="X18" s="11">
        <v>16464</v>
      </c>
      <c r="Y18" s="11">
        <v>13812</v>
      </c>
      <c r="Z18" s="11">
        <v>30276</v>
      </c>
    </row>
    <row r="19" spans="2:26" x14ac:dyDescent="0.2">
      <c r="B19" s="10" t="s">
        <v>14</v>
      </c>
      <c r="C19" s="10">
        <v>1059</v>
      </c>
      <c r="D19" s="10">
        <v>1096</v>
      </c>
      <c r="E19" s="10">
        <v>919</v>
      </c>
      <c r="F19" s="10">
        <v>674</v>
      </c>
      <c r="G19" s="10">
        <v>322</v>
      </c>
      <c r="H19" s="10">
        <v>125</v>
      </c>
      <c r="I19" s="10">
        <v>870</v>
      </c>
      <c r="J19" s="10">
        <v>815</v>
      </c>
      <c r="K19" s="10">
        <v>632</v>
      </c>
      <c r="L19" s="10">
        <v>395</v>
      </c>
      <c r="M19" s="10">
        <v>232</v>
      </c>
      <c r="N19" s="10">
        <v>89</v>
      </c>
      <c r="O19" s="10">
        <v>1929</v>
      </c>
      <c r="P19" s="10">
        <v>1911</v>
      </c>
      <c r="Q19" s="10">
        <v>1551</v>
      </c>
      <c r="R19" s="10">
        <v>1069</v>
      </c>
      <c r="S19" s="10">
        <v>554</v>
      </c>
      <c r="T19" s="10">
        <v>214</v>
      </c>
      <c r="U19" s="11">
        <v>4195</v>
      </c>
      <c r="V19" s="11">
        <v>3033</v>
      </c>
      <c r="W19" s="11">
        <v>7228</v>
      </c>
      <c r="X19" s="11">
        <v>4070</v>
      </c>
      <c r="Y19" s="11">
        <v>2944</v>
      </c>
      <c r="Z19" s="11">
        <v>7014</v>
      </c>
    </row>
    <row r="20" spans="2:26" x14ac:dyDescent="0.2">
      <c r="B20" s="10" t="s">
        <v>15</v>
      </c>
      <c r="C20" s="10">
        <v>3311</v>
      </c>
      <c r="D20" s="10">
        <v>4267</v>
      </c>
      <c r="E20" s="10">
        <v>4297</v>
      </c>
      <c r="F20" s="10">
        <v>3141</v>
      </c>
      <c r="G20" s="10">
        <v>1659</v>
      </c>
      <c r="H20" s="10">
        <v>506</v>
      </c>
      <c r="I20" s="10">
        <v>3986</v>
      </c>
      <c r="J20" s="10">
        <v>4744</v>
      </c>
      <c r="K20" s="10">
        <v>4420</v>
      </c>
      <c r="L20" s="10">
        <v>3114</v>
      </c>
      <c r="M20" s="10">
        <v>1609</v>
      </c>
      <c r="N20" s="10">
        <v>459</v>
      </c>
      <c r="O20" s="10">
        <v>7297</v>
      </c>
      <c r="P20" s="10">
        <v>9011</v>
      </c>
      <c r="Q20" s="10">
        <v>8717</v>
      </c>
      <c r="R20" s="10">
        <v>6255</v>
      </c>
      <c r="S20" s="10">
        <v>3268</v>
      </c>
      <c r="T20" s="10">
        <v>965</v>
      </c>
      <c r="U20" s="11">
        <v>17181</v>
      </c>
      <c r="V20" s="11">
        <v>18332</v>
      </c>
      <c r="W20" s="11">
        <v>35513</v>
      </c>
      <c r="X20" s="11">
        <v>16675</v>
      </c>
      <c r="Y20" s="11">
        <v>17873</v>
      </c>
      <c r="Z20" s="11">
        <v>34548</v>
      </c>
    </row>
    <row r="21" spans="2:26" x14ac:dyDescent="0.2">
      <c r="B21" s="10" t="s">
        <v>16</v>
      </c>
      <c r="C21" s="10">
        <v>404</v>
      </c>
      <c r="D21" s="10">
        <v>618</v>
      </c>
      <c r="E21" s="10">
        <v>677</v>
      </c>
      <c r="F21" s="10">
        <v>710</v>
      </c>
      <c r="G21" s="10">
        <v>589</v>
      </c>
      <c r="H21" s="10">
        <v>394</v>
      </c>
      <c r="I21" s="10">
        <v>826</v>
      </c>
      <c r="J21" s="10">
        <v>1011</v>
      </c>
      <c r="K21" s="10">
        <v>1117</v>
      </c>
      <c r="L21" s="10">
        <v>1005</v>
      </c>
      <c r="M21" s="10">
        <v>719</v>
      </c>
      <c r="N21" s="10">
        <v>436</v>
      </c>
      <c r="O21" s="10">
        <v>1230</v>
      </c>
      <c r="P21" s="10">
        <v>1629</v>
      </c>
      <c r="Q21" s="10">
        <v>1794</v>
      </c>
      <c r="R21" s="10">
        <v>1715</v>
      </c>
      <c r="S21" s="10">
        <v>1308</v>
      </c>
      <c r="T21" s="10">
        <v>830</v>
      </c>
      <c r="U21" s="11">
        <v>3392</v>
      </c>
      <c r="V21" s="11">
        <v>5114</v>
      </c>
      <c r="W21" s="11">
        <v>8506</v>
      </c>
      <c r="X21" s="11">
        <v>2998</v>
      </c>
      <c r="Y21" s="11">
        <v>4678</v>
      </c>
      <c r="Z21" s="11">
        <v>7676</v>
      </c>
    </row>
    <row r="22" spans="2:26" x14ac:dyDescent="0.2">
      <c r="B22" s="10" t="s">
        <v>17</v>
      </c>
      <c r="C22" s="10">
        <v>666</v>
      </c>
      <c r="D22" s="10">
        <v>1212</v>
      </c>
      <c r="E22" s="10">
        <v>1629</v>
      </c>
      <c r="F22" s="10">
        <v>1756</v>
      </c>
      <c r="G22" s="10">
        <v>1338</v>
      </c>
      <c r="H22" s="10">
        <v>735</v>
      </c>
      <c r="I22" s="10">
        <v>4408</v>
      </c>
      <c r="J22" s="10">
        <v>5449</v>
      </c>
      <c r="K22" s="10">
        <v>5694</v>
      </c>
      <c r="L22" s="10">
        <v>4764</v>
      </c>
      <c r="M22" s="10">
        <v>3032</v>
      </c>
      <c r="N22" s="10">
        <v>1325</v>
      </c>
      <c r="O22" s="10">
        <v>5074</v>
      </c>
      <c r="P22" s="10">
        <v>6661</v>
      </c>
      <c r="Q22" s="10">
        <v>7323</v>
      </c>
      <c r="R22" s="10">
        <v>6520</v>
      </c>
      <c r="S22" s="10">
        <v>4370</v>
      </c>
      <c r="T22" s="10">
        <v>2060</v>
      </c>
      <c r="U22" s="11">
        <v>7336</v>
      </c>
      <c r="V22" s="11">
        <v>24672</v>
      </c>
      <c r="W22" s="11">
        <v>32008</v>
      </c>
      <c r="X22" s="11">
        <v>6601</v>
      </c>
      <c r="Y22" s="11">
        <v>23347</v>
      </c>
      <c r="Z22" s="11">
        <v>29948</v>
      </c>
    </row>
    <row r="23" spans="2:26" x14ac:dyDescent="0.2">
      <c r="B23" s="10" t="s">
        <v>18</v>
      </c>
      <c r="C23" s="10">
        <v>569</v>
      </c>
      <c r="D23" s="10">
        <v>913</v>
      </c>
      <c r="E23" s="10">
        <v>1159</v>
      </c>
      <c r="F23" s="10">
        <v>1021</v>
      </c>
      <c r="G23" s="10">
        <v>647</v>
      </c>
      <c r="H23" s="10">
        <v>319</v>
      </c>
      <c r="I23" s="10">
        <v>2564</v>
      </c>
      <c r="J23" s="10">
        <v>3606</v>
      </c>
      <c r="K23" s="10">
        <v>3940</v>
      </c>
      <c r="L23" s="10">
        <v>2923</v>
      </c>
      <c r="M23" s="10">
        <v>1685</v>
      </c>
      <c r="N23" s="10">
        <v>739</v>
      </c>
      <c r="O23" s="10">
        <v>3133</v>
      </c>
      <c r="P23" s="10">
        <v>4519</v>
      </c>
      <c r="Q23" s="10">
        <v>5099</v>
      </c>
      <c r="R23" s="10">
        <v>3944</v>
      </c>
      <c r="S23" s="10">
        <v>2332</v>
      </c>
      <c r="T23" s="10">
        <v>1058</v>
      </c>
      <c r="U23" s="11">
        <v>4628</v>
      </c>
      <c r="V23" s="11">
        <v>15457</v>
      </c>
      <c r="W23" s="11">
        <v>20085</v>
      </c>
      <c r="X23" s="11">
        <v>4309</v>
      </c>
      <c r="Y23" s="11">
        <v>14718</v>
      </c>
      <c r="Z23" s="11">
        <v>19027</v>
      </c>
    </row>
    <row r="24" spans="2:26" x14ac:dyDescent="0.2">
      <c r="B24" s="10" t="s">
        <v>19</v>
      </c>
      <c r="C24" s="10">
        <v>114</v>
      </c>
      <c r="D24" s="10">
        <v>190</v>
      </c>
      <c r="E24" s="10">
        <v>179</v>
      </c>
      <c r="F24" s="10">
        <v>141</v>
      </c>
      <c r="G24" s="10">
        <v>97</v>
      </c>
      <c r="H24" s="10">
        <v>49</v>
      </c>
      <c r="I24" s="10">
        <v>157</v>
      </c>
      <c r="J24" s="10">
        <v>209</v>
      </c>
      <c r="K24" s="10">
        <v>182</v>
      </c>
      <c r="L24" s="10">
        <v>161</v>
      </c>
      <c r="M24" s="10">
        <v>85</v>
      </c>
      <c r="N24" s="10">
        <v>49</v>
      </c>
      <c r="O24" s="10">
        <v>271</v>
      </c>
      <c r="P24" s="10">
        <v>399</v>
      </c>
      <c r="Q24" s="10">
        <v>361</v>
      </c>
      <c r="R24" s="10">
        <v>302</v>
      </c>
      <c r="S24" s="10">
        <v>182</v>
      </c>
      <c r="T24" s="10">
        <v>98</v>
      </c>
      <c r="U24" s="11">
        <v>770</v>
      </c>
      <c r="V24" s="11">
        <v>843</v>
      </c>
      <c r="W24" s="11">
        <v>1613</v>
      </c>
      <c r="X24" s="11">
        <v>721</v>
      </c>
      <c r="Y24" s="11">
        <v>794</v>
      </c>
      <c r="Z24" s="11">
        <v>1515</v>
      </c>
    </row>
    <row r="25" spans="2:26" x14ac:dyDescent="0.2">
      <c r="B25" s="10" t="s">
        <v>20</v>
      </c>
      <c r="C25" s="10">
        <v>2238</v>
      </c>
      <c r="D25" s="10">
        <v>1994</v>
      </c>
      <c r="E25" s="10">
        <v>2155</v>
      </c>
      <c r="F25" s="10">
        <v>1884</v>
      </c>
      <c r="G25" s="10">
        <v>1109</v>
      </c>
      <c r="H25" s="10">
        <v>616</v>
      </c>
      <c r="I25" s="10">
        <v>6356</v>
      </c>
      <c r="J25" s="10">
        <v>5251</v>
      </c>
      <c r="K25" s="10">
        <v>4684</v>
      </c>
      <c r="L25" s="10">
        <v>3218</v>
      </c>
      <c r="M25" s="10">
        <v>1495</v>
      </c>
      <c r="N25" s="10">
        <v>687</v>
      </c>
      <c r="O25" s="10">
        <v>8594</v>
      </c>
      <c r="P25" s="10">
        <v>7245</v>
      </c>
      <c r="Q25" s="10">
        <v>6839</v>
      </c>
      <c r="R25" s="10">
        <v>5102</v>
      </c>
      <c r="S25" s="10">
        <v>2604</v>
      </c>
      <c r="T25" s="10">
        <v>1303</v>
      </c>
      <c r="U25" s="11">
        <v>9996</v>
      </c>
      <c r="V25" s="11">
        <v>21691</v>
      </c>
      <c r="W25" s="11">
        <v>31687</v>
      </c>
      <c r="X25" s="11">
        <v>9380</v>
      </c>
      <c r="Y25" s="11">
        <v>21004</v>
      </c>
      <c r="Z25" s="11">
        <v>30384</v>
      </c>
    </row>
    <row r="26" spans="2:26" x14ac:dyDescent="0.2">
      <c r="B26" s="10" t="s">
        <v>21</v>
      </c>
      <c r="C26" s="10">
        <v>421</v>
      </c>
      <c r="D26" s="10">
        <v>811</v>
      </c>
      <c r="E26" s="10">
        <v>1073</v>
      </c>
      <c r="F26" s="10">
        <v>705</v>
      </c>
      <c r="G26" s="10">
        <v>333</v>
      </c>
      <c r="H26" s="10">
        <v>138</v>
      </c>
      <c r="I26" s="10">
        <v>1567</v>
      </c>
      <c r="J26" s="10">
        <v>2604</v>
      </c>
      <c r="K26" s="10">
        <v>2588</v>
      </c>
      <c r="L26" s="10">
        <v>1547</v>
      </c>
      <c r="M26" s="10">
        <v>616</v>
      </c>
      <c r="N26" s="10">
        <v>153</v>
      </c>
      <c r="O26" s="10">
        <v>1988</v>
      </c>
      <c r="P26" s="10">
        <v>3415</v>
      </c>
      <c r="Q26" s="10">
        <v>3661</v>
      </c>
      <c r="R26" s="10">
        <v>2252</v>
      </c>
      <c r="S26" s="10">
        <v>949</v>
      </c>
      <c r="T26" s="10">
        <v>291</v>
      </c>
      <c r="U26" s="11">
        <v>3481</v>
      </c>
      <c r="V26" s="11">
        <v>9075</v>
      </c>
      <c r="W26" s="11">
        <v>12556</v>
      </c>
      <c r="X26" s="11">
        <v>3343</v>
      </c>
      <c r="Y26" s="11">
        <v>8922</v>
      </c>
      <c r="Z26" s="11">
        <v>12265</v>
      </c>
    </row>
    <row r="27" spans="2:26" x14ac:dyDescent="0.2">
      <c r="B27" s="10" t="s">
        <v>22</v>
      </c>
      <c r="C27" s="10">
        <v>4039</v>
      </c>
      <c r="D27" s="10">
        <v>5103</v>
      </c>
      <c r="E27" s="10">
        <v>5895</v>
      </c>
      <c r="F27" s="10">
        <v>4666</v>
      </c>
      <c r="G27" s="10">
        <v>1999</v>
      </c>
      <c r="H27" s="10">
        <v>521</v>
      </c>
      <c r="I27" s="10">
        <v>9326</v>
      </c>
      <c r="J27" s="10">
        <v>12311</v>
      </c>
      <c r="K27" s="10">
        <v>13752</v>
      </c>
      <c r="L27" s="10">
        <v>10162</v>
      </c>
      <c r="M27" s="10">
        <v>3918</v>
      </c>
      <c r="N27" s="10">
        <v>803</v>
      </c>
      <c r="O27" s="10">
        <v>13365</v>
      </c>
      <c r="P27" s="10">
        <v>17414</v>
      </c>
      <c r="Q27" s="10">
        <v>19647</v>
      </c>
      <c r="R27" s="10">
        <v>14828</v>
      </c>
      <c r="S27" s="10">
        <v>5917</v>
      </c>
      <c r="T27" s="10">
        <v>1324</v>
      </c>
      <c r="U27" s="11">
        <v>22223</v>
      </c>
      <c r="V27" s="11">
        <v>50272</v>
      </c>
      <c r="W27" s="11">
        <v>72495</v>
      </c>
      <c r="X27" s="11">
        <v>21702</v>
      </c>
      <c r="Y27" s="11">
        <v>49469</v>
      </c>
      <c r="Z27" s="11">
        <v>71171</v>
      </c>
    </row>
    <row r="28" spans="2:26" x14ac:dyDescent="0.2">
      <c r="B28" s="10" t="s">
        <v>51</v>
      </c>
      <c r="C28" s="10">
        <v>594</v>
      </c>
      <c r="D28" s="10">
        <v>1473</v>
      </c>
      <c r="E28" s="10">
        <v>2321</v>
      </c>
      <c r="F28" s="10">
        <v>1750</v>
      </c>
      <c r="G28" s="10">
        <v>706</v>
      </c>
      <c r="H28" s="10">
        <v>189</v>
      </c>
      <c r="I28" s="10">
        <v>1266</v>
      </c>
      <c r="J28" s="10">
        <v>2525</v>
      </c>
      <c r="K28" s="10">
        <v>3090</v>
      </c>
      <c r="L28" s="10">
        <v>2050</v>
      </c>
      <c r="M28" s="10">
        <v>633</v>
      </c>
      <c r="N28" s="10">
        <v>151</v>
      </c>
      <c r="O28" s="10">
        <v>1860</v>
      </c>
      <c r="P28" s="10">
        <v>3998</v>
      </c>
      <c r="Q28" s="10">
        <v>5411</v>
      </c>
      <c r="R28" s="10">
        <v>3800</v>
      </c>
      <c r="S28" s="10">
        <v>1339</v>
      </c>
      <c r="T28" s="10">
        <v>340</v>
      </c>
      <c r="U28" s="11">
        <v>7033</v>
      </c>
      <c r="V28" s="11">
        <v>9715</v>
      </c>
      <c r="W28" s="11">
        <v>16748</v>
      </c>
      <c r="X28" s="11">
        <v>6844</v>
      </c>
      <c r="Y28" s="11">
        <v>9564</v>
      </c>
      <c r="Z28" s="11">
        <v>16408</v>
      </c>
    </row>
    <row r="29" spans="2:26" x14ac:dyDescent="0.2">
      <c r="B29" s="10" t="s">
        <v>23</v>
      </c>
      <c r="C29" s="10">
        <v>247</v>
      </c>
      <c r="D29" s="10">
        <v>517</v>
      </c>
      <c r="E29" s="10">
        <v>736</v>
      </c>
      <c r="F29" s="10">
        <v>456</v>
      </c>
      <c r="G29" s="10">
        <v>219</v>
      </c>
      <c r="H29" s="10">
        <v>82</v>
      </c>
      <c r="I29" s="10">
        <v>623</v>
      </c>
      <c r="J29" s="10">
        <v>1345</v>
      </c>
      <c r="K29" s="10">
        <v>1519</v>
      </c>
      <c r="L29" s="10">
        <v>859</v>
      </c>
      <c r="M29" s="10">
        <v>257</v>
      </c>
      <c r="N29" s="10">
        <v>89</v>
      </c>
      <c r="O29" s="10">
        <v>870</v>
      </c>
      <c r="P29" s="10">
        <v>1862</v>
      </c>
      <c r="Q29" s="10">
        <v>2255</v>
      </c>
      <c r="R29" s="10">
        <v>1315</v>
      </c>
      <c r="S29" s="10">
        <v>476</v>
      </c>
      <c r="T29" s="10">
        <v>171</v>
      </c>
      <c r="U29" s="11">
        <v>2257</v>
      </c>
      <c r="V29" s="11">
        <v>4692</v>
      </c>
      <c r="W29" s="11">
        <v>6949</v>
      </c>
      <c r="X29" s="11">
        <v>2175</v>
      </c>
      <c r="Y29" s="11">
        <v>4603</v>
      </c>
      <c r="Z29" s="11">
        <v>6778</v>
      </c>
    </row>
    <row r="30" spans="2:26" x14ac:dyDescent="0.2">
      <c r="B30" s="10" t="s">
        <v>24</v>
      </c>
      <c r="C30" s="10">
        <v>1326</v>
      </c>
      <c r="D30" s="10">
        <v>1080</v>
      </c>
      <c r="E30" s="10">
        <v>869</v>
      </c>
      <c r="F30" s="10">
        <v>581</v>
      </c>
      <c r="G30" s="10">
        <v>316</v>
      </c>
      <c r="H30" s="10">
        <v>124</v>
      </c>
      <c r="I30" s="10">
        <v>2669</v>
      </c>
      <c r="J30" s="10">
        <v>2289</v>
      </c>
      <c r="K30" s="10">
        <v>1985</v>
      </c>
      <c r="L30" s="10">
        <v>1350</v>
      </c>
      <c r="M30" s="10">
        <v>749</v>
      </c>
      <c r="N30" s="10">
        <v>261</v>
      </c>
      <c r="O30" s="10">
        <v>3995</v>
      </c>
      <c r="P30" s="10">
        <v>3369</v>
      </c>
      <c r="Q30" s="10">
        <v>2854</v>
      </c>
      <c r="R30" s="10">
        <v>1931</v>
      </c>
      <c r="S30" s="10">
        <v>1065</v>
      </c>
      <c r="T30" s="10">
        <v>385</v>
      </c>
      <c r="U30" s="11">
        <v>4296</v>
      </c>
      <c r="V30" s="11">
        <v>9303</v>
      </c>
      <c r="W30" s="11">
        <v>13599</v>
      </c>
      <c r="X30" s="11">
        <v>4172</v>
      </c>
      <c r="Y30" s="11">
        <v>9042</v>
      </c>
      <c r="Z30" s="11">
        <v>13214</v>
      </c>
    </row>
    <row r="31" spans="2:26" x14ac:dyDescent="0.2">
      <c r="B31" s="10" t="s">
        <v>25</v>
      </c>
      <c r="C31" s="10">
        <v>718</v>
      </c>
      <c r="D31" s="10">
        <v>468</v>
      </c>
      <c r="E31" s="10">
        <v>436</v>
      </c>
      <c r="F31" s="10">
        <v>298</v>
      </c>
      <c r="G31" s="10">
        <v>204</v>
      </c>
      <c r="H31" s="10">
        <v>68</v>
      </c>
      <c r="I31" s="10">
        <v>1211</v>
      </c>
      <c r="J31" s="10">
        <v>956</v>
      </c>
      <c r="K31" s="10">
        <v>840</v>
      </c>
      <c r="L31" s="10">
        <v>653</v>
      </c>
      <c r="M31" s="10">
        <v>404</v>
      </c>
      <c r="N31" s="10">
        <v>111</v>
      </c>
      <c r="O31" s="10">
        <v>1929</v>
      </c>
      <c r="P31" s="10">
        <v>1424</v>
      </c>
      <c r="Q31" s="10">
        <v>1276</v>
      </c>
      <c r="R31" s="10">
        <v>951</v>
      </c>
      <c r="S31" s="10">
        <v>608</v>
      </c>
      <c r="T31" s="10">
        <v>179</v>
      </c>
      <c r="U31" s="11">
        <v>2192</v>
      </c>
      <c r="V31" s="11">
        <v>4175</v>
      </c>
      <c r="W31" s="11">
        <v>6367</v>
      </c>
      <c r="X31" s="11">
        <v>2124</v>
      </c>
      <c r="Y31" s="11">
        <v>4064</v>
      </c>
      <c r="Z31" s="11">
        <v>6188</v>
      </c>
    </row>
    <row r="32" spans="2:26" x14ac:dyDescent="0.2">
      <c r="B32" s="10" t="s">
        <v>26</v>
      </c>
      <c r="C32" s="10">
        <v>447</v>
      </c>
      <c r="D32" s="10">
        <v>371</v>
      </c>
      <c r="E32" s="10">
        <v>255</v>
      </c>
      <c r="F32" s="10">
        <v>165</v>
      </c>
      <c r="G32" s="10">
        <v>93</v>
      </c>
      <c r="H32" s="10">
        <v>40</v>
      </c>
      <c r="I32" s="10">
        <v>918</v>
      </c>
      <c r="J32" s="10">
        <v>792</v>
      </c>
      <c r="K32" s="10">
        <v>654</v>
      </c>
      <c r="L32" s="10">
        <v>389</v>
      </c>
      <c r="M32" s="10">
        <v>230</v>
      </c>
      <c r="N32" s="10">
        <v>76</v>
      </c>
      <c r="O32" s="10">
        <v>1365</v>
      </c>
      <c r="P32" s="10">
        <v>1163</v>
      </c>
      <c r="Q32" s="10">
        <v>909</v>
      </c>
      <c r="R32" s="10">
        <v>554</v>
      </c>
      <c r="S32" s="10">
        <v>323</v>
      </c>
      <c r="T32" s="10">
        <v>116</v>
      </c>
      <c r="U32" s="11">
        <v>1371</v>
      </c>
      <c r="V32" s="11">
        <v>3059</v>
      </c>
      <c r="W32" s="11">
        <v>4430</v>
      </c>
      <c r="X32" s="11">
        <v>1331</v>
      </c>
      <c r="Y32" s="11">
        <v>2983</v>
      </c>
      <c r="Z32" s="11">
        <v>4314</v>
      </c>
    </row>
    <row r="33" spans="1:73" x14ac:dyDescent="0.2">
      <c r="B33" s="10" t="s">
        <v>27</v>
      </c>
      <c r="C33" s="10">
        <v>705</v>
      </c>
      <c r="D33" s="10">
        <v>458</v>
      </c>
      <c r="E33" s="10">
        <v>279</v>
      </c>
      <c r="F33" s="10">
        <v>130</v>
      </c>
      <c r="G33" s="10">
        <v>49</v>
      </c>
      <c r="H33" s="10">
        <v>61</v>
      </c>
      <c r="I33" s="10">
        <v>1022</v>
      </c>
      <c r="J33" s="10">
        <v>622</v>
      </c>
      <c r="K33" s="10">
        <v>313</v>
      </c>
      <c r="L33" s="10">
        <v>111</v>
      </c>
      <c r="M33" s="10">
        <v>39</v>
      </c>
      <c r="N33" s="10">
        <v>71</v>
      </c>
      <c r="O33" s="10">
        <v>1727</v>
      </c>
      <c r="P33" s="10">
        <v>1080</v>
      </c>
      <c r="Q33" s="10">
        <v>592</v>
      </c>
      <c r="R33" s="10">
        <v>241</v>
      </c>
      <c r="S33" s="10">
        <v>88</v>
      </c>
      <c r="T33" s="10">
        <v>132</v>
      </c>
      <c r="U33" s="11">
        <v>1682</v>
      </c>
      <c r="V33" s="11">
        <v>2178</v>
      </c>
      <c r="W33" s="11">
        <v>3860</v>
      </c>
      <c r="X33" s="11">
        <v>1621</v>
      </c>
      <c r="Y33" s="11">
        <v>2107</v>
      </c>
      <c r="Z33" s="11">
        <v>3728</v>
      </c>
    </row>
    <row r="34" spans="1:73" x14ac:dyDescent="0.2">
      <c r="B34" s="10" t="s">
        <v>28</v>
      </c>
      <c r="C34" s="10">
        <v>692</v>
      </c>
      <c r="D34" s="10">
        <v>554</v>
      </c>
      <c r="E34" s="10">
        <v>454</v>
      </c>
      <c r="F34" s="10">
        <v>255</v>
      </c>
      <c r="G34" s="10">
        <v>135</v>
      </c>
      <c r="H34" s="10">
        <v>35</v>
      </c>
      <c r="I34" s="10">
        <v>902</v>
      </c>
      <c r="J34" s="10">
        <v>825</v>
      </c>
      <c r="K34" s="10">
        <v>660</v>
      </c>
      <c r="L34" s="10">
        <v>309</v>
      </c>
      <c r="M34" s="10">
        <v>96</v>
      </c>
      <c r="N34" s="10">
        <v>27</v>
      </c>
      <c r="O34" s="10">
        <v>1594</v>
      </c>
      <c r="P34" s="10">
        <v>1379</v>
      </c>
      <c r="Q34" s="10">
        <v>1114</v>
      </c>
      <c r="R34" s="10">
        <v>564</v>
      </c>
      <c r="S34" s="10">
        <v>231</v>
      </c>
      <c r="T34" s="10">
        <v>62</v>
      </c>
      <c r="U34" s="11">
        <v>2125</v>
      </c>
      <c r="V34" s="11">
        <v>2819</v>
      </c>
      <c r="W34" s="11">
        <v>4944</v>
      </c>
      <c r="X34" s="11">
        <v>2090</v>
      </c>
      <c r="Y34" s="11">
        <v>2792</v>
      </c>
      <c r="Z34" s="11">
        <v>4882</v>
      </c>
    </row>
    <row r="35" spans="1:73" x14ac:dyDescent="0.2">
      <c r="B35" s="10" t="s">
        <v>29</v>
      </c>
      <c r="C35" s="10">
        <v>529</v>
      </c>
      <c r="D35" s="10">
        <v>674</v>
      </c>
      <c r="E35" s="10">
        <v>590</v>
      </c>
      <c r="F35" s="10">
        <v>366</v>
      </c>
      <c r="G35" s="10">
        <v>194</v>
      </c>
      <c r="H35" s="10">
        <v>87</v>
      </c>
      <c r="I35" s="10">
        <v>1348</v>
      </c>
      <c r="J35" s="10">
        <v>1729</v>
      </c>
      <c r="K35" s="10">
        <v>1534</v>
      </c>
      <c r="L35" s="10">
        <v>979</v>
      </c>
      <c r="M35" s="10">
        <v>413</v>
      </c>
      <c r="N35" s="10">
        <v>164</v>
      </c>
      <c r="O35" s="10">
        <v>1877</v>
      </c>
      <c r="P35" s="10">
        <v>2403</v>
      </c>
      <c r="Q35" s="10">
        <v>2124</v>
      </c>
      <c r="R35" s="10">
        <v>1345</v>
      </c>
      <c r="S35" s="10">
        <v>607</v>
      </c>
      <c r="T35" s="10">
        <v>251</v>
      </c>
      <c r="U35" s="11">
        <v>2440</v>
      </c>
      <c r="V35" s="11">
        <v>6167</v>
      </c>
      <c r="W35" s="11">
        <v>8607</v>
      </c>
      <c r="X35" s="11">
        <v>2353</v>
      </c>
      <c r="Y35" s="11">
        <v>6003</v>
      </c>
      <c r="Z35" s="11">
        <v>8356</v>
      </c>
    </row>
    <row r="36" spans="1:73" x14ac:dyDescent="0.2">
      <c r="B36" s="10" t="s">
        <v>30</v>
      </c>
      <c r="C36" s="10">
        <v>620</v>
      </c>
      <c r="D36" s="10">
        <v>705</v>
      </c>
      <c r="E36" s="10">
        <v>784</v>
      </c>
      <c r="F36" s="10">
        <v>644</v>
      </c>
      <c r="G36" s="10">
        <v>329</v>
      </c>
      <c r="H36" s="10">
        <v>118</v>
      </c>
      <c r="I36" s="10">
        <v>815</v>
      </c>
      <c r="J36" s="10">
        <v>889</v>
      </c>
      <c r="K36" s="10">
        <v>891</v>
      </c>
      <c r="L36" s="10">
        <v>611</v>
      </c>
      <c r="M36" s="10">
        <v>289</v>
      </c>
      <c r="N36" s="10">
        <v>72</v>
      </c>
      <c r="O36" s="10">
        <v>1435</v>
      </c>
      <c r="P36" s="10">
        <v>1594</v>
      </c>
      <c r="Q36" s="10">
        <v>1675</v>
      </c>
      <c r="R36" s="10">
        <v>1255</v>
      </c>
      <c r="S36" s="10">
        <v>618</v>
      </c>
      <c r="T36" s="10">
        <v>190</v>
      </c>
      <c r="U36" s="11">
        <v>3200</v>
      </c>
      <c r="V36" s="11">
        <v>3567</v>
      </c>
      <c r="W36" s="11">
        <v>6767</v>
      </c>
      <c r="X36" s="11">
        <v>3082</v>
      </c>
      <c r="Y36" s="11">
        <v>3495</v>
      </c>
      <c r="Z36" s="11">
        <v>6577</v>
      </c>
    </row>
    <row r="37" spans="1:73" x14ac:dyDescent="0.2">
      <c r="B37" s="10" t="s">
        <v>31</v>
      </c>
      <c r="C37" s="10">
        <v>804</v>
      </c>
      <c r="D37" s="10">
        <v>1607</v>
      </c>
      <c r="E37" s="10">
        <v>2502</v>
      </c>
      <c r="F37" s="10">
        <v>2695</v>
      </c>
      <c r="G37" s="10">
        <v>1834</v>
      </c>
      <c r="H37" s="10">
        <v>580</v>
      </c>
      <c r="I37" s="10">
        <v>1278</v>
      </c>
      <c r="J37" s="10">
        <v>1405</v>
      </c>
      <c r="K37" s="10">
        <v>1636</v>
      </c>
      <c r="L37" s="10">
        <v>1327</v>
      </c>
      <c r="M37" s="10">
        <v>751</v>
      </c>
      <c r="N37" s="10">
        <v>236</v>
      </c>
      <c r="O37" s="10">
        <v>2082</v>
      </c>
      <c r="P37" s="10">
        <v>3012</v>
      </c>
      <c r="Q37" s="10">
        <v>4138</v>
      </c>
      <c r="R37" s="10">
        <v>4022</v>
      </c>
      <c r="S37" s="10">
        <v>2585</v>
      </c>
      <c r="T37" s="10">
        <v>816</v>
      </c>
      <c r="U37" s="11">
        <v>10022</v>
      </c>
      <c r="V37" s="11">
        <v>6633</v>
      </c>
      <c r="W37" s="11">
        <v>16655</v>
      </c>
      <c r="X37" s="11">
        <v>9442</v>
      </c>
      <c r="Y37" s="11">
        <v>6397</v>
      </c>
      <c r="Z37" s="11">
        <v>15839</v>
      </c>
    </row>
    <row r="38" spans="1:73" x14ac:dyDescent="0.2">
      <c r="B38" s="10" t="s">
        <v>32</v>
      </c>
      <c r="C38" s="10">
        <v>3155</v>
      </c>
      <c r="D38" s="10">
        <v>4392</v>
      </c>
      <c r="E38" s="10">
        <v>5733</v>
      </c>
      <c r="F38" s="10">
        <v>6203</v>
      </c>
      <c r="G38" s="10">
        <v>4980</v>
      </c>
      <c r="H38" s="10">
        <v>3616</v>
      </c>
      <c r="I38" s="10">
        <v>3860</v>
      </c>
      <c r="J38" s="10">
        <v>5121</v>
      </c>
      <c r="K38" s="10">
        <v>6623</v>
      </c>
      <c r="L38" s="10">
        <v>6741</v>
      </c>
      <c r="M38" s="10">
        <v>4996</v>
      </c>
      <c r="N38" s="10">
        <v>3101</v>
      </c>
      <c r="O38" s="10">
        <v>7015</v>
      </c>
      <c r="P38" s="10">
        <v>9513</v>
      </c>
      <c r="Q38" s="10">
        <v>12356</v>
      </c>
      <c r="R38" s="10">
        <v>12944</v>
      </c>
      <c r="S38" s="10">
        <v>9976</v>
      </c>
      <c r="T38" s="10">
        <v>6717</v>
      </c>
      <c r="U38" s="11">
        <v>28079</v>
      </c>
      <c r="V38" s="11">
        <v>30442</v>
      </c>
      <c r="W38" s="11">
        <v>58521</v>
      </c>
      <c r="X38" s="11">
        <v>24463</v>
      </c>
      <c r="Y38" s="11">
        <v>27341</v>
      </c>
      <c r="Z38" s="11">
        <v>51804</v>
      </c>
    </row>
    <row r="39" spans="1:73" x14ac:dyDescent="0.2">
      <c r="B39" s="10" t="s">
        <v>46</v>
      </c>
      <c r="C39" s="10">
        <v>57551</v>
      </c>
      <c r="D39" s="10">
        <v>60596</v>
      </c>
      <c r="E39" s="10">
        <v>66592</v>
      </c>
      <c r="F39" s="10">
        <v>58110</v>
      </c>
      <c r="G39" s="10">
        <v>37829</v>
      </c>
      <c r="H39" s="10">
        <v>19201</v>
      </c>
      <c r="I39" s="10">
        <v>74724</v>
      </c>
      <c r="J39" s="10">
        <v>79815</v>
      </c>
      <c r="K39" s="10">
        <v>80726</v>
      </c>
      <c r="L39" s="10">
        <v>61447</v>
      </c>
      <c r="M39" s="10">
        <v>33966</v>
      </c>
      <c r="N39" s="10">
        <v>14476</v>
      </c>
      <c r="O39" s="10">
        <v>132275</v>
      </c>
      <c r="P39" s="10">
        <v>140411</v>
      </c>
      <c r="Q39" s="10">
        <v>147318</v>
      </c>
      <c r="R39" s="10">
        <v>119557</v>
      </c>
      <c r="S39" s="10">
        <v>71795</v>
      </c>
      <c r="T39" s="10">
        <v>33677</v>
      </c>
      <c r="U39" s="11">
        <v>299879</v>
      </c>
      <c r="V39" s="11">
        <v>345154</v>
      </c>
      <c r="W39" s="11">
        <v>645033</v>
      </c>
      <c r="X39" s="11">
        <v>280678</v>
      </c>
      <c r="Y39" s="11">
        <v>330678</v>
      </c>
      <c r="Z39" s="11">
        <v>611356</v>
      </c>
      <c r="AC39" s="118"/>
      <c r="AD39" s="118"/>
      <c r="AE39" s="118"/>
      <c r="AF39" s="118"/>
      <c r="AG39" s="118"/>
      <c r="AH39" s="118"/>
      <c r="AI39" s="118"/>
      <c r="AJ39" s="118"/>
      <c r="AK39" s="118"/>
      <c r="AL39" s="118"/>
      <c r="AM39" s="118"/>
      <c r="AN39" s="118"/>
      <c r="AO39" s="118"/>
      <c r="AP39" s="118"/>
      <c r="AQ39" s="118"/>
      <c r="AR39" s="118"/>
      <c r="AS39" s="118"/>
      <c r="AT39" s="118"/>
      <c r="AU39" s="118"/>
      <c r="AV39" s="118"/>
      <c r="AW39" s="118"/>
      <c r="AX39" s="118"/>
      <c r="AY39" s="118"/>
      <c r="AZ39" s="118"/>
      <c r="BA39" s="119"/>
      <c r="BB39" s="119"/>
      <c r="BC39" s="119"/>
      <c r="BD39" s="119"/>
      <c r="BE39" s="119"/>
      <c r="BF39" s="119"/>
      <c r="BG39" s="119"/>
      <c r="BH39" s="119"/>
      <c r="BI39" s="119"/>
      <c r="BJ39" s="119"/>
      <c r="BK39" s="119"/>
      <c r="BL39" s="119"/>
      <c r="BM39" s="119"/>
      <c r="BN39" s="119"/>
      <c r="BO39" s="119"/>
      <c r="BP39" s="119"/>
      <c r="BQ39" s="119"/>
      <c r="BR39" s="119"/>
      <c r="BS39" s="119"/>
      <c r="BT39" s="119"/>
      <c r="BU39" s="119"/>
    </row>
    <row r="40" spans="1:73" x14ac:dyDescent="0.2">
      <c r="AC40" s="74"/>
      <c r="AD40" s="74"/>
      <c r="AE40" s="74"/>
      <c r="AF40" s="74"/>
      <c r="AG40" s="74"/>
      <c r="AH40" s="74"/>
      <c r="AI40" s="74"/>
      <c r="AJ40" s="74"/>
      <c r="AK40" s="74"/>
      <c r="AL40" s="74"/>
      <c r="AM40" s="74"/>
      <c r="AN40" s="74"/>
      <c r="AO40" s="74"/>
      <c r="AP40" s="74"/>
      <c r="AQ40" s="74"/>
      <c r="AR40" s="74"/>
      <c r="AS40" s="74"/>
      <c r="AT40" s="74"/>
      <c r="AU40" s="74"/>
      <c r="AV40" s="74"/>
      <c r="AW40" s="74"/>
      <c r="AX40" s="74"/>
      <c r="AY40" s="74"/>
      <c r="AZ40" s="74"/>
      <c r="BA40" s="77"/>
      <c r="BB40" s="77"/>
      <c r="BC40" s="77"/>
      <c r="BD40" s="77"/>
      <c r="BE40" s="77"/>
      <c r="BF40" s="77"/>
      <c r="BG40" s="77"/>
      <c r="BH40" s="77"/>
      <c r="BI40" s="77"/>
      <c r="BJ40" s="77"/>
      <c r="BK40" s="77"/>
      <c r="BL40" s="77"/>
      <c r="BM40" s="77"/>
      <c r="BN40" s="77"/>
      <c r="BO40" s="77"/>
      <c r="BP40" s="77"/>
      <c r="BQ40" s="77"/>
      <c r="BR40" s="77"/>
      <c r="BS40" s="77"/>
      <c r="BT40" s="77"/>
      <c r="BU40" s="77"/>
    </row>
    <row r="41" spans="1:73" x14ac:dyDescent="0.2">
      <c r="A41" s="14"/>
      <c r="B41" s="10" t="s">
        <v>0</v>
      </c>
      <c r="C41" s="4">
        <v>19.100000000000001</v>
      </c>
      <c r="D41" s="4">
        <v>18.5</v>
      </c>
      <c r="E41" s="4">
        <v>19.7</v>
      </c>
      <c r="F41" s="4">
        <v>18.399999999999999</v>
      </c>
      <c r="G41" s="4">
        <v>15.1</v>
      </c>
      <c r="H41" s="4">
        <v>90.8</v>
      </c>
      <c r="I41" s="13">
        <v>17429</v>
      </c>
      <c r="J41" s="4">
        <v>22.6</v>
      </c>
      <c r="K41" s="4">
        <v>20.2</v>
      </c>
      <c r="L41" s="4">
        <v>19.899999999999999</v>
      </c>
      <c r="M41" s="4">
        <v>17.8</v>
      </c>
      <c r="N41" s="4">
        <v>12.6</v>
      </c>
      <c r="O41" s="4">
        <v>93.1</v>
      </c>
      <c r="P41" s="13">
        <v>27978</v>
      </c>
      <c r="Q41" s="4">
        <v>21.3</v>
      </c>
      <c r="R41" s="4">
        <v>19.5</v>
      </c>
      <c r="S41" s="4">
        <v>19.8</v>
      </c>
      <c r="T41" s="4">
        <v>18</v>
      </c>
      <c r="U41" s="4">
        <v>13.6</v>
      </c>
      <c r="V41" s="4">
        <v>92.2</v>
      </c>
      <c r="W41" s="13">
        <v>45407</v>
      </c>
      <c r="X41" s="14"/>
      <c r="Y41" s="14"/>
      <c r="Z41" s="14"/>
      <c r="AA41" s="74"/>
      <c r="AB41" s="74"/>
      <c r="AC41" s="74"/>
      <c r="AD41" s="74"/>
      <c r="AE41" s="74"/>
      <c r="AF41" s="74"/>
      <c r="AG41" s="74"/>
      <c r="AH41" s="74"/>
      <c r="AI41" s="74"/>
      <c r="AJ41" s="74"/>
      <c r="AK41" s="74"/>
      <c r="AL41" s="74"/>
      <c r="AM41" s="74"/>
      <c r="AN41" s="74"/>
      <c r="AO41" s="74"/>
      <c r="AP41" s="74"/>
      <c r="AQ41" s="74"/>
      <c r="AR41" s="74"/>
      <c r="AS41" s="74"/>
      <c r="AT41" s="74"/>
      <c r="AU41" s="74"/>
      <c r="AV41" s="74"/>
      <c r="AW41" s="74"/>
      <c r="AY41" s="77"/>
      <c r="AZ41" s="77"/>
      <c r="BA41" s="77"/>
      <c r="BB41" s="77"/>
      <c r="BC41" s="77"/>
      <c r="BD41" s="77"/>
      <c r="BE41" s="77"/>
      <c r="BF41" s="77"/>
      <c r="BG41" s="77"/>
      <c r="BH41" s="77"/>
      <c r="BI41" s="77"/>
      <c r="BJ41" s="77"/>
      <c r="BK41" s="77"/>
      <c r="BL41" s="77"/>
      <c r="BM41" s="77"/>
      <c r="BN41" s="77"/>
      <c r="BO41" s="77"/>
      <c r="BP41" s="77"/>
      <c r="BQ41" s="77"/>
      <c r="BR41" s="77"/>
      <c r="BS41" s="77"/>
      <c r="BT41" s="77"/>
      <c r="BU41" s="77"/>
    </row>
    <row r="42" spans="1:73" x14ac:dyDescent="0.2">
      <c r="A42" s="14"/>
      <c r="B42" s="10" t="s">
        <v>1</v>
      </c>
      <c r="C42" s="4">
        <v>26.8</v>
      </c>
      <c r="D42" s="4">
        <v>22.1</v>
      </c>
      <c r="E42" s="4">
        <v>18.899999999999999</v>
      </c>
      <c r="F42" s="4">
        <v>15.3</v>
      </c>
      <c r="G42" s="4">
        <v>10.9</v>
      </c>
      <c r="H42" s="4">
        <v>94.1</v>
      </c>
      <c r="I42" s="13">
        <v>15932</v>
      </c>
      <c r="J42" s="4">
        <v>29.6</v>
      </c>
      <c r="K42" s="4">
        <v>24.3</v>
      </c>
      <c r="L42" s="4">
        <v>19.399999999999999</v>
      </c>
      <c r="M42" s="4">
        <v>13.8</v>
      </c>
      <c r="N42" s="4">
        <v>8.8000000000000007</v>
      </c>
      <c r="O42" s="4">
        <v>95.9</v>
      </c>
      <c r="P42" s="13">
        <v>16392</v>
      </c>
      <c r="Q42" s="4">
        <v>28.2</v>
      </c>
      <c r="R42" s="4">
        <v>23.2</v>
      </c>
      <c r="S42" s="4">
        <v>19.2</v>
      </c>
      <c r="T42" s="4">
        <v>14.6</v>
      </c>
      <c r="U42" s="4">
        <v>9.8000000000000007</v>
      </c>
      <c r="V42" s="4">
        <v>95</v>
      </c>
      <c r="W42" s="13">
        <v>32324</v>
      </c>
      <c r="X42" s="14"/>
      <c r="Y42" s="14"/>
      <c r="Z42" s="14"/>
      <c r="AA42" s="74"/>
      <c r="AB42" s="74"/>
      <c r="AC42" s="74"/>
      <c r="AD42" s="74"/>
      <c r="AE42" s="74"/>
      <c r="AF42" s="74"/>
      <c r="AG42" s="74"/>
      <c r="AH42" s="74"/>
      <c r="AI42" s="74"/>
      <c r="AJ42" s="74"/>
      <c r="AK42" s="74"/>
      <c r="AL42" s="74"/>
      <c r="AM42" s="74"/>
      <c r="AN42" s="74"/>
      <c r="AO42" s="74"/>
      <c r="AP42" s="74"/>
      <c r="AQ42" s="74"/>
      <c r="AR42" s="74"/>
      <c r="AS42" s="74"/>
      <c r="AT42" s="74"/>
      <c r="AU42" s="74"/>
      <c r="AV42" s="74"/>
      <c r="AW42" s="74"/>
      <c r="AY42" s="77"/>
      <c r="AZ42" s="77"/>
      <c r="BA42" s="77"/>
      <c r="BB42" s="77"/>
      <c r="BC42" s="77"/>
      <c r="BD42" s="77"/>
      <c r="BE42" s="77"/>
      <c r="BF42" s="77"/>
      <c r="BG42" s="77"/>
      <c r="BH42" s="77"/>
      <c r="BI42" s="77"/>
      <c r="BJ42" s="77"/>
      <c r="BK42" s="77"/>
      <c r="BL42" s="77"/>
      <c r="BM42" s="77"/>
      <c r="BN42" s="77"/>
      <c r="BO42" s="77"/>
      <c r="BP42" s="77"/>
      <c r="BQ42" s="77"/>
      <c r="BR42" s="77"/>
      <c r="BS42" s="77"/>
      <c r="BT42" s="77"/>
      <c r="BU42" s="77"/>
    </row>
    <row r="43" spans="1:73" x14ac:dyDescent="0.2">
      <c r="A43" s="14"/>
      <c r="B43" s="10" t="s">
        <v>2</v>
      </c>
      <c r="C43" s="4">
        <v>25.4</v>
      </c>
      <c r="D43" s="4">
        <v>19.7</v>
      </c>
      <c r="E43" s="4">
        <v>18.600000000000001</v>
      </c>
      <c r="F43" s="4">
        <v>16.600000000000001</v>
      </c>
      <c r="G43" s="4">
        <v>12.7</v>
      </c>
      <c r="H43" s="4">
        <v>92.9</v>
      </c>
      <c r="I43" s="13">
        <v>21541</v>
      </c>
      <c r="J43" s="4">
        <v>32.1</v>
      </c>
      <c r="K43" s="4">
        <v>22.8</v>
      </c>
      <c r="L43" s="4">
        <v>18.3</v>
      </c>
      <c r="M43" s="4">
        <v>14.6</v>
      </c>
      <c r="N43" s="4">
        <v>8.3000000000000007</v>
      </c>
      <c r="O43" s="4">
        <v>96.1</v>
      </c>
      <c r="P43" s="13">
        <v>6319</v>
      </c>
      <c r="Q43" s="4">
        <v>26.9</v>
      </c>
      <c r="R43" s="4">
        <v>20.399999999999999</v>
      </c>
      <c r="S43" s="4">
        <v>18.5</v>
      </c>
      <c r="T43" s="4">
        <v>16.100000000000001</v>
      </c>
      <c r="U43" s="4">
        <v>11.7</v>
      </c>
      <c r="V43" s="4">
        <v>93.6</v>
      </c>
      <c r="W43" s="13">
        <v>27860</v>
      </c>
      <c r="X43" s="14"/>
      <c r="Y43" s="14"/>
      <c r="Z43" s="14"/>
      <c r="AA43" s="74"/>
      <c r="AB43" s="74"/>
      <c r="AC43" s="74"/>
      <c r="AD43" s="74"/>
      <c r="AE43" s="74"/>
      <c r="AF43" s="74"/>
      <c r="AG43" s="74"/>
      <c r="AH43" s="74"/>
      <c r="AI43" s="74"/>
      <c r="AJ43" s="74"/>
      <c r="AK43" s="74"/>
      <c r="AL43" s="74"/>
      <c r="AM43" s="74"/>
      <c r="AN43" s="74"/>
      <c r="AO43" s="74"/>
      <c r="AP43" s="74"/>
      <c r="AQ43" s="74"/>
      <c r="AR43" s="74"/>
      <c r="AS43" s="74"/>
      <c r="AT43" s="74"/>
      <c r="AU43" s="74"/>
      <c r="AV43" s="74"/>
      <c r="AW43" s="74"/>
      <c r="AY43" s="77"/>
      <c r="AZ43" s="77"/>
      <c r="BA43" s="77"/>
      <c r="BB43" s="77"/>
      <c r="BC43" s="77"/>
      <c r="BD43" s="77"/>
      <c r="BE43" s="77"/>
      <c r="BF43" s="77"/>
      <c r="BG43" s="77"/>
      <c r="BH43" s="77"/>
      <c r="BI43" s="77"/>
      <c r="BJ43" s="77"/>
      <c r="BK43" s="77"/>
      <c r="BL43" s="77"/>
      <c r="BM43" s="77"/>
      <c r="BN43" s="77"/>
      <c r="BO43" s="77"/>
      <c r="BP43" s="77"/>
      <c r="BQ43" s="77"/>
      <c r="BR43" s="77"/>
      <c r="BS43" s="77"/>
      <c r="BT43" s="77"/>
      <c r="BU43" s="77"/>
    </row>
    <row r="44" spans="1:73" x14ac:dyDescent="0.2">
      <c r="A44" s="14"/>
      <c r="B44" s="10" t="s">
        <v>3</v>
      </c>
      <c r="C44" s="4">
        <v>20.399999999999999</v>
      </c>
      <c r="D44" s="4">
        <v>20.100000000000001</v>
      </c>
      <c r="E44" s="4">
        <v>20.2</v>
      </c>
      <c r="F44" s="4">
        <v>20</v>
      </c>
      <c r="G44" s="4">
        <v>13.5</v>
      </c>
      <c r="H44" s="4">
        <v>94.2</v>
      </c>
      <c r="I44" s="13">
        <v>2514</v>
      </c>
      <c r="J44" s="4">
        <v>20.100000000000001</v>
      </c>
      <c r="K44" s="4">
        <v>19.600000000000001</v>
      </c>
      <c r="L44" s="4">
        <v>21.7</v>
      </c>
      <c r="M44" s="4">
        <v>20.2</v>
      </c>
      <c r="N44" s="4">
        <v>12.2</v>
      </c>
      <c r="O44" s="4">
        <v>93.7</v>
      </c>
      <c r="P44" s="13">
        <v>1226</v>
      </c>
      <c r="Q44" s="4">
        <v>20.3</v>
      </c>
      <c r="R44" s="4">
        <v>19.899999999999999</v>
      </c>
      <c r="S44" s="4">
        <v>20.7</v>
      </c>
      <c r="T44" s="4">
        <v>20.100000000000001</v>
      </c>
      <c r="U44" s="4">
        <v>13</v>
      </c>
      <c r="V44" s="4">
        <v>94.1</v>
      </c>
      <c r="W44" s="13">
        <v>3740</v>
      </c>
      <c r="X44" s="14"/>
      <c r="Y44" s="14"/>
      <c r="Z44" s="14"/>
      <c r="AA44" s="74"/>
      <c r="AB44" s="74"/>
      <c r="AC44" s="74"/>
      <c r="AD44" s="74"/>
      <c r="AE44" s="74"/>
      <c r="AF44" s="74"/>
      <c r="AG44" s="74"/>
      <c r="AH44" s="74"/>
      <c r="AI44" s="74"/>
      <c r="AJ44" s="74"/>
      <c r="AK44" s="74"/>
      <c r="AL44" s="74"/>
      <c r="AM44" s="74"/>
      <c r="AN44" s="74"/>
      <c r="AO44" s="74"/>
      <c r="AP44" s="74"/>
      <c r="AQ44" s="74"/>
      <c r="AR44" s="74"/>
      <c r="AS44" s="74"/>
      <c r="AT44" s="74"/>
      <c r="AU44" s="74"/>
      <c r="AV44" s="74"/>
      <c r="AW44" s="74"/>
      <c r="AY44" s="77"/>
      <c r="AZ44" s="77"/>
      <c r="BA44" s="77"/>
      <c r="BB44" s="77"/>
      <c r="BC44" s="77"/>
      <c r="BD44" s="77"/>
      <c r="BE44" s="77"/>
      <c r="BF44" s="77"/>
      <c r="BG44" s="77"/>
      <c r="BH44" s="77"/>
      <c r="BI44" s="77"/>
      <c r="BJ44" s="77"/>
      <c r="BK44" s="77"/>
      <c r="BL44" s="77"/>
      <c r="BM44" s="77"/>
      <c r="BN44" s="77"/>
      <c r="BO44" s="77"/>
      <c r="BP44" s="77"/>
      <c r="BQ44" s="77"/>
      <c r="BR44" s="77"/>
      <c r="BS44" s="77"/>
      <c r="BT44" s="77"/>
      <c r="BU44" s="77"/>
    </row>
    <row r="45" spans="1:73" x14ac:dyDescent="0.2">
      <c r="A45" s="14"/>
      <c r="B45" s="10" t="s">
        <v>4</v>
      </c>
      <c r="C45" s="4">
        <v>34.200000000000003</v>
      </c>
      <c r="D45" s="4">
        <v>19.5</v>
      </c>
      <c r="E45" s="4">
        <v>16.7</v>
      </c>
      <c r="F45" s="4">
        <v>13.4</v>
      </c>
      <c r="G45" s="4">
        <v>9.5</v>
      </c>
      <c r="H45" s="4">
        <v>93.3</v>
      </c>
      <c r="I45" s="13">
        <v>27775</v>
      </c>
      <c r="J45" s="4">
        <v>39</v>
      </c>
      <c r="K45" s="4">
        <v>21.5</v>
      </c>
      <c r="L45" s="4">
        <v>16.600000000000001</v>
      </c>
      <c r="M45" s="4">
        <v>11.7</v>
      </c>
      <c r="N45" s="4">
        <v>7.1</v>
      </c>
      <c r="O45" s="4">
        <v>95.8</v>
      </c>
      <c r="P45" s="13">
        <v>16381</v>
      </c>
      <c r="Q45" s="4">
        <v>36</v>
      </c>
      <c r="R45" s="4">
        <v>20.2</v>
      </c>
      <c r="S45" s="4">
        <v>16.7</v>
      </c>
      <c r="T45" s="4">
        <v>12.8</v>
      </c>
      <c r="U45" s="4">
        <v>8.6</v>
      </c>
      <c r="V45" s="4">
        <v>94.2</v>
      </c>
      <c r="W45" s="13">
        <v>44156</v>
      </c>
      <c r="X45" s="14"/>
      <c r="Y45" s="14"/>
      <c r="Z45" s="14"/>
      <c r="AA45" s="74"/>
      <c r="AB45" s="74"/>
      <c r="AC45" s="74"/>
      <c r="AD45" s="74"/>
      <c r="AE45" s="74"/>
      <c r="AF45" s="74"/>
      <c r="AG45" s="74"/>
      <c r="AH45" s="74"/>
      <c r="AI45" s="74"/>
      <c r="AJ45" s="74"/>
      <c r="AK45" s="74"/>
      <c r="AL45" s="74"/>
      <c r="AM45" s="74"/>
      <c r="AN45" s="74"/>
      <c r="AO45" s="74"/>
      <c r="AP45" s="74"/>
      <c r="AQ45" s="74"/>
      <c r="AR45" s="74"/>
      <c r="AS45" s="74"/>
      <c r="AT45" s="74"/>
      <c r="AU45" s="74"/>
      <c r="AV45" s="74"/>
      <c r="AW45" s="74"/>
      <c r="AY45" s="77"/>
      <c r="AZ45" s="77"/>
      <c r="BA45" s="77"/>
      <c r="BB45" s="77"/>
      <c r="BC45" s="77"/>
      <c r="BD45" s="77"/>
      <c r="BE45" s="77"/>
      <c r="BF45" s="77"/>
      <c r="BG45" s="77"/>
      <c r="BH45" s="77"/>
      <c r="BI45" s="77"/>
      <c r="BJ45" s="77"/>
      <c r="BK45" s="77"/>
      <c r="BL45" s="77"/>
      <c r="BM45" s="77"/>
      <c r="BN45" s="77"/>
      <c r="BO45" s="77"/>
      <c r="BP45" s="77"/>
      <c r="BQ45" s="77"/>
      <c r="BR45" s="77"/>
      <c r="BS45" s="77"/>
      <c r="BT45" s="77"/>
      <c r="BU45" s="77"/>
    </row>
    <row r="46" spans="1:73" x14ac:dyDescent="0.2">
      <c r="A46" s="14"/>
      <c r="B46" s="10" t="s">
        <v>5</v>
      </c>
      <c r="C46" s="4">
        <v>61.8</v>
      </c>
      <c r="D46" s="4">
        <v>16.5</v>
      </c>
      <c r="E46" s="4">
        <v>9.6999999999999993</v>
      </c>
      <c r="F46" s="4">
        <v>6</v>
      </c>
      <c r="G46" s="4">
        <v>3.4</v>
      </c>
      <c r="H46" s="4">
        <v>97.4</v>
      </c>
      <c r="I46" s="13">
        <v>3251</v>
      </c>
      <c r="J46" s="4">
        <v>66.2</v>
      </c>
      <c r="K46" s="4">
        <v>16.2</v>
      </c>
      <c r="L46" s="4">
        <v>8.5</v>
      </c>
      <c r="M46" s="4">
        <v>4.7</v>
      </c>
      <c r="N46" s="4">
        <v>2.6</v>
      </c>
      <c r="O46" s="4">
        <v>98.2</v>
      </c>
      <c r="P46" s="13">
        <v>1247</v>
      </c>
      <c r="Q46" s="4">
        <v>63</v>
      </c>
      <c r="R46" s="4">
        <v>16.399999999999999</v>
      </c>
      <c r="S46" s="4">
        <v>9.4</v>
      </c>
      <c r="T46" s="4">
        <v>5.6</v>
      </c>
      <c r="U46" s="4">
        <v>3.2</v>
      </c>
      <c r="V46" s="4">
        <v>97.6</v>
      </c>
      <c r="W46" s="13">
        <v>4498</v>
      </c>
      <c r="X46" s="14"/>
      <c r="Y46" s="14"/>
      <c r="Z46" s="14"/>
      <c r="AA46" s="74"/>
      <c r="AB46" s="74"/>
      <c r="AC46" s="74"/>
      <c r="AD46" s="74"/>
      <c r="AE46" s="74"/>
      <c r="AF46" s="74"/>
      <c r="AG46" s="74"/>
      <c r="AH46" s="74"/>
      <c r="AI46" s="74"/>
      <c r="AJ46" s="74"/>
      <c r="AK46" s="74"/>
      <c r="AL46" s="74"/>
      <c r="AM46" s="74"/>
      <c r="AN46" s="74"/>
      <c r="AO46" s="74"/>
      <c r="AP46" s="74"/>
      <c r="AQ46" s="74"/>
      <c r="AR46" s="74"/>
      <c r="AS46" s="74"/>
      <c r="AT46" s="74"/>
      <c r="AU46" s="74"/>
      <c r="AV46" s="74"/>
      <c r="AW46" s="74"/>
      <c r="AY46" s="77"/>
      <c r="AZ46" s="77"/>
      <c r="BA46" s="77"/>
      <c r="BB46" s="77"/>
      <c r="BC46" s="77"/>
      <c r="BD46" s="77"/>
      <c r="BE46" s="77"/>
      <c r="BF46" s="77"/>
      <c r="BG46" s="77"/>
      <c r="BH46" s="77"/>
      <c r="BI46" s="77"/>
      <c r="BJ46" s="77"/>
      <c r="BK46" s="77"/>
      <c r="BL46" s="77"/>
      <c r="BM46" s="77"/>
      <c r="BN46" s="77"/>
      <c r="BO46" s="77"/>
      <c r="BP46" s="77"/>
      <c r="BQ46" s="77"/>
      <c r="BR46" s="77"/>
      <c r="BS46" s="77"/>
      <c r="BT46" s="77"/>
      <c r="BU46" s="77"/>
    </row>
    <row r="47" spans="1:73" x14ac:dyDescent="0.2">
      <c r="A47" s="14"/>
      <c r="B47" s="10" t="s">
        <v>6</v>
      </c>
      <c r="C47" s="4">
        <v>11.9</v>
      </c>
      <c r="D47" s="4">
        <v>19.3</v>
      </c>
      <c r="E47" s="4">
        <v>24.3</v>
      </c>
      <c r="F47" s="4">
        <v>23.7</v>
      </c>
      <c r="G47" s="4">
        <v>15</v>
      </c>
      <c r="H47" s="4">
        <v>94.1</v>
      </c>
      <c r="I47" s="13">
        <v>9042</v>
      </c>
      <c r="J47" s="4">
        <v>16</v>
      </c>
      <c r="K47" s="4">
        <v>25.5</v>
      </c>
      <c r="L47" s="4">
        <v>26.6</v>
      </c>
      <c r="M47" s="4">
        <v>19.7</v>
      </c>
      <c r="N47" s="4">
        <v>9.8000000000000007</v>
      </c>
      <c r="O47" s="4">
        <v>97.5</v>
      </c>
      <c r="P47" s="13">
        <v>5144</v>
      </c>
      <c r="Q47" s="4">
        <v>13.3</v>
      </c>
      <c r="R47" s="4">
        <v>21.5</v>
      </c>
      <c r="S47" s="4">
        <v>25.1</v>
      </c>
      <c r="T47" s="4">
        <v>22.2</v>
      </c>
      <c r="U47" s="4">
        <v>13.1</v>
      </c>
      <c r="V47" s="4">
        <v>95.3</v>
      </c>
      <c r="W47" s="13">
        <v>14186</v>
      </c>
      <c r="X47" s="14"/>
      <c r="Y47" s="14"/>
      <c r="Z47" s="14"/>
      <c r="AA47" s="74"/>
      <c r="AB47" s="74"/>
      <c r="AC47" s="74"/>
      <c r="AD47" s="74"/>
      <c r="AE47" s="74"/>
      <c r="AF47" s="74"/>
      <c r="AG47" s="74"/>
      <c r="AH47" s="74"/>
      <c r="AI47" s="74"/>
      <c r="AJ47" s="74"/>
      <c r="AK47" s="74"/>
      <c r="AL47" s="74"/>
      <c r="AM47" s="74"/>
      <c r="AN47" s="74"/>
      <c r="AO47" s="74"/>
      <c r="AP47" s="74"/>
      <c r="AQ47" s="74"/>
      <c r="AR47" s="74"/>
      <c r="AS47" s="74"/>
      <c r="AT47" s="74"/>
      <c r="AU47" s="74"/>
      <c r="AV47" s="74"/>
      <c r="AW47" s="74"/>
      <c r="AY47" s="77"/>
      <c r="AZ47" s="77"/>
      <c r="BA47" s="77"/>
      <c r="BB47" s="77"/>
      <c r="BC47" s="77"/>
      <c r="BD47" s="77"/>
      <c r="BE47" s="77"/>
      <c r="BF47" s="77"/>
      <c r="BG47" s="77"/>
      <c r="BH47" s="77"/>
      <c r="BI47" s="77"/>
      <c r="BJ47" s="77"/>
      <c r="BK47" s="77"/>
      <c r="BL47" s="77"/>
      <c r="BM47" s="77"/>
      <c r="BN47" s="77"/>
      <c r="BO47" s="77"/>
      <c r="BP47" s="77"/>
      <c r="BQ47" s="77"/>
      <c r="BR47" s="77"/>
      <c r="BS47" s="77"/>
      <c r="BT47" s="77"/>
      <c r="BU47" s="77"/>
    </row>
    <row r="48" spans="1:73" x14ac:dyDescent="0.2">
      <c r="A48" s="14"/>
      <c r="B48" s="10" t="s">
        <v>168</v>
      </c>
      <c r="C48" s="4">
        <v>11.6</v>
      </c>
      <c r="D48" s="4">
        <v>16.5</v>
      </c>
      <c r="E48" s="4">
        <v>20.2</v>
      </c>
      <c r="F48" s="4">
        <v>21.6</v>
      </c>
      <c r="G48" s="4">
        <v>18.7</v>
      </c>
      <c r="H48" s="4">
        <v>88.7</v>
      </c>
      <c r="I48" s="13">
        <v>8265</v>
      </c>
      <c r="J48" s="4">
        <v>11.3</v>
      </c>
      <c r="K48" s="4">
        <v>17.100000000000001</v>
      </c>
      <c r="L48" s="4">
        <v>21.9</v>
      </c>
      <c r="M48" s="4">
        <v>21.6</v>
      </c>
      <c r="N48" s="4">
        <v>18.8</v>
      </c>
      <c r="O48" s="4">
        <v>90.7</v>
      </c>
      <c r="P48" s="13">
        <v>1064</v>
      </c>
      <c r="Q48" s="4">
        <v>11.6</v>
      </c>
      <c r="R48" s="4">
        <v>16.600000000000001</v>
      </c>
      <c r="S48" s="4">
        <v>20.399999999999999</v>
      </c>
      <c r="T48" s="4">
        <v>21.6</v>
      </c>
      <c r="U48" s="4">
        <v>18.7</v>
      </c>
      <c r="V48" s="4">
        <v>88.9</v>
      </c>
      <c r="W48" s="13">
        <v>9329</v>
      </c>
      <c r="X48" s="14"/>
      <c r="Y48" s="14"/>
      <c r="Z48" s="14"/>
      <c r="AA48" s="74"/>
      <c r="AB48" s="74"/>
      <c r="AC48" s="74"/>
      <c r="AD48" s="74"/>
      <c r="AE48" s="74"/>
      <c r="AF48" s="74"/>
      <c r="AG48" s="74"/>
      <c r="AH48" s="74"/>
      <c r="AI48" s="74"/>
      <c r="AJ48" s="74"/>
      <c r="AK48" s="74"/>
      <c r="AL48" s="74"/>
      <c r="AM48" s="74"/>
      <c r="AN48" s="74"/>
      <c r="AO48" s="74"/>
      <c r="AP48" s="74"/>
      <c r="AQ48" s="74"/>
      <c r="AR48" s="74"/>
      <c r="AS48" s="74"/>
      <c r="AT48" s="74"/>
      <c r="AU48" s="74"/>
      <c r="AV48" s="74"/>
      <c r="AW48" s="74"/>
      <c r="AY48" s="77"/>
      <c r="AZ48" s="77"/>
      <c r="BA48" s="77"/>
      <c r="BB48" s="77"/>
      <c r="BC48" s="77"/>
      <c r="BD48" s="77"/>
      <c r="BE48" s="77"/>
      <c r="BF48" s="77"/>
      <c r="BG48" s="77"/>
      <c r="BH48" s="77"/>
      <c r="BI48" s="77"/>
      <c r="BJ48" s="77"/>
      <c r="BK48" s="77"/>
      <c r="BL48" s="77"/>
      <c r="BM48" s="77"/>
      <c r="BN48" s="77"/>
      <c r="BO48" s="77"/>
      <c r="BP48" s="77"/>
      <c r="BQ48" s="77"/>
      <c r="BR48" s="77"/>
      <c r="BS48" s="77"/>
      <c r="BT48" s="77"/>
      <c r="BU48" s="77"/>
    </row>
    <row r="49" spans="1:73" x14ac:dyDescent="0.2">
      <c r="A49" s="14"/>
      <c r="B49" s="10" t="s">
        <v>8</v>
      </c>
      <c r="C49" s="4">
        <v>5.3</v>
      </c>
      <c r="D49" s="4">
        <v>12.4</v>
      </c>
      <c r="E49" s="4">
        <v>20.9</v>
      </c>
      <c r="F49" s="4">
        <v>26.7</v>
      </c>
      <c r="G49" s="4">
        <v>22.3</v>
      </c>
      <c r="H49" s="4">
        <v>87.6</v>
      </c>
      <c r="I49" s="13">
        <v>9813</v>
      </c>
      <c r="J49" s="4">
        <v>7.4</v>
      </c>
      <c r="K49" s="4">
        <v>14.4</v>
      </c>
      <c r="L49" s="4">
        <v>22.8</v>
      </c>
      <c r="M49" s="4">
        <v>26.5</v>
      </c>
      <c r="N49" s="4">
        <v>20.399999999999999</v>
      </c>
      <c r="O49" s="4">
        <v>91.5</v>
      </c>
      <c r="P49" s="13">
        <v>5224</v>
      </c>
      <c r="Q49" s="4">
        <v>6</v>
      </c>
      <c r="R49" s="4">
        <v>13.1</v>
      </c>
      <c r="S49" s="4">
        <v>21.6</v>
      </c>
      <c r="T49" s="4">
        <v>26.7</v>
      </c>
      <c r="U49" s="4">
        <v>21.6</v>
      </c>
      <c r="V49" s="4">
        <v>89</v>
      </c>
      <c r="W49" s="13">
        <v>15037</v>
      </c>
      <c r="X49" s="14"/>
      <c r="Y49" s="14"/>
      <c r="Z49" s="14"/>
      <c r="AA49" s="74"/>
      <c r="AB49" s="74"/>
      <c r="AC49" s="74"/>
      <c r="AD49" s="74"/>
      <c r="AE49" s="74"/>
      <c r="AF49" s="74"/>
      <c r="AG49" s="74"/>
      <c r="AH49" s="74"/>
      <c r="AI49" s="74"/>
      <c r="AJ49" s="74"/>
      <c r="AK49" s="74"/>
      <c r="AL49" s="74"/>
      <c r="AM49" s="74"/>
      <c r="AN49" s="74"/>
      <c r="AO49" s="74"/>
      <c r="AP49" s="74"/>
      <c r="AQ49" s="74"/>
      <c r="AR49" s="74"/>
      <c r="AS49" s="74"/>
      <c r="AT49" s="74"/>
      <c r="AU49" s="74"/>
      <c r="AV49" s="74"/>
      <c r="AW49" s="74"/>
      <c r="AY49" s="77"/>
      <c r="AZ49" s="77"/>
      <c r="BA49" s="77"/>
      <c r="BB49" s="77"/>
      <c r="BC49" s="77"/>
      <c r="BD49" s="77"/>
      <c r="BE49" s="77"/>
      <c r="BF49" s="77"/>
      <c r="BG49" s="77"/>
      <c r="BH49" s="77"/>
      <c r="BI49" s="77"/>
      <c r="BJ49" s="77"/>
      <c r="BK49" s="77"/>
      <c r="BL49" s="77"/>
      <c r="BM49" s="77"/>
      <c r="BN49" s="77"/>
      <c r="BO49" s="77"/>
      <c r="BP49" s="77"/>
      <c r="BQ49" s="77"/>
      <c r="BR49" s="77"/>
      <c r="BS49" s="77"/>
      <c r="BT49" s="77"/>
      <c r="BU49" s="77"/>
    </row>
    <row r="50" spans="1:73" x14ac:dyDescent="0.2">
      <c r="A50" s="14"/>
      <c r="B50" s="10" t="s">
        <v>9</v>
      </c>
      <c r="C50" s="4" t="s">
        <v>78</v>
      </c>
      <c r="D50" s="4">
        <v>11.4</v>
      </c>
      <c r="E50" s="4">
        <v>25.7</v>
      </c>
      <c r="F50" s="4">
        <v>25.7</v>
      </c>
      <c r="G50" s="4">
        <v>14.3</v>
      </c>
      <c r="H50" s="4">
        <v>82.9</v>
      </c>
      <c r="I50" s="13">
        <v>35</v>
      </c>
      <c r="J50" s="4">
        <v>14.3</v>
      </c>
      <c r="K50" s="4">
        <v>20.9</v>
      </c>
      <c r="L50" s="4">
        <v>27.6</v>
      </c>
      <c r="M50" s="4">
        <v>19.2</v>
      </c>
      <c r="N50" s="4">
        <v>12.3</v>
      </c>
      <c r="O50" s="4">
        <v>94.4</v>
      </c>
      <c r="P50" s="13">
        <v>656</v>
      </c>
      <c r="Q50" s="4">
        <v>13.9</v>
      </c>
      <c r="R50" s="4">
        <v>20.399999999999999</v>
      </c>
      <c r="S50" s="4">
        <v>27.5</v>
      </c>
      <c r="T50" s="4">
        <v>19.5</v>
      </c>
      <c r="U50" s="4">
        <v>12.4</v>
      </c>
      <c r="V50" s="4">
        <v>93.8</v>
      </c>
      <c r="W50" s="13">
        <v>691</v>
      </c>
      <c r="X50" s="14"/>
      <c r="Y50" s="14"/>
      <c r="Z50" s="14"/>
      <c r="AA50" s="74"/>
      <c r="AB50" s="74"/>
      <c r="AC50" s="74"/>
      <c r="AD50" s="74"/>
      <c r="AE50" s="74"/>
      <c r="AF50" s="74"/>
      <c r="AG50" s="74"/>
      <c r="AH50" s="74"/>
      <c r="AI50" s="74"/>
      <c r="AJ50" s="74"/>
      <c r="AK50" s="74"/>
      <c r="AL50" s="74"/>
      <c r="AM50" s="74"/>
      <c r="AN50" s="74"/>
      <c r="AO50" s="74"/>
      <c r="AP50" s="74"/>
      <c r="AQ50" s="74"/>
      <c r="AR50" s="74"/>
      <c r="AS50" s="74"/>
      <c r="AT50" s="74"/>
      <c r="AU50" s="74"/>
      <c r="AV50" s="74"/>
      <c r="AW50" s="74"/>
      <c r="AY50" s="77"/>
      <c r="AZ50" s="77"/>
      <c r="BA50" s="77"/>
      <c r="BB50" s="77"/>
      <c r="BC50" s="77"/>
      <c r="BD50" s="77"/>
      <c r="BE50" s="77"/>
      <c r="BF50" s="77"/>
      <c r="BG50" s="77"/>
      <c r="BH50" s="77"/>
      <c r="BI50" s="77"/>
      <c r="BJ50" s="77"/>
      <c r="BK50" s="77"/>
      <c r="BL50" s="77"/>
      <c r="BM50" s="77"/>
      <c r="BN50" s="77"/>
      <c r="BO50" s="77"/>
      <c r="BP50" s="77"/>
      <c r="BQ50" s="77"/>
      <c r="BR50" s="77"/>
      <c r="BS50" s="77"/>
      <c r="BT50" s="77"/>
      <c r="BU50" s="77"/>
    </row>
    <row r="51" spans="1:73" x14ac:dyDescent="0.2">
      <c r="A51" s="14"/>
      <c r="B51" s="10" t="s">
        <v>10</v>
      </c>
      <c r="C51" s="4">
        <v>11.1</v>
      </c>
      <c r="D51" s="4">
        <v>15.5</v>
      </c>
      <c r="E51" s="4">
        <v>17.600000000000001</v>
      </c>
      <c r="F51" s="4">
        <v>21.4</v>
      </c>
      <c r="G51" s="4">
        <v>18.7</v>
      </c>
      <c r="H51" s="4">
        <v>84.3</v>
      </c>
      <c r="I51" s="13">
        <v>1357</v>
      </c>
      <c r="J51" s="4">
        <v>13.8</v>
      </c>
      <c r="K51" s="4">
        <v>14.1</v>
      </c>
      <c r="L51" s="4">
        <v>16.899999999999999</v>
      </c>
      <c r="M51" s="4">
        <v>20.100000000000001</v>
      </c>
      <c r="N51" s="4">
        <v>20</v>
      </c>
      <c r="O51" s="4">
        <v>84.9</v>
      </c>
      <c r="P51" s="13">
        <v>781</v>
      </c>
      <c r="Q51" s="4">
        <v>12.1</v>
      </c>
      <c r="R51" s="4">
        <v>15</v>
      </c>
      <c r="S51" s="4">
        <v>17.399999999999999</v>
      </c>
      <c r="T51" s="4">
        <v>20.9</v>
      </c>
      <c r="U51" s="4">
        <v>19.2</v>
      </c>
      <c r="V51" s="4">
        <v>84.5</v>
      </c>
      <c r="W51" s="13">
        <v>2138</v>
      </c>
      <c r="X51" s="14"/>
      <c r="Y51" s="14"/>
      <c r="Z51" s="14"/>
      <c r="AA51" s="74"/>
      <c r="AB51" s="74"/>
      <c r="AC51" s="74"/>
      <c r="AD51" s="74"/>
      <c r="AE51" s="74"/>
      <c r="AF51" s="74"/>
      <c r="AG51" s="74"/>
      <c r="AH51" s="74"/>
      <c r="AI51" s="74"/>
      <c r="AJ51" s="74"/>
      <c r="AK51" s="74"/>
      <c r="AL51" s="74"/>
      <c r="AM51" s="74"/>
      <c r="AN51" s="74"/>
      <c r="AO51" s="74"/>
      <c r="AP51" s="74"/>
      <c r="AQ51" s="74"/>
      <c r="AR51" s="74"/>
      <c r="AS51" s="74"/>
      <c r="AT51" s="74"/>
      <c r="AU51" s="74"/>
      <c r="AV51" s="74"/>
      <c r="AW51" s="74"/>
      <c r="AY51" s="77"/>
      <c r="AZ51" s="77"/>
      <c r="BA51" s="77"/>
      <c r="BB51" s="77"/>
      <c r="BC51" s="77"/>
      <c r="BD51" s="77"/>
      <c r="BE51" s="77"/>
      <c r="BF51" s="77"/>
      <c r="BG51" s="77"/>
      <c r="BH51" s="77"/>
      <c r="BI51" s="77"/>
      <c r="BJ51" s="77"/>
      <c r="BK51" s="77"/>
      <c r="BL51" s="77"/>
      <c r="BM51" s="77"/>
      <c r="BN51" s="77"/>
      <c r="BO51" s="77"/>
      <c r="BP51" s="77"/>
      <c r="BQ51" s="77"/>
      <c r="BR51" s="77"/>
      <c r="BS51" s="77"/>
      <c r="BT51" s="77"/>
      <c r="BU51" s="77"/>
    </row>
    <row r="52" spans="1:73" x14ac:dyDescent="0.2">
      <c r="A52" s="14"/>
      <c r="B52" s="10" t="s">
        <v>11</v>
      </c>
      <c r="C52" s="4">
        <v>10.1</v>
      </c>
      <c r="D52" s="4">
        <v>20.3</v>
      </c>
      <c r="E52" s="4">
        <v>27.9</v>
      </c>
      <c r="F52" s="4">
        <v>23.6</v>
      </c>
      <c r="G52" s="4">
        <v>13.6</v>
      </c>
      <c r="H52" s="4">
        <v>95.5</v>
      </c>
      <c r="I52" s="13">
        <v>18679</v>
      </c>
      <c r="J52" s="4">
        <v>12.9</v>
      </c>
      <c r="K52" s="4">
        <v>22.8</v>
      </c>
      <c r="L52" s="4">
        <v>27.6</v>
      </c>
      <c r="M52" s="4">
        <v>21.1</v>
      </c>
      <c r="N52" s="4">
        <v>11.6</v>
      </c>
      <c r="O52" s="4">
        <v>96</v>
      </c>
      <c r="P52" s="13">
        <v>13414</v>
      </c>
      <c r="Q52" s="4">
        <v>11.3</v>
      </c>
      <c r="R52" s="4">
        <v>21.3</v>
      </c>
      <c r="S52" s="4">
        <v>27.8</v>
      </c>
      <c r="T52" s="4">
        <v>22.5</v>
      </c>
      <c r="U52" s="4">
        <v>12.8</v>
      </c>
      <c r="V52" s="4">
        <v>95.7</v>
      </c>
      <c r="W52" s="13">
        <v>32093</v>
      </c>
      <c r="X52" s="14"/>
      <c r="Y52" s="14"/>
      <c r="Z52" s="14"/>
      <c r="AA52" s="74"/>
      <c r="AB52" s="74"/>
      <c r="AC52" s="74"/>
      <c r="AD52" s="74"/>
      <c r="AE52" s="74"/>
      <c r="AF52" s="74"/>
      <c r="AG52" s="74"/>
      <c r="AH52" s="74"/>
      <c r="AI52" s="74"/>
      <c r="AJ52" s="74"/>
      <c r="AK52" s="74"/>
      <c r="AL52" s="74"/>
      <c r="AM52" s="74"/>
      <c r="AN52" s="74"/>
      <c r="AO52" s="74"/>
      <c r="AP52" s="74"/>
      <c r="AQ52" s="74"/>
      <c r="AR52" s="74"/>
      <c r="AS52" s="74"/>
      <c r="AT52" s="74"/>
      <c r="AU52" s="74"/>
      <c r="AV52" s="74"/>
      <c r="AW52" s="74"/>
      <c r="AY52" s="77"/>
      <c r="AZ52" s="77"/>
      <c r="BA52" s="77"/>
      <c r="BB52" s="77"/>
      <c r="BC52" s="77"/>
      <c r="BD52" s="77"/>
      <c r="BE52" s="77"/>
      <c r="BF52" s="77"/>
      <c r="BG52" s="77"/>
      <c r="BH52" s="77"/>
      <c r="BI52" s="77"/>
      <c r="BJ52" s="77"/>
      <c r="BK52" s="77"/>
      <c r="BL52" s="77"/>
      <c r="BM52" s="77"/>
      <c r="BN52" s="77"/>
      <c r="BO52" s="77"/>
      <c r="BP52" s="77"/>
      <c r="BQ52" s="77"/>
      <c r="BR52" s="77"/>
      <c r="BS52" s="77"/>
      <c r="BT52" s="77"/>
      <c r="BU52" s="77"/>
    </row>
    <row r="53" spans="1:73" x14ac:dyDescent="0.2">
      <c r="A53" s="14"/>
      <c r="B53" s="10" t="s">
        <v>12</v>
      </c>
      <c r="C53" s="4">
        <v>26.3</v>
      </c>
      <c r="D53" s="4">
        <v>24.7</v>
      </c>
      <c r="E53" s="4">
        <v>21.7</v>
      </c>
      <c r="F53" s="4">
        <v>15.5</v>
      </c>
      <c r="G53" s="4">
        <v>8.1</v>
      </c>
      <c r="H53" s="4">
        <v>96.3</v>
      </c>
      <c r="I53" s="13">
        <v>9346</v>
      </c>
      <c r="J53" s="4">
        <v>32.1</v>
      </c>
      <c r="K53" s="4">
        <v>24.3</v>
      </c>
      <c r="L53" s="4">
        <v>19.399999999999999</v>
      </c>
      <c r="M53" s="4">
        <v>12.8</v>
      </c>
      <c r="N53" s="4">
        <v>8.1</v>
      </c>
      <c r="O53" s="4">
        <v>96.7</v>
      </c>
      <c r="P53" s="13">
        <v>4023</v>
      </c>
      <c r="Q53" s="4">
        <v>28.1</v>
      </c>
      <c r="R53" s="4">
        <v>24.6</v>
      </c>
      <c r="S53" s="4">
        <v>21</v>
      </c>
      <c r="T53" s="4">
        <v>14.7</v>
      </c>
      <c r="U53" s="4">
        <v>8.1</v>
      </c>
      <c r="V53" s="4">
        <v>96.4</v>
      </c>
      <c r="W53" s="13">
        <v>13369</v>
      </c>
      <c r="X53" s="14"/>
      <c r="Y53" s="14"/>
      <c r="Z53" s="14"/>
      <c r="AA53" s="74"/>
      <c r="AB53" s="74"/>
      <c r="AC53" s="74"/>
      <c r="AD53" s="74"/>
      <c r="AE53" s="74"/>
      <c r="AF53" s="74"/>
      <c r="AG53" s="74"/>
      <c r="AH53" s="74"/>
      <c r="AI53" s="74"/>
      <c r="AJ53" s="74"/>
      <c r="AK53" s="74"/>
      <c r="AL53" s="74"/>
      <c r="AM53" s="74"/>
      <c r="AN53" s="74"/>
      <c r="AO53" s="74"/>
      <c r="AP53" s="74"/>
      <c r="AQ53" s="74"/>
      <c r="AR53" s="74"/>
      <c r="AS53" s="74"/>
      <c r="AT53" s="74"/>
      <c r="AU53" s="74"/>
      <c r="AV53" s="74"/>
      <c r="AW53" s="74"/>
      <c r="AY53" s="77"/>
      <c r="AZ53" s="77"/>
      <c r="BA53" s="77"/>
      <c r="BB53" s="77"/>
      <c r="BC53" s="77"/>
      <c r="BD53" s="77"/>
      <c r="BE53" s="77"/>
      <c r="BF53" s="77"/>
      <c r="BG53" s="77"/>
      <c r="BH53" s="77"/>
      <c r="BI53" s="77"/>
      <c r="BJ53" s="77"/>
      <c r="BK53" s="77"/>
      <c r="BL53" s="77"/>
      <c r="BM53" s="77"/>
      <c r="BN53" s="77"/>
      <c r="BO53" s="77"/>
      <c r="BP53" s="77"/>
      <c r="BQ53" s="77"/>
      <c r="BR53" s="77"/>
      <c r="BS53" s="77"/>
      <c r="BT53" s="77"/>
      <c r="BU53" s="77"/>
    </row>
    <row r="54" spans="1:73" x14ac:dyDescent="0.2">
      <c r="A54" s="14"/>
      <c r="B54" s="10" t="s">
        <v>13</v>
      </c>
      <c r="C54" s="4">
        <v>16.3</v>
      </c>
      <c r="D54" s="4">
        <v>23.5</v>
      </c>
      <c r="E54" s="4">
        <v>25.5</v>
      </c>
      <c r="F54" s="4">
        <v>20.7</v>
      </c>
      <c r="G54" s="4">
        <v>10.9</v>
      </c>
      <c r="H54" s="4">
        <v>96.8</v>
      </c>
      <c r="I54" s="13">
        <v>17001</v>
      </c>
      <c r="J54" s="4">
        <v>25</v>
      </c>
      <c r="K54" s="4">
        <v>26.7</v>
      </c>
      <c r="L54" s="4">
        <v>24.1</v>
      </c>
      <c r="M54" s="4">
        <v>15.3</v>
      </c>
      <c r="N54" s="4">
        <v>7.1</v>
      </c>
      <c r="O54" s="4">
        <v>98.2</v>
      </c>
      <c r="P54" s="13">
        <v>14066</v>
      </c>
      <c r="Q54" s="4">
        <v>20.2</v>
      </c>
      <c r="R54" s="4">
        <v>25</v>
      </c>
      <c r="S54" s="4">
        <v>24.9</v>
      </c>
      <c r="T54" s="4">
        <v>18.3</v>
      </c>
      <c r="U54" s="4">
        <v>9.1</v>
      </c>
      <c r="V54" s="4">
        <v>97.5</v>
      </c>
      <c r="W54" s="13">
        <v>31067</v>
      </c>
      <c r="X54" s="14"/>
      <c r="Y54" s="14"/>
      <c r="Z54" s="14"/>
      <c r="AA54" s="74"/>
      <c r="AB54" s="74"/>
      <c r="AC54" s="74"/>
      <c r="AD54" s="74"/>
      <c r="AE54" s="74"/>
      <c r="AF54" s="74"/>
      <c r="AG54" s="74"/>
      <c r="AH54" s="74"/>
      <c r="AI54" s="74"/>
      <c r="AJ54" s="74"/>
      <c r="AK54" s="74"/>
      <c r="AL54" s="74"/>
      <c r="AM54" s="74"/>
      <c r="AN54" s="74"/>
      <c r="AO54" s="74"/>
      <c r="AP54" s="74"/>
      <c r="AQ54" s="74"/>
      <c r="AR54" s="74"/>
      <c r="AS54" s="74"/>
      <c r="AT54" s="74"/>
      <c r="AU54" s="74"/>
      <c r="AV54" s="74"/>
      <c r="AW54" s="74"/>
      <c r="AY54" s="77"/>
      <c r="AZ54" s="77"/>
      <c r="BA54" s="77"/>
      <c r="BB54" s="77"/>
      <c r="BC54" s="77"/>
      <c r="BD54" s="77"/>
      <c r="BE54" s="77"/>
      <c r="BF54" s="77"/>
      <c r="BG54" s="77"/>
      <c r="BH54" s="77"/>
      <c r="BI54" s="77"/>
      <c r="BJ54" s="77"/>
      <c r="BK54" s="77"/>
      <c r="BL54" s="77"/>
      <c r="BM54" s="77"/>
      <c r="BN54" s="77"/>
      <c r="BO54" s="77"/>
      <c r="BP54" s="77"/>
      <c r="BQ54" s="77"/>
      <c r="BR54" s="77"/>
      <c r="BS54" s="77"/>
      <c r="BT54" s="77"/>
      <c r="BU54" s="77"/>
    </row>
    <row r="55" spans="1:73" x14ac:dyDescent="0.2">
      <c r="A55" s="14"/>
      <c r="B55" s="10" t="s">
        <v>14</v>
      </c>
      <c r="C55" s="4">
        <v>25.2</v>
      </c>
      <c r="D55" s="4">
        <v>26.1</v>
      </c>
      <c r="E55" s="4">
        <v>21.9</v>
      </c>
      <c r="F55" s="4">
        <v>16.100000000000001</v>
      </c>
      <c r="G55" s="4">
        <v>7.7</v>
      </c>
      <c r="H55" s="4">
        <v>97</v>
      </c>
      <c r="I55" s="13">
        <v>4195</v>
      </c>
      <c r="J55" s="4">
        <v>28.7</v>
      </c>
      <c r="K55" s="4">
        <v>26.9</v>
      </c>
      <c r="L55" s="4">
        <v>20.8</v>
      </c>
      <c r="M55" s="4">
        <v>13</v>
      </c>
      <c r="N55" s="4">
        <v>7.6</v>
      </c>
      <c r="O55" s="4">
        <v>97.1</v>
      </c>
      <c r="P55" s="13">
        <v>3033</v>
      </c>
      <c r="Q55" s="4">
        <v>26.7</v>
      </c>
      <c r="R55" s="4">
        <v>26.4</v>
      </c>
      <c r="S55" s="4">
        <v>21.5</v>
      </c>
      <c r="T55" s="4">
        <v>14.8</v>
      </c>
      <c r="U55" s="4">
        <v>7.7</v>
      </c>
      <c r="V55" s="4">
        <v>97</v>
      </c>
      <c r="W55" s="13">
        <v>7228</v>
      </c>
      <c r="X55" s="14"/>
      <c r="Y55" s="14"/>
      <c r="Z55" s="14"/>
      <c r="AA55" s="74"/>
      <c r="AB55" s="74"/>
      <c r="AC55" s="74"/>
      <c r="AD55" s="74"/>
      <c r="AE55" s="74"/>
      <c r="AF55" s="74"/>
      <c r="AG55" s="74"/>
      <c r="AH55" s="74"/>
      <c r="AI55" s="74"/>
      <c r="AJ55" s="74"/>
      <c r="AK55" s="74"/>
      <c r="AL55" s="74"/>
      <c r="AM55" s="74"/>
      <c r="AN55" s="74"/>
      <c r="AO55" s="74"/>
      <c r="AP55" s="74"/>
      <c r="AQ55" s="74"/>
      <c r="AR55" s="74"/>
      <c r="AS55" s="74"/>
      <c r="AT55" s="74"/>
      <c r="AU55" s="74"/>
      <c r="AV55" s="74"/>
      <c r="AW55" s="74"/>
      <c r="AY55" s="77"/>
      <c r="AZ55" s="77"/>
      <c r="BA55" s="77"/>
      <c r="BB55" s="77"/>
      <c r="BC55" s="77"/>
      <c r="BD55" s="77"/>
      <c r="BE55" s="77"/>
      <c r="BF55" s="77"/>
      <c r="BG55" s="77"/>
      <c r="BH55" s="77"/>
      <c r="BI55" s="77"/>
      <c r="BJ55" s="77"/>
      <c r="BK55" s="77"/>
      <c r="BL55" s="77"/>
      <c r="BM55" s="77"/>
      <c r="BN55" s="77"/>
      <c r="BO55" s="77"/>
      <c r="BP55" s="77"/>
      <c r="BQ55" s="77"/>
      <c r="BR55" s="77"/>
      <c r="BS55" s="77"/>
      <c r="BT55" s="77"/>
      <c r="BU55" s="77"/>
    </row>
    <row r="56" spans="1:73" x14ac:dyDescent="0.2">
      <c r="A56" s="14"/>
      <c r="B56" s="10" t="s">
        <v>15</v>
      </c>
      <c r="C56" s="4">
        <v>19.3</v>
      </c>
      <c r="D56" s="4">
        <v>24.8</v>
      </c>
      <c r="E56" s="4">
        <v>25</v>
      </c>
      <c r="F56" s="4">
        <v>18.3</v>
      </c>
      <c r="G56" s="4">
        <v>9.6999999999999993</v>
      </c>
      <c r="H56" s="4">
        <v>97.1</v>
      </c>
      <c r="I56" s="13">
        <v>17181</v>
      </c>
      <c r="J56" s="4">
        <v>21.7</v>
      </c>
      <c r="K56" s="4">
        <v>25.9</v>
      </c>
      <c r="L56" s="4">
        <v>24.1</v>
      </c>
      <c r="M56" s="4">
        <v>17</v>
      </c>
      <c r="N56" s="4">
        <v>8.8000000000000007</v>
      </c>
      <c r="O56" s="4">
        <v>97.5</v>
      </c>
      <c r="P56" s="13">
        <v>18332</v>
      </c>
      <c r="Q56" s="4">
        <v>20.5</v>
      </c>
      <c r="R56" s="4">
        <v>25.4</v>
      </c>
      <c r="S56" s="4">
        <v>24.5</v>
      </c>
      <c r="T56" s="4">
        <v>17.600000000000001</v>
      </c>
      <c r="U56" s="4">
        <v>9.1999999999999993</v>
      </c>
      <c r="V56" s="4">
        <v>97.3</v>
      </c>
      <c r="W56" s="13">
        <v>35513</v>
      </c>
      <c r="X56" s="14"/>
      <c r="Y56" s="14"/>
      <c r="Z56" s="14"/>
      <c r="AA56" s="74"/>
      <c r="AB56" s="74"/>
      <c r="AC56" s="74"/>
      <c r="AD56" s="74"/>
      <c r="AE56" s="74"/>
      <c r="AF56" s="74"/>
      <c r="AG56" s="74"/>
      <c r="AH56" s="74"/>
      <c r="AI56" s="74"/>
      <c r="AJ56" s="74"/>
      <c r="AK56" s="74"/>
      <c r="AL56" s="74"/>
      <c r="AM56" s="74"/>
      <c r="AN56" s="74"/>
      <c r="AO56" s="74"/>
      <c r="AP56" s="74"/>
      <c r="AQ56" s="74"/>
      <c r="AR56" s="74"/>
      <c r="AS56" s="74"/>
      <c r="AT56" s="74"/>
      <c r="AU56" s="74"/>
      <c r="AV56" s="74"/>
      <c r="AW56" s="74"/>
      <c r="AY56" s="77"/>
      <c r="AZ56" s="77"/>
      <c r="BA56" s="77"/>
      <c r="BB56" s="77"/>
      <c r="BC56" s="77"/>
      <c r="BD56" s="77"/>
      <c r="BE56" s="77"/>
      <c r="BF56" s="77"/>
      <c r="BG56" s="77"/>
      <c r="BH56" s="77"/>
      <c r="BI56" s="77"/>
      <c r="BJ56" s="77"/>
      <c r="BK56" s="77"/>
      <c r="BL56" s="77"/>
      <c r="BM56" s="77"/>
      <c r="BN56" s="77"/>
      <c r="BO56" s="77"/>
      <c r="BP56" s="77"/>
      <c r="BQ56" s="77"/>
      <c r="BR56" s="77"/>
      <c r="BS56" s="77"/>
      <c r="BT56" s="77"/>
      <c r="BU56" s="77"/>
    </row>
    <row r="57" spans="1:73" x14ac:dyDescent="0.2">
      <c r="A57" s="14"/>
      <c r="B57" s="10" t="s">
        <v>16</v>
      </c>
      <c r="C57" s="4">
        <v>11.9</v>
      </c>
      <c r="D57" s="4">
        <v>18.2</v>
      </c>
      <c r="E57" s="4">
        <v>20</v>
      </c>
      <c r="F57" s="4">
        <v>20.9</v>
      </c>
      <c r="G57" s="4">
        <v>17.399999999999999</v>
      </c>
      <c r="H57" s="4">
        <v>88.4</v>
      </c>
      <c r="I57" s="13">
        <v>3392</v>
      </c>
      <c r="J57" s="4">
        <v>16.2</v>
      </c>
      <c r="K57" s="4">
        <v>19.8</v>
      </c>
      <c r="L57" s="4">
        <v>21.8</v>
      </c>
      <c r="M57" s="4">
        <v>19.7</v>
      </c>
      <c r="N57" s="4">
        <v>14.1</v>
      </c>
      <c r="O57" s="4">
        <v>91.5</v>
      </c>
      <c r="P57" s="13">
        <v>5114</v>
      </c>
      <c r="Q57" s="4">
        <v>14.5</v>
      </c>
      <c r="R57" s="4">
        <v>19.2</v>
      </c>
      <c r="S57" s="4">
        <v>21.1</v>
      </c>
      <c r="T57" s="4">
        <v>20.2</v>
      </c>
      <c r="U57" s="4">
        <v>15.4</v>
      </c>
      <c r="V57" s="4">
        <v>90.2</v>
      </c>
      <c r="W57" s="13">
        <v>8506</v>
      </c>
      <c r="X57" s="14"/>
      <c r="Y57" s="14"/>
      <c r="Z57" s="14"/>
      <c r="AA57" s="74"/>
      <c r="AB57" s="74"/>
      <c r="AC57" s="74"/>
      <c r="AD57" s="74"/>
      <c r="AE57" s="74"/>
      <c r="AF57" s="74"/>
      <c r="AG57" s="74"/>
      <c r="AH57" s="74"/>
      <c r="AI57" s="74"/>
      <c r="AJ57" s="74"/>
      <c r="AK57" s="74"/>
      <c r="AL57" s="74"/>
      <c r="AM57" s="74"/>
      <c r="AN57" s="74"/>
      <c r="AO57" s="74"/>
      <c r="AP57" s="74"/>
      <c r="AQ57" s="74"/>
      <c r="AR57" s="74"/>
      <c r="AS57" s="74"/>
      <c r="AT57" s="74"/>
      <c r="AU57" s="74"/>
      <c r="AV57" s="74"/>
      <c r="AW57" s="74"/>
      <c r="AY57" s="77"/>
      <c r="AZ57" s="77"/>
      <c r="BA57" s="77"/>
      <c r="BB57" s="77"/>
      <c r="BC57" s="77"/>
      <c r="BD57" s="77"/>
      <c r="BE57" s="77"/>
      <c r="BF57" s="77"/>
      <c r="BG57" s="77"/>
      <c r="BH57" s="77"/>
      <c r="BI57" s="77"/>
      <c r="BJ57" s="77"/>
      <c r="BK57" s="77"/>
      <c r="BL57" s="77"/>
      <c r="BM57" s="77"/>
      <c r="BN57" s="77"/>
      <c r="BO57" s="77"/>
      <c r="BP57" s="77"/>
      <c r="BQ57" s="77"/>
      <c r="BR57" s="77"/>
      <c r="BS57" s="77"/>
      <c r="BT57" s="77"/>
      <c r="BU57" s="77"/>
    </row>
    <row r="58" spans="1:73" x14ac:dyDescent="0.2">
      <c r="A58" s="14"/>
      <c r="B58" s="10" t="s">
        <v>17</v>
      </c>
      <c r="C58" s="4">
        <v>9.1</v>
      </c>
      <c r="D58" s="4">
        <v>16.5</v>
      </c>
      <c r="E58" s="4">
        <v>22.2</v>
      </c>
      <c r="F58" s="4">
        <v>23.9</v>
      </c>
      <c r="G58" s="4">
        <v>18.2</v>
      </c>
      <c r="H58" s="4">
        <v>90</v>
      </c>
      <c r="I58" s="13">
        <v>7336</v>
      </c>
      <c r="J58" s="4">
        <v>17.899999999999999</v>
      </c>
      <c r="K58" s="4">
        <v>22.1</v>
      </c>
      <c r="L58" s="4">
        <v>23.1</v>
      </c>
      <c r="M58" s="4">
        <v>19.3</v>
      </c>
      <c r="N58" s="4">
        <v>12.3</v>
      </c>
      <c r="O58" s="4">
        <v>94.6</v>
      </c>
      <c r="P58" s="13">
        <v>24672</v>
      </c>
      <c r="Q58" s="4">
        <v>15.9</v>
      </c>
      <c r="R58" s="4">
        <v>20.8</v>
      </c>
      <c r="S58" s="4">
        <v>22.9</v>
      </c>
      <c r="T58" s="4">
        <v>20.399999999999999</v>
      </c>
      <c r="U58" s="4">
        <v>13.7</v>
      </c>
      <c r="V58" s="4">
        <v>93.6</v>
      </c>
      <c r="W58" s="13">
        <v>32008</v>
      </c>
      <c r="X58" s="14"/>
      <c r="Y58" s="14"/>
      <c r="Z58" s="14"/>
      <c r="AA58" s="74"/>
      <c r="AB58" s="74"/>
      <c r="AC58" s="74"/>
      <c r="AD58" s="74"/>
      <c r="AE58" s="74"/>
      <c r="AF58" s="74"/>
      <c r="AG58" s="74"/>
      <c r="AH58" s="74"/>
      <c r="AI58" s="74"/>
      <c r="AJ58" s="74"/>
      <c r="AK58" s="74"/>
      <c r="AL58" s="74"/>
      <c r="AM58" s="74"/>
      <c r="AN58" s="74"/>
      <c r="AO58" s="74"/>
      <c r="AP58" s="74"/>
      <c r="AQ58" s="74"/>
      <c r="AR58" s="74"/>
      <c r="AS58" s="74"/>
      <c r="AT58" s="74"/>
      <c r="AU58" s="74"/>
      <c r="AV58" s="74"/>
      <c r="AW58" s="74"/>
      <c r="AY58" s="77"/>
      <c r="AZ58" s="77"/>
      <c r="BA58" s="77"/>
      <c r="BB58" s="77"/>
      <c r="BC58" s="77"/>
      <c r="BD58" s="77"/>
      <c r="BE58" s="77"/>
      <c r="BF58" s="77"/>
      <c r="BG58" s="77"/>
      <c r="BH58" s="77"/>
      <c r="BI58" s="77"/>
      <c r="BJ58" s="77"/>
      <c r="BK58" s="77"/>
      <c r="BL58" s="77"/>
      <c r="BM58" s="77"/>
      <c r="BN58" s="77"/>
      <c r="BO58" s="77"/>
      <c r="BP58" s="77"/>
      <c r="BQ58" s="77"/>
      <c r="BR58" s="77"/>
      <c r="BS58" s="77"/>
      <c r="BT58" s="77"/>
      <c r="BU58" s="77"/>
    </row>
    <row r="59" spans="1:73" x14ac:dyDescent="0.2">
      <c r="A59" s="14"/>
      <c r="B59" s="10" t="s">
        <v>18</v>
      </c>
      <c r="C59" s="4">
        <v>12.3</v>
      </c>
      <c r="D59" s="4">
        <v>19.7</v>
      </c>
      <c r="E59" s="4">
        <v>25</v>
      </c>
      <c r="F59" s="4">
        <v>22.1</v>
      </c>
      <c r="G59" s="4">
        <v>14</v>
      </c>
      <c r="H59" s="4">
        <v>93.1</v>
      </c>
      <c r="I59" s="13">
        <v>4628</v>
      </c>
      <c r="J59" s="4">
        <v>16.600000000000001</v>
      </c>
      <c r="K59" s="4">
        <v>23.3</v>
      </c>
      <c r="L59" s="4">
        <v>25.5</v>
      </c>
      <c r="M59" s="4">
        <v>18.899999999999999</v>
      </c>
      <c r="N59" s="4">
        <v>10.9</v>
      </c>
      <c r="O59" s="4">
        <v>95.2</v>
      </c>
      <c r="P59" s="13">
        <v>15457</v>
      </c>
      <c r="Q59" s="4">
        <v>15.6</v>
      </c>
      <c r="R59" s="4">
        <v>22.5</v>
      </c>
      <c r="S59" s="4">
        <v>25.4</v>
      </c>
      <c r="T59" s="4">
        <v>19.600000000000001</v>
      </c>
      <c r="U59" s="4">
        <v>11.6</v>
      </c>
      <c r="V59" s="4">
        <v>94.7</v>
      </c>
      <c r="W59" s="13">
        <v>20085</v>
      </c>
      <c r="X59" s="14"/>
      <c r="Y59" s="14"/>
      <c r="Z59" s="14"/>
      <c r="AA59" s="74"/>
      <c r="AB59" s="74"/>
      <c r="AC59" s="74"/>
      <c r="AD59" s="74"/>
      <c r="AE59" s="74"/>
      <c r="AF59" s="74"/>
      <c r="AG59" s="74"/>
      <c r="AH59" s="74"/>
      <c r="AI59" s="74"/>
      <c r="AJ59" s="74"/>
      <c r="AK59" s="74"/>
      <c r="AL59" s="74"/>
      <c r="AM59" s="74"/>
      <c r="AN59" s="74"/>
      <c r="AO59" s="74"/>
      <c r="AP59" s="74"/>
      <c r="AQ59" s="74"/>
      <c r="AR59" s="74"/>
      <c r="AS59" s="74"/>
      <c r="AT59" s="74"/>
      <c r="AU59" s="74"/>
      <c r="AV59" s="74"/>
      <c r="AW59" s="74"/>
      <c r="AY59" s="77"/>
      <c r="AZ59" s="77"/>
      <c r="BA59" s="77"/>
      <c r="BB59" s="77"/>
      <c r="BC59" s="77"/>
      <c r="BD59" s="77"/>
      <c r="BE59" s="77"/>
      <c r="BF59" s="77"/>
      <c r="BG59" s="77"/>
      <c r="BH59" s="77"/>
      <c r="BI59" s="77"/>
      <c r="BJ59" s="77"/>
      <c r="BK59" s="77"/>
      <c r="BL59" s="77"/>
      <c r="BM59" s="77"/>
      <c r="BN59" s="77"/>
      <c r="BO59" s="77"/>
      <c r="BP59" s="77"/>
      <c r="BQ59" s="77"/>
      <c r="BR59" s="77"/>
      <c r="BS59" s="77"/>
      <c r="BT59" s="77"/>
      <c r="BU59" s="77"/>
    </row>
    <row r="60" spans="1:73" x14ac:dyDescent="0.2">
      <c r="A60" s="14"/>
      <c r="B60" s="10" t="s">
        <v>19</v>
      </c>
      <c r="C60" s="4">
        <v>14.8</v>
      </c>
      <c r="D60" s="4">
        <v>24.7</v>
      </c>
      <c r="E60" s="4">
        <v>23.2</v>
      </c>
      <c r="F60" s="4">
        <v>18.3</v>
      </c>
      <c r="G60" s="4">
        <v>12.6</v>
      </c>
      <c r="H60" s="4">
        <v>93.6</v>
      </c>
      <c r="I60" s="13">
        <v>770</v>
      </c>
      <c r="J60" s="4">
        <v>18.600000000000001</v>
      </c>
      <c r="K60" s="4">
        <v>24.8</v>
      </c>
      <c r="L60" s="4">
        <v>21.6</v>
      </c>
      <c r="M60" s="4">
        <v>19.100000000000001</v>
      </c>
      <c r="N60" s="4">
        <v>10.1</v>
      </c>
      <c r="O60" s="4">
        <v>94.2</v>
      </c>
      <c r="P60" s="13">
        <v>843</v>
      </c>
      <c r="Q60" s="4">
        <v>16.8</v>
      </c>
      <c r="R60" s="4">
        <v>24.7</v>
      </c>
      <c r="S60" s="4">
        <v>22.4</v>
      </c>
      <c r="T60" s="4">
        <v>18.7</v>
      </c>
      <c r="U60" s="4">
        <v>11.3</v>
      </c>
      <c r="V60" s="4">
        <v>93.9</v>
      </c>
      <c r="W60" s="13">
        <v>1613</v>
      </c>
      <c r="X60" s="14"/>
      <c r="Y60" s="14"/>
      <c r="Z60" s="14"/>
      <c r="AA60" s="74"/>
      <c r="AB60" s="74"/>
      <c r="AC60" s="74"/>
      <c r="AD60" s="74"/>
      <c r="AE60" s="74"/>
      <c r="AF60" s="74"/>
      <c r="AG60" s="74"/>
      <c r="AH60" s="74"/>
      <c r="AI60" s="74"/>
      <c r="AJ60" s="74"/>
      <c r="AK60" s="74"/>
      <c r="AL60" s="74"/>
      <c r="AM60" s="74"/>
      <c r="AN60" s="74"/>
      <c r="AO60" s="74"/>
      <c r="AP60" s="74"/>
      <c r="AQ60" s="74"/>
      <c r="AR60" s="74"/>
      <c r="AS60" s="74"/>
      <c r="AT60" s="74"/>
      <c r="AU60" s="74"/>
      <c r="AV60" s="74"/>
      <c r="AW60" s="74"/>
      <c r="AY60" s="77"/>
      <c r="AZ60" s="77"/>
      <c r="BA60" s="77"/>
      <c r="BB60" s="77"/>
      <c r="BC60" s="77"/>
      <c r="BD60" s="77"/>
      <c r="BE60" s="77"/>
      <c r="BF60" s="77"/>
      <c r="BG60" s="77"/>
      <c r="BH60" s="77"/>
      <c r="BI60" s="77"/>
      <c r="BJ60" s="77"/>
      <c r="BK60" s="77"/>
      <c r="BL60" s="77"/>
      <c r="BM60" s="77"/>
      <c r="BN60" s="77"/>
      <c r="BO60" s="77"/>
      <c r="BP60" s="77"/>
      <c r="BQ60" s="77"/>
      <c r="BR60" s="77"/>
      <c r="BS60" s="77"/>
      <c r="BT60" s="77"/>
      <c r="BU60" s="77"/>
    </row>
    <row r="61" spans="1:73" x14ac:dyDescent="0.2">
      <c r="A61" s="14"/>
      <c r="B61" s="10" t="s">
        <v>20</v>
      </c>
      <c r="C61" s="4">
        <v>22.4</v>
      </c>
      <c r="D61" s="4">
        <v>19.899999999999999</v>
      </c>
      <c r="E61" s="4">
        <v>21.6</v>
      </c>
      <c r="F61" s="4">
        <v>18.8</v>
      </c>
      <c r="G61" s="4">
        <v>11.1</v>
      </c>
      <c r="H61" s="4">
        <v>93.8</v>
      </c>
      <c r="I61" s="13">
        <v>9996</v>
      </c>
      <c r="J61" s="4">
        <v>29.3</v>
      </c>
      <c r="K61" s="4">
        <v>24.2</v>
      </c>
      <c r="L61" s="4">
        <v>21.6</v>
      </c>
      <c r="M61" s="4">
        <v>14.8</v>
      </c>
      <c r="N61" s="4">
        <v>6.9</v>
      </c>
      <c r="O61" s="4">
        <v>96.8</v>
      </c>
      <c r="P61" s="13">
        <v>21691</v>
      </c>
      <c r="Q61" s="4">
        <v>27.1</v>
      </c>
      <c r="R61" s="4">
        <v>22.9</v>
      </c>
      <c r="S61" s="4">
        <v>21.6</v>
      </c>
      <c r="T61" s="4">
        <v>16.100000000000001</v>
      </c>
      <c r="U61" s="4">
        <v>8.1999999999999993</v>
      </c>
      <c r="V61" s="4">
        <v>95.9</v>
      </c>
      <c r="W61" s="13">
        <v>31687</v>
      </c>
      <c r="X61" s="14"/>
      <c r="Y61" s="14"/>
      <c r="Z61" s="14"/>
      <c r="AA61" s="74"/>
      <c r="AB61" s="74"/>
      <c r="AC61" s="74"/>
      <c r="AD61" s="74"/>
      <c r="AE61" s="74"/>
      <c r="AF61" s="74"/>
      <c r="AG61" s="74"/>
      <c r="AH61" s="74"/>
      <c r="AI61" s="74"/>
      <c r="AJ61" s="74"/>
      <c r="AK61" s="74"/>
      <c r="AL61" s="74"/>
      <c r="AM61" s="74"/>
      <c r="AN61" s="74"/>
      <c r="AO61" s="74"/>
      <c r="AP61" s="74"/>
      <c r="AQ61" s="74"/>
      <c r="AR61" s="74"/>
      <c r="AS61" s="74"/>
      <c r="AT61" s="74"/>
      <c r="AU61" s="74"/>
      <c r="AV61" s="74"/>
      <c r="AW61" s="74"/>
      <c r="AY61" s="77"/>
      <c r="AZ61" s="77"/>
      <c r="BA61" s="77"/>
      <c r="BB61" s="77"/>
      <c r="BC61" s="77"/>
      <c r="BD61" s="77"/>
      <c r="BE61" s="77"/>
      <c r="BF61" s="77"/>
      <c r="BG61" s="77"/>
      <c r="BH61" s="77"/>
      <c r="BI61" s="77"/>
      <c r="BJ61" s="77"/>
      <c r="BK61" s="77"/>
      <c r="BL61" s="77"/>
      <c r="BM61" s="77"/>
      <c r="BN61" s="77"/>
      <c r="BO61" s="77"/>
      <c r="BP61" s="77"/>
      <c r="BQ61" s="77"/>
      <c r="BR61" s="77"/>
      <c r="BS61" s="77"/>
      <c r="BT61" s="77"/>
      <c r="BU61" s="77"/>
    </row>
    <row r="62" spans="1:73" x14ac:dyDescent="0.2">
      <c r="A62" s="14"/>
      <c r="B62" s="10" t="s">
        <v>21</v>
      </c>
      <c r="C62" s="4">
        <v>12.1</v>
      </c>
      <c r="D62" s="4">
        <v>23.3</v>
      </c>
      <c r="E62" s="4">
        <v>30.8</v>
      </c>
      <c r="F62" s="4">
        <v>20.3</v>
      </c>
      <c r="G62" s="4">
        <v>9.6</v>
      </c>
      <c r="H62" s="4">
        <v>96</v>
      </c>
      <c r="I62" s="13">
        <v>3481</v>
      </c>
      <c r="J62" s="4">
        <v>17.3</v>
      </c>
      <c r="K62" s="4">
        <v>28.7</v>
      </c>
      <c r="L62" s="4">
        <v>28.5</v>
      </c>
      <c r="M62" s="4">
        <v>17</v>
      </c>
      <c r="N62" s="4">
        <v>6.8</v>
      </c>
      <c r="O62" s="4">
        <v>98.3</v>
      </c>
      <c r="P62" s="13">
        <v>9075</v>
      </c>
      <c r="Q62" s="4">
        <v>15.8</v>
      </c>
      <c r="R62" s="4">
        <v>27.2</v>
      </c>
      <c r="S62" s="4">
        <v>29.2</v>
      </c>
      <c r="T62" s="4">
        <v>17.899999999999999</v>
      </c>
      <c r="U62" s="4">
        <v>7.6</v>
      </c>
      <c r="V62" s="4">
        <v>97.7</v>
      </c>
      <c r="W62" s="13">
        <v>12556</v>
      </c>
      <c r="X62" s="14"/>
      <c r="Y62" s="14"/>
      <c r="Z62" s="14"/>
      <c r="AA62" s="74"/>
      <c r="AB62" s="74"/>
      <c r="AC62" s="74"/>
      <c r="AD62" s="74"/>
      <c r="AE62" s="74"/>
      <c r="AF62" s="74"/>
      <c r="AG62" s="74"/>
      <c r="AH62" s="74"/>
      <c r="AI62" s="74"/>
      <c r="AJ62" s="74"/>
      <c r="AK62" s="74"/>
      <c r="AL62" s="74"/>
      <c r="AM62" s="74"/>
      <c r="AN62" s="74"/>
      <c r="AO62" s="74"/>
      <c r="AP62" s="74"/>
      <c r="AQ62" s="74"/>
      <c r="AR62" s="74"/>
      <c r="AS62" s="74"/>
      <c r="AT62" s="74"/>
      <c r="AU62" s="74"/>
      <c r="AV62" s="74"/>
      <c r="AW62" s="74"/>
      <c r="AY62" s="77"/>
      <c r="AZ62" s="77"/>
      <c r="BA62" s="77"/>
      <c r="BB62" s="77"/>
      <c r="BC62" s="77"/>
      <c r="BD62" s="77"/>
      <c r="BE62" s="77"/>
      <c r="BF62" s="77"/>
      <c r="BG62" s="77"/>
      <c r="BH62" s="77"/>
      <c r="BI62" s="77"/>
      <c r="BJ62" s="77"/>
      <c r="BK62" s="77"/>
      <c r="BL62" s="77"/>
      <c r="BM62" s="77"/>
      <c r="BN62" s="77"/>
      <c r="BO62" s="77"/>
      <c r="BP62" s="77"/>
      <c r="BQ62" s="77"/>
      <c r="BR62" s="77"/>
      <c r="BS62" s="77"/>
      <c r="BT62" s="77"/>
      <c r="BU62" s="77"/>
    </row>
    <row r="63" spans="1:73" x14ac:dyDescent="0.2">
      <c r="A63" s="14"/>
      <c r="B63" s="10" t="s">
        <v>22</v>
      </c>
      <c r="C63" s="4">
        <v>18.2</v>
      </c>
      <c r="D63" s="4">
        <v>23</v>
      </c>
      <c r="E63" s="4">
        <v>26.5</v>
      </c>
      <c r="F63" s="4">
        <v>21</v>
      </c>
      <c r="G63" s="4">
        <v>9</v>
      </c>
      <c r="H63" s="4">
        <v>97.7</v>
      </c>
      <c r="I63" s="13">
        <v>22223</v>
      </c>
      <c r="J63" s="4">
        <v>18.600000000000001</v>
      </c>
      <c r="K63" s="4">
        <v>24.5</v>
      </c>
      <c r="L63" s="4">
        <v>27.4</v>
      </c>
      <c r="M63" s="4">
        <v>20.2</v>
      </c>
      <c r="N63" s="4">
        <v>7.8</v>
      </c>
      <c r="O63" s="4">
        <v>98.4</v>
      </c>
      <c r="P63" s="13">
        <v>50272</v>
      </c>
      <c r="Q63" s="4">
        <v>18.399999999999999</v>
      </c>
      <c r="R63" s="4">
        <v>24</v>
      </c>
      <c r="S63" s="4">
        <v>27.1</v>
      </c>
      <c r="T63" s="4">
        <v>20.5</v>
      </c>
      <c r="U63" s="4">
        <v>8.1999999999999993</v>
      </c>
      <c r="V63" s="4">
        <v>98.2</v>
      </c>
      <c r="W63" s="13">
        <v>72495</v>
      </c>
      <c r="X63" s="14"/>
      <c r="Y63" s="14"/>
      <c r="Z63" s="1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Y63" s="77"/>
      <c r="AZ63" s="77"/>
      <c r="BA63" s="77"/>
      <c r="BB63" s="77"/>
      <c r="BC63" s="77"/>
      <c r="BD63" s="77"/>
      <c r="BE63" s="77"/>
      <c r="BF63" s="77"/>
      <c r="BG63" s="77"/>
      <c r="BH63" s="77"/>
      <c r="BI63" s="77"/>
      <c r="BJ63" s="77"/>
      <c r="BK63" s="77"/>
      <c r="BL63" s="77"/>
      <c r="BM63" s="77"/>
      <c r="BN63" s="77"/>
      <c r="BO63" s="77"/>
      <c r="BP63" s="77"/>
      <c r="BQ63" s="77"/>
      <c r="BR63" s="77"/>
      <c r="BS63" s="77"/>
      <c r="BT63" s="77"/>
      <c r="BU63" s="77"/>
    </row>
    <row r="64" spans="1:73" x14ac:dyDescent="0.2">
      <c r="A64" s="14"/>
      <c r="B64" s="10" t="s">
        <v>51</v>
      </c>
      <c r="C64" s="4">
        <v>8.4</v>
      </c>
      <c r="D64" s="4">
        <v>20.9</v>
      </c>
      <c r="E64" s="4">
        <v>33</v>
      </c>
      <c r="F64" s="4">
        <v>24.9</v>
      </c>
      <c r="G64" s="4">
        <v>10</v>
      </c>
      <c r="H64" s="4">
        <v>97.3</v>
      </c>
      <c r="I64" s="13">
        <v>7033</v>
      </c>
      <c r="J64" s="4">
        <v>13</v>
      </c>
      <c r="K64" s="4">
        <v>26</v>
      </c>
      <c r="L64" s="4">
        <v>31.8</v>
      </c>
      <c r="M64" s="4">
        <v>21.1</v>
      </c>
      <c r="N64" s="4">
        <v>6.5</v>
      </c>
      <c r="O64" s="4">
        <v>98.4</v>
      </c>
      <c r="P64" s="13">
        <v>9715</v>
      </c>
      <c r="Q64" s="4">
        <v>11.1</v>
      </c>
      <c r="R64" s="4">
        <v>23.9</v>
      </c>
      <c r="S64" s="4">
        <v>32.299999999999997</v>
      </c>
      <c r="T64" s="4">
        <v>22.7</v>
      </c>
      <c r="U64" s="4">
        <v>8</v>
      </c>
      <c r="V64" s="4">
        <v>98</v>
      </c>
      <c r="W64" s="13">
        <v>16748</v>
      </c>
      <c r="X64" s="14"/>
      <c r="Y64" s="14"/>
      <c r="Z64" s="14"/>
      <c r="AA64" s="74"/>
      <c r="AB64" s="74"/>
      <c r="AC64" s="74"/>
      <c r="AD64" s="74"/>
      <c r="AE64" s="74"/>
      <c r="AF64" s="74"/>
      <c r="AG64" s="74"/>
      <c r="AH64" s="74"/>
      <c r="AI64" s="74"/>
      <c r="AJ64" s="74"/>
      <c r="AK64" s="74"/>
      <c r="AL64" s="74"/>
      <c r="AM64" s="74"/>
      <c r="AN64" s="74"/>
      <c r="AO64" s="74"/>
      <c r="AP64" s="74"/>
      <c r="AQ64" s="74"/>
      <c r="AR64" s="74"/>
      <c r="AS64" s="74"/>
      <c r="AT64" s="74"/>
      <c r="AU64" s="74"/>
      <c r="AV64" s="74"/>
      <c r="AW64" s="74"/>
      <c r="AY64" s="77"/>
      <c r="AZ64" s="77"/>
      <c r="BA64" s="77"/>
      <c r="BB64" s="77"/>
      <c r="BC64" s="77"/>
      <c r="BD64" s="77"/>
      <c r="BE64" s="77"/>
      <c r="BF64" s="77"/>
      <c r="BG64" s="77"/>
      <c r="BH64" s="77"/>
      <c r="BI64" s="77"/>
      <c r="BJ64" s="77"/>
      <c r="BK64" s="77"/>
      <c r="BL64" s="77"/>
      <c r="BM64" s="77"/>
      <c r="BN64" s="77"/>
      <c r="BO64" s="77"/>
      <c r="BP64" s="77"/>
      <c r="BQ64" s="77"/>
      <c r="BR64" s="77"/>
      <c r="BS64" s="77"/>
      <c r="BT64" s="77"/>
      <c r="BU64" s="77"/>
    </row>
    <row r="65" spans="1:73" x14ac:dyDescent="0.2">
      <c r="A65" s="14"/>
      <c r="B65" s="10" t="s">
        <v>23</v>
      </c>
      <c r="C65" s="4">
        <v>10.9</v>
      </c>
      <c r="D65" s="4">
        <v>22.9</v>
      </c>
      <c r="E65" s="4">
        <v>32.6</v>
      </c>
      <c r="F65" s="4">
        <v>20.2</v>
      </c>
      <c r="G65" s="4">
        <v>9.6999999999999993</v>
      </c>
      <c r="H65" s="4">
        <v>96.4</v>
      </c>
      <c r="I65" s="13">
        <v>2257</v>
      </c>
      <c r="J65" s="4">
        <v>13.3</v>
      </c>
      <c r="K65" s="4">
        <v>28.7</v>
      </c>
      <c r="L65" s="4">
        <v>32.4</v>
      </c>
      <c r="M65" s="4">
        <v>18.3</v>
      </c>
      <c r="N65" s="4">
        <v>5.5</v>
      </c>
      <c r="O65" s="4">
        <v>98.1</v>
      </c>
      <c r="P65" s="13">
        <v>4692</v>
      </c>
      <c r="Q65" s="4">
        <v>12.5</v>
      </c>
      <c r="R65" s="4">
        <v>26.8</v>
      </c>
      <c r="S65" s="4">
        <v>32.5</v>
      </c>
      <c r="T65" s="4">
        <v>18.899999999999999</v>
      </c>
      <c r="U65" s="4">
        <v>6.8</v>
      </c>
      <c r="V65" s="4">
        <v>97.5</v>
      </c>
      <c r="W65" s="13">
        <v>6949</v>
      </c>
      <c r="X65" s="14"/>
      <c r="Y65" s="14"/>
      <c r="Z65" s="14"/>
      <c r="AA65" s="74"/>
      <c r="AB65" s="74"/>
      <c r="AC65" s="74"/>
      <c r="AD65" s="74"/>
      <c r="AE65" s="74"/>
      <c r="AF65" s="74"/>
      <c r="AG65" s="74"/>
      <c r="AH65" s="74"/>
      <c r="AI65" s="74"/>
      <c r="AJ65" s="74"/>
      <c r="AK65" s="74"/>
      <c r="AL65" s="74"/>
      <c r="AM65" s="74"/>
      <c r="AN65" s="74"/>
      <c r="AO65" s="74"/>
      <c r="AP65" s="74"/>
      <c r="AQ65" s="74"/>
      <c r="AR65" s="74"/>
      <c r="AS65" s="74"/>
      <c r="AT65" s="74"/>
      <c r="AU65" s="74"/>
      <c r="AV65" s="74"/>
      <c r="AW65" s="74"/>
      <c r="AY65" s="77"/>
      <c r="AZ65" s="77"/>
      <c r="BA65" s="77"/>
      <c r="BB65" s="77"/>
      <c r="BC65" s="77"/>
      <c r="BD65" s="77"/>
      <c r="BE65" s="77"/>
      <c r="BF65" s="77"/>
      <c r="BG65" s="77"/>
      <c r="BH65" s="77"/>
      <c r="BI65" s="77"/>
      <c r="BJ65" s="77"/>
      <c r="BK65" s="77"/>
      <c r="BL65" s="77"/>
      <c r="BM65" s="77"/>
      <c r="BN65" s="77"/>
      <c r="BO65" s="77"/>
      <c r="BP65" s="77"/>
      <c r="BQ65" s="77"/>
      <c r="BR65" s="77"/>
      <c r="BS65" s="77"/>
      <c r="BT65" s="77"/>
      <c r="BU65" s="77"/>
    </row>
    <row r="66" spans="1:73" x14ac:dyDescent="0.2">
      <c r="A66" s="14"/>
      <c r="B66" s="10" t="s">
        <v>24</v>
      </c>
      <c r="C66" s="4">
        <v>30.9</v>
      </c>
      <c r="D66" s="4">
        <v>25.1</v>
      </c>
      <c r="E66" s="4">
        <v>20.2</v>
      </c>
      <c r="F66" s="4">
        <v>13.5</v>
      </c>
      <c r="G66" s="4">
        <v>7.4</v>
      </c>
      <c r="H66" s="4">
        <v>97.1</v>
      </c>
      <c r="I66" s="13">
        <v>4296</v>
      </c>
      <c r="J66" s="4">
        <v>28.7</v>
      </c>
      <c r="K66" s="4">
        <v>24.6</v>
      </c>
      <c r="L66" s="4">
        <v>21.3</v>
      </c>
      <c r="M66" s="4">
        <v>14.5</v>
      </c>
      <c r="N66" s="4">
        <v>8.1</v>
      </c>
      <c r="O66" s="4">
        <v>97.2</v>
      </c>
      <c r="P66" s="13">
        <v>9303</v>
      </c>
      <c r="Q66" s="4">
        <v>29.4</v>
      </c>
      <c r="R66" s="4">
        <v>24.8</v>
      </c>
      <c r="S66" s="4">
        <v>21</v>
      </c>
      <c r="T66" s="4">
        <v>14.2</v>
      </c>
      <c r="U66" s="4">
        <v>7.8</v>
      </c>
      <c r="V66" s="4">
        <v>97.2</v>
      </c>
      <c r="W66" s="13">
        <v>13599</v>
      </c>
      <c r="X66" s="14"/>
      <c r="Y66" s="14"/>
      <c r="Z66" s="14"/>
      <c r="AA66" s="74"/>
      <c r="AB66" s="74"/>
      <c r="AC66" s="74"/>
      <c r="AD66" s="74"/>
      <c r="AE66" s="74"/>
      <c r="AF66" s="74"/>
      <c r="AG66" s="74"/>
      <c r="AH66" s="74"/>
      <c r="AI66" s="74"/>
      <c r="AJ66" s="74"/>
      <c r="AK66" s="74"/>
      <c r="AL66" s="74"/>
      <c r="AM66" s="74"/>
      <c r="AN66" s="74"/>
      <c r="AO66" s="74"/>
      <c r="AP66" s="74"/>
      <c r="AQ66" s="74"/>
      <c r="AR66" s="74"/>
      <c r="AS66" s="74"/>
      <c r="AT66" s="74"/>
      <c r="AU66" s="74"/>
      <c r="AV66" s="74"/>
      <c r="AW66" s="74"/>
      <c r="AY66" s="77"/>
      <c r="AZ66" s="77"/>
      <c r="BA66" s="77"/>
      <c r="BB66" s="77"/>
      <c r="BC66" s="77"/>
      <c r="BD66" s="77"/>
      <c r="BE66" s="77"/>
      <c r="BF66" s="77"/>
      <c r="BG66" s="77"/>
      <c r="BH66" s="77"/>
      <c r="BI66" s="77"/>
      <c r="BJ66" s="77"/>
      <c r="BK66" s="77"/>
      <c r="BL66" s="77"/>
      <c r="BM66" s="77"/>
      <c r="BN66" s="77"/>
      <c r="BO66" s="77"/>
      <c r="BP66" s="77"/>
      <c r="BQ66" s="77"/>
      <c r="BR66" s="77"/>
      <c r="BS66" s="77"/>
      <c r="BT66" s="77"/>
      <c r="BU66" s="77"/>
    </row>
    <row r="67" spans="1:73" x14ac:dyDescent="0.2">
      <c r="A67" s="14"/>
      <c r="B67" s="10" t="s">
        <v>25</v>
      </c>
      <c r="C67" s="4">
        <v>32.799999999999997</v>
      </c>
      <c r="D67" s="4">
        <v>21.4</v>
      </c>
      <c r="E67" s="4">
        <v>19.899999999999999</v>
      </c>
      <c r="F67" s="4">
        <v>13.6</v>
      </c>
      <c r="G67" s="4">
        <v>9.3000000000000007</v>
      </c>
      <c r="H67" s="4">
        <v>96.9</v>
      </c>
      <c r="I67" s="13">
        <v>2192</v>
      </c>
      <c r="J67" s="4">
        <v>29</v>
      </c>
      <c r="K67" s="4">
        <v>22.9</v>
      </c>
      <c r="L67" s="4">
        <v>20.100000000000001</v>
      </c>
      <c r="M67" s="4">
        <v>15.6</v>
      </c>
      <c r="N67" s="4">
        <v>9.6999999999999993</v>
      </c>
      <c r="O67" s="4">
        <v>97.3</v>
      </c>
      <c r="P67" s="13">
        <v>4175</v>
      </c>
      <c r="Q67" s="4">
        <v>30.3</v>
      </c>
      <c r="R67" s="4">
        <v>22.4</v>
      </c>
      <c r="S67" s="4">
        <v>20</v>
      </c>
      <c r="T67" s="4">
        <v>14.9</v>
      </c>
      <c r="U67" s="4">
        <v>9.5</v>
      </c>
      <c r="V67" s="4">
        <v>97.2</v>
      </c>
      <c r="W67" s="13">
        <v>6367</v>
      </c>
      <c r="X67" s="14"/>
      <c r="Y67" s="14"/>
      <c r="Z67" s="14"/>
      <c r="AA67" s="74"/>
      <c r="AB67" s="74"/>
      <c r="AC67" s="74"/>
      <c r="AD67" s="74"/>
      <c r="AE67" s="74"/>
      <c r="AF67" s="74"/>
      <c r="AG67" s="74"/>
      <c r="AH67" s="74"/>
      <c r="AI67" s="74"/>
      <c r="AJ67" s="74"/>
      <c r="AK67" s="74"/>
      <c r="AL67" s="74"/>
      <c r="AM67" s="74"/>
      <c r="AN67" s="74"/>
      <c r="AO67" s="74"/>
      <c r="AP67" s="74"/>
      <c r="AQ67" s="74"/>
      <c r="AR67" s="74"/>
      <c r="AS67" s="74"/>
      <c r="AT67" s="74"/>
      <c r="AU67" s="74"/>
      <c r="AV67" s="74"/>
      <c r="AW67" s="74"/>
      <c r="AY67" s="77"/>
      <c r="AZ67" s="77"/>
      <c r="BA67" s="77"/>
      <c r="BB67" s="77"/>
      <c r="BC67" s="77"/>
      <c r="BD67" s="77"/>
      <c r="BE67" s="77"/>
      <c r="BF67" s="77"/>
      <c r="BG67" s="77"/>
      <c r="BH67" s="77"/>
      <c r="BI67" s="77"/>
      <c r="BJ67" s="77"/>
      <c r="BK67" s="77"/>
      <c r="BL67" s="77"/>
      <c r="BM67" s="77"/>
      <c r="BN67" s="77"/>
      <c r="BO67" s="77"/>
      <c r="BP67" s="77"/>
      <c r="BQ67" s="77"/>
      <c r="BR67" s="77"/>
      <c r="BS67" s="77"/>
      <c r="BT67" s="77"/>
      <c r="BU67" s="77"/>
    </row>
    <row r="68" spans="1:73" x14ac:dyDescent="0.2">
      <c r="A68" s="14"/>
      <c r="B68" s="10" t="s">
        <v>26</v>
      </c>
      <c r="C68" s="4">
        <v>32.6</v>
      </c>
      <c r="D68" s="4">
        <v>27.1</v>
      </c>
      <c r="E68" s="4">
        <v>18.600000000000001</v>
      </c>
      <c r="F68" s="4">
        <v>12</v>
      </c>
      <c r="G68" s="4">
        <v>6.8</v>
      </c>
      <c r="H68" s="4">
        <v>97.1</v>
      </c>
      <c r="I68" s="13">
        <v>1371</v>
      </c>
      <c r="J68" s="4">
        <v>30</v>
      </c>
      <c r="K68" s="4">
        <v>25.9</v>
      </c>
      <c r="L68" s="4">
        <v>21.4</v>
      </c>
      <c r="M68" s="4">
        <v>12.7</v>
      </c>
      <c r="N68" s="4">
        <v>7.5</v>
      </c>
      <c r="O68" s="4">
        <v>97.5</v>
      </c>
      <c r="P68" s="13">
        <v>3059</v>
      </c>
      <c r="Q68" s="4">
        <v>30.8</v>
      </c>
      <c r="R68" s="4">
        <v>26.3</v>
      </c>
      <c r="S68" s="4">
        <v>20.5</v>
      </c>
      <c r="T68" s="4">
        <v>12.5</v>
      </c>
      <c r="U68" s="4">
        <v>7.3</v>
      </c>
      <c r="V68" s="4">
        <v>97.4</v>
      </c>
      <c r="W68" s="13">
        <v>4430</v>
      </c>
      <c r="X68" s="14"/>
      <c r="Y68" s="14"/>
      <c r="Z68" s="14"/>
      <c r="AA68" s="74"/>
      <c r="AB68" s="74"/>
      <c r="AC68" s="74"/>
      <c r="AD68" s="74"/>
      <c r="AE68" s="74"/>
      <c r="AF68" s="74"/>
      <c r="AG68" s="74"/>
      <c r="AH68" s="74"/>
      <c r="AI68" s="74"/>
      <c r="AJ68" s="74"/>
      <c r="AK68" s="74"/>
      <c r="AL68" s="74"/>
      <c r="AM68" s="74"/>
      <c r="AN68" s="74"/>
      <c r="AO68" s="74"/>
      <c r="AP68" s="74"/>
      <c r="AQ68" s="74"/>
      <c r="AR68" s="74"/>
      <c r="AS68" s="74"/>
      <c r="AT68" s="74"/>
      <c r="AU68" s="74"/>
      <c r="AV68" s="74"/>
      <c r="AW68" s="74"/>
      <c r="AY68" s="77"/>
      <c r="AZ68" s="77"/>
      <c r="BA68" s="77"/>
      <c r="BB68" s="77"/>
      <c r="BC68" s="77"/>
      <c r="BD68" s="77"/>
      <c r="BE68" s="77"/>
      <c r="BF68" s="77"/>
      <c r="BG68" s="77"/>
      <c r="BH68" s="77"/>
      <c r="BI68" s="77"/>
      <c r="BJ68" s="77"/>
      <c r="BK68" s="77"/>
      <c r="BL68" s="77"/>
      <c r="BM68" s="77"/>
      <c r="BN68" s="77"/>
      <c r="BO68" s="77"/>
      <c r="BP68" s="77"/>
      <c r="BQ68" s="77"/>
      <c r="BR68" s="77"/>
      <c r="BS68" s="77"/>
      <c r="BT68" s="77"/>
      <c r="BU68" s="77"/>
    </row>
    <row r="69" spans="1:73" x14ac:dyDescent="0.2">
      <c r="A69" s="14"/>
      <c r="B69" s="10" t="s">
        <v>27</v>
      </c>
      <c r="C69" s="4">
        <v>41.9</v>
      </c>
      <c r="D69" s="4">
        <v>27.2</v>
      </c>
      <c r="E69" s="4">
        <v>16.600000000000001</v>
      </c>
      <c r="F69" s="4">
        <v>7.7</v>
      </c>
      <c r="G69" s="4">
        <v>2.9</v>
      </c>
      <c r="H69" s="4">
        <v>96.4</v>
      </c>
      <c r="I69" s="13">
        <v>1682</v>
      </c>
      <c r="J69" s="4">
        <v>46.9</v>
      </c>
      <c r="K69" s="4">
        <v>28.6</v>
      </c>
      <c r="L69" s="4">
        <v>14.4</v>
      </c>
      <c r="M69" s="4">
        <v>5.0999999999999996</v>
      </c>
      <c r="N69" s="4">
        <v>1.8</v>
      </c>
      <c r="O69" s="4">
        <v>96.7</v>
      </c>
      <c r="P69" s="13">
        <v>2178</v>
      </c>
      <c r="Q69" s="4">
        <v>44.7</v>
      </c>
      <c r="R69" s="4">
        <v>28</v>
      </c>
      <c r="S69" s="4">
        <v>15.3</v>
      </c>
      <c r="T69" s="4">
        <v>6.2</v>
      </c>
      <c r="U69" s="4">
        <v>2.2999999999999998</v>
      </c>
      <c r="V69" s="4">
        <v>96.6</v>
      </c>
      <c r="W69" s="13">
        <v>3860</v>
      </c>
      <c r="X69" s="14"/>
      <c r="Y69" s="14"/>
      <c r="Z69" s="14"/>
      <c r="AA69" s="74"/>
      <c r="AB69" s="74"/>
      <c r="AC69" s="74"/>
      <c r="AD69" s="74"/>
      <c r="AE69" s="74"/>
      <c r="AF69" s="74"/>
      <c r="AG69" s="74"/>
      <c r="AH69" s="74"/>
      <c r="AI69" s="74"/>
      <c r="AJ69" s="74"/>
      <c r="AK69" s="74"/>
      <c r="AL69" s="74"/>
      <c r="AM69" s="74"/>
      <c r="AN69" s="74"/>
      <c r="AO69" s="74"/>
      <c r="AP69" s="74"/>
      <c r="AQ69" s="74"/>
      <c r="AR69" s="74"/>
      <c r="AS69" s="74"/>
      <c r="AT69" s="74"/>
      <c r="AU69" s="74"/>
      <c r="AV69" s="74"/>
      <c r="AW69" s="74"/>
      <c r="AY69" s="77"/>
      <c r="AZ69" s="77"/>
      <c r="BA69" s="77"/>
      <c r="BB69" s="77"/>
      <c r="BC69" s="77"/>
      <c r="BD69" s="77"/>
      <c r="BE69" s="77"/>
      <c r="BF69" s="77"/>
      <c r="BG69" s="77"/>
      <c r="BH69" s="77"/>
      <c r="BI69" s="77"/>
      <c r="BJ69" s="77"/>
      <c r="BK69" s="77"/>
      <c r="BL69" s="77"/>
      <c r="BM69" s="77"/>
      <c r="BN69" s="77"/>
      <c r="BO69" s="77"/>
      <c r="BP69" s="77"/>
      <c r="BQ69" s="77"/>
      <c r="BR69" s="77"/>
      <c r="BS69" s="77"/>
      <c r="BT69" s="77"/>
      <c r="BU69" s="77"/>
    </row>
    <row r="70" spans="1:73" x14ac:dyDescent="0.2">
      <c r="A70" s="14"/>
      <c r="B70" s="10" t="s">
        <v>28</v>
      </c>
      <c r="C70" s="4">
        <v>32.6</v>
      </c>
      <c r="D70" s="4">
        <v>26.1</v>
      </c>
      <c r="E70" s="4">
        <v>21.4</v>
      </c>
      <c r="F70" s="4">
        <v>12</v>
      </c>
      <c r="G70" s="4">
        <v>6.4</v>
      </c>
      <c r="H70" s="4">
        <v>98.4</v>
      </c>
      <c r="I70" s="13">
        <v>2125</v>
      </c>
      <c r="J70" s="4">
        <v>32</v>
      </c>
      <c r="K70" s="4">
        <v>29.3</v>
      </c>
      <c r="L70" s="4">
        <v>23.4</v>
      </c>
      <c r="M70" s="4">
        <v>11</v>
      </c>
      <c r="N70" s="4">
        <v>3.4</v>
      </c>
      <c r="O70" s="4">
        <v>99</v>
      </c>
      <c r="P70" s="13">
        <v>2819</v>
      </c>
      <c r="Q70" s="4">
        <v>32.200000000000003</v>
      </c>
      <c r="R70" s="4">
        <v>27.9</v>
      </c>
      <c r="S70" s="4">
        <v>22.5</v>
      </c>
      <c r="T70" s="4">
        <v>11.4</v>
      </c>
      <c r="U70" s="4">
        <v>4.7</v>
      </c>
      <c r="V70" s="4">
        <v>98.7</v>
      </c>
      <c r="W70" s="13">
        <v>4944</v>
      </c>
      <c r="X70" s="14"/>
      <c r="Y70" s="14"/>
      <c r="Z70" s="14"/>
      <c r="AA70" s="74"/>
      <c r="AB70" s="74"/>
      <c r="AC70" s="74"/>
      <c r="AD70" s="74"/>
      <c r="AE70" s="74"/>
      <c r="AF70" s="74"/>
      <c r="AG70" s="74"/>
      <c r="AH70" s="74"/>
      <c r="AI70" s="74"/>
      <c r="AJ70" s="74"/>
      <c r="AK70" s="74"/>
      <c r="AL70" s="74"/>
      <c r="AM70" s="74"/>
      <c r="AN70" s="74"/>
      <c r="AO70" s="74"/>
      <c r="AP70" s="74"/>
      <c r="AQ70" s="74"/>
      <c r="AR70" s="74"/>
      <c r="AS70" s="74"/>
      <c r="AT70" s="74"/>
      <c r="AU70" s="74"/>
      <c r="AV70" s="74"/>
      <c r="AW70" s="74"/>
      <c r="AY70" s="77"/>
      <c r="AZ70" s="77"/>
      <c r="BA70" s="77"/>
      <c r="BB70" s="77"/>
      <c r="BC70" s="77"/>
      <c r="BD70" s="77"/>
      <c r="BE70" s="77"/>
      <c r="BF70" s="77"/>
      <c r="BG70" s="77"/>
      <c r="BH70" s="77"/>
      <c r="BI70" s="77"/>
      <c r="BJ70" s="77"/>
      <c r="BK70" s="77"/>
      <c r="BL70" s="77"/>
      <c r="BM70" s="77"/>
      <c r="BN70" s="77"/>
      <c r="BO70" s="77"/>
      <c r="BP70" s="77"/>
      <c r="BQ70" s="77"/>
      <c r="BR70" s="77"/>
      <c r="BS70" s="77"/>
      <c r="BT70" s="77"/>
      <c r="BU70" s="77"/>
    </row>
    <row r="71" spans="1:73" x14ac:dyDescent="0.2">
      <c r="A71" s="14"/>
      <c r="B71" s="10" t="s">
        <v>29</v>
      </c>
      <c r="C71" s="4">
        <v>21.7</v>
      </c>
      <c r="D71" s="4">
        <v>27.6</v>
      </c>
      <c r="E71" s="4">
        <v>24.2</v>
      </c>
      <c r="F71" s="4">
        <v>15</v>
      </c>
      <c r="G71" s="4">
        <v>8</v>
      </c>
      <c r="H71" s="4">
        <v>96.4</v>
      </c>
      <c r="I71" s="13">
        <v>2440</v>
      </c>
      <c r="J71" s="4">
        <v>21.9</v>
      </c>
      <c r="K71" s="4">
        <v>28</v>
      </c>
      <c r="L71" s="4">
        <v>24.9</v>
      </c>
      <c r="M71" s="4">
        <v>15.9</v>
      </c>
      <c r="N71" s="4">
        <v>6.7</v>
      </c>
      <c r="O71" s="4">
        <v>97.3</v>
      </c>
      <c r="P71" s="13">
        <v>6167</v>
      </c>
      <c r="Q71" s="4">
        <v>21.8</v>
      </c>
      <c r="R71" s="4">
        <v>27.9</v>
      </c>
      <c r="S71" s="4">
        <v>24.7</v>
      </c>
      <c r="T71" s="4">
        <v>15.6</v>
      </c>
      <c r="U71" s="4">
        <v>7.1</v>
      </c>
      <c r="V71" s="4">
        <v>97.1</v>
      </c>
      <c r="W71" s="13">
        <v>8607</v>
      </c>
      <c r="X71" s="14"/>
      <c r="Y71" s="14"/>
      <c r="Z71" s="14"/>
      <c r="AA71" s="74"/>
      <c r="AB71" s="74"/>
      <c r="AC71" s="74"/>
      <c r="AD71" s="74"/>
      <c r="AE71" s="74"/>
      <c r="AF71" s="74"/>
      <c r="AG71" s="74"/>
      <c r="AH71" s="74"/>
      <c r="AI71" s="74"/>
      <c r="AJ71" s="74"/>
      <c r="AK71" s="74"/>
      <c r="AL71" s="74"/>
      <c r="AM71" s="74"/>
      <c r="AN71" s="74"/>
      <c r="AO71" s="74"/>
      <c r="AP71" s="74"/>
      <c r="AQ71" s="74"/>
      <c r="AR71" s="74"/>
      <c r="AS71" s="74"/>
      <c r="AT71" s="74"/>
      <c r="AU71" s="74"/>
      <c r="AV71" s="74"/>
      <c r="AW71" s="74"/>
      <c r="AY71" s="77"/>
      <c r="AZ71" s="77"/>
      <c r="BA71" s="77"/>
      <c r="BB71" s="77"/>
      <c r="BC71" s="77"/>
      <c r="BD71" s="77"/>
      <c r="BE71" s="77"/>
      <c r="BF71" s="77"/>
      <c r="BG71" s="77"/>
      <c r="BH71" s="77"/>
      <c r="BI71" s="77"/>
      <c r="BJ71" s="77"/>
      <c r="BK71" s="77"/>
      <c r="BL71" s="77"/>
      <c r="BM71" s="77"/>
      <c r="BN71" s="77"/>
      <c r="BO71" s="77"/>
      <c r="BP71" s="77"/>
      <c r="BQ71" s="77"/>
      <c r="BR71" s="77"/>
      <c r="BS71" s="77"/>
      <c r="BT71" s="77"/>
      <c r="BU71" s="77"/>
    </row>
    <row r="72" spans="1:73" x14ac:dyDescent="0.2">
      <c r="A72" s="14"/>
      <c r="B72" s="10" t="s">
        <v>30</v>
      </c>
      <c r="C72" s="4">
        <v>19.399999999999999</v>
      </c>
      <c r="D72" s="4">
        <v>22</v>
      </c>
      <c r="E72" s="4">
        <v>24.5</v>
      </c>
      <c r="F72" s="4">
        <v>20.100000000000001</v>
      </c>
      <c r="G72" s="4">
        <v>10.3</v>
      </c>
      <c r="H72" s="4">
        <v>96.3</v>
      </c>
      <c r="I72" s="13">
        <v>3200</v>
      </c>
      <c r="J72" s="4">
        <v>22.8</v>
      </c>
      <c r="K72" s="4">
        <v>24.9</v>
      </c>
      <c r="L72" s="4">
        <v>25</v>
      </c>
      <c r="M72" s="4">
        <v>17.100000000000001</v>
      </c>
      <c r="N72" s="4">
        <v>8.1</v>
      </c>
      <c r="O72" s="4">
        <v>98</v>
      </c>
      <c r="P72" s="13">
        <v>3567</v>
      </c>
      <c r="Q72" s="4">
        <v>21.2</v>
      </c>
      <c r="R72" s="4">
        <v>23.6</v>
      </c>
      <c r="S72" s="4">
        <v>24.8</v>
      </c>
      <c r="T72" s="4">
        <v>18.5</v>
      </c>
      <c r="U72" s="4">
        <v>9.1</v>
      </c>
      <c r="V72" s="4">
        <v>97.2</v>
      </c>
      <c r="W72" s="13">
        <v>6767</v>
      </c>
      <c r="X72" s="14"/>
      <c r="Y72" s="14"/>
      <c r="Z72" s="14"/>
      <c r="AA72" s="74"/>
      <c r="AB72" s="74"/>
      <c r="AC72" s="74"/>
      <c r="AD72" s="74"/>
      <c r="AE72" s="74"/>
      <c r="AF72" s="74"/>
      <c r="AG72" s="74"/>
      <c r="AH72" s="74"/>
      <c r="AI72" s="74"/>
      <c r="AJ72" s="74"/>
      <c r="AK72" s="74"/>
      <c r="AL72" s="74"/>
      <c r="AM72" s="74"/>
      <c r="AN72" s="74"/>
      <c r="AO72" s="74"/>
      <c r="AP72" s="74"/>
      <c r="AQ72" s="74"/>
      <c r="AR72" s="74"/>
      <c r="AS72" s="74"/>
      <c r="AT72" s="74"/>
      <c r="AU72" s="74"/>
      <c r="AV72" s="74"/>
      <c r="AW72" s="74"/>
      <c r="AY72" s="77"/>
      <c r="AZ72" s="77"/>
      <c r="BA72" s="77"/>
      <c r="BB72" s="77"/>
      <c r="BC72" s="77"/>
      <c r="BD72" s="77"/>
      <c r="BE72" s="77"/>
      <c r="BF72" s="77"/>
      <c r="BG72" s="77"/>
      <c r="BH72" s="77"/>
      <c r="BI72" s="77"/>
      <c r="BJ72" s="77"/>
      <c r="BK72" s="77"/>
      <c r="BL72" s="77"/>
      <c r="BM72" s="77"/>
      <c r="BN72" s="77"/>
      <c r="BO72" s="77"/>
      <c r="BP72" s="77"/>
      <c r="BQ72" s="77"/>
      <c r="BR72" s="77"/>
      <c r="BS72" s="77"/>
      <c r="BT72" s="77"/>
      <c r="BU72" s="77"/>
    </row>
    <row r="73" spans="1:73" x14ac:dyDescent="0.2">
      <c r="A73" s="14"/>
      <c r="B73" s="10" t="s">
        <v>31</v>
      </c>
      <c r="C73" s="4">
        <v>8</v>
      </c>
      <c r="D73" s="4">
        <v>16</v>
      </c>
      <c r="E73" s="4">
        <v>25</v>
      </c>
      <c r="F73" s="4">
        <v>26.9</v>
      </c>
      <c r="G73" s="4">
        <v>18.3</v>
      </c>
      <c r="H73" s="4">
        <v>94.2</v>
      </c>
      <c r="I73" s="13">
        <v>10022</v>
      </c>
      <c r="J73" s="4">
        <v>19.3</v>
      </c>
      <c r="K73" s="4">
        <v>21.2</v>
      </c>
      <c r="L73" s="4">
        <v>24.7</v>
      </c>
      <c r="M73" s="4">
        <v>20</v>
      </c>
      <c r="N73" s="4">
        <v>11.3</v>
      </c>
      <c r="O73" s="4">
        <v>96.4</v>
      </c>
      <c r="P73" s="13">
        <v>6633</v>
      </c>
      <c r="Q73" s="4">
        <v>12.5</v>
      </c>
      <c r="R73" s="4">
        <v>18.100000000000001</v>
      </c>
      <c r="S73" s="4">
        <v>24.8</v>
      </c>
      <c r="T73" s="4">
        <v>24.1</v>
      </c>
      <c r="U73" s="4">
        <v>15.5</v>
      </c>
      <c r="V73" s="4">
        <v>95.1</v>
      </c>
      <c r="W73" s="13">
        <v>16655</v>
      </c>
      <c r="X73" s="14"/>
      <c r="Y73" s="14"/>
      <c r="Z73" s="14"/>
      <c r="AA73" s="74"/>
      <c r="AB73" s="74"/>
      <c r="AC73" s="74"/>
      <c r="AD73" s="74"/>
      <c r="AE73" s="74"/>
      <c r="AF73" s="74"/>
      <c r="AG73" s="74"/>
      <c r="AH73" s="74"/>
      <c r="AI73" s="74"/>
      <c r="AJ73" s="74"/>
      <c r="AK73" s="74"/>
      <c r="AL73" s="74"/>
      <c r="AM73" s="74"/>
      <c r="AN73" s="74"/>
      <c r="AO73" s="74"/>
      <c r="AP73" s="74"/>
      <c r="AQ73" s="74"/>
      <c r="AR73" s="74"/>
      <c r="AS73" s="74"/>
      <c r="AT73" s="74"/>
      <c r="AU73" s="74"/>
      <c r="AV73" s="74"/>
      <c r="AW73" s="74"/>
      <c r="AY73" s="77"/>
      <c r="AZ73" s="77"/>
      <c r="BA73" s="77"/>
      <c r="BB73" s="77"/>
      <c r="BC73" s="77"/>
      <c r="BD73" s="77"/>
      <c r="BE73" s="77"/>
      <c r="BF73" s="77"/>
      <c r="BG73" s="77"/>
      <c r="BH73" s="77"/>
      <c r="BI73" s="77"/>
      <c r="BJ73" s="77"/>
      <c r="BK73" s="77"/>
      <c r="BL73" s="77"/>
      <c r="BM73" s="77"/>
      <c r="BN73" s="77"/>
      <c r="BO73" s="77"/>
      <c r="BP73" s="77"/>
      <c r="BQ73" s="77"/>
      <c r="BR73" s="77"/>
      <c r="BS73" s="77"/>
      <c r="BT73" s="77"/>
      <c r="BU73" s="77"/>
    </row>
    <row r="74" spans="1:73" x14ac:dyDescent="0.2">
      <c r="A74" s="14"/>
      <c r="B74" s="10" t="s">
        <v>32</v>
      </c>
      <c r="C74" s="4">
        <v>11.2</v>
      </c>
      <c r="D74" s="4">
        <v>15.6</v>
      </c>
      <c r="E74" s="4">
        <v>20.399999999999999</v>
      </c>
      <c r="F74" s="4">
        <v>22.1</v>
      </c>
      <c r="G74" s="4">
        <v>17.7</v>
      </c>
      <c r="H74" s="4">
        <v>87.1</v>
      </c>
      <c r="I74" s="13">
        <v>28079</v>
      </c>
      <c r="J74" s="4">
        <v>12.7</v>
      </c>
      <c r="K74" s="4">
        <v>16.8</v>
      </c>
      <c r="L74" s="4">
        <v>21.8</v>
      </c>
      <c r="M74" s="4">
        <v>22.1</v>
      </c>
      <c r="N74" s="4">
        <v>16.399999999999999</v>
      </c>
      <c r="O74" s="4">
        <v>89.8</v>
      </c>
      <c r="P74" s="13">
        <v>30442</v>
      </c>
      <c r="Q74" s="4">
        <v>12</v>
      </c>
      <c r="R74" s="4">
        <v>16.3</v>
      </c>
      <c r="S74" s="4">
        <v>21.1</v>
      </c>
      <c r="T74" s="4">
        <v>22.1</v>
      </c>
      <c r="U74" s="4">
        <v>17</v>
      </c>
      <c r="V74" s="4">
        <v>88.5</v>
      </c>
      <c r="W74" s="13">
        <v>58521</v>
      </c>
      <c r="X74" s="14"/>
      <c r="Y74" s="14"/>
      <c r="Z74" s="14"/>
      <c r="AA74" s="74"/>
      <c r="AB74" s="74"/>
      <c r="AC74" s="74"/>
      <c r="AD74" s="74"/>
      <c r="AE74" s="74"/>
      <c r="AF74" s="74"/>
      <c r="AG74" s="74"/>
      <c r="AH74" s="74"/>
      <c r="AI74" s="74"/>
      <c r="AJ74" s="74"/>
      <c r="AK74" s="74"/>
      <c r="AL74" s="74"/>
      <c r="AM74" s="74"/>
      <c r="AN74" s="74"/>
      <c r="AO74" s="74"/>
      <c r="AP74" s="74"/>
      <c r="AQ74" s="74"/>
      <c r="AR74" s="74"/>
      <c r="AS74" s="74"/>
      <c r="AT74" s="74"/>
      <c r="AU74" s="74"/>
      <c r="AV74" s="74"/>
      <c r="AW74" s="74"/>
      <c r="AY74" s="77"/>
      <c r="AZ74" s="77"/>
      <c r="BA74" s="77"/>
      <c r="BB74" s="77"/>
      <c r="BC74" s="77"/>
      <c r="BD74" s="77"/>
      <c r="BE74" s="77"/>
      <c r="BF74" s="77"/>
      <c r="BG74" s="77"/>
      <c r="BH74" s="77"/>
      <c r="BI74" s="77"/>
      <c r="BJ74" s="77"/>
      <c r="BK74" s="77"/>
      <c r="BL74" s="77"/>
      <c r="BM74" s="77"/>
      <c r="BN74" s="77"/>
      <c r="BO74" s="77"/>
      <c r="BP74" s="77"/>
      <c r="BQ74" s="77"/>
      <c r="BR74" s="77"/>
      <c r="BS74" s="77"/>
      <c r="BT74" s="77"/>
      <c r="BU74" s="77"/>
    </row>
    <row r="75" spans="1:73" x14ac:dyDescent="0.2">
      <c r="A75" s="14"/>
      <c r="B75" s="10" t="s">
        <v>46</v>
      </c>
      <c r="C75" s="4">
        <v>19.2</v>
      </c>
      <c r="D75" s="4">
        <v>20.2</v>
      </c>
      <c r="E75" s="4">
        <v>22.2</v>
      </c>
      <c r="F75" s="4">
        <v>19.399999999999999</v>
      </c>
      <c r="G75" s="4">
        <v>12.6</v>
      </c>
      <c r="H75" s="4">
        <v>93.6</v>
      </c>
      <c r="I75" s="13">
        <v>299879</v>
      </c>
      <c r="J75" s="4">
        <v>21.6</v>
      </c>
      <c r="K75" s="4">
        <v>23.1</v>
      </c>
      <c r="L75" s="4">
        <v>23.4</v>
      </c>
      <c r="M75" s="4">
        <v>17.8</v>
      </c>
      <c r="N75" s="4">
        <v>9.8000000000000007</v>
      </c>
      <c r="O75" s="4">
        <v>95.8</v>
      </c>
      <c r="P75" s="13">
        <v>345154</v>
      </c>
      <c r="Q75" s="4">
        <v>20.5</v>
      </c>
      <c r="R75" s="4">
        <v>21.8</v>
      </c>
      <c r="S75" s="4">
        <v>22.8</v>
      </c>
      <c r="T75" s="4">
        <v>18.5</v>
      </c>
      <c r="U75" s="4">
        <v>11.1</v>
      </c>
      <c r="V75" s="4">
        <v>94.8</v>
      </c>
      <c r="W75" s="13">
        <v>645033</v>
      </c>
      <c r="X75" s="14"/>
      <c r="Y75" s="14"/>
      <c r="Z75" s="1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Y75" s="77"/>
      <c r="AZ75" s="77"/>
      <c r="BA75" s="77"/>
      <c r="BB75" s="77"/>
      <c r="BC75" s="77"/>
      <c r="BD75" s="77"/>
      <c r="BE75" s="77"/>
      <c r="BF75" s="77"/>
      <c r="BG75" s="77"/>
      <c r="BH75" s="77"/>
      <c r="BI75" s="77"/>
      <c r="BJ75" s="77"/>
      <c r="BK75" s="77"/>
      <c r="BL75" s="77"/>
      <c r="BM75" s="77"/>
      <c r="BN75" s="77"/>
      <c r="BO75" s="77"/>
      <c r="BP75" s="77"/>
      <c r="BQ75" s="77"/>
      <c r="BR75" s="77"/>
      <c r="BS75" s="77"/>
      <c r="BT75" s="77"/>
      <c r="BU75" s="77"/>
    </row>
    <row r="76" spans="1:73" x14ac:dyDescent="0.2">
      <c r="A76" s="14"/>
    </row>
    <row r="77" spans="1:73" x14ac:dyDescent="0.2">
      <c r="A77" s="14"/>
      <c r="B77" s="11" t="s">
        <v>0</v>
      </c>
      <c r="C77" s="14">
        <f>ROUND(C41,1)</f>
        <v>19.100000000000001</v>
      </c>
      <c r="D77" s="14">
        <f t="shared" ref="D77:V77" si="0">ROUND(D41,1)</f>
        <v>18.5</v>
      </c>
      <c r="E77" s="14">
        <f t="shared" si="0"/>
        <v>19.7</v>
      </c>
      <c r="F77" s="14">
        <f t="shared" si="0"/>
        <v>18.399999999999999</v>
      </c>
      <c r="G77" s="14">
        <f t="shared" si="0"/>
        <v>15.1</v>
      </c>
      <c r="H77" s="14">
        <f t="shared" si="0"/>
        <v>90.8</v>
      </c>
      <c r="I77" s="120">
        <f>ROUND(I41,0)</f>
        <v>17429</v>
      </c>
      <c r="J77" s="14">
        <f t="shared" si="0"/>
        <v>22.6</v>
      </c>
      <c r="K77" s="14">
        <f t="shared" si="0"/>
        <v>20.2</v>
      </c>
      <c r="L77" s="14">
        <f t="shared" si="0"/>
        <v>19.899999999999999</v>
      </c>
      <c r="M77" s="14">
        <f t="shared" si="0"/>
        <v>17.8</v>
      </c>
      <c r="N77" s="14">
        <f t="shared" si="0"/>
        <v>12.6</v>
      </c>
      <c r="O77" s="14">
        <f t="shared" si="0"/>
        <v>93.1</v>
      </c>
      <c r="P77" s="120">
        <f>ROUND(P41,0)</f>
        <v>27978</v>
      </c>
      <c r="Q77" s="14">
        <f t="shared" si="0"/>
        <v>21.3</v>
      </c>
      <c r="R77" s="14">
        <f t="shared" si="0"/>
        <v>19.5</v>
      </c>
      <c r="S77" s="14">
        <f t="shared" si="0"/>
        <v>19.8</v>
      </c>
      <c r="T77" s="14">
        <f t="shared" si="0"/>
        <v>18</v>
      </c>
      <c r="U77" s="14">
        <f t="shared" si="0"/>
        <v>13.6</v>
      </c>
      <c r="V77" s="14">
        <f t="shared" si="0"/>
        <v>92.2</v>
      </c>
      <c r="W77" s="120">
        <f>ROUND(W41,0)</f>
        <v>45407</v>
      </c>
    </row>
    <row r="78" spans="1:73" x14ac:dyDescent="0.2">
      <c r="A78" s="14"/>
      <c r="B78" s="11" t="s">
        <v>1</v>
      </c>
      <c r="C78" s="14">
        <f t="shared" ref="C78:H78" si="1">ROUND(C42,1)</f>
        <v>26.8</v>
      </c>
      <c r="D78" s="14">
        <f t="shared" si="1"/>
        <v>22.1</v>
      </c>
      <c r="E78" s="14">
        <f t="shared" si="1"/>
        <v>18.899999999999999</v>
      </c>
      <c r="F78" s="14">
        <f t="shared" si="1"/>
        <v>15.3</v>
      </c>
      <c r="G78" s="14">
        <f t="shared" si="1"/>
        <v>10.9</v>
      </c>
      <c r="H78" s="14">
        <f t="shared" si="1"/>
        <v>94.1</v>
      </c>
      <c r="I78" s="120">
        <f t="shared" ref="I78:I111" si="2">ROUND(I42,0)</f>
        <v>15932</v>
      </c>
      <c r="J78" s="14">
        <f t="shared" ref="J78:O78" si="3">ROUND(J42,1)</f>
        <v>29.6</v>
      </c>
      <c r="K78" s="14">
        <f t="shared" si="3"/>
        <v>24.3</v>
      </c>
      <c r="L78" s="14">
        <f t="shared" si="3"/>
        <v>19.399999999999999</v>
      </c>
      <c r="M78" s="14">
        <f t="shared" si="3"/>
        <v>13.8</v>
      </c>
      <c r="N78" s="14">
        <f t="shared" si="3"/>
        <v>8.8000000000000007</v>
      </c>
      <c r="O78" s="14">
        <f t="shared" si="3"/>
        <v>95.9</v>
      </c>
      <c r="P78" s="120">
        <f t="shared" ref="P78:P111" si="4">ROUND(P42,0)</f>
        <v>16392</v>
      </c>
      <c r="Q78" s="14">
        <f t="shared" ref="Q78:V78" si="5">ROUND(Q42,1)</f>
        <v>28.2</v>
      </c>
      <c r="R78" s="14">
        <f t="shared" si="5"/>
        <v>23.2</v>
      </c>
      <c r="S78" s="14">
        <f t="shared" si="5"/>
        <v>19.2</v>
      </c>
      <c r="T78" s="14">
        <f t="shared" si="5"/>
        <v>14.6</v>
      </c>
      <c r="U78" s="14">
        <f t="shared" si="5"/>
        <v>9.8000000000000007</v>
      </c>
      <c r="V78" s="14">
        <f t="shared" si="5"/>
        <v>95</v>
      </c>
      <c r="W78" s="120">
        <f t="shared" ref="W78:W111" si="6">ROUND(W42,0)</f>
        <v>32324</v>
      </c>
    </row>
    <row r="79" spans="1:73" x14ac:dyDescent="0.2">
      <c r="A79" s="14"/>
      <c r="B79" s="11" t="s">
        <v>2</v>
      </c>
      <c r="C79" s="14">
        <f t="shared" ref="C79:H79" si="7">ROUND(C43,1)</f>
        <v>25.4</v>
      </c>
      <c r="D79" s="14">
        <f t="shared" si="7"/>
        <v>19.7</v>
      </c>
      <c r="E79" s="14">
        <f t="shared" si="7"/>
        <v>18.600000000000001</v>
      </c>
      <c r="F79" s="14">
        <f t="shared" si="7"/>
        <v>16.600000000000001</v>
      </c>
      <c r="G79" s="14">
        <f t="shared" si="7"/>
        <v>12.7</v>
      </c>
      <c r="H79" s="14">
        <f t="shared" si="7"/>
        <v>92.9</v>
      </c>
      <c r="I79" s="120">
        <f t="shared" si="2"/>
        <v>21541</v>
      </c>
      <c r="J79" s="14">
        <f t="shared" ref="J79:O79" si="8">ROUND(J43,1)</f>
        <v>32.1</v>
      </c>
      <c r="K79" s="14">
        <f t="shared" si="8"/>
        <v>22.8</v>
      </c>
      <c r="L79" s="14">
        <f t="shared" si="8"/>
        <v>18.3</v>
      </c>
      <c r="M79" s="14">
        <f t="shared" si="8"/>
        <v>14.6</v>
      </c>
      <c r="N79" s="14">
        <f t="shared" si="8"/>
        <v>8.3000000000000007</v>
      </c>
      <c r="O79" s="14">
        <f t="shared" si="8"/>
        <v>96.1</v>
      </c>
      <c r="P79" s="120">
        <f t="shared" si="4"/>
        <v>6319</v>
      </c>
      <c r="Q79" s="14">
        <f t="shared" ref="Q79:V79" si="9">ROUND(Q43,1)</f>
        <v>26.9</v>
      </c>
      <c r="R79" s="14">
        <f t="shared" si="9"/>
        <v>20.399999999999999</v>
      </c>
      <c r="S79" s="14">
        <f t="shared" si="9"/>
        <v>18.5</v>
      </c>
      <c r="T79" s="14">
        <f t="shared" si="9"/>
        <v>16.100000000000001</v>
      </c>
      <c r="U79" s="14">
        <f t="shared" si="9"/>
        <v>11.7</v>
      </c>
      <c r="V79" s="14">
        <f t="shared" si="9"/>
        <v>93.6</v>
      </c>
      <c r="W79" s="120">
        <f t="shared" si="6"/>
        <v>27860</v>
      </c>
    </row>
    <row r="80" spans="1:73" x14ac:dyDescent="0.2">
      <c r="A80" s="14"/>
      <c r="B80" s="11" t="s">
        <v>3</v>
      </c>
      <c r="C80" s="14">
        <f t="shared" ref="C80:H80" si="10">ROUND(C44,1)</f>
        <v>20.399999999999999</v>
      </c>
      <c r="D80" s="14">
        <f t="shared" si="10"/>
        <v>20.100000000000001</v>
      </c>
      <c r="E80" s="14">
        <f t="shared" si="10"/>
        <v>20.2</v>
      </c>
      <c r="F80" s="14">
        <f t="shared" si="10"/>
        <v>20</v>
      </c>
      <c r="G80" s="14">
        <f t="shared" si="10"/>
        <v>13.5</v>
      </c>
      <c r="H80" s="14">
        <f t="shared" si="10"/>
        <v>94.2</v>
      </c>
      <c r="I80" s="120">
        <f t="shared" si="2"/>
        <v>2514</v>
      </c>
      <c r="J80" s="14">
        <f t="shared" ref="J80:O80" si="11">ROUND(J44,1)</f>
        <v>20.100000000000001</v>
      </c>
      <c r="K80" s="14">
        <f t="shared" si="11"/>
        <v>19.600000000000001</v>
      </c>
      <c r="L80" s="14">
        <f t="shared" si="11"/>
        <v>21.7</v>
      </c>
      <c r="M80" s="14">
        <f t="shared" si="11"/>
        <v>20.2</v>
      </c>
      <c r="N80" s="14">
        <f t="shared" si="11"/>
        <v>12.2</v>
      </c>
      <c r="O80" s="14">
        <f t="shared" si="11"/>
        <v>93.7</v>
      </c>
      <c r="P80" s="120">
        <f t="shared" si="4"/>
        <v>1226</v>
      </c>
      <c r="Q80" s="14">
        <f t="shared" ref="Q80:V80" si="12">ROUND(Q44,1)</f>
        <v>20.3</v>
      </c>
      <c r="R80" s="14">
        <f t="shared" si="12"/>
        <v>19.899999999999999</v>
      </c>
      <c r="S80" s="14">
        <f t="shared" si="12"/>
        <v>20.7</v>
      </c>
      <c r="T80" s="14">
        <f t="shared" si="12"/>
        <v>20.100000000000001</v>
      </c>
      <c r="U80" s="14">
        <f t="shared" si="12"/>
        <v>13</v>
      </c>
      <c r="V80" s="14">
        <f t="shared" si="12"/>
        <v>94.1</v>
      </c>
      <c r="W80" s="120">
        <f t="shared" si="6"/>
        <v>3740</v>
      </c>
    </row>
    <row r="81" spans="1:23" x14ac:dyDescent="0.2">
      <c r="A81" s="14"/>
      <c r="B81" s="11" t="s">
        <v>4</v>
      </c>
      <c r="C81" s="14">
        <f t="shared" ref="C81:H81" si="13">ROUND(C45,1)</f>
        <v>34.200000000000003</v>
      </c>
      <c r="D81" s="14">
        <f t="shared" si="13"/>
        <v>19.5</v>
      </c>
      <c r="E81" s="14">
        <f t="shared" si="13"/>
        <v>16.7</v>
      </c>
      <c r="F81" s="14">
        <f t="shared" si="13"/>
        <v>13.4</v>
      </c>
      <c r="G81" s="14">
        <f t="shared" si="13"/>
        <v>9.5</v>
      </c>
      <c r="H81" s="14">
        <f t="shared" si="13"/>
        <v>93.3</v>
      </c>
      <c r="I81" s="120">
        <f t="shared" si="2"/>
        <v>27775</v>
      </c>
      <c r="J81" s="14">
        <f t="shared" ref="J81:O81" si="14">ROUND(J45,1)</f>
        <v>39</v>
      </c>
      <c r="K81" s="14">
        <f t="shared" si="14"/>
        <v>21.5</v>
      </c>
      <c r="L81" s="14">
        <f t="shared" si="14"/>
        <v>16.600000000000001</v>
      </c>
      <c r="M81" s="14">
        <f t="shared" si="14"/>
        <v>11.7</v>
      </c>
      <c r="N81" s="14">
        <f t="shared" si="14"/>
        <v>7.1</v>
      </c>
      <c r="O81" s="14">
        <f t="shared" si="14"/>
        <v>95.8</v>
      </c>
      <c r="P81" s="120">
        <f t="shared" si="4"/>
        <v>16381</v>
      </c>
      <c r="Q81" s="14">
        <f t="shared" ref="Q81:V81" si="15">ROUND(Q45,1)</f>
        <v>36</v>
      </c>
      <c r="R81" s="14">
        <f t="shared" si="15"/>
        <v>20.2</v>
      </c>
      <c r="S81" s="14">
        <f t="shared" si="15"/>
        <v>16.7</v>
      </c>
      <c r="T81" s="14">
        <f t="shared" si="15"/>
        <v>12.8</v>
      </c>
      <c r="U81" s="14">
        <f t="shared" si="15"/>
        <v>8.6</v>
      </c>
      <c r="V81" s="14">
        <f t="shared" si="15"/>
        <v>94.2</v>
      </c>
      <c r="W81" s="120">
        <f t="shared" si="6"/>
        <v>44156</v>
      </c>
    </row>
    <row r="82" spans="1:23" x14ac:dyDescent="0.2">
      <c r="A82" s="14"/>
      <c r="B82" s="11" t="s">
        <v>5</v>
      </c>
      <c r="C82" s="14">
        <f t="shared" ref="C82:H82" si="16">ROUND(C46,1)</f>
        <v>61.8</v>
      </c>
      <c r="D82" s="14">
        <f t="shared" si="16"/>
        <v>16.5</v>
      </c>
      <c r="E82" s="14">
        <f t="shared" si="16"/>
        <v>9.6999999999999993</v>
      </c>
      <c r="F82" s="14">
        <f t="shared" si="16"/>
        <v>6</v>
      </c>
      <c r="G82" s="14">
        <f t="shared" si="16"/>
        <v>3.4</v>
      </c>
      <c r="H82" s="14">
        <f t="shared" si="16"/>
        <v>97.4</v>
      </c>
      <c r="I82" s="120">
        <f t="shared" si="2"/>
        <v>3251</v>
      </c>
      <c r="J82" s="14">
        <f t="shared" ref="J82:O82" si="17">ROUND(J46,1)</f>
        <v>66.2</v>
      </c>
      <c r="K82" s="14">
        <f t="shared" si="17"/>
        <v>16.2</v>
      </c>
      <c r="L82" s="14">
        <f t="shared" si="17"/>
        <v>8.5</v>
      </c>
      <c r="M82" s="14">
        <f t="shared" si="17"/>
        <v>4.7</v>
      </c>
      <c r="N82" s="14">
        <f t="shared" si="17"/>
        <v>2.6</v>
      </c>
      <c r="O82" s="14">
        <f t="shared" si="17"/>
        <v>98.2</v>
      </c>
      <c r="P82" s="120">
        <f t="shared" si="4"/>
        <v>1247</v>
      </c>
      <c r="Q82" s="14">
        <f t="shared" ref="Q82:V82" si="18">ROUND(Q46,1)</f>
        <v>63</v>
      </c>
      <c r="R82" s="14">
        <f t="shared" si="18"/>
        <v>16.399999999999999</v>
      </c>
      <c r="S82" s="14">
        <f t="shared" si="18"/>
        <v>9.4</v>
      </c>
      <c r="T82" s="14">
        <f t="shared" si="18"/>
        <v>5.6</v>
      </c>
      <c r="U82" s="14">
        <f t="shared" si="18"/>
        <v>3.2</v>
      </c>
      <c r="V82" s="14">
        <f t="shared" si="18"/>
        <v>97.6</v>
      </c>
      <c r="W82" s="120">
        <f t="shared" si="6"/>
        <v>4498</v>
      </c>
    </row>
    <row r="83" spans="1:23" x14ac:dyDescent="0.2">
      <c r="B83" s="11" t="s">
        <v>6</v>
      </c>
      <c r="C83" s="14">
        <f t="shared" ref="C83:H83" si="19">ROUND(C47,1)</f>
        <v>11.9</v>
      </c>
      <c r="D83" s="14">
        <f t="shared" si="19"/>
        <v>19.3</v>
      </c>
      <c r="E83" s="14">
        <f t="shared" si="19"/>
        <v>24.3</v>
      </c>
      <c r="F83" s="14">
        <f t="shared" si="19"/>
        <v>23.7</v>
      </c>
      <c r="G83" s="14">
        <f t="shared" si="19"/>
        <v>15</v>
      </c>
      <c r="H83" s="14">
        <f t="shared" si="19"/>
        <v>94.1</v>
      </c>
      <c r="I83" s="120">
        <f t="shared" si="2"/>
        <v>9042</v>
      </c>
      <c r="J83" s="14">
        <f t="shared" ref="J83:O83" si="20">ROUND(J47,1)</f>
        <v>16</v>
      </c>
      <c r="K83" s="14">
        <f t="shared" si="20"/>
        <v>25.5</v>
      </c>
      <c r="L83" s="14">
        <f t="shared" si="20"/>
        <v>26.6</v>
      </c>
      <c r="M83" s="14">
        <f t="shared" si="20"/>
        <v>19.7</v>
      </c>
      <c r="N83" s="14">
        <f t="shared" si="20"/>
        <v>9.8000000000000007</v>
      </c>
      <c r="O83" s="14">
        <f t="shared" si="20"/>
        <v>97.5</v>
      </c>
      <c r="P83" s="120">
        <f t="shared" si="4"/>
        <v>5144</v>
      </c>
      <c r="Q83" s="14">
        <f t="shared" ref="Q83:V83" si="21">ROUND(Q47,1)</f>
        <v>13.3</v>
      </c>
      <c r="R83" s="14">
        <f t="shared" si="21"/>
        <v>21.5</v>
      </c>
      <c r="S83" s="14">
        <f t="shared" si="21"/>
        <v>25.1</v>
      </c>
      <c r="T83" s="14">
        <f t="shared" si="21"/>
        <v>22.2</v>
      </c>
      <c r="U83" s="14">
        <f t="shared" si="21"/>
        <v>13.1</v>
      </c>
      <c r="V83" s="14">
        <f t="shared" si="21"/>
        <v>95.3</v>
      </c>
      <c r="W83" s="120">
        <f t="shared" si="6"/>
        <v>14186</v>
      </c>
    </row>
    <row r="84" spans="1:23" x14ac:dyDescent="0.2">
      <c r="B84" s="11" t="s">
        <v>7</v>
      </c>
      <c r="C84" s="14">
        <f t="shared" ref="C84:H84" si="22">ROUND(C48,1)</f>
        <v>11.6</v>
      </c>
      <c r="D84" s="14">
        <f t="shared" si="22"/>
        <v>16.5</v>
      </c>
      <c r="E84" s="14">
        <f t="shared" si="22"/>
        <v>20.2</v>
      </c>
      <c r="F84" s="14">
        <f t="shared" si="22"/>
        <v>21.6</v>
      </c>
      <c r="G84" s="14">
        <f t="shared" si="22"/>
        <v>18.7</v>
      </c>
      <c r="H84" s="14">
        <f t="shared" si="22"/>
        <v>88.7</v>
      </c>
      <c r="I84" s="120">
        <f t="shared" si="2"/>
        <v>8265</v>
      </c>
      <c r="J84" s="14">
        <f t="shared" ref="J84:O84" si="23">ROUND(J48,1)</f>
        <v>11.3</v>
      </c>
      <c r="K84" s="14">
        <f t="shared" si="23"/>
        <v>17.100000000000001</v>
      </c>
      <c r="L84" s="14">
        <f t="shared" si="23"/>
        <v>21.9</v>
      </c>
      <c r="M84" s="14">
        <f t="shared" si="23"/>
        <v>21.6</v>
      </c>
      <c r="N84" s="14">
        <f t="shared" si="23"/>
        <v>18.8</v>
      </c>
      <c r="O84" s="14">
        <f t="shared" si="23"/>
        <v>90.7</v>
      </c>
      <c r="P84" s="120">
        <f t="shared" si="4"/>
        <v>1064</v>
      </c>
      <c r="Q84" s="14">
        <f t="shared" ref="Q84:V84" si="24">ROUND(Q48,1)</f>
        <v>11.6</v>
      </c>
      <c r="R84" s="14">
        <f t="shared" si="24"/>
        <v>16.600000000000001</v>
      </c>
      <c r="S84" s="14">
        <f t="shared" si="24"/>
        <v>20.399999999999999</v>
      </c>
      <c r="T84" s="14">
        <f t="shared" si="24"/>
        <v>21.6</v>
      </c>
      <c r="U84" s="14">
        <f t="shared" si="24"/>
        <v>18.7</v>
      </c>
      <c r="V84" s="14">
        <f t="shared" si="24"/>
        <v>88.9</v>
      </c>
      <c r="W84" s="120">
        <f t="shared" si="6"/>
        <v>9329</v>
      </c>
    </row>
    <row r="85" spans="1:23" x14ac:dyDescent="0.2">
      <c r="B85" s="11" t="s">
        <v>8</v>
      </c>
      <c r="C85" s="14">
        <f t="shared" ref="C85:H85" si="25">ROUND(C49,1)</f>
        <v>5.3</v>
      </c>
      <c r="D85" s="14">
        <f t="shared" si="25"/>
        <v>12.4</v>
      </c>
      <c r="E85" s="14">
        <f t="shared" si="25"/>
        <v>20.9</v>
      </c>
      <c r="F85" s="14">
        <f t="shared" si="25"/>
        <v>26.7</v>
      </c>
      <c r="G85" s="14">
        <f t="shared" si="25"/>
        <v>22.3</v>
      </c>
      <c r="H85" s="14">
        <f t="shared" si="25"/>
        <v>87.6</v>
      </c>
      <c r="I85" s="120">
        <f t="shared" si="2"/>
        <v>9813</v>
      </c>
      <c r="J85" s="14">
        <f t="shared" ref="J85:O85" si="26">ROUND(J49,1)</f>
        <v>7.4</v>
      </c>
      <c r="K85" s="14">
        <f t="shared" si="26"/>
        <v>14.4</v>
      </c>
      <c r="L85" s="14">
        <f t="shared" si="26"/>
        <v>22.8</v>
      </c>
      <c r="M85" s="14">
        <f t="shared" si="26"/>
        <v>26.5</v>
      </c>
      <c r="N85" s="14">
        <f t="shared" si="26"/>
        <v>20.399999999999999</v>
      </c>
      <c r="O85" s="14">
        <f t="shared" si="26"/>
        <v>91.5</v>
      </c>
      <c r="P85" s="120">
        <f t="shared" si="4"/>
        <v>5224</v>
      </c>
      <c r="Q85" s="14">
        <f t="shared" ref="Q85:V85" si="27">ROUND(Q49,1)</f>
        <v>6</v>
      </c>
      <c r="R85" s="14">
        <f t="shared" si="27"/>
        <v>13.1</v>
      </c>
      <c r="S85" s="14">
        <f t="shared" si="27"/>
        <v>21.6</v>
      </c>
      <c r="T85" s="14">
        <f t="shared" si="27"/>
        <v>26.7</v>
      </c>
      <c r="U85" s="14">
        <f t="shared" si="27"/>
        <v>21.6</v>
      </c>
      <c r="V85" s="14">
        <f t="shared" si="27"/>
        <v>89</v>
      </c>
      <c r="W85" s="120">
        <f t="shared" si="6"/>
        <v>15037</v>
      </c>
    </row>
    <row r="86" spans="1:23" x14ac:dyDescent="0.2">
      <c r="B86" s="11" t="s">
        <v>9</v>
      </c>
      <c r="C86" s="86" t="s">
        <v>78</v>
      </c>
      <c r="D86" s="14">
        <f t="shared" ref="D86:H86" si="28">ROUND(D50,1)</f>
        <v>11.4</v>
      </c>
      <c r="E86" s="14">
        <f t="shared" si="28"/>
        <v>25.7</v>
      </c>
      <c r="F86" s="14">
        <f t="shared" si="28"/>
        <v>25.7</v>
      </c>
      <c r="G86" s="14">
        <f t="shared" si="28"/>
        <v>14.3</v>
      </c>
      <c r="H86" s="14">
        <f t="shared" si="28"/>
        <v>82.9</v>
      </c>
      <c r="I86" s="120">
        <f t="shared" si="2"/>
        <v>35</v>
      </c>
      <c r="J86" s="14">
        <f t="shared" ref="J86:O86" si="29">ROUND(J50,1)</f>
        <v>14.3</v>
      </c>
      <c r="K86" s="14">
        <f t="shared" si="29"/>
        <v>20.9</v>
      </c>
      <c r="L86" s="14">
        <f t="shared" si="29"/>
        <v>27.6</v>
      </c>
      <c r="M86" s="14">
        <f t="shared" si="29"/>
        <v>19.2</v>
      </c>
      <c r="N86" s="14">
        <f t="shared" si="29"/>
        <v>12.3</v>
      </c>
      <c r="O86" s="14">
        <f t="shared" si="29"/>
        <v>94.4</v>
      </c>
      <c r="P86" s="120">
        <f t="shared" si="4"/>
        <v>656</v>
      </c>
      <c r="Q86" s="14">
        <f t="shared" ref="Q86:V86" si="30">ROUND(Q50,1)</f>
        <v>13.9</v>
      </c>
      <c r="R86" s="14">
        <f t="shared" si="30"/>
        <v>20.399999999999999</v>
      </c>
      <c r="S86" s="14">
        <f t="shared" si="30"/>
        <v>27.5</v>
      </c>
      <c r="T86" s="14">
        <f t="shared" si="30"/>
        <v>19.5</v>
      </c>
      <c r="U86" s="14">
        <f t="shared" si="30"/>
        <v>12.4</v>
      </c>
      <c r="V86" s="14">
        <f t="shared" si="30"/>
        <v>93.8</v>
      </c>
      <c r="W86" s="120">
        <f t="shared" si="6"/>
        <v>691</v>
      </c>
    </row>
    <row r="87" spans="1:23" x14ac:dyDescent="0.2">
      <c r="B87" s="11" t="s">
        <v>10</v>
      </c>
      <c r="C87" s="14">
        <f t="shared" ref="C87:H87" si="31">ROUND(C51,1)</f>
        <v>11.1</v>
      </c>
      <c r="D87" s="14">
        <f t="shared" si="31"/>
        <v>15.5</v>
      </c>
      <c r="E87" s="14">
        <f t="shared" si="31"/>
        <v>17.600000000000001</v>
      </c>
      <c r="F87" s="14">
        <f t="shared" si="31"/>
        <v>21.4</v>
      </c>
      <c r="G87" s="14">
        <f t="shared" si="31"/>
        <v>18.7</v>
      </c>
      <c r="H87" s="14">
        <f t="shared" si="31"/>
        <v>84.3</v>
      </c>
      <c r="I87" s="120">
        <f t="shared" si="2"/>
        <v>1357</v>
      </c>
      <c r="J87" s="14">
        <f t="shared" ref="J87:O87" si="32">ROUND(J51,1)</f>
        <v>13.8</v>
      </c>
      <c r="K87" s="14">
        <f t="shared" si="32"/>
        <v>14.1</v>
      </c>
      <c r="L87" s="14">
        <f t="shared" si="32"/>
        <v>16.899999999999999</v>
      </c>
      <c r="M87" s="14">
        <f t="shared" si="32"/>
        <v>20.100000000000001</v>
      </c>
      <c r="N87" s="14">
        <f t="shared" si="32"/>
        <v>20</v>
      </c>
      <c r="O87" s="14">
        <f t="shared" si="32"/>
        <v>84.9</v>
      </c>
      <c r="P87" s="120">
        <f t="shared" si="4"/>
        <v>781</v>
      </c>
      <c r="Q87" s="14">
        <f t="shared" ref="Q87:V87" si="33">ROUND(Q51,1)</f>
        <v>12.1</v>
      </c>
      <c r="R87" s="14">
        <f t="shared" si="33"/>
        <v>15</v>
      </c>
      <c r="S87" s="14">
        <f t="shared" si="33"/>
        <v>17.399999999999999</v>
      </c>
      <c r="T87" s="14">
        <f t="shared" si="33"/>
        <v>20.9</v>
      </c>
      <c r="U87" s="14">
        <f t="shared" si="33"/>
        <v>19.2</v>
      </c>
      <c r="V87" s="14">
        <f t="shared" si="33"/>
        <v>84.5</v>
      </c>
      <c r="W87" s="120">
        <f t="shared" si="6"/>
        <v>2138</v>
      </c>
    </row>
    <row r="88" spans="1:23" x14ac:dyDescent="0.2">
      <c r="B88" s="11" t="s">
        <v>11</v>
      </c>
      <c r="C88" s="14">
        <f t="shared" ref="C88:H88" si="34">ROUND(C52,1)</f>
        <v>10.1</v>
      </c>
      <c r="D88" s="14">
        <f t="shared" si="34"/>
        <v>20.3</v>
      </c>
      <c r="E88" s="14">
        <f t="shared" si="34"/>
        <v>27.9</v>
      </c>
      <c r="F88" s="14">
        <f t="shared" si="34"/>
        <v>23.6</v>
      </c>
      <c r="G88" s="14">
        <f t="shared" si="34"/>
        <v>13.6</v>
      </c>
      <c r="H88" s="14">
        <f t="shared" si="34"/>
        <v>95.5</v>
      </c>
      <c r="I88" s="120">
        <f t="shared" si="2"/>
        <v>18679</v>
      </c>
      <c r="J88" s="14">
        <f t="shared" ref="J88:O88" si="35">ROUND(J52,1)</f>
        <v>12.9</v>
      </c>
      <c r="K88" s="14">
        <f t="shared" si="35"/>
        <v>22.8</v>
      </c>
      <c r="L88" s="14">
        <f t="shared" si="35"/>
        <v>27.6</v>
      </c>
      <c r="M88" s="14">
        <f t="shared" si="35"/>
        <v>21.1</v>
      </c>
      <c r="N88" s="14">
        <f t="shared" si="35"/>
        <v>11.6</v>
      </c>
      <c r="O88" s="14">
        <f t="shared" si="35"/>
        <v>96</v>
      </c>
      <c r="P88" s="120">
        <f t="shared" si="4"/>
        <v>13414</v>
      </c>
      <c r="Q88" s="14">
        <f t="shared" ref="Q88:V88" si="36">ROUND(Q52,1)</f>
        <v>11.3</v>
      </c>
      <c r="R88" s="14">
        <f t="shared" si="36"/>
        <v>21.3</v>
      </c>
      <c r="S88" s="14">
        <f t="shared" si="36"/>
        <v>27.8</v>
      </c>
      <c r="T88" s="14">
        <f t="shared" si="36"/>
        <v>22.5</v>
      </c>
      <c r="U88" s="14">
        <f t="shared" si="36"/>
        <v>12.8</v>
      </c>
      <c r="V88" s="14">
        <f t="shared" si="36"/>
        <v>95.7</v>
      </c>
      <c r="W88" s="120">
        <f t="shared" si="6"/>
        <v>32093</v>
      </c>
    </row>
    <row r="89" spans="1:23" x14ac:dyDescent="0.2">
      <c r="B89" s="11" t="s">
        <v>12</v>
      </c>
      <c r="C89" s="14">
        <f t="shared" ref="C89:H89" si="37">ROUND(C53,1)</f>
        <v>26.3</v>
      </c>
      <c r="D89" s="14">
        <f t="shared" si="37"/>
        <v>24.7</v>
      </c>
      <c r="E89" s="14">
        <f t="shared" si="37"/>
        <v>21.7</v>
      </c>
      <c r="F89" s="14">
        <f t="shared" si="37"/>
        <v>15.5</v>
      </c>
      <c r="G89" s="14">
        <f t="shared" si="37"/>
        <v>8.1</v>
      </c>
      <c r="H89" s="14">
        <f t="shared" si="37"/>
        <v>96.3</v>
      </c>
      <c r="I89" s="120">
        <f t="shared" si="2"/>
        <v>9346</v>
      </c>
      <c r="J89" s="14">
        <f t="shared" ref="J89:O89" si="38">ROUND(J53,1)</f>
        <v>32.1</v>
      </c>
      <c r="K89" s="14">
        <f t="shared" si="38"/>
        <v>24.3</v>
      </c>
      <c r="L89" s="14">
        <f t="shared" si="38"/>
        <v>19.399999999999999</v>
      </c>
      <c r="M89" s="14">
        <f t="shared" si="38"/>
        <v>12.8</v>
      </c>
      <c r="N89" s="14">
        <f t="shared" si="38"/>
        <v>8.1</v>
      </c>
      <c r="O89" s="14">
        <f t="shared" si="38"/>
        <v>96.7</v>
      </c>
      <c r="P89" s="120">
        <f t="shared" si="4"/>
        <v>4023</v>
      </c>
      <c r="Q89" s="14">
        <f t="shared" ref="Q89:V89" si="39">ROUND(Q53,1)</f>
        <v>28.1</v>
      </c>
      <c r="R89" s="14">
        <f t="shared" si="39"/>
        <v>24.6</v>
      </c>
      <c r="S89" s="14">
        <f t="shared" si="39"/>
        <v>21</v>
      </c>
      <c r="T89" s="14">
        <f t="shared" si="39"/>
        <v>14.7</v>
      </c>
      <c r="U89" s="14">
        <f t="shared" si="39"/>
        <v>8.1</v>
      </c>
      <c r="V89" s="14">
        <f t="shared" si="39"/>
        <v>96.4</v>
      </c>
      <c r="W89" s="120">
        <f t="shared" si="6"/>
        <v>13369</v>
      </c>
    </row>
    <row r="90" spans="1:23" x14ac:dyDescent="0.2">
      <c r="B90" s="11" t="s">
        <v>13</v>
      </c>
      <c r="C90" s="14">
        <f t="shared" ref="C90:H90" si="40">ROUND(C54,1)</f>
        <v>16.3</v>
      </c>
      <c r="D90" s="14">
        <f t="shared" si="40"/>
        <v>23.5</v>
      </c>
      <c r="E90" s="14">
        <f t="shared" si="40"/>
        <v>25.5</v>
      </c>
      <c r="F90" s="14">
        <f t="shared" si="40"/>
        <v>20.7</v>
      </c>
      <c r="G90" s="14">
        <f t="shared" si="40"/>
        <v>10.9</v>
      </c>
      <c r="H90" s="14">
        <f t="shared" si="40"/>
        <v>96.8</v>
      </c>
      <c r="I90" s="120">
        <f t="shared" si="2"/>
        <v>17001</v>
      </c>
      <c r="J90" s="14">
        <f t="shared" ref="J90:O90" si="41">ROUND(J54,1)</f>
        <v>25</v>
      </c>
      <c r="K90" s="14">
        <f t="shared" si="41"/>
        <v>26.7</v>
      </c>
      <c r="L90" s="14">
        <f t="shared" si="41"/>
        <v>24.1</v>
      </c>
      <c r="M90" s="14">
        <f t="shared" si="41"/>
        <v>15.3</v>
      </c>
      <c r="N90" s="14">
        <f t="shared" si="41"/>
        <v>7.1</v>
      </c>
      <c r="O90" s="14">
        <f t="shared" si="41"/>
        <v>98.2</v>
      </c>
      <c r="P90" s="120">
        <f t="shared" si="4"/>
        <v>14066</v>
      </c>
      <c r="Q90" s="14">
        <f t="shared" ref="Q90:V90" si="42">ROUND(Q54,1)</f>
        <v>20.2</v>
      </c>
      <c r="R90" s="14">
        <f t="shared" si="42"/>
        <v>25</v>
      </c>
      <c r="S90" s="14">
        <f t="shared" si="42"/>
        <v>24.9</v>
      </c>
      <c r="T90" s="14">
        <f t="shared" si="42"/>
        <v>18.3</v>
      </c>
      <c r="U90" s="14">
        <f t="shared" si="42"/>
        <v>9.1</v>
      </c>
      <c r="V90" s="14">
        <f t="shared" si="42"/>
        <v>97.5</v>
      </c>
      <c r="W90" s="120">
        <f t="shared" si="6"/>
        <v>31067</v>
      </c>
    </row>
    <row r="91" spans="1:23" x14ac:dyDescent="0.2">
      <c r="B91" s="11" t="s">
        <v>14</v>
      </c>
      <c r="C91" s="14">
        <f t="shared" ref="C91:H91" si="43">ROUND(C55,1)</f>
        <v>25.2</v>
      </c>
      <c r="D91" s="14">
        <f t="shared" si="43"/>
        <v>26.1</v>
      </c>
      <c r="E91" s="14">
        <f t="shared" si="43"/>
        <v>21.9</v>
      </c>
      <c r="F91" s="14">
        <f t="shared" si="43"/>
        <v>16.100000000000001</v>
      </c>
      <c r="G91" s="14">
        <f t="shared" si="43"/>
        <v>7.7</v>
      </c>
      <c r="H91" s="14">
        <f t="shared" si="43"/>
        <v>97</v>
      </c>
      <c r="I91" s="120">
        <f t="shared" si="2"/>
        <v>4195</v>
      </c>
      <c r="J91" s="14">
        <f t="shared" ref="J91:O91" si="44">ROUND(J55,1)</f>
        <v>28.7</v>
      </c>
      <c r="K91" s="14">
        <f t="shared" si="44"/>
        <v>26.9</v>
      </c>
      <c r="L91" s="14">
        <f t="shared" si="44"/>
        <v>20.8</v>
      </c>
      <c r="M91" s="14">
        <f t="shared" si="44"/>
        <v>13</v>
      </c>
      <c r="N91" s="14">
        <f t="shared" si="44"/>
        <v>7.6</v>
      </c>
      <c r="O91" s="14">
        <f t="shared" si="44"/>
        <v>97.1</v>
      </c>
      <c r="P91" s="120">
        <f t="shared" si="4"/>
        <v>3033</v>
      </c>
      <c r="Q91" s="14">
        <f t="shared" ref="Q91:V91" si="45">ROUND(Q55,1)</f>
        <v>26.7</v>
      </c>
      <c r="R91" s="14">
        <f t="shared" si="45"/>
        <v>26.4</v>
      </c>
      <c r="S91" s="14">
        <f t="shared" si="45"/>
        <v>21.5</v>
      </c>
      <c r="T91" s="14">
        <f t="shared" si="45"/>
        <v>14.8</v>
      </c>
      <c r="U91" s="14">
        <f t="shared" si="45"/>
        <v>7.7</v>
      </c>
      <c r="V91" s="14">
        <f t="shared" si="45"/>
        <v>97</v>
      </c>
      <c r="W91" s="120">
        <f t="shared" si="6"/>
        <v>7228</v>
      </c>
    </row>
    <row r="92" spans="1:23" x14ac:dyDescent="0.2">
      <c r="B92" s="11" t="s">
        <v>15</v>
      </c>
      <c r="C92" s="14">
        <f t="shared" ref="C92:H92" si="46">ROUND(C56,1)</f>
        <v>19.3</v>
      </c>
      <c r="D92" s="14">
        <f t="shared" si="46"/>
        <v>24.8</v>
      </c>
      <c r="E92" s="14">
        <f t="shared" si="46"/>
        <v>25</v>
      </c>
      <c r="F92" s="14">
        <f t="shared" si="46"/>
        <v>18.3</v>
      </c>
      <c r="G92" s="14">
        <f t="shared" si="46"/>
        <v>9.6999999999999993</v>
      </c>
      <c r="H92" s="14">
        <f t="shared" si="46"/>
        <v>97.1</v>
      </c>
      <c r="I92" s="120">
        <f t="shared" si="2"/>
        <v>17181</v>
      </c>
      <c r="J92" s="14">
        <f t="shared" ref="J92:O92" si="47">ROUND(J56,1)</f>
        <v>21.7</v>
      </c>
      <c r="K92" s="14">
        <f t="shared" si="47"/>
        <v>25.9</v>
      </c>
      <c r="L92" s="14">
        <f t="shared" si="47"/>
        <v>24.1</v>
      </c>
      <c r="M92" s="14">
        <f t="shared" si="47"/>
        <v>17</v>
      </c>
      <c r="N92" s="14">
        <f t="shared" si="47"/>
        <v>8.8000000000000007</v>
      </c>
      <c r="O92" s="14">
        <f t="shared" si="47"/>
        <v>97.5</v>
      </c>
      <c r="P92" s="120">
        <f t="shared" si="4"/>
        <v>18332</v>
      </c>
      <c r="Q92" s="14">
        <f t="shared" ref="Q92:V92" si="48">ROUND(Q56,1)</f>
        <v>20.5</v>
      </c>
      <c r="R92" s="14">
        <f t="shared" si="48"/>
        <v>25.4</v>
      </c>
      <c r="S92" s="14">
        <f t="shared" si="48"/>
        <v>24.5</v>
      </c>
      <c r="T92" s="14">
        <f t="shared" si="48"/>
        <v>17.600000000000001</v>
      </c>
      <c r="U92" s="14">
        <f t="shared" si="48"/>
        <v>9.1999999999999993</v>
      </c>
      <c r="V92" s="14">
        <f t="shared" si="48"/>
        <v>97.3</v>
      </c>
      <c r="W92" s="120">
        <f t="shared" si="6"/>
        <v>35513</v>
      </c>
    </row>
    <row r="93" spans="1:23" x14ac:dyDescent="0.2">
      <c r="B93" s="11" t="s">
        <v>16</v>
      </c>
      <c r="C93" s="14">
        <f t="shared" ref="C93:H93" si="49">ROUND(C57,1)</f>
        <v>11.9</v>
      </c>
      <c r="D93" s="14">
        <f t="shared" si="49"/>
        <v>18.2</v>
      </c>
      <c r="E93" s="14">
        <f t="shared" si="49"/>
        <v>20</v>
      </c>
      <c r="F93" s="14">
        <f t="shared" si="49"/>
        <v>20.9</v>
      </c>
      <c r="G93" s="14">
        <f t="shared" si="49"/>
        <v>17.399999999999999</v>
      </c>
      <c r="H93" s="14">
        <f t="shared" si="49"/>
        <v>88.4</v>
      </c>
      <c r="I93" s="120">
        <f t="shared" si="2"/>
        <v>3392</v>
      </c>
      <c r="J93" s="14">
        <f t="shared" ref="J93:O93" si="50">ROUND(J57,1)</f>
        <v>16.2</v>
      </c>
      <c r="K93" s="14">
        <f t="shared" si="50"/>
        <v>19.8</v>
      </c>
      <c r="L93" s="14">
        <f t="shared" si="50"/>
        <v>21.8</v>
      </c>
      <c r="M93" s="14">
        <f t="shared" si="50"/>
        <v>19.7</v>
      </c>
      <c r="N93" s="14">
        <f t="shared" si="50"/>
        <v>14.1</v>
      </c>
      <c r="O93" s="14">
        <f t="shared" si="50"/>
        <v>91.5</v>
      </c>
      <c r="P93" s="120">
        <f t="shared" si="4"/>
        <v>5114</v>
      </c>
      <c r="Q93" s="14">
        <f t="shared" ref="Q93:V93" si="51">ROUND(Q57,1)</f>
        <v>14.5</v>
      </c>
      <c r="R93" s="14">
        <f t="shared" si="51"/>
        <v>19.2</v>
      </c>
      <c r="S93" s="14">
        <f t="shared" si="51"/>
        <v>21.1</v>
      </c>
      <c r="T93" s="14">
        <f t="shared" si="51"/>
        <v>20.2</v>
      </c>
      <c r="U93" s="14">
        <f t="shared" si="51"/>
        <v>15.4</v>
      </c>
      <c r="V93" s="14">
        <f t="shared" si="51"/>
        <v>90.2</v>
      </c>
      <c r="W93" s="120">
        <f t="shared" si="6"/>
        <v>8506</v>
      </c>
    </row>
    <row r="94" spans="1:23" x14ac:dyDescent="0.2">
      <c r="B94" s="11" t="s">
        <v>17</v>
      </c>
      <c r="C94" s="14">
        <f t="shared" ref="C94:H94" si="52">ROUND(C58,1)</f>
        <v>9.1</v>
      </c>
      <c r="D94" s="14">
        <f t="shared" si="52"/>
        <v>16.5</v>
      </c>
      <c r="E94" s="14">
        <f t="shared" si="52"/>
        <v>22.2</v>
      </c>
      <c r="F94" s="14">
        <f t="shared" si="52"/>
        <v>23.9</v>
      </c>
      <c r="G94" s="14">
        <f t="shared" si="52"/>
        <v>18.2</v>
      </c>
      <c r="H94" s="14">
        <f t="shared" si="52"/>
        <v>90</v>
      </c>
      <c r="I94" s="120">
        <f t="shared" si="2"/>
        <v>7336</v>
      </c>
      <c r="J94" s="14">
        <f t="shared" ref="J94:O94" si="53">ROUND(J58,1)</f>
        <v>17.899999999999999</v>
      </c>
      <c r="K94" s="14">
        <f t="shared" si="53"/>
        <v>22.1</v>
      </c>
      <c r="L94" s="14">
        <f t="shared" si="53"/>
        <v>23.1</v>
      </c>
      <c r="M94" s="14">
        <f t="shared" si="53"/>
        <v>19.3</v>
      </c>
      <c r="N94" s="14">
        <f t="shared" si="53"/>
        <v>12.3</v>
      </c>
      <c r="O94" s="14">
        <f t="shared" si="53"/>
        <v>94.6</v>
      </c>
      <c r="P94" s="120">
        <f t="shared" si="4"/>
        <v>24672</v>
      </c>
      <c r="Q94" s="14">
        <f t="shared" ref="Q94:V94" si="54">ROUND(Q58,1)</f>
        <v>15.9</v>
      </c>
      <c r="R94" s="14">
        <f t="shared" si="54"/>
        <v>20.8</v>
      </c>
      <c r="S94" s="14">
        <f t="shared" si="54"/>
        <v>22.9</v>
      </c>
      <c r="T94" s="14">
        <f t="shared" si="54"/>
        <v>20.399999999999999</v>
      </c>
      <c r="U94" s="14">
        <f t="shared" si="54"/>
        <v>13.7</v>
      </c>
      <c r="V94" s="14">
        <f t="shared" si="54"/>
        <v>93.6</v>
      </c>
      <c r="W94" s="120">
        <f t="shared" si="6"/>
        <v>32008</v>
      </c>
    </row>
    <row r="95" spans="1:23" x14ac:dyDescent="0.2">
      <c r="B95" s="11" t="s">
        <v>18</v>
      </c>
      <c r="C95" s="14">
        <f t="shared" ref="C95:H95" si="55">ROUND(C59,1)</f>
        <v>12.3</v>
      </c>
      <c r="D95" s="14">
        <f t="shared" si="55"/>
        <v>19.7</v>
      </c>
      <c r="E95" s="14">
        <f t="shared" si="55"/>
        <v>25</v>
      </c>
      <c r="F95" s="14">
        <f t="shared" si="55"/>
        <v>22.1</v>
      </c>
      <c r="G95" s="14">
        <f t="shared" si="55"/>
        <v>14</v>
      </c>
      <c r="H95" s="14">
        <f t="shared" si="55"/>
        <v>93.1</v>
      </c>
      <c r="I95" s="120">
        <f t="shared" si="2"/>
        <v>4628</v>
      </c>
      <c r="J95" s="14">
        <f t="shared" ref="J95:O95" si="56">ROUND(J59,1)</f>
        <v>16.600000000000001</v>
      </c>
      <c r="K95" s="14">
        <f t="shared" si="56"/>
        <v>23.3</v>
      </c>
      <c r="L95" s="14">
        <f t="shared" si="56"/>
        <v>25.5</v>
      </c>
      <c r="M95" s="14">
        <f t="shared" si="56"/>
        <v>18.899999999999999</v>
      </c>
      <c r="N95" s="14">
        <f t="shared" si="56"/>
        <v>10.9</v>
      </c>
      <c r="O95" s="14">
        <f t="shared" si="56"/>
        <v>95.2</v>
      </c>
      <c r="P95" s="120">
        <f t="shared" si="4"/>
        <v>15457</v>
      </c>
      <c r="Q95" s="14">
        <f t="shared" ref="Q95:V95" si="57">ROUND(Q59,1)</f>
        <v>15.6</v>
      </c>
      <c r="R95" s="14">
        <f t="shared" si="57"/>
        <v>22.5</v>
      </c>
      <c r="S95" s="14">
        <f t="shared" si="57"/>
        <v>25.4</v>
      </c>
      <c r="T95" s="14">
        <f t="shared" si="57"/>
        <v>19.600000000000001</v>
      </c>
      <c r="U95" s="14">
        <f t="shared" si="57"/>
        <v>11.6</v>
      </c>
      <c r="V95" s="14">
        <f t="shared" si="57"/>
        <v>94.7</v>
      </c>
      <c r="W95" s="120">
        <f t="shared" si="6"/>
        <v>20085</v>
      </c>
    </row>
    <row r="96" spans="1:23" x14ac:dyDescent="0.2">
      <c r="B96" s="11" t="s">
        <v>19</v>
      </c>
      <c r="C96" s="14">
        <f t="shared" ref="C96:H96" si="58">ROUND(C60,1)</f>
        <v>14.8</v>
      </c>
      <c r="D96" s="14">
        <f t="shared" si="58"/>
        <v>24.7</v>
      </c>
      <c r="E96" s="14">
        <f t="shared" si="58"/>
        <v>23.2</v>
      </c>
      <c r="F96" s="14">
        <f t="shared" si="58"/>
        <v>18.3</v>
      </c>
      <c r="G96" s="14">
        <f t="shared" si="58"/>
        <v>12.6</v>
      </c>
      <c r="H96" s="14">
        <f t="shared" si="58"/>
        <v>93.6</v>
      </c>
      <c r="I96" s="120">
        <f t="shared" si="2"/>
        <v>770</v>
      </c>
      <c r="J96" s="14">
        <f t="shared" ref="J96:O96" si="59">ROUND(J60,1)</f>
        <v>18.600000000000001</v>
      </c>
      <c r="K96" s="14">
        <f t="shared" si="59"/>
        <v>24.8</v>
      </c>
      <c r="L96" s="14">
        <f t="shared" si="59"/>
        <v>21.6</v>
      </c>
      <c r="M96" s="14">
        <f t="shared" si="59"/>
        <v>19.100000000000001</v>
      </c>
      <c r="N96" s="14">
        <f t="shared" si="59"/>
        <v>10.1</v>
      </c>
      <c r="O96" s="14">
        <f t="shared" si="59"/>
        <v>94.2</v>
      </c>
      <c r="P96" s="120">
        <f t="shared" si="4"/>
        <v>843</v>
      </c>
      <c r="Q96" s="14">
        <f t="shared" ref="Q96:V96" si="60">ROUND(Q60,1)</f>
        <v>16.8</v>
      </c>
      <c r="R96" s="14">
        <f t="shared" si="60"/>
        <v>24.7</v>
      </c>
      <c r="S96" s="14">
        <f t="shared" si="60"/>
        <v>22.4</v>
      </c>
      <c r="T96" s="14">
        <f t="shared" si="60"/>
        <v>18.7</v>
      </c>
      <c r="U96" s="14">
        <f t="shared" si="60"/>
        <v>11.3</v>
      </c>
      <c r="V96" s="14">
        <f t="shared" si="60"/>
        <v>93.9</v>
      </c>
      <c r="W96" s="120">
        <f t="shared" si="6"/>
        <v>1613</v>
      </c>
    </row>
    <row r="97" spans="2:23" x14ac:dyDescent="0.2">
      <c r="B97" s="11" t="s">
        <v>20</v>
      </c>
      <c r="C97" s="14">
        <f t="shared" ref="C97:H97" si="61">ROUND(C61,1)</f>
        <v>22.4</v>
      </c>
      <c r="D97" s="14">
        <f t="shared" si="61"/>
        <v>19.899999999999999</v>
      </c>
      <c r="E97" s="14">
        <f t="shared" si="61"/>
        <v>21.6</v>
      </c>
      <c r="F97" s="14">
        <f t="shared" si="61"/>
        <v>18.8</v>
      </c>
      <c r="G97" s="14">
        <f t="shared" si="61"/>
        <v>11.1</v>
      </c>
      <c r="H97" s="14">
        <f t="shared" si="61"/>
        <v>93.8</v>
      </c>
      <c r="I97" s="120">
        <f t="shared" si="2"/>
        <v>9996</v>
      </c>
      <c r="J97" s="14">
        <f t="shared" ref="J97:O97" si="62">ROUND(J61,1)</f>
        <v>29.3</v>
      </c>
      <c r="K97" s="14">
        <f t="shared" si="62"/>
        <v>24.2</v>
      </c>
      <c r="L97" s="14">
        <f t="shared" si="62"/>
        <v>21.6</v>
      </c>
      <c r="M97" s="14">
        <f t="shared" si="62"/>
        <v>14.8</v>
      </c>
      <c r="N97" s="14">
        <f t="shared" si="62"/>
        <v>6.9</v>
      </c>
      <c r="O97" s="14">
        <f t="shared" si="62"/>
        <v>96.8</v>
      </c>
      <c r="P97" s="120">
        <f t="shared" si="4"/>
        <v>21691</v>
      </c>
      <c r="Q97" s="14">
        <f t="shared" ref="Q97:V97" si="63">ROUND(Q61,1)</f>
        <v>27.1</v>
      </c>
      <c r="R97" s="14">
        <f t="shared" si="63"/>
        <v>22.9</v>
      </c>
      <c r="S97" s="14">
        <f t="shared" si="63"/>
        <v>21.6</v>
      </c>
      <c r="T97" s="14">
        <f t="shared" si="63"/>
        <v>16.100000000000001</v>
      </c>
      <c r="U97" s="14">
        <f t="shared" si="63"/>
        <v>8.1999999999999993</v>
      </c>
      <c r="V97" s="14">
        <f t="shared" si="63"/>
        <v>95.9</v>
      </c>
      <c r="W97" s="120">
        <f t="shared" si="6"/>
        <v>31687</v>
      </c>
    </row>
    <row r="98" spans="2:23" x14ac:dyDescent="0.2">
      <c r="B98" s="11" t="s">
        <v>21</v>
      </c>
      <c r="C98" s="14">
        <f t="shared" ref="C98:H98" si="64">ROUND(C62,1)</f>
        <v>12.1</v>
      </c>
      <c r="D98" s="14">
        <f t="shared" si="64"/>
        <v>23.3</v>
      </c>
      <c r="E98" s="14">
        <f t="shared" si="64"/>
        <v>30.8</v>
      </c>
      <c r="F98" s="14">
        <f t="shared" si="64"/>
        <v>20.3</v>
      </c>
      <c r="G98" s="14">
        <f t="shared" si="64"/>
        <v>9.6</v>
      </c>
      <c r="H98" s="14">
        <f t="shared" si="64"/>
        <v>96</v>
      </c>
      <c r="I98" s="120">
        <f t="shared" si="2"/>
        <v>3481</v>
      </c>
      <c r="J98" s="14">
        <f t="shared" ref="J98:O98" si="65">ROUND(J62,1)</f>
        <v>17.3</v>
      </c>
      <c r="K98" s="14">
        <f t="shared" si="65"/>
        <v>28.7</v>
      </c>
      <c r="L98" s="14">
        <f t="shared" si="65"/>
        <v>28.5</v>
      </c>
      <c r="M98" s="14">
        <f t="shared" si="65"/>
        <v>17</v>
      </c>
      <c r="N98" s="14">
        <f t="shared" si="65"/>
        <v>6.8</v>
      </c>
      <c r="O98" s="14">
        <f t="shared" si="65"/>
        <v>98.3</v>
      </c>
      <c r="P98" s="120">
        <f t="shared" si="4"/>
        <v>9075</v>
      </c>
      <c r="Q98" s="14">
        <f t="shared" ref="Q98:V98" si="66">ROUND(Q62,1)</f>
        <v>15.8</v>
      </c>
      <c r="R98" s="14">
        <f t="shared" si="66"/>
        <v>27.2</v>
      </c>
      <c r="S98" s="14">
        <f t="shared" si="66"/>
        <v>29.2</v>
      </c>
      <c r="T98" s="14">
        <f t="shared" si="66"/>
        <v>17.899999999999999</v>
      </c>
      <c r="U98" s="14">
        <f t="shared" si="66"/>
        <v>7.6</v>
      </c>
      <c r="V98" s="14">
        <f t="shared" si="66"/>
        <v>97.7</v>
      </c>
      <c r="W98" s="120">
        <f t="shared" si="6"/>
        <v>12556</v>
      </c>
    </row>
    <row r="99" spans="2:23" x14ac:dyDescent="0.2">
      <c r="B99" s="11" t="s">
        <v>22</v>
      </c>
      <c r="C99" s="14">
        <f t="shared" ref="C99:H99" si="67">ROUND(C63,1)</f>
        <v>18.2</v>
      </c>
      <c r="D99" s="14">
        <f t="shared" si="67"/>
        <v>23</v>
      </c>
      <c r="E99" s="14">
        <f t="shared" si="67"/>
        <v>26.5</v>
      </c>
      <c r="F99" s="14">
        <f t="shared" si="67"/>
        <v>21</v>
      </c>
      <c r="G99" s="14">
        <f t="shared" si="67"/>
        <v>9</v>
      </c>
      <c r="H99" s="14">
        <f t="shared" si="67"/>
        <v>97.7</v>
      </c>
      <c r="I99" s="120">
        <f t="shared" si="2"/>
        <v>22223</v>
      </c>
      <c r="J99" s="14">
        <f t="shared" ref="J99:O99" si="68">ROUND(J63,1)</f>
        <v>18.600000000000001</v>
      </c>
      <c r="K99" s="14">
        <f t="shared" si="68"/>
        <v>24.5</v>
      </c>
      <c r="L99" s="14">
        <f t="shared" si="68"/>
        <v>27.4</v>
      </c>
      <c r="M99" s="14">
        <f t="shared" si="68"/>
        <v>20.2</v>
      </c>
      <c r="N99" s="14">
        <f t="shared" si="68"/>
        <v>7.8</v>
      </c>
      <c r="O99" s="14">
        <f t="shared" si="68"/>
        <v>98.4</v>
      </c>
      <c r="P99" s="120">
        <f t="shared" si="4"/>
        <v>50272</v>
      </c>
      <c r="Q99" s="14">
        <f t="shared" ref="Q99:V99" si="69">ROUND(Q63,1)</f>
        <v>18.399999999999999</v>
      </c>
      <c r="R99" s="14">
        <f t="shared" si="69"/>
        <v>24</v>
      </c>
      <c r="S99" s="14">
        <f t="shared" si="69"/>
        <v>27.1</v>
      </c>
      <c r="T99" s="14">
        <f t="shared" si="69"/>
        <v>20.5</v>
      </c>
      <c r="U99" s="14">
        <f t="shared" si="69"/>
        <v>8.1999999999999993</v>
      </c>
      <c r="V99" s="14">
        <f t="shared" si="69"/>
        <v>98.2</v>
      </c>
      <c r="W99" s="120">
        <f t="shared" si="6"/>
        <v>72495</v>
      </c>
    </row>
    <row r="100" spans="2:23" x14ac:dyDescent="0.2">
      <c r="B100" s="11" t="s">
        <v>51</v>
      </c>
      <c r="C100" s="14">
        <f t="shared" ref="C100:H100" si="70">ROUND(C64,1)</f>
        <v>8.4</v>
      </c>
      <c r="D100" s="14">
        <f t="shared" si="70"/>
        <v>20.9</v>
      </c>
      <c r="E100" s="14">
        <f t="shared" si="70"/>
        <v>33</v>
      </c>
      <c r="F100" s="14">
        <f t="shared" si="70"/>
        <v>24.9</v>
      </c>
      <c r="G100" s="14">
        <f t="shared" si="70"/>
        <v>10</v>
      </c>
      <c r="H100" s="14">
        <f t="shared" si="70"/>
        <v>97.3</v>
      </c>
      <c r="I100" s="120">
        <f t="shared" si="2"/>
        <v>7033</v>
      </c>
      <c r="J100" s="14">
        <f t="shared" ref="J100:O100" si="71">ROUND(J64,1)</f>
        <v>13</v>
      </c>
      <c r="K100" s="14">
        <f t="shared" si="71"/>
        <v>26</v>
      </c>
      <c r="L100" s="14">
        <f t="shared" si="71"/>
        <v>31.8</v>
      </c>
      <c r="M100" s="14">
        <f t="shared" si="71"/>
        <v>21.1</v>
      </c>
      <c r="N100" s="14">
        <f t="shared" si="71"/>
        <v>6.5</v>
      </c>
      <c r="O100" s="14">
        <f t="shared" si="71"/>
        <v>98.4</v>
      </c>
      <c r="P100" s="120">
        <f t="shared" si="4"/>
        <v>9715</v>
      </c>
      <c r="Q100" s="14">
        <f t="shared" ref="Q100:V100" si="72">ROUND(Q64,1)</f>
        <v>11.1</v>
      </c>
      <c r="R100" s="14">
        <f t="shared" si="72"/>
        <v>23.9</v>
      </c>
      <c r="S100" s="14">
        <f t="shared" si="72"/>
        <v>32.299999999999997</v>
      </c>
      <c r="T100" s="14">
        <f t="shared" si="72"/>
        <v>22.7</v>
      </c>
      <c r="U100" s="14">
        <f t="shared" si="72"/>
        <v>8</v>
      </c>
      <c r="V100" s="14">
        <f t="shared" si="72"/>
        <v>98</v>
      </c>
      <c r="W100" s="120">
        <f t="shared" si="6"/>
        <v>16748</v>
      </c>
    </row>
    <row r="101" spans="2:23" x14ac:dyDescent="0.2">
      <c r="B101" s="11" t="s">
        <v>23</v>
      </c>
      <c r="C101" s="14">
        <f t="shared" ref="C101:H101" si="73">ROUND(C65,1)</f>
        <v>10.9</v>
      </c>
      <c r="D101" s="14">
        <f t="shared" si="73"/>
        <v>22.9</v>
      </c>
      <c r="E101" s="14">
        <f t="shared" si="73"/>
        <v>32.6</v>
      </c>
      <c r="F101" s="14">
        <f t="shared" si="73"/>
        <v>20.2</v>
      </c>
      <c r="G101" s="14">
        <f t="shared" si="73"/>
        <v>9.6999999999999993</v>
      </c>
      <c r="H101" s="14">
        <f t="shared" si="73"/>
        <v>96.4</v>
      </c>
      <c r="I101" s="120">
        <f t="shared" si="2"/>
        <v>2257</v>
      </c>
      <c r="J101" s="14">
        <f t="shared" ref="J101:O101" si="74">ROUND(J65,1)</f>
        <v>13.3</v>
      </c>
      <c r="K101" s="14">
        <f t="shared" si="74"/>
        <v>28.7</v>
      </c>
      <c r="L101" s="14">
        <f t="shared" si="74"/>
        <v>32.4</v>
      </c>
      <c r="M101" s="14">
        <f t="shared" si="74"/>
        <v>18.3</v>
      </c>
      <c r="N101" s="14">
        <f t="shared" si="74"/>
        <v>5.5</v>
      </c>
      <c r="O101" s="14">
        <f t="shared" si="74"/>
        <v>98.1</v>
      </c>
      <c r="P101" s="120">
        <f t="shared" si="4"/>
        <v>4692</v>
      </c>
      <c r="Q101" s="14">
        <f t="shared" ref="Q101:V101" si="75">ROUND(Q65,1)</f>
        <v>12.5</v>
      </c>
      <c r="R101" s="14">
        <f t="shared" si="75"/>
        <v>26.8</v>
      </c>
      <c r="S101" s="14">
        <f t="shared" si="75"/>
        <v>32.5</v>
      </c>
      <c r="T101" s="14">
        <f t="shared" si="75"/>
        <v>18.899999999999999</v>
      </c>
      <c r="U101" s="14">
        <f t="shared" si="75"/>
        <v>6.8</v>
      </c>
      <c r="V101" s="14">
        <f t="shared" si="75"/>
        <v>97.5</v>
      </c>
      <c r="W101" s="120">
        <f t="shared" si="6"/>
        <v>6949</v>
      </c>
    </row>
    <row r="102" spans="2:23" x14ac:dyDescent="0.2">
      <c r="B102" s="11" t="s">
        <v>24</v>
      </c>
      <c r="C102" s="14">
        <f t="shared" ref="C102:H102" si="76">ROUND(C66,1)</f>
        <v>30.9</v>
      </c>
      <c r="D102" s="14">
        <f t="shared" si="76"/>
        <v>25.1</v>
      </c>
      <c r="E102" s="14">
        <f t="shared" si="76"/>
        <v>20.2</v>
      </c>
      <c r="F102" s="14">
        <f t="shared" si="76"/>
        <v>13.5</v>
      </c>
      <c r="G102" s="14">
        <f t="shared" si="76"/>
        <v>7.4</v>
      </c>
      <c r="H102" s="14">
        <f t="shared" si="76"/>
        <v>97.1</v>
      </c>
      <c r="I102" s="120">
        <f t="shared" si="2"/>
        <v>4296</v>
      </c>
      <c r="J102" s="14">
        <f t="shared" ref="J102:O102" si="77">ROUND(J66,1)</f>
        <v>28.7</v>
      </c>
      <c r="K102" s="14">
        <f t="shared" si="77"/>
        <v>24.6</v>
      </c>
      <c r="L102" s="14">
        <f t="shared" si="77"/>
        <v>21.3</v>
      </c>
      <c r="M102" s="14">
        <f t="shared" si="77"/>
        <v>14.5</v>
      </c>
      <c r="N102" s="14">
        <f t="shared" si="77"/>
        <v>8.1</v>
      </c>
      <c r="O102" s="14">
        <f t="shared" si="77"/>
        <v>97.2</v>
      </c>
      <c r="P102" s="120">
        <f t="shared" si="4"/>
        <v>9303</v>
      </c>
      <c r="Q102" s="14">
        <f t="shared" ref="Q102:V102" si="78">ROUND(Q66,1)</f>
        <v>29.4</v>
      </c>
      <c r="R102" s="14">
        <f t="shared" si="78"/>
        <v>24.8</v>
      </c>
      <c r="S102" s="14">
        <f t="shared" si="78"/>
        <v>21</v>
      </c>
      <c r="T102" s="14">
        <f t="shared" si="78"/>
        <v>14.2</v>
      </c>
      <c r="U102" s="14">
        <f t="shared" si="78"/>
        <v>7.8</v>
      </c>
      <c r="V102" s="14">
        <f t="shared" si="78"/>
        <v>97.2</v>
      </c>
      <c r="W102" s="120">
        <f t="shared" si="6"/>
        <v>13599</v>
      </c>
    </row>
    <row r="103" spans="2:23" x14ac:dyDescent="0.2">
      <c r="B103" s="11" t="s">
        <v>25</v>
      </c>
      <c r="C103" s="14">
        <f t="shared" ref="C103:H103" si="79">ROUND(C67,1)</f>
        <v>32.799999999999997</v>
      </c>
      <c r="D103" s="14">
        <f t="shared" si="79"/>
        <v>21.4</v>
      </c>
      <c r="E103" s="14">
        <f t="shared" si="79"/>
        <v>19.899999999999999</v>
      </c>
      <c r="F103" s="14">
        <f t="shared" si="79"/>
        <v>13.6</v>
      </c>
      <c r="G103" s="14">
        <f t="shared" si="79"/>
        <v>9.3000000000000007</v>
      </c>
      <c r="H103" s="14">
        <f t="shared" si="79"/>
        <v>96.9</v>
      </c>
      <c r="I103" s="120">
        <f t="shared" si="2"/>
        <v>2192</v>
      </c>
      <c r="J103" s="14">
        <f t="shared" ref="J103:O103" si="80">ROUND(J67,1)</f>
        <v>29</v>
      </c>
      <c r="K103" s="14">
        <f t="shared" si="80"/>
        <v>22.9</v>
      </c>
      <c r="L103" s="14">
        <f t="shared" si="80"/>
        <v>20.100000000000001</v>
      </c>
      <c r="M103" s="14">
        <f t="shared" si="80"/>
        <v>15.6</v>
      </c>
      <c r="N103" s="14">
        <f t="shared" si="80"/>
        <v>9.6999999999999993</v>
      </c>
      <c r="O103" s="14">
        <f t="shared" si="80"/>
        <v>97.3</v>
      </c>
      <c r="P103" s="120">
        <f t="shared" si="4"/>
        <v>4175</v>
      </c>
      <c r="Q103" s="14">
        <f t="shared" ref="Q103:V103" si="81">ROUND(Q67,1)</f>
        <v>30.3</v>
      </c>
      <c r="R103" s="14">
        <f t="shared" si="81"/>
        <v>22.4</v>
      </c>
      <c r="S103" s="14">
        <f t="shared" si="81"/>
        <v>20</v>
      </c>
      <c r="T103" s="14">
        <f t="shared" si="81"/>
        <v>14.9</v>
      </c>
      <c r="U103" s="14">
        <f t="shared" si="81"/>
        <v>9.5</v>
      </c>
      <c r="V103" s="14">
        <f t="shared" si="81"/>
        <v>97.2</v>
      </c>
      <c r="W103" s="120">
        <f t="shared" si="6"/>
        <v>6367</v>
      </c>
    </row>
    <row r="104" spans="2:23" x14ac:dyDescent="0.2">
      <c r="B104" s="11" t="s">
        <v>26</v>
      </c>
      <c r="C104" s="14">
        <f t="shared" ref="C104:H104" si="82">ROUND(C68,1)</f>
        <v>32.6</v>
      </c>
      <c r="D104" s="14">
        <f t="shared" si="82"/>
        <v>27.1</v>
      </c>
      <c r="E104" s="14">
        <f t="shared" si="82"/>
        <v>18.600000000000001</v>
      </c>
      <c r="F104" s="14">
        <f t="shared" si="82"/>
        <v>12</v>
      </c>
      <c r="G104" s="14">
        <f t="shared" si="82"/>
        <v>6.8</v>
      </c>
      <c r="H104" s="14">
        <f t="shared" si="82"/>
        <v>97.1</v>
      </c>
      <c r="I104" s="120">
        <f t="shared" si="2"/>
        <v>1371</v>
      </c>
      <c r="J104" s="14">
        <f t="shared" ref="J104:O104" si="83">ROUND(J68,1)</f>
        <v>30</v>
      </c>
      <c r="K104" s="14">
        <f t="shared" si="83"/>
        <v>25.9</v>
      </c>
      <c r="L104" s="14">
        <f t="shared" si="83"/>
        <v>21.4</v>
      </c>
      <c r="M104" s="14">
        <f t="shared" si="83"/>
        <v>12.7</v>
      </c>
      <c r="N104" s="14">
        <f t="shared" si="83"/>
        <v>7.5</v>
      </c>
      <c r="O104" s="14">
        <f t="shared" si="83"/>
        <v>97.5</v>
      </c>
      <c r="P104" s="120">
        <f t="shared" si="4"/>
        <v>3059</v>
      </c>
      <c r="Q104" s="14">
        <f t="shared" ref="Q104:V104" si="84">ROUND(Q68,1)</f>
        <v>30.8</v>
      </c>
      <c r="R104" s="14">
        <f t="shared" si="84"/>
        <v>26.3</v>
      </c>
      <c r="S104" s="14">
        <f t="shared" si="84"/>
        <v>20.5</v>
      </c>
      <c r="T104" s="14">
        <f t="shared" si="84"/>
        <v>12.5</v>
      </c>
      <c r="U104" s="14">
        <f t="shared" si="84"/>
        <v>7.3</v>
      </c>
      <c r="V104" s="14">
        <f t="shared" si="84"/>
        <v>97.4</v>
      </c>
      <c r="W104" s="120">
        <f t="shared" si="6"/>
        <v>4430</v>
      </c>
    </row>
    <row r="105" spans="2:23" x14ac:dyDescent="0.2">
      <c r="B105" s="11" t="s">
        <v>27</v>
      </c>
      <c r="C105" s="14">
        <f t="shared" ref="C105:H105" si="85">ROUND(C69,1)</f>
        <v>41.9</v>
      </c>
      <c r="D105" s="14">
        <f t="shared" si="85"/>
        <v>27.2</v>
      </c>
      <c r="E105" s="14">
        <f t="shared" si="85"/>
        <v>16.600000000000001</v>
      </c>
      <c r="F105" s="14">
        <f t="shared" si="85"/>
        <v>7.7</v>
      </c>
      <c r="G105" s="14">
        <f t="shared" si="85"/>
        <v>2.9</v>
      </c>
      <c r="H105" s="14">
        <f t="shared" si="85"/>
        <v>96.4</v>
      </c>
      <c r="I105" s="120">
        <f t="shared" si="2"/>
        <v>1682</v>
      </c>
      <c r="J105" s="14">
        <f t="shared" ref="J105:O105" si="86">ROUND(J69,1)</f>
        <v>46.9</v>
      </c>
      <c r="K105" s="14">
        <f t="shared" si="86"/>
        <v>28.6</v>
      </c>
      <c r="L105" s="14">
        <f t="shared" si="86"/>
        <v>14.4</v>
      </c>
      <c r="M105" s="14">
        <f t="shared" si="86"/>
        <v>5.0999999999999996</v>
      </c>
      <c r="N105" s="14">
        <f t="shared" si="86"/>
        <v>1.8</v>
      </c>
      <c r="O105" s="14">
        <f t="shared" si="86"/>
        <v>96.7</v>
      </c>
      <c r="P105" s="120">
        <f t="shared" si="4"/>
        <v>2178</v>
      </c>
      <c r="Q105" s="14">
        <f t="shared" ref="Q105:V105" si="87">ROUND(Q69,1)</f>
        <v>44.7</v>
      </c>
      <c r="R105" s="14">
        <f t="shared" si="87"/>
        <v>28</v>
      </c>
      <c r="S105" s="14">
        <f t="shared" si="87"/>
        <v>15.3</v>
      </c>
      <c r="T105" s="14">
        <f t="shared" si="87"/>
        <v>6.2</v>
      </c>
      <c r="U105" s="14">
        <f t="shared" si="87"/>
        <v>2.2999999999999998</v>
      </c>
      <c r="V105" s="14">
        <f t="shared" si="87"/>
        <v>96.6</v>
      </c>
      <c r="W105" s="120">
        <f t="shared" si="6"/>
        <v>3860</v>
      </c>
    </row>
    <row r="106" spans="2:23" x14ac:dyDescent="0.2">
      <c r="B106" s="11" t="s">
        <v>28</v>
      </c>
      <c r="C106" s="14">
        <f t="shared" ref="C106:H106" si="88">ROUND(C70,1)</f>
        <v>32.6</v>
      </c>
      <c r="D106" s="14">
        <f t="shared" si="88"/>
        <v>26.1</v>
      </c>
      <c r="E106" s="14">
        <f t="shared" si="88"/>
        <v>21.4</v>
      </c>
      <c r="F106" s="14">
        <f t="shared" si="88"/>
        <v>12</v>
      </c>
      <c r="G106" s="14">
        <f t="shared" si="88"/>
        <v>6.4</v>
      </c>
      <c r="H106" s="14">
        <f t="shared" si="88"/>
        <v>98.4</v>
      </c>
      <c r="I106" s="120">
        <f t="shared" si="2"/>
        <v>2125</v>
      </c>
      <c r="J106" s="14">
        <f t="shared" ref="J106:O106" si="89">ROUND(J70,1)</f>
        <v>32</v>
      </c>
      <c r="K106" s="14">
        <f t="shared" si="89"/>
        <v>29.3</v>
      </c>
      <c r="L106" s="14">
        <f t="shared" si="89"/>
        <v>23.4</v>
      </c>
      <c r="M106" s="14">
        <f t="shared" si="89"/>
        <v>11</v>
      </c>
      <c r="N106" s="14">
        <f t="shared" si="89"/>
        <v>3.4</v>
      </c>
      <c r="O106" s="14">
        <f t="shared" si="89"/>
        <v>99</v>
      </c>
      <c r="P106" s="120">
        <f t="shared" si="4"/>
        <v>2819</v>
      </c>
      <c r="Q106" s="14">
        <f t="shared" ref="Q106:V106" si="90">ROUND(Q70,1)</f>
        <v>32.200000000000003</v>
      </c>
      <c r="R106" s="14">
        <f t="shared" si="90"/>
        <v>27.9</v>
      </c>
      <c r="S106" s="14">
        <f t="shared" si="90"/>
        <v>22.5</v>
      </c>
      <c r="T106" s="14">
        <f t="shared" si="90"/>
        <v>11.4</v>
      </c>
      <c r="U106" s="14">
        <f t="shared" si="90"/>
        <v>4.7</v>
      </c>
      <c r="V106" s="14">
        <f t="shared" si="90"/>
        <v>98.7</v>
      </c>
      <c r="W106" s="120">
        <f t="shared" si="6"/>
        <v>4944</v>
      </c>
    </row>
    <row r="107" spans="2:23" x14ac:dyDescent="0.2">
      <c r="B107" s="11" t="s">
        <v>29</v>
      </c>
      <c r="C107" s="14">
        <f t="shared" ref="C107:H107" si="91">ROUND(C71,1)</f>
        <v>21.7</v>
      </c>
      <c r="D107" s="14">
        <f t="shared" si="91"/>
        <v>27.6</v>
      </c>
      <c r="E107" s="14">
        <f t="shared" si="91"/>
        <v>24.2</v>
      </c>
      <c r="F107" s="14">
        <f t="shared" si="91"/>
        <v>15</v>
      </c>
      <c r="G107" s="14">
        <f t="shared" si="91"/>
        <v>8</v>
      </c>
      <c r="H107" s="14">
        <f t="shared" si="91"/>
        <v>96.4</v>
      </c>
      <c r="I107" s="120">
        <f t="shared" si="2"/>
        <v>2440</v>
      </c>
      <c r="J107" s="14">
        <f t="shared" ref="J107:O107" si="92">ROUND(J71,1)</f>
        <v>21.9</v>
      </c>
      <c r="K107" s="14">
        <f t="shared" si="92"/>
        <v>28</v>
      </c>
      <c r="L107" s="14">
        <f t="shared" si="92"/>
        <v>24.9</v>
      </c>
      <c r="M107" s="14">
        <f t="shared" si="92"/>
        <v>15.9</v>
      </c>
      <c r="N107" s="14">
        <f t="shared" si="92"/>
        <v>6.7</v>
      </c>
      <c r="O107" s="14">
        <f t="shared" si="92"/>
        <v>97.3</v>
      </c>
      <c r="P107" s="120">
        <f t="shared" si="4"/>
        <v>6167</v>
      </c>
      <c r="Q107" s="14">
        <f t="shared" ref="Q107:V107" si="93">ROUND(Q71,1)</f>
        <v>21.8</v>
      </c>
      <c r="R107" s="14">
        <f t="shared" si="93"/>
        <v>27.9</v>
      </c>
      <c r="S107" s="14">
        <f t="shared" si="93"/>
        <v>24.7</v>
      </c>
      <c r="T107" s="14">
        <f t="shared" si="93"/>
        <v>15.6</v>
      </c>
      <c r="U107" s="14">
        <f t="shared" si="93"/>
        <v>7.1</v>
      </c>
      <c r="V107" s="14">
        <f t="shared" si="93"/>
        <v>97.1</v>
      </c>
      <c r="W107" s="120">
        <f t="shared" si="6"/>
        <v>8607</v>
      </c>
    </row>
    <row r="108" spans="2:23" x14ac:dyDescent="0.2">
      <c r="B108" s="11" t="s">
        <v>30</v>
      </c>
      <c r="C108" s="14">
        <f t="shared" ref="C108:H108" si="94">ROUND(C72,1)</f>
        <v>19.399999999999999</v>
      </c>
      <c r="D108" s="14">
        <f t="shared" si="94"/>
        <v>22</v>
      </c>
      <c r="E108" s="14">
        <f t="shared" si="94"/>
        <v>24.5</v>
      </c>
      <c r="F108" s="14">
        <f t="shared" si="94"/>
        <v>20.100000000000001</v>
      </c>
      <c r="G108" s="14">
        <f t="shared" si="94"/>
        <v>10.3</v>
      </c>
      <c r="H108" s="14">
        <f t="shared" si="94"/>
        <v>96.3</v>
      </c>
      <c r="I108" s="120">
        <f t="shared" si="2"/>
        <v>3200</v>
      </c>
      <c r="J108" s="14">
        <f t="shared" ref="J108:O108" si="95">ROUND(J72,1)</f>
        <v>22.8</v>
      </c>
      <c r="K108" s="14">
        <f t="shared" si="95"/>
        <v>24.9</v>
      </c>
      <c r="L108" s="14">
        <f t="shared" si="95"/>
        <v>25</v>
      </c>
      <c r="M108" s="14">
        <f t="shared" si="95"/>
        <v>17.100000000000001</v>
      </c>
      <c r="N108" s="14">
        <f t="shared" si="95"/>
        <v>8.1</v>
      </c>
      <c r="O108" s="14">
        <f t="shared" si="95"/>
        <v>98</v>
      </c>
      <c r="P108" s="120">
        <f t="shared" si="4"/>
        <v>3567</v>
      </c>
      <c r="Q108" s="14">
        <f t="shared" ref="Q108:V108" si="96">ROUND(Q72,1)</f>
        <v>21.2</v>
      </c>
      <c r="R108" s="14">
        <f t="shared" si="96"/>
        <v>23.6</v>
      </c>
      <c r="S108" s="14">
        <f t="shared" si="96"/>
        <v>24.8</v>
      </c>
      <c r="T108" s="14">
        <f t="shared" si="96"/>
        <v>18.5</v>
      </c>
      <c r="U108" s="14">
        <f t="shared" si="96"/>
        <v>9.1</v>
      </c>
      <c r="V108" s="14">
        <f t="shared" si="96"/>
        <v>97.2</v>
      </c>
      <c r="W108" s="120">
        <f t="shared" si="6"/>
        <v>6767</v>
      </c>
    </row>
    <row r="109" spans="2:23" x14ac:dyDescent="0.2">
      <c r="B109" s="11" t="s">
        <v>31</v>
      </c>
      <c r="C109" s="14">
        <f t="shared" ref="C109:H109" si="97">ROUND(C73,1)</f>
        <v>8</v>
      </c>
      <c r="D109" s="14">
        <f t="shared" si="97"/>
        <v>16</v>
      </c>
      <c r="E109" s="14">
        <f t="shared" si="97"/>
        <v>25</v>
      </c>
      <c r="F109" s="14">
        <f t="shared" si="97"/>
        <v>26.9</v>
      </c>
      <c r="G109" s="14">
        <f t="shared" si="97"/>
        <v>18.3</v>
      </c>
      <c r="H109" s="14">
        <f t="shared" si="97"/>
        <v>94.2</v>
      </c>
      <c r="I109" s="120">
        <f t="shared" si="2"/>
        <v>10022</v>
      </c>
      <c r="J109" s="14">
        <f t="shared" ref="J109:O109" si="98">ROUND(J73,1)</f>
        <v>19.3</v>
      </c>
      <c r="K109" s="14">
        <f t="shared" si="98"/>
        <v>21.2</v>
      </c>
      <c r="L109" s="14">
        <f t="shared" si="98"/>
        <v>24.7</v>
      </c>
      <c r="M109" s="14">
        <f t="shared" si="98"/>
        <v>20</v>
      </c>
      <c r="N109" s="14">
        <f t="shared" si="98"/>
        <v>11.3</v>
      </c>
      <c r="O109" s="14">
        <f t="shared" si="98"/>
        <v>96.4</v>
      </c>
      <c r="P109" s="120">
        <f t="shared" si="4"/>
        <v>6633</v>
      </c>
      <c r="Q109" s="14">
        <f t="shared" ref="Q109:V109" si="99">ROUND(Q73,1)</f>
        <v>12.5</v>
      </c>
      <c r="R109" s="14">
        <f t="shared" si="99"/>
        <v>18.100000000000001</v>
      </c>
      <c r="S109" s="14">
        <f t="shared" si="99"/>
        <v>24.8</v>
      </c>
      <c r="T109" s="14">
        <f t="shared" si="99"/>
        <v>24.1</v>
      </c>
      <c r="U109" s="14">
        <f t="shared" si="99"/>
        <v>15.5</v>
      </c>
      <c r="V109" s="14">
        <f t="shared" si="99"/>
        <v>95.1</v>
      </c>
      <c r="W109" s="120">
        <f t="shared" si="6"/>
        <v>16655</v>
      </c>
    </row>
    <row r="110" spans="2:23" x14ac:dyDescent="0.2">
      <c r="B110" s="11" t="s">
        <v>32</v>
      </c>
      <c r="C110" s="14">
        <f t="shared" ref="C110:H110" si="100">ROUND(C74,1)</f>
        <v>11.2</v>
      </c>
      <c r="D110" s="14">
        <f t="shared" si="100"/>
        <v>15.6</v>
      </c>
      <c r="E110" s="14">
        <f t="shared" si="100"/>
        <v>20.399999999999999</v>
      </c>
      <c r="F110" s="14">
        <f t="shared" si="100"/>
        <v>22.1</v>
      </c>
      <c r="G110" s="14">
        <f t="shared" si="100"/>
        <v>17.7</v>
      </c>
      <c r="H110" s="14">
        <f t="shared" si="100"/>
        <v>87.1</v>
      </c>
      <c r="I110" s="120">
        <f t="shared" si="2"/>
        <v>28079</v>
      </c>
      <c r="J110" s="14">
        <f t="shared" ref="J110:O110" si="101">ROUND(J74,1)</f>
        <v>12.7</v>
      </c>
      <c r="K110" s="14">
        <f t="shared" si="101"/>
        <v>16.8</v>
      </c>
      <c r="L110" s="14">
        <f t="shared" si="101"/>
        <v>21.8</v>
      </c>
      <c r="M110" s="14">
        <f t="shared" si="101"/>
        <v>22.1</v>
      </c>
      <c r="N110" s="14">
        <f t="shared" si="101"/>
        <v>16.399999999999999</v>
      </c>
      <c r="O110" s="14">
        <f t="shared" si="101"/>
        <v>89.8</v>
      </c>
      <c r="P110" s="120">
        <f t="shared" si="4"/>
        <v>30442</v>
      </c>
      <c r="Q110" s="14">
        <f t="shared" ref="Q110:V110" si="102">ROUND(Q74,1)</f>
        <v>12</v>
      </c>
      <c r="R110" s="14">
        <f t="shared" si="102"/>
        <v>16.3</v>
      </c>
      <c r="S110" s="14">
        <f t="shared" si="102"/>
        <v>21.1</v>
      </c>
      <c r="T110" s="14">
        <f t="shared" si="102"/>
        <v>22.1</v>
      </c>
      <c r="U110" s="14">
        <f t="shared" si="102"/>
        <v>17</v>
      </c>
      <c r="V110" s="14">
        <f t="shared" si="102"/>
        <v>88.5</v>
      </c>
      <c r="W110" s="120">
        <f t="shared" si="6"/>
        <v>58521</v>
      </c>
    </row>
    <row r="111" spans="2:23" x14ac:dyDescent="0.2">
      <c r="B111" s="11" t="s">
        <v>46</v>
      </c>
      <c r="C111" s="14">
        <f t="shared" ref="C111:H111" si="103">ROUND(C75,1)</f>
        <v>19.2</v>
      </c>
      <c r="D111" s="14">
        <f t="shared" si="103"/>
        <v>20.2</v>
      </c>
      <c r="E111" s="14">
        <f t="shared" si="103"/>
        <v>22.2</v>
      </c>
      <c r="F111" s="14">
        <f t="shared" si="103"/>
        <v>19.399999999999999</v>
      </c>
      <c r="G111" s="14">
        <f t="shared" si="103"/>
        <v>12.6</v>
      </c>
      <c r="H111" s="14">
        <f t="shared" si="103"/>
        <v>93.6</v>
      </c>
      <c r="I111" s="120">
        <f t="shared" si="2"/>
        <v>299879</v>
      </c>
      <c r="J111" s="14">
        <f t="shared" ref="J111:O111" si="104">ROUND(J75,1)</f>
        <v>21.6</v>
      </c>
      <c r="K111" s="14">
        <f t="shared" si="104"/>
        <v>23.1</v>
      </c>
      <c r="L111" s="14">
        <f t="shared" si="104"/>
        <v>23.4</v>
      </c>
      <c r="M111" s="14">
        <f t="shared" si="104"/>
        <v>17.8</v>
      </c>
      <c r="N111" s="14">
        <f t="shared" si="104"/>
        <v>9.8000000000000007</v>
      </c>
      <c r="O111" s="14">
        <f t="shared" si="104"/>
        <v>95.8</v>
      </c>
      <c r="P111" s="120">
        <f t="shared" si="4"/>
        <v>345154</v>
      </c>
      <c r="Q111" s="14">
        <f t="shared" ref="Q111:V111" si="105">ROUND(Q75,1)</f>
        <v>20.5</v>
      </c>
      <c r="R111" s="14">
        <f t="shared" si="105"/>
        <v>21.8</v>
      </c>
      <c r="S111" s="14">
        <f t="shared" si="105"/>
        <v>22.8</v>
      </c>
      <c r="T111" s="14">
        <f t="shared" si="105"/>
        <v>18.5</v>
      </c>
      <c r="U111" s="14">
        <f t="shared" si="105"/>
        <v>11.1</v>
      </c>
      <c r="V111" s="14">
        <f t="shared" si="105"/>
        <v>94.8</v>
      </c>
      <c r="W111" s="120">
        <f t="shared" si="6"/>
        <v>645033</v>
      </c>
    </row>
    <row r="112" spans="2:23" x14ac:dyDescent="0.2">
      <c r="C112" s="14"/>
      <c r="D112" s="14"/>
      <c r="E112" s="14"/>
      <c r="F112" s="14"/>
      <c r="G112" s="14"/>
      <c r="H112" s="14"/>
      <c r="I112" s="14"/>
      <c r="J112" s="14"/>
      <c r="K112" s="14"/>
      <c r="L112" s="14"/>
      <c r="M112" s="14"/>
      <c r="N112" s="14"/>
      <c r="O112" s="14"/>
      <c r="P112" s="14"/>
      <c r="Q112" s="14"/>
      <c r="R112" s="14"/>
      <c r="S112" s="14"/>
      <c r="T112" s="14"/>
      <c r="U112" s="14"/>
      <c r="V112" s="14"/>
      <c r="W112" s="14"/>
    </row>
    <row r="113" spans="3:23" x14ac:dyDescent="0.2">
      <c r="C113" s="14"/>
      <c r="D113" s="14"/>
      <c r="E113" s="14"/>
      <c r="F113" s="14"/>
      <c r="G113" s="14"/>
      <c r="H113" s="14"/>
      <c r="I113" s="14"/>
      <c r="J113" s="14"/>
      <c r="K113" s="14"/>
      <c r="L113" s="14"/>
      <c r="M113" s="14"/>
      <c r="N113" s="14"/>
      <c r="O113" s="14"/>
      <c r="P113" s="14"/>
      <c r="Q113" s="14"/>
      <c r="R113" s="14"/>
      <c r="S113" s="14"/>
      <c r="T113" s="14"/>
      <c r="U113" s="14"/>
      <c r="V113" s="14"/>
      <c r="W113" s="14"/>
    </row>
    <row r="114" spans="3:23" x14ac:dyDescent="0.2">
      <c r="C114" s="14"/>
      <c r="D114" s="14"/>
      <c r="E114" s="14"/>
      <c r="F114" s="14"/>
      <c r="G114" s="14"/>
      <c r="H114" s="14"/>
      <c r="I114" s="14"/>
      <c r="J114" s="14"/>
      <c r="K114" s="14"/>
      <c r="L114" s="14"/>
      <c r="M114" s="14"/>
      <c r="N114" s="14"/>
      <c r="O114" s="14"/>
      <c r="P114" s="14"/>
      <c r="Q114" s="14"/>
      <c r="R114" s="14"/>
      <c r="S114" s="14"/>
      <c r="T114" s="14"/>
      <c r="U114" s="14"/>
      <c r="V114" s="14"/>
      <c r="W114" s="14"/>
    </row>
    <row r="115" spans="3:23" x14ac:dyDescent="0.2">
      <c r="C115" s="14"/>
      <c r="D115" s="14"/>
      <c r="E115" s="14"/>
      <c r="F115" s="14"/>
      <c r="G115" s="14"/>
      <c r="H115" s="14"/>
      <c r="I115" s="14"/>
      <c r="J115" s="14"/>
      <c r="K115" s="14"/>
      <c r="L115" s="14"/>
      <c r="M115" s="14"/>
      <c r="N115" s="14"/>
      <c r="O115" s="14"/>
      <c r="P115" s="14"/>
      <c r="Q115" s="14"/>
      <c r="R115" s="14"/>
      <c r="S115" s="14"/>
      <c r="T115" s="14"/>
      <c r="U115" s="14"/>
      <c r="V115" s="14"/>
      <c r="W115" s="14"/>
    </row>
    <row r="116" spans="3:23" x14ac:dyDescent="0.2">
      <c r="C116" s="14"/>
      <c r="D116" s="14"/>
      <c r="E116" s="14"/>
      <c r="F116" s="14"/>
      <c r="G116" s="14"/>
      <c r="H116" s="14"/>
      <c r="I116" s="14"/>
      <c r="J116" s="14"/>
      <c r="K116" s="14"/>
      <c r="L116" s="14"/>
      <c r="M116" s="14"/>
      <c r="N116" s="14"/>
      <c r="O116" s="14"/>
      <c r="P116" s="14"/>
      <c r="Q116" s="14"/>
      <c r="R116" s="14"/>
      <c r="S116" s="14"/>
      <c r="T116" s="14"/>
      <c r="U116" s="14"/>
      <c r="V116" s="14"/>
      <c r="W116" s="14"/>
    </row>
    <row r="117" spans="3:23" x14ac:dyDescent="0.2">
      <c r="C117" s="14"/>
      <c r="D117" s="14"/>
      <c r="E117" s="14"/>
      <c r="F117" s="14"/>
      <c r="G117" s="14"/>
      <c r="H117" s="14"/>
      <c r="I117" s="14"/>
      <c r="J117" s="14"/>
      <c r="K117" s="14"/>
      <c r="L117" s="14"/>
      <c r="M117" s="14"/>
      <c r="N117" s="14"/>
      <c r="O117" s="14"/>
      <c r="P117" s="14"/>
      <c r="Q117" s="14"/>
      <c r="R117" s="14"/>
      <c r="S117" s="14"/>
      <c r="T117" s="14"/>
      <c r="U117" s="14"/>
      <c r="V117" s="14"/>
      <c r="W117" s="14"/>
    </row>
    <row r="118" spans="3:23" x14ac:dyDescent="0.2">
      <c r="C118" s="14"/>
      <c r="D118" s="14"/>
      <c r="E118" s="14"/>
      <c r="F118" s="14"/>
      <c r="G118" s="14"/>
      <c r="H118" s="14"/>
      <c r="I118" s="14"/>
      <c r="J118" s="14"/>
      <c r="K118" s="14"/>
      <c r="L118" s="14"/>
      <c r="M118" s="14"/>
      <c r="N118" s="14"/>
      <c r="O118" s="14"/>
      <c r="P118" s="14"/>
      <c r="Q118" s="14"/>
      <c r="R118" s="14"/>
      <c r="S118" s="14"/>
      <c r="T118" s="14"/>
      <c r="U118" s="14"/>
      <c r="V118" s="14"/>
      <c r="W118" s="14"/>
    </row>
    <row r="119" spans="3:23" x14ac:dyDescent="0.2">
      <c r="C119" s="14"/>
      <c r="D119" s="14"/>
      <c r="E119" s="14"/>
      <c r="F119" s="14"/>
      <c r="G119" s="14"/>
      <c r="H119" s="14"/>
      <c r="I119" s="14"/>
      <c r="J119" s="14"/>
      <c r="K119" s="14"/>
      <c r="L119" s="14"/>
      <c r="M119" s="14"/>
      <c r="N119" s="14"/>
      <c r="O119" s="14"/>
      <c r="P119" s="14"/>
      <c r="Q119" s="14"/>
      <c r="R119" s="14"/>
      <c r="S119" s="14"/>
      <c r="T119" s="14"/>
      <c r="U119" s="14"/>
      <c r="V119" s="14"/>
      <c r="W119" s="14"/>
    </row>
    <row r="120" spans="3:23" x14ac:dyDescent="0.2">
      <c r="C120" s="14"/>
      <c r="D120" s="14"/>
      <c r="E120" s="14"/>
      <c r="F120" s="14"/>
      <c r="G120" s="14"/>
      <c r="H120" s="14"/>
      <c r="I120" s="14"/>
      <c r="J120" s="14"/>
      <c r="K120" s="14"/>
      <c r="L120" s="14"/>
      <c r="M120" s="14"/>
      <c r="N120" s="14"/>
      <c r="O120" s="14"/>
      <c r="P120" s="14"/>
      <c r="Q120" s="14"/>
      <c r="R120" s="14"/>
      <c r="S120" s="14"/>
      <c r="T120" s="14"/>
      <c r="U120" s="14"/>
      <c r="V120" s="14"/>
      <c r="W120" s="14"/>
    </row>
    <row r="121" spans="3:23" x14ac:dyDescent="0.2">
      <c r="C121" s="14"/>
      <c r="D121" s="14"/>
      <c r="E121" s="14"/>
      <c r="F121" s="14"/>
      <c r="G121" s="14"/>
      <c r="H121" s="14"/>
      <c r="I121" s="14"/>
      <c r="J121" s="14"/>
      <c r="K121" s="14"/>
      <c r="L121" s="14"/>
      <c r="M121" s="14"/>
      <c r="N121" s="14"/>
      <c r="O121" s="14"/>
      <c r="P121" s="14"/>
      <c r="Q121" s="14"/>
      <c r="R121" s="14"/>
      <c r="S121" s="14"/>
      <c r="T121" s="14"/>
      <c r="U121" s="14"/>
      <c r="V121" s="14"/>
      <c r="W121" s="14"/>
    </row>
    <row r="122" spans="3:23" x14ac:dyDescent="0.2">
      <c r="C122" s="14"/>
      <c r="D122" s="14"/>
      <c r="E122" s="14"/>
      <c r="F122" s="14"/>
      <c r="G122" s="14"/>
      <c r="H122" s="14"/>
      <c r="I122" s="14"/>
      <c r="J122" s="14"/>
      <c r="K122" s="14"/>
      <c r="L122" s="14"/>
      <c r="M122" s="14"/>
      <c r="N122" s="14"/>
      <c r="O122" s="14"/>
      <c r="P122" s="14"/>
      <c r="Q122" s="14"/>
      <c r="R122" s="14"/>
      <c r="S122" s="14"/>
      <c r="T122" s="14"/>
      <c r="U122" s="14"/>
      <c r="V122" s="14"/>
      <c r="W122" s="14"/>
    </row>
    <row r="123" spans="3:23" x14ac:dyDescent="0.2">
      <c r="C123" s="14"/>
      <c r="D123" s="14"/>
      <c r="E123" s="14"/>
      <c r="F123" s="14"/>
      <c r="G123" s="14"/>
      <c r="H123" s="14"/>
      <c r="I123" s="14"/>
      <c r="J123" s="14"/>
      <c r="K123" s="14"/>
      <c r="L123" s="14"/>
      <c r="M123" s="14"/>
      <c r="N123" s="14"/>
      <c r="O123" s="14"/>
      <c r="P123" s="14"/>
      <c r="Q123" s="14"/>
      <c r="R123" s="14"/>
      <c r="S123" s="14"/>
      <c r="T123" s="14"/>
      <c r="U123" s="14"/>
      <c r="V123" s="14"/>
      <c r="W123" s="14"/>
    </row>
    <row r="124" spans="3:23" x14ac:dyDescent="0.2">
      <c r="C124" s="14"/>
      <c r="D124" s="14"/>
      <c r="E124" s="14"/>
      <c r="F124" s="14"/>
      <c r="G124" s="14"/>
      <c r="H124" s="14"/>
      <c r="I124" s="14"/>
      <c r="J124" s="14"/>
      <c r="K124" s="14"/>
      <c r="L124" s="14"/>
      <c r="M124" s="14"/>
      <c r="N124" s="14"/>
      <c r="O124" s="14"/>
      <c r="P124" s="14"/>
      <c r="Q124" s="14"/>
      <c r="R124" s="14"/>
      <c r="S124" s="14"/>
      <c r="T124" s="14"/>
      <c r="U124" s="14"/>
      <c r="V124" s="14"/>
      <c r="W124" s="14"/>
    </row>
    <row r="125" spans="3:23" x14ac:dyDescent="0.2">
      <c r="C125" s="14"/>
      <c r="D125" s="14"/>
      <c r="E125" s="14"/>
      <c r="F125" s="14"/>
      <c r="G125" s="14"/>
      <c r="H125" s="14"/>
      <c r="I125" s="14"/>
      <c r="J125" s="14"/>
      <c r="K125" s="14"/>
      <c r="L125" s="14"/>
      <c r="M125" s="14"/>
      <c r="N125" s="14"/>
      <c r="O125" s="14"/>
      <c r="P125" s="14"/>
      <c r="Q125" s="14"/>
      <c r="R125" s="14"/>
      <c r="S125" s="14"/>
      <c r="T125" s="14"/>
      <c r="U125" s="14"/>
      <c r="V125" s="14"/>
      <c r="W125" s="14"/>
    </row>
    <row r="126" spans="3:23" x14ac:dyDescent="0.2">
      <c r="C126" s="14"/>
      <c r="D126" s="14"/>
      <c r="E126" s="14"/>
      <c r="F126" s="14"/>
      <c r="G126" s="14"/>
      <c r="H126" s="14"/>
      <c r="I126" s="14"/>
      <c r="J126" s="14"/>
      <c r="K126" s="14"/>
      <c r="L126" s="14"/>
      <c r="M126" s="14"/>
      <c r="N126" s="14"/>
      <c r="O126" s="14"/>
      <c r="P126" s="14"/>
      <c r="Q126" s="14"/>
      <c r="R126" s="14"/>
      <c r="S126" s="14"/>
      <c r="T126" s="14"/>
      <c r="U126" s="14"/>
      <c r="V126" s="14"/>
      <c r="W126" s="14"/>
    </row>
    <row r="127" spans="3:23" x14ac:dyDescent="0.2">
      <c r="C127" s="14"/>
      <c r="D127" s="14"/>
      <c r="E127" s="14"/>
      <c r="F127" s="14"/>
      <c r="G127" s="14"/>
      <c r="H127" s="14"/>
      <c r="I127" s="14"/>
      <c r="J127" s="14"/>
      <c r="K127" s="14"/>
      <c r="L127" s="14"/>
      <c r="M127" s="14"/>
      <c r="N127" s="14"/>
      <c r="O127" s="14"/>
      <c r="P127" s="14"/>
      <c r="Q127" s="14"/>
      <c r="R127" s="14"/>
      <c r="S127" s="14"/>
      <c r="T127" s="14"/>
      <c r="U127" s="14"/>
      <c r="V127" s="14"/>
      <c r="W127" s="14"/>
    </row>
    <row r="128" spans="3:23" x14ac:dyDescent="0.2">
      <c r="C128" s="14"/>
      <c r="D128" s="14"/>
      <c r="E128" s="14"/>
      <c r="F128" s="14"/>
      <c r="G128" s="14"/>
      <c r="H128" s="14"/>
      <c r="I128" s="14"/>
      <c r="J128" s="14"/>
      <c r="K128" s="14"/>
      <c r="L128" s="14"/>
      <c r="M128" s="14"/>
      <c r="N128" s="14"/>
      <c r="O128" s="14"/>
      <c r="P128" s="14"/>
      <c r="Q128" s="14"/>
      <c r="R128" s="14"/>
      <c r="S128" s="14"/>
      <c r="T128" s="14"/>
      <c r="U128" s="14"/>
      <c r="V128" s="14"/>
      <c r="W128" s="14"/>
    </row>
    <row r="129" spans="3:23" x14ac:dyDescent="0.2">
      <c r="C129" s="14"/>
      <c r="D129" s="14"/>
      <c r="E129" s="14"/>
      <c r="F129" s="14"/>
      <c r="G129" s="14"/>
      <c r="H129" s="14"/>
      <c r="I129" s="14"/>
      <c r="J129" s="14"/>
      <c r="K129" s="14"/>
      <c r="L129" s="14"/>
      <c r="M129" s="14"/>
      <c r="N129" s="14"/>
      <c r="O129" s="14"/>
      <c r="P129" s="14"/>
      <c r="Q129" s="14"/>
      <c r="R129" s="14"/>
      <c r="S129" s="14"/>
      <c r="T129" s="14"/>
      <c r="U129" s="14"/>
      <c r="V129" s="14"/>
      <c r="W129" s="14"/>
    </row>
    <row r="130" spans="3:23" x14ac:dyDescent="0.2">
      <c r="C130" s="14"/>
      <c r="D130" s="14"/>
      <c r="E130" s="14"/>
      <c r="F130" s="14"/>
      <c r="G130" s="14"/>
      <c r="H130" s="14"/>
      <c r="I130" s="14"/>
      <c r="J130" s="14"/>
      <c r="K130" s="14"/>
      <c r="L130" s="14"/>
      <c r="M130" s="14"/>
      <c r="N130" s="14"/>
      <c r="O130" s="14"/>
      <c r="P130" s="14"/>
      <c r="Q130" s="14"/>
      <c r="R130" s="14"/>
      <c r="S130" s="14"/>
      <c r="T130" s="14"/>
      <c r="U130" s="14"/>
      <c r="V130" s="14"/>
      <c r="W130" s="14"/>
    </row>
    <row r="131" spans="3:23" x14ac:dyDescent="0.2">
      <c r="C131" s="14"/>
      <c r="D131" s="14"/>
      <c r="E131" s="14"/>
      <c r="F131" s="14"/>
      <c r="G131" s="14"/>
      <c r="H131" s="14"/>
      <c r="I131" s="14"/>
      <c r="J131" s="14"/>
      <c r="K131" s="14"/>
      <c r="L131" s="14"/>
      <c r="M131" s="14"/>
      <c r="N131" s="14"/>
      <c r="O131" s="14"/>
      <c r="P131" s="14"/>
      <c r="Q131" s="14"/>
      <c r="R131" s="14"/>
      <c r="S131" s="14"/>
      <c r="T131" s="14"/>
      <c r="U131" s="14"/>
      <c r="V131" s="14"/>
      <c r="W131" s="14"/>
    </row>
    <row r="132" spans="3:23" x14ac:dyDescent="0.2">
      <c r="C132" s="14"/>
      <c r="D132" s="14"/>
      <c r="E132" s="14"/>
      <c r="F132" s="14"/>
      <c r="G132" s="14"/>
      <c r="H132" s="14"/>
      <c r="I132" s="14"/>
      <c r="J132" s="14"/>
      <c r="K132" s="14"/>
      <c r="L132" s="14"/>
      <c r="M132" s="14"/>
      <c r="N132" s="14"/>
      <c r="O132" s="14"/>
      <c r="P132" s="14"/>
      <c r="Q132" s="14"/>
      <c r="R132" s="14"/>
      <c r="S132" s="14"/>
      <c r="T132" s="14"/>
      <c r="U132" s="14"/>
      <c r="V132" s="14"/>
      <c r="W132" s="14"/>
    </row>
    <row r="133" spans="3:23" x14ac:dyDescent="0.2">
      <c r="C133" s="14"/>
      <c r="D133" s="14"/>
      <c r="E133" s="14"/>
      <c r="F133" s="14"/>
      <c r="G133" s="14"/>
      <c r="H133" s="14"/>
      <c r="I133" s="14"/>
      <c r="J133" s="14"/>
      <c r="K133" s="14"/>
      <c r="L133" s="14"/>
      <c r="M133" s="14"/>
      <c r="N133" s="14"/>
      <c r="O133" s="14"/>
      <c r="P133" s="14"/>
      <c r="Q133" s="14"/>
      <c r="R133" s="14"/>
      <c r="S133" s="14"/>
      <c r="T133" s="14"/>
      <c r="U133" s="14"/>
      <c r="V133" s="14"/>
      <c r="W133" s="14"/>
    </row>
    <row r="134" spans="3:23" x14ac:dyDescent="0.2">
      <c r="C134" s="14"/>
      <c r="D134" s="14"/>
      <c r="E134" s="14"/>
      <c r="F134" s="14"/>
      <c r="G134" s="14"/>
      <c r="H134" s="14"/>
      <c r="I134" s="14"/>
      <c r="J134" s="14"/>
      <c r="K134" s="14"/>
      <c r="L134" s="14"/>
      <c r="M134" s="14"/>
      <c r="N134" s="14"/>
      <c r="O134" s="14"/>
      <c r="P134" s="14"/>
      <c r="Q134" s="14"/>
      <c r="R134" s="14"/>
      <c r="S134" s="14"/>
      <c r="T134" s="14"/>
      <c r="U134" s="14"/>
      <c r="V134" s="14"/>
      <c r="W134" s="14"/>
    </row>
    <row r="135" spans="3:23" x14ac:dyDescent="0.2">
      <c r="C135" s="14"/>
      <c r="D135" s="14"/>
      <c r="E135" s="14"/>
      <c r="F135" s="14"/>
      <c r="G135" s="14"/>
      <c r="H135" s="14"/>
      <c r="I135" s="14"/>
      <c r="J135" s="14"/>
      <c r="K135" s="14"/>
      <c r="L135" s="14"/>
      <c r="M135" s="14"/>
      <c r="N135" s="14"/>
      <c r="O135" s="14"/>
      <c r="P135" s="14"/>
      <c r="Q135" s="14"/>
      <c r="R135" s="14"/>
      <c r="S135" s="14"/>
      <c r="T135" s="14"/>
      <c r="U135" s="14"/>
      <c r="V135" s="14"/>
      <c r="W135" s="14"/>
    </row>
    <row r="136" spans="3:23" x14ac:dyDescent="0.2">
      <c r="C136" s="14"/>
      <c r="D136" s="14"/>
      <c r="E136" s="14"/>
      <c r="F136" s="14"/>
      <c r="G136" s="14"/>
      <c r="H136" s="14"/>
      <c r="I136" s="14"/>
      <c r="J136" s="14"/>
      <c r="K136" s="14"/>
      <c r="L136" s="14"/>
      <c r="M136" s="14"/>
      <c r="N136" s="14"/>
      <c r="O136" s="14"/>
      <c r="P136" s="14"/>
      <c r="Q136" s="14"/>
      <c r="R136" s="14"/>
      <c r="S136" s="14"/>
      <c r="T136" s="14"/>
      <c r="U136" s="14"/>
      <c r="V136" s="14"/>
      <c r="W136" s="14"/>
    </row>
    <row r="137" spans="3:23" x14ac:dyDescent="0.2">
      <c r="C137" s="14"/>
      <c r="D137" s="14"/>
      <c r="E137" s="14"/>
      <c r="F137" s="14"/>
      <c r="G137" s="14"/>
      <c r="H137" s="14"/>
      <c r="I137" s="14"/>
      <c r="J137" s="14"/>
      <c r="K137" s="14"/>
      <c r="L137" s="14"/>
      <c r="M137" s="14"/>
      <c r="N137" s="14"/>
      <c r="O137" s="14"/>
      <c r="P137" s="14"/>
      <c r="Q137" s="14"/>
      <c r="R137" s="14"/>
      <c r="S137" s="14"/>
      <c r="T137" s="14"/>
      <c r="U137" s="14"/>
      <c r="V137" s="14"/>
      <c r="W137" s="14"/>
    </row>
  </sheetData>
  <phoneticPr fontId="3" type="noConversion"/>
  <conditionalFormatting sqref="C5:Z39">
    <cfRule type="cellIs" dxfId="8" priority="1" operator="between">
      <formula>1</formula>
      <formula>2</formula>
    </cfRule>
  </conditionalFormatting>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BS117"/>
  <sheetViews>
    <sheetView topLeftCell="A10" workbookViewId="0">
      <selection activeCell="A2" sqref="A2"/>
    </sheetView>
  </sheetViews>
  <sheetFormatPr defaultColWidth="9.140625" defaultRowHeight="11.25" x14ac:dyDescent="0.2"/>
  <cols>
    <col min="1" max="16384" width="9.140625" style="11"/>
  </cols>
  <sheetData>
    <row r="3" spans="2:26" ht="11.25" customHeight="1" x14ac:dyDescent="0.2">
      <c r="C3" s="29" t="s">
        <v>39</v>
      </c>
      <c r="D3" s="29"/>
      <c r="E3" s="29"/>
      <c r="F3" s="29"/>
      <c r="G3" s="29"/>
      <c r="H3" s="29"/>
      <c r="I3" s="29" t="s">
        <v>40</v>
      </c>
      <c r="J3" s="29"/>
      <c r="K3" s="29"/>
      <c r="L3" s="29"/>
      <c r="M3" s="29"/>
      <c r="N3" s="29"/>
      <c r="O3" s="29" t="s">
        <v>54</v>
      </c>
      <c r="P3" s="29"/>
      <c r="Q3" s="29"/>
      <c r="R3" s="29"/>
      <c r="S3" s="29"/>
      <c r="T3" s="29"/>
      <c r="U3" s="29" t="s">
        <v>41</v>
      </c>
      <c r="V3" s="29"/>
      <c r="W3" s="29"/>
      <c r="X3" s="29" t="s">
        <v>45</v>
      </c>
      <c r="Y3" s="29"/>
      <c r="Z3" s="29"/>
    </row>
    <row r="4" spans="2:26" x14ac:dyDescent="0.2">
      <c r="C4" s="11" t="s">
        <v>33</v>
      </c>
      <c r="D4" s="11" t="s">
        <v>34</v>
      </c>
      <c r="E4" s="11" t="s">
        <v>35</v>
      </c>
      <c r="F4" s="11" t="s">
        <v>36</v>
      </c>
      <c r="G4" s="11" t="s">
        <v>37</v>
      </c>
      <c r="H4" s="11" t="s">
        <v>38</v>
      </c>
      <c r="I4" s="11" t="s">
        <v>33</v>
      </c>
      <c r="J4" s="11" t="s">
        <v>34</v>
      </c>
      <c r="K4" s="11" t="s">
        <v>35</v>
      </c>
      <c r="L4" s="11" t="s">
        <v>36</v>
      </c>
      <c r="M4" s="11" t="s">
        <v>37</v>
      </c>
      <c r="N4" s="11" t="s">
        <v>38</v>
      </c>
      <c r="O4" s="11" t="s">
        <v>33</v>
      </c>
      <c r="P4" s="11" t="s">
        <v>34</v>
      </c>
      <c r="Q4" s="11" t="s">
        <v>35</v>
      </c>
      <c r="R4" s="11" t="s">
        <v>36</v>
      </c>
      <c r="S4" s="11" t="s">
        <v>37</v>
      </c>
      <c r="T4" s="11" t="s">
        <v>38</v>
      </c>
      <c r="U4" s="11" t="s">
        <v>42</v>
      </c>
      <c r="V4" s="11" t="s">
        <v>43</v>
      </c>
      <c r="W4" s="11" t="s">
        <v>44</v>
      </c>
      <c r="X4" s="11" t="s">
        <v>42</v>
      </c>
      <c r="Y4" s="11" t="s">
        <v>43</v>
      </c>
      <c r="Z4" s="11" t="s">
        <v>44</v>
      </c>
    </row>
    <row r="5" spans="2:26" x14ac:dyDescent="0.2">
      <c r="B5" s="10" t="s">
        <v>0</v>
      </c>
      <c r="C5" s="10">
        <v>3266</v>
      </c>
      <c r="D5" s="10">
        <v>3298</v>
      </c>
      <c r="E5" s="10">
        <v>3454</v>
      </c>
      <c r="F5" s="10">
        <v>3136</v>
      </c>
      <c r="G5" s="10">
        <v>2580</v>
      </c>
      <c r="H5" s="10">
        <v>1286</v>
      </c>
      <c r="I5" s="10">
        <v>6213</v>
      </c>
      <c r="J5" s="10">
        <v>5850</v>
      </c>
      <c r="K5" s="10">
        <v>5503</v>
      </c>
      <c r="L5" s="10">
        <v>4545</v>
      </c>
      <c r="M5" s="10">
        <v>3350</v>
      </c>
      <c r="N5" s="10">
        <v>1421</v>
      </c>
      <c r="O5" s="10">
        <v>9479</v>
      </c>
      <c r="P5" s="10">
        <v>9148</v>
      </c>
      <c r="Q5" s="10">
        <v>8957</v>
      </c>
      <c r="R5" s="10">
        <v>7681</v>
      </c>
      <c r="S5" s="10">
        <v>5930</v>
      </c>
      <c r="T5" s="10">
        <v>2707</v>
      </c>
      <c r="U5" s="11">
        <v>17020</v>
      </c>
      <c r="V5" s="11">
        <v>26882</v>
      </c>
      <c r="W5" s="11">
        <v>43902</v>
      </c>
      <c r="X5" s="11">
        <v>15734</v>
      </c>
      <c r="Y5" s="11">
        <v>25461</v>
      </c>
      <c r="Z5" s="11">
        <v>41195</v>
      </c>
    </row>
    <row r="6" spans="2:26" x14ac:dyDescent="0.2">
      <c r="B6" s="10" t="s">
        <v>1</v>
      </c>
      <c r="C6" s="10">
        <v>4115</v>
      </c>
      <c r="D6" s="10">
        <v>3526</v>
      </c>
      <c r="E6" s="10">
        <v>2866</v>
      </c>
      <c r="F6" s="10">
        <v>2279</v>
      </c>
      <c r="G6" s="10">
        <v>1617</v>
      </c>
      <c r="H6" s="10">
        <v>721</v>
      </c>
      <c r="I6" s="10">
        <v>4941</v>
      </c>
      <c r="J6" s="10">
        <v>3996</v>
      </c>
      <c r="K6" s="10">
        <v>3025</v>
      </c>
      <c r="L6" s="10">
        <v>2136</v>
      </c>
      <c r="M6" s="10">
        <v>1332</v>
      </c>
      <c r="N6" s="10">
        <v>511</v>
      </c>
      <c r="O6" s="10">
        <v>9056</v>
      </c>
      <c r="P6" s="10">
        <v>7522</v>
      </c>
      <c r="Q6" s="10">
        <v>5891</v>
      </c>
      <c r="R6" s="10">
        <v>4415</v>
      </c>
      <c r="S6" s="10">
        <v>2949</v>
      </c>
      <c r="T6" s="10">
        <v>1232</v>
      </c>
      <c r="U6" s="11">
        <v>15124</v>
      </c>
      <c r="V6" s="11">
        <v>15941</v>
      </c>
      <c r="W6" s="11">
        <v>31065</v>
      </c>
      <c r="X6" s="11">
        <v>14403</v>
      </c>
      <c r="Y6" s="11">
        <v>15430</v>
      </c>
      <c r="Z6" s="11">
        <v>29833</v>
      </c>
    </row>
    <row r="7" spans="2:26" x14ac:dyDescent="0.2">
      <c r="B7" s="10" t="s">
        <v>2</v>
      </c>
      <c r="C7" s="10">
        <v>5297</v>
      </c>
      <c r="D7" s="10">
        <v>4153</v>
      </c>
      <c r="E7" s="10">
        <v>3787</v>
      </c>
      <c r="F7" s="10">
        <v>3404</v>
      </c>
      <c r="G7" s="10">
        <v>2541</v>
      </c>
      <c r="H7" s="10">
        <v>1188</v>
      </c>
      <c r="I7" s="10">
        <v>1912</v>
      </c>
      <c r="J7" s="10">
        <v>1358</v>
      </c>
      <c r="K7" s="10">
        <v>1085</v>
      </c>
      <c r="L7" s="10">
        <v>786</v>
      </c>
      <c r="M7" s="10">
        <v>567</v>
      </c>
      <c r="N7" s="10">
        <v>200</v>
      </c>
      <c r="O7" s="10">
        <v>7209</v>
      </c>
      <c r="P7" s="10">
        <v>5511</v>
      </c>
      <c r="Q7" s="10">
        <v>4872</v>
      </c>
      <c r="R7" s="10">
        <v>4190</v>
      </c>
      <c r="S7" s="10">
        <v>3108</v>
      </c>
      <c r="T7" s="10">
        <v>1388</v>
      </c>
      <c r="U7" s="11">
        <v>20370</v>
      </c>
      <c r="V7" s="11">
        <v>5908</v>
      </c>
      <c r="W7" s="11">
        <v>26278</v>
      </c>
      <c r="X7" s="11">
        <v>19182</v>
      </c>
      <c r="Y7" s="11">
        <v>5708</v>
      </c>
      <c r="Z7" s="11">
        <v>24890</v>
      </c>
    </row>
    <row r="8" spans="2:26" x14ac:dyDescent="0.2">
      <c r="B8" s="10" t="s">
        <v>3</v>
      </c>
      <c r="C8" s="10">
        <v>591</v>
      </c>
      <c r="D8" s="10">
        <v>508</v>
      </c>
      <c r="E8" s="10">
        <v>616</v>
      </c>
      <c r="F8" s="10">
        <v>532</v>
      </c>
      <c r="G8" s="10">
        <v>412</v>
      </c>
      <c r="H8" s="10">
        <v>161</v>
      </c>
      <c r="I8" s="10">
        <v>231</v>
      </c>
      <c r="J8" s="10">
        <v>240</v>
      </c>
      <c r="K8" s="10">
        <v>269</v>
      </c>
      <c r="L8" s="10">
        <v>246</v>
      </c>
      <c r="M8" s="10">
        <v>169</v>
      </c>
      <c r="N8" s="10">
        <v>54</v>
      </c>
      <c r="O8" s="10">
        <v>822</v>
      </c>
      <c r="P8" s="10">
        <v>748</v>
      </c>
      <c r="Q8" s="10">
        <v>885</v>
      </c>
      <c r="R8" s="10">
        <v>778</v>
      </c>
      <c r="S8" s="10">
        <v>581</v>
      </c>
      <c r="T8" s="10">
        <v>215</v>
      </c>
      <c r="U8" s="11">
        <v>2820</v>
      </c>
      <c r="V8" s="11">
        <v>1209</v>
      </c>
      <c r="W8" s="11">
        <v>4029</v>
      </c>
      <c r="X8" s="11">
        <v>2659</v>
      </c>
      <c r="Y8" s="11">
        <v>1155</v>
      </c>
      <c r="Z8" s="11">
        <v>3814</v>
      </c>
    </row>
    <row r="9" spans="2:26" x14ac:dyDescent="0.2">
      <c r="B9" s="10" t="s">
        <v>4</v>
      </c>
      <c r="C9" s="10">
        <v>9712</v>
      </c>
      <c r="D9" s="10">
        <v>5544</v>
      </c>
      <c r="E9" s="10">
        <v>4750</v>
      </c>
      <c r="F9" s="10">
        <v>3656</v>
      </c>
      <c r="G9" s="10">
        <v>2528</v>
      </c>
      <c r="H9" s="10">
        <v>1510</v>
      </c>
      <c r="I9" s="10">
        <v>6596</v>
      </c>
      <c r="J9" s="10">
        <v>3782</v>
      </c>
      <c r="K9" s="10">
        <v>2756</v>
      </c>
      <c r="L9" s="10">
        <v>1950</v>
      </c>
      <c r="M9" s="10">
        <v>1074</v>
      </c>
      <c r="N9" s="10">
        <v>595</v>
      </c>
      <c r="O9" s="10">
        <v>16308</v>
      </c>
      <c r="P9" s="10">
        <v>9326</v>
      </c>
      <c r="Q9" s="10">
        <v>7506</v>
      </c>
      <c r="R9" s="10">
        <v>5606</v>
      </c>
      <c r="S9" s="10">
        <v>3602</v>
      </c>
      <c r="T9" s="10">
        <v>2105</v>
      </c>
      <c r="U9" s="11">
        <v>27700</v>
      </c>
      <c r="V9" s="11">
        <v>16753</v>
      </c>
      <c r="W9" s="11">
        <v>44453</v>
      </c>
      <c r="X9" s="11">
        <v>26190</v>
      </c>
      <c r="Y9" s="11">
        <v>16158</v>
      </c>
      <c r="Z9" s="11">
        <v>42348</v>
      </c>
    </row>
    <row r="10" spans="2:26" x14ac:dyDescent="0.2">
      <c r="B10" s="10" t="s">
        <v>5</v>
      </c>
      <c r="C10" s="10">
        <v>2046</v>
      </c>
      <c r="D10" s="10">
        <v>543</v>
      </c>
      <c r="E10" s="10">
        <v>352</v>
      </c>
      <c r="F10" s="10">
        <v>229</v>
      </c>
      <c r="G10" s="10">
        <v>183</v>
      </c>
      <c r="H10" s="10">
        <v>69</v>
      </c>
      <c r="I10" s="10">
        <v>829</v>
      </c>
      <c r="J10" s="10">
        <v>233</v>
      </c>
      <c r="K10" s="10">
        <v>113</v>
      </c>
      <c r="L10" s="10">
        <v>84</v>
      </c>
      <c r="M10" s="10">
        <v>37</v>
      </c>
      <c r="N10" s="10">
        <v>12</v>
      </c>
      <c r="O10" s="10">
        <v>2875</v>
      </c>
      <c r="P10" s="10">
        <v>776</v>
      </c>
      <c r="Q10" s="10">
        <v>465</v>
      </c>
      <c r="R10" s="10">
        <v>313</v>
      </c>
      <c r="S10" s="10">
        <v>220</v>
      </c>
      <c r="T10" s="10">
        <v>81</v>
      </c>
      <c r="U10" s="11">
        <v>3422</v>
      </c>
      <c r="V10" s="11">
        <v>1308</v>
      </c>
      <c r="W10" s="11">
        <v>4730</v>
      </c>
      <c r="X10" s="11">
        <v>3353</v>
      </c>
      <c r="Y10" s="11">
        <v>1296</v>
      </c>
      <c r="Z10" s="11">
        <v>4649</v>
      </c>
    </row>
    <row r="11" spans="2:26" x14ac:dyDescent="0.2">
      <c r="B11" s="10" t="s">
        <v>6</v>
      </c>
      <c r="C11" s="10">
        <v>1208</v>
      </c>
      <c r="D11" s="10">
        <v>1847</v>
      </c>
      <c r="E11" s="10">
        <v>2386</v>
      </c>
      <c r="F11" s="10">
        <v>2264</v>
      </c>
      <c r="G11" s="10">
        <v>1371</v>
      </c>
      <c r="H11" s="10">
        <v>441</v>
      </c>
      <c r="I11" s="10">
        <v>1063</v>
      </c>
      <c r="J11" s="10">
        <v>1500</v>
      </c>
      <c r="K11" s="10">
        <v>1538</v>
      </c>
      <c r="L11" s="10">
        <v>1118</v>
      </c>
      <c r="M11" s="10">
        <v>512</v>
      </c>
      <c r="N11" s="10">
        <v>126</v>
      </c>
      <c r="O11" s="10">
        <v>2271</v>
      </c>
      <c r="P11" s="10">
        <v>3347</v>
      </c>
      <c r="Q11" s="10">
        <v>3924</v>
      </c>
      <c r="R11" s="10">
        <v>3382</v>
      </c>
      <c r="S11" s="10">
        <v>1883</v>
      </c>
      <c r="T11" s="10">
        <v>567</v>
      </c>
      <c r="U11" s="11">
        <v>9517</v>
      </c>
      <c r="V11" s="11">
        <v>5857</v>
      </c>
      <c r="W11" s="11">
        <v>15374</v>
      </c>
      <c r="X11" s="11">
        <v>9076</v>
      </c>
      <c r="Y11" s="11">
        <v>5731</v>
      </c>
      <c r="Z11" s="11">
        <v>14807</v>
      </c>
    </row>
    <row r="12" spans="2:26" x14ac:dyDescent="0.2">
      <c r="B12" s="10" t="s">
        <v>168</v>
      </c>
      <c r="C12" s="10">
        <v>929</v>
      </c>
      <c r="D12" s="10">
        <v>1261</v>
      </c>
      <c r="E12" s="10">
        <v>1635</v>
      </c>
      <c r="F12" s="10">
        <v>1608</v>
      </c>
      <c r="G12" s="10">
        <v>1275</v>
      </c>
      <c r="H12" s="10">
        <v>611</v>
      </c>
      <c r="I12" s="10">
        <v>104</v>
      </c>
      <c r="J12" s="10">
        <v>180</v>
      </c>
      <c r="K12" s="10">
        <v>195</v>
      </c>
      <c r="L12" s="10">
        <v>215</v>
      </c>
      <c r="M12" s="10">
        <v>166</v>
      </c>
      <c r="N12" s="10">
        <v>77</v>
      </c>
      <c r="O12" s="10">
        <v>1033</v>
      </c>
      <c r="P12" s="10">
        <v>1441</v>
      </c>
      <c r="Q12" s="10">
        <v>1830</v>
      </c>
      <c r="R12" s="10">
        <v>1823</v>
      </c>
      <c r="S12" s="10">
        <v>1441</v>
      </c>
      <c r="T12" s="10">
        <v>688</v>
      </c>
      <c r="U12" s="11">
        <v>7319</v>
      </c>
      <c r="V12" s="11">
        <v>937</v>
      </c>
      <c r="W12" s="11">
        <v>8256</v>
      </c>
      <c r="X12" s="11">
        <v>6708</v>
      </c>
      <c r="Y12" s="11">
        <v>860</v>
      </c>
      <c r="Z12" s="11">
        <v>7568</v>
      </c>
    </row>
    <row r="13" spans="2:26" x14ac:dyDescent="0.2">
      <c r="B13" s="10" t="s">
        <v>8</v>
      </c>
      <c r="C13" s="10">
        <v>551</v>
      </c>
      <c r="D13" s="10">
        <v>1438</v>
      </c>
      <c r="E13" s="10">
        <v>2520</v>
      </c>
      <c r="F13" s="10">
        <v>2895</v>
      </c>
      <c r="G13" s="10">
        <v>2328</v>
      </c>
      <c r="H13" s="10">
        <v>1002</v>
      </c>
      <c r="I13" s="10">
        <v>414</v>
      </c>
      <c r="J13" s="10">
        <v>995</v>
      </c>
      <c r="K13" s="10">
        <v>1370</v>
      </c>
      <c r="L13" s="10">
        <v>1460</v>
      </c>
      <c r="M13" s="10">
        <v>992</v>
      </c>
      <c r="N13" s="10">
        <v>344</v>
      </c>
      <c r="O13" s="10">
        <v>965</v>
      </c>
      <c r="P13" s="10">
        <v>2433</v>
      </c>
      <c r="Q13" s="10">
        <v>3890</v>
      </c>
      <c r="R13" s="10">
        <v>4355</v>
      </c>
      <c r="S13" s="10">
        <v>3320</v>
      </c>
      <c r="T13" s="10">
        <v>1346</v>
      </c>
      <c r="U13" s="11">
        <v>10734</v>
      </c>
      <c r="V13" s="11">
        <v>5575</v>
      </c>
      <c r="W13" s="11">
        <v>16309</v>
      </c>
      <c r="X13" s="11">
        <v>9732</v>
      </c>
      <c r="Y13" s="11">
        <v>5231</v>
      </c>
      <c r="Z13" s="11">
        <v>14963</v>
      </c>
    </row>
    <row r="14" spans="2:26" x14ac:dyDescent="0.2">
      <c r="B14" s="10" t="s">
        <v>9</v>
      </c>
      <c r="C14" s="10">
        <v>1</v>
      </c>
      <c r="D14" s="10">
        <v>8</v>
      </c>
      <c r="E14" s="10">
        <v>9</v>
      </c>
      <c r="F14" s="10">
        <v>17</v>
      </c>
      <c r="G14" s="10">
        <v>12</v>
      </c>
      <c r="H14" s="10">
        <v>4</v>
      </c>
      <c r="I14" s="10">
        <v>91</v>
      </c>
      <c r="J14" s="10">
        <v>125</v>
      </c>
      <c r="K14" s="10">
        <v>132</v>
      </c>
      <c r="L14" s="10">
        <v>120</v>
      </c>
      <c r="M14" s="10">
        <v>65</v>
      </c>
      <c r="N14" s="10">
        <v>16</v>
      </c>
      <c r="O14" s="10">
        <v>92</v>
      </c>
      <c r="P14" s="10">
        <v>133</v>
      </c>
      <c r="Q14" s="10">
        <v>141</v>
      </c>
      <c r="R14" s="10">
        <v>137</v>
      </c>
      <c r="S14" s="10">
        <v>77</v>
      </c>
      <c r="T14" s="10">
        <v>20</v>
      </c>
      <c r="U14" s="11">
        <v>51</v>
      </c>
      <c r="V14" s="11">
        <v>549</v>
      </c>
      <c r="W14" s="11">
        <v>600</v>
      </c>
      <c r="X14" s="11">
        <v>47</v>
      </c>
      <c r="Y14" s="11">
        <v>533</v>
      </c>
      <c r="Z14" s="11">
        <v>580</v>
      </c>
    </row>
    <row r="15" spans="2:26" x14ac:dyDescent="0.2">
      <c r="B15" s="10" t="s">
        <v>10</v>
      </c>
      <c r="C15" s="10">
        <v>151</v>
      </c>
      <c r="D15" s="10">
        <v>223</v>
      </c>
      <c r="E15" s="10">
        <v>296</v>
      </c>
      <c r="F15" s="10">
        <v>301</v>
      </c>
      <c r="G15" s="10">
        <v>305</v>
      </c>
      <c r="H15" s="10">
        <v>166</v>
      </c>
      <c r="I15" s="10">
        <v>132</v>
      </c>
      <c r="J15" s="10">
        <v>149</v>
      </c>
      <c r="K15" s="10">
        <v>170</v>
      </c>
      <c r="L15" s="10">
        <v>208</v>
      </c>
      <c r="M15" s="10">
        <v>171</v>
      </c>
      <c r="N15" s="10">
        <v>99</v>
      </c>
      <c r="O15" s="10">
        <v>283</v>
      </c>
      <c r="P15" s="10">
        <v>372</v>
      </c>
      <c r="Q15" s="10">
        <v>466</v>
      </c>
      <c r="R15" s="10">
        <v>509</v>
      </c>
      <c r="S15" s="10">
        <v>476</v>
      </c>
      <c r="T15" s="10">
        <v>265</v>
      </c>
      <c r="U15" s="11">
        <v>1442</v>
      </c>
      <c r="V15" s="11">
        <v>929</v>
      </c>
      <c r="W15" s="11">
        <v>2371</v>
      </c>
      <c r="X15" s="11">
        <v>1276</v>
      </c>
      <c r="Y15" s="11">
        <v>830</v>
      </c>
      <c r="Z15" s="11">
        <v>2106</v>
      </c>
    </row>
    <row r="16" spans="2:26" x14ac:dyDescent="0.2">
      <c r="B16" s="10" t="s">
        <v>11</v>
      </c>
      <c r="C16" s="10">
        <v>2244</v>
      </c>
      <c r="D16" s="10">
        <v>4413</v>
      </c>
      <c r="E16" s="10">
        <v>5376</v>
      </c>
      <c r="F16" s="10">
        <v>4464</v>
      </c>
      <c r="G16" s="10">
        <v>2216</v>
      </c>
      <c r="H16" s="10">
        <v>566</v>
      </c>
      <c r="I16" s="10">
        <v>1983</v>
      </c>
      <c r="J16" s="10">
        <v>3164</v>
      </c>
      <c r="K16" s="10">
        <v>3582</v>
      </c>
      <c r="L16" s="10">
        <v>2747</v>
      </c>
      <c r="M16" s="10">
        <v>1330</v>
      </c>
      <c r="N16" s="10">
        <v>359</v>
      </c>
      <c r="O16" s="10">
        <v>4227</v>
      </c>
      <c r="P16" s="10">
        <v>7577</v>
      </c>
      <c r="Q16" s="10">
        <v>8958</v>
      </c>
      <c r="R16" s="10">
        <v>7211</v>
      </c>
      <c r="S16" s="10">
        <v>3546</v>
      </c>
      <c r="T16" s="10">
        <v>925</v>
      </c>
      <c r="U16" s="11">
        <v>19279</v>
      </c>
      <c r="V16" s="11">
        <v>13165</v>
      </c>
      <c r="W16" s="11">
        <v>32444</v>
      </c>
      <c r="X16" s="11">
        <v>18713</v>
      </c>
      <c r="Y16" s="11">
        <v>12806</v>
      </c>
      <c r="Z16" s="11">
        <v>31519</v>
      </c>
    </row>
    <row r="17" spans="2:26" x14ac:dyDescent="0.2">
      <c r="B17" s="10" t="s">
        <v>12</v>
      </c>
      <c r="C17" s="10">
        <v>2842</v>
      </c>
      <c r="D17" s="10">
        <v>2434</v>
      </c>
      <c r="E17" s="10">
        <v>1977</v>
      </c>
      <c r="F17" s="10">
        <v>1306</v>
      </c>
      <c r="G17" s="10">
        <v>620</v>
      </c>
      <c r="H17" s="10">
        <v>203</v>
      </c>
      <c r="I17" s="10">
        <v>1401</v>
      </c>
      <c r="J17" s="10">
        <v>1018</v>
      </c>
      <c r="K17" s="10">
        <v>764</v>
      </c>
      <c r="L17" s="10">
        <v>470</v>
      </c>
      <c r="M17" s="10">
        <v>219</v>
      </c>
      <c r="N17" s="10">
        <v>63</v>
      </c>
      <c r="O17" s="10">
        <v>4243</v>
      </c>
      <c r="P17" s="10">
        <v>3452</v>
      </c>
      <c r="Q17" s="10">
        <v>2741</v>
      </c>
      <c r="R17" s="10">
        <v>1776</v>
      </c>
      <c r="S17" s="10">
        <v>839</v>
      </c>
      <c r="T17" s="10">
        <v>266</v>
      </c>
      <c r="U17" s="11">
        <v>9382</v>
      </c>
      <c r="V17" s="11">
        <v>3935</v>
      </c>
      <c r="W17" s="11">
        <v>13317</v>
      </c>
      <c r="X17" s="11">
        <v>9179</v>
      </c>
      <c r="Y17" s="11">
        <v>3872</v>
      </c>
      <c r="Z17" s="11">
        <v>13051</v>
      </c>
    </row>
    <row r="18" spans="2:26" x14ac:dyDescent="0.2">
      <c r="B18" s="10" t="s">
        <v>13</v>
      </c>
      <c r="C18" s="10">
        <v>3189</v>
      </c>
      <c r="D18" s="10">
        <v>4253</v>
      </c>
      <c r="E18" s="10">
        <v>4165</v>
      </c>
      <c r="F18" s="10">
        <v>3200</v>
      </c>
      <c r="G18" s="10">
        <v>1665</v>
      </c>
      <c r="H18" s="10">
        <v>374</v>
      </c>
      <c r="I18" s="10">
        <v>3979</v>
      </c>
      <c r="J18" s="10">
        <v>3841</v>
      </c>
      <c r="K18" s="10">
        <v>3324</v>
      </c>
      <c r="L18" s="10">
        <v>2094</v>
      </c>
      <c r="M18" s="10">
        <v>887</v>
      </c>
      <c r="N18" s="10">
        <v>208</v>
      </c>
      <c r="O18" s="10">
        <v>7168</v>
      </c>
      <c r="P18" s="10">
        <v>8094</v>
      </c>
      <c r="Q18" s="10">
        <v>7489</v>
      </c>
      <c r="R18" s="10">
        <v>5294</v>
      </c>
      <c r="S18" s="10">
        <v>2552</v>
      </c>
      <c r="T18" s="10">
        <v>582</v>
      </c>
      <c r="U18" s="11">
        <v>16846</v>
      </c>
      <c r="V18" s="11">
        <v>14333</v>
      </c>
      <c r="W18" s="11">
        <v>31179</v>
      </c>
      <c r="X18" s="11">
        <v>16472</v>
      </c>
      <c r="Y18" s="11">
        <v>14125</v>
      </c>
      <c r="Z18" s="11">
        <v>30597</v>
      </c>
    </row>
    <row r="19" spans="2:26" x14ac:dyDescent="0.2">
      <c r="B19" s="10" t="s">
        <v>14</v>
      </c>
      <c r="C19" s="10">
        <v>1267</v>
      </c>
      <c r="D19" s="10">
        <v>1298</v>
      </c>
      <c r="E19" s="10">
        <v>1043</v>
      </c>
      <c r="F19" s="10">
        <v>721</v>
      </c>
      <c r="G19" s="10">
        <v>399</v>
      </c>
      <c r="H19" s="10">
        <v>153</v>
      </c>
      <c r="I19" s="10">
        <v>1060</v>
      </c>
      <c r="J19" s="10">
        <v>872</v>
      </c>
      <c r="K19" s="10">
        <v>665</v>
      </c>
      <c r="L19" s="10">
        <v>382</v>
      </c>
      <c r="M19" s="10">
        <v>196</v>
      </c>
      <c r="N19" s="10">
        <v>78</v>
      </c>
      <c r="O19" s="10">
        <v>2327</v>
      </c>
      <c r="P19" s="10">
        <v>2170</v>
      </c>
      <c r="Q19" s="10">
        <v>1708</v>
      </c>
      <c r="R19" s="10">
        <v>1103</v>
      </c>
      <c r="S19" s="10">
        <v>595</v>
      </c>
      <c r="T19" s="10">
        <v>231</v>
      </c>
      <c r="U19" s="11">
        <v>4881</v>
      </c>
      <c r="V19" s="11">
        <v>3253</v>
      </c>
      <c r="W19" s="11">
        <v>8134</v>
      </c>
      <c r="X19" s="11">
        <v>4728</v>
      </c>
      <c r="Y19" s="11">
        <v>3175</v>
      </c>
      <c r="Z19" s="11">
        <v>7903</v>
      </c>
    </row>
    <row r="20" spans="2:26" x14ac:dyDescent="0.2">
      <c r="B20" s="10" t="s">
        <v>15</v>
      </c>
      <c r="C20" s="10">
        <v>3956</v>
      </c>
      <c r="D20" s="10">
        <v>4420</v>
      </c>
      <c r="E20" s="10">
        <v>4413</v>
      </c>
      <c r="F20" s="10">
        <v>3228</v>
      </c>
      <c r="G20" s="10">
        <v>1473</v>
      </c>
      <c r="H20" s="10">
        <v>375</v>
      </c>
      <c r="I20" s="10">
        <v>4569</v>
      </c>
      <c r="J20" s="10">
        <v>4942</v>
      </c>
      <c r="K20" s="10">
        <v>4293</v>
      </c>
      <c r="L20" s="10">
        <v>3161</v>
      </c>
      <c r="M20" s="10">
        <v>1333</v>
      </c>
      <c r="N20" s="10">
        <v>350</v>
      </c>
      <c r="O20" s="10">
        <v>8525</v>
      </c>
      <c r="P20" s="10">
        <v>9362</v>
      </c>
      <c r="Q20" s="10">
        <v>8706</v>
      </c>
      <c r="R20" s="10">
        <v>6389</v>
      </c>
      <c r="S20" s="10">
        <v>2806</v>
      </c>
      <c r="T20" s="10">
        <v>725</v>
      </c>
      <c r="U20" s="11">
        <v>17865</v>
      </c>
      <c r="V20" s="11">
        <v>18648</v>
      </c>
      <c r="W20" s="11">
        <v>36513</v>
      </c>
      <c r="X20" s="11">
        <v>17490</v>
      </c>
      <c r="Y20" s="11">
        <v>18298</v>
      </c>
      <c r="Z20" s="11">
        <v>35788</v>
      </c>
    </row>
    <row r="21" spans="2:26" x14ac:dyDescent="0.2">
      <c r="B21" s="10" t="s">
        <v>16</v>
      </c>
      <c r="C21" s="10">
        <v>548</v>
      </c>
      <c r="D21" s="10">
        <v>756</v>
      </c>
      <c r="E21" s="10">
        <v>888</v>
      </c>
      <c r="F21" s="10">
        <v>863</v>
      </c>
      <c r="G21" s="10">
        <v>613</v>
      </c>
      <c r="H21" s="10">
        <v>305</v>
      </c>
      <c r="I21" s="10">
        <v>1204</v>
      </c>
      <c r="J21" s="10">
        <v>1331</v>
      </c>
      <c r="K21" s="10">
        <v>1415</v>
      </c>
      <c r="L21" s="10">
        <v>1152</v>
      </c>
      <c r="M21" s="10">
        <v>697</v>
      </c>
      <c r="N21" s="10">
        <v>325</v>
      </c>
      <c r="O21" s="10">
        <v>1752</v>
      </c>
      <c r="P21" s="10">
        <v>2087</v>
      </c>
      <c r="Q21" s="10">
        <v>2303</v>
      </c>
      <c r="R21" s="10">
        <v>2015</v>
      </c>
      <c r="S21" s="10">
        <v>1310</v>
      </c>
      <c r="T21" s="10">
        <v>630</v>
      </c>
      <c r="U21" s="11">
        <v>3973</v>
      </c>
      <c r="V21" s="11">
        <v>6124</v>
      </c>
      <c r="W21" s="11">
        <v>10097</v>
      </c>
      <c r="X21" s="11">
        <v>3668</v>
      </c>
      <c r="Y21" s="11">
        <v>5799</v>
      </c>
      <c r="Z21" s="11">
        <v>9467</v>
      </c>
    </row>
    <row r="22" spans="2:26" x14ac:dyDescent="0.2">
      <c r="B22" s="10" t="s">
        <v>17</v>
      </c>
      <c r="C22" s="10">
        <v>976</v>
      </c>
      <c r="D22" s="10">
        <v>1657</v>
      </c>
      <c r="E22" s="10">
        <v>2088</v>
      </c>
      <c r="F22" s="10">
        <v>2109</v>
      </c>
      <c r="G22" s="10">
        <v>1489</v>
      </c>
      <c r="H22" s="10">
        <v>770</v>
      </c>
      <c r="I22" s="10">
        <v>5671</v>
      </c>
      <c r="J22" s="10">
        <v>6955</v>
      </c>
      <c r="K22" s="10">
        <v>6877</v>
      </c>
      <c r="L22" s="10">
        <v>5299</v>
      </c>
      <c r="M22" s="10">
        <v>2971</v>
      </c>
      <c r="N22" s="10">
        <v>1035</v>
      </c>
      <c r="O22" s="10">
        <v>6647</v>
      </c>
      <c r="P22" s="10">
        <v>8612</v>
      </c>
      <c r="Q22" s="10">
        <v>8965</v>
      </c>
      <c r="R22" s="10">
        <v>7408</v>
      </c>
      <c r="S22" s="10">
        <v>4460</v>
      </c>
      <c r="T22" s="10">
        <v>1805</v>
      </c>
      <c r="U22" s="11">
        <v>9089</v>
      </c>
      <c r="V22" s="11">
        <v>28808</v>
      </c>
      <c r="W22" s="11">
        <v>37897</v>
      </c>
      <c r="X22" s="11">
        <v>8319</v>
      </c>
      <c r="Y22" s="11">
        <v>27773</v>
      </c>
      <c r="Z22" s="11">
        <v>36092</v>
      </c>
    </row>
    <row r="23" spans="2:26" x14ac:dyDescent="0.2">
      <c r="B23" s="10" t="s">
        <v>18</v>
      </c>
      <c r="C23" s="10">
        <v>679</v>
      </c>
      <c r="D23" s="10">
        <v>1115</v>
      </c>
      <c r="E23" s="10">
        <v>1248</v>
      </c>
      <c r="F23" s="10">
        <v>1062</v>
      </c>
      <c r="G23" s="10">
        <v>606</v>
      </c>
      <c r="H23" s="10">
        <v>281</v>
      </c>
      <c r="I23" s="10">
        <v>3195</v>
      </c>
      <c r="J23" s="10">
        <v>4169</v>
      </c>
      <c r="K23" s="10">
        <v>4033</v>
      </c>
      <c r="L23" s="10">
        <v>2782</v>
      </c>
      <c r="M23" s="10">
        <v>1430</v>
      </c>
      <c r="N23" s="10">
        <v>468</v>
      </c>
      <c r="O23" s="10">
        <v>3874</v>
      </c>
      <c r="P23" s="10">
        <v>5284</v>
      </c>
      <c r="Q23" s="10">
        <v>5281</v>
      </c>
      <c r="R23" s="10">
        <v>3844</v>
      </c>
      <c r="S23" s="10">
        <v>2036</v>
      </c>
      <c r="T23" s="10">
        <v>749</v>
      </c>
      <c r="U23" s="11">
        <v>4991</v>
      </c>
      <c r="V23" s="11">
        <v>16077</v>
      </c>
      <c r="W23" s="11">
        <v>21068</v>
      </c>
      <c r="X23" s="11">
        <v>4710</v>
      </c>
      <c r="Y23" s="11">
        <v>15609</v>
      </c>
      <c r="Z23" s="11">
        <v>20319</v>
      </c>
    </row>
    <row r="24" spans="2:26" x14ac:dyDescent="0.2">
      <c r="B24" s="10" t="s">
        <v>19</v>
      </c>
      <c r="C24" s="10">
        <v>142</v>
      </c>
      <c r="D24" s="10">
        <v>239</v>
      </c>
      <c r="E24" s="10">
        <v>244</v>
      </c>
      <c r="F24" s="10">
        <v>176</v>
      </c>
      <c r="G24" s="10">
        <v>126</v>
      </c>
      <c r="H24" s="10">
        <v>48</v>
      </c>
      <c r="I24" s="10">
        <v>212</v>
      </c>
      <c r="J24" s="10">
        <v>245</v>
      </c>
      <c r="K24" s="10">
        <v>219</v>
      </c>
      <c r="L24" s="10">
        <v>164</v>
      </c>
      <c r="M24" s="10">
        <v>83</v>
      </c>
      <c r="N24" s="10">
        <v>35</v>
      </c>
      <c r="O24" s="10">
        <v>354</v>
      </c>
      <c r="P24" s="10">
        <v>484</v>
      </c>
      <c r="Q24" s="10">
        <v>463</v>
      </c>
      <c r="R24" s="10">
        <v>340</v>
      </c>
      <c r="S24" s="10">
        <v>209</v>
      </c>
      <c r="T24" s="10">
        <v>83</v>
      </c>
      <c r="U24" s="11">
        <v>975</v>
      </c>
      <c r="V24" s="11">
        <v>958</v>
      </c>
      <c r="W24" s="11">
        <v>1933</v>
      </c>
      <c r="X24" s="11">
        <v>927</v>
      </c>
      <c r="Y24" s="11">
        <v>923</v>
      </c>
      <c r="Z24" s="11">
        <v>1850</v>
      </c>
    </row>
    <row r="25" spans="2:26" x14ac:dyDescent="0.2">
      <c r="B25" s="10" t="s">
        <v>20</v>
      </c>
      <c r="C25" s="10">
        <v>2235</v>
      </c>
      <c r="D25" s="10">
        <v>2160</v>
      </c>
      <c r="E25" s="10">
        <v>2384</v>
      </c>
      <c r="F25" s="10">
        <v>2058</v>
      </c>
      <c r="G25" s="10">
        <v>1115</v>
      </c>
      <c r="H25" s="10">
        <v>516</v>
      </c>
      <c r="I25" s="10">
        <v>6929</v>
      </c>
      <c r="J25" s="10">
        <v>5715</v>
      </c>
      <c r="K25" s="10">
        <v>5354</v>
      </c>
      <c r="L25" s="10">
        <v>3403</v>
      </c>
      <c r="M25" s="10">
        <v>1530</v>
      </c>
      <c r="N25" s="10">
        <v>593</v>
      </c>
      <c r="O25" s="10">
        <v>9164</v>
      </c>
      <c r="P25" s="10">
        <v>7875</v>
      </c>
      <c r="Q25" s="10">
        <v>7738</v>
      </c>
      <c r="R25" s="10">
        <v>5461</v>
      </c>
      <c r="S25" s="10">
        <v>2645</v>
      </c>
      <c r="T25" s="10">
        <v>1109</v>
      </c>
      <c r="U25" s="11">
        <v>10468</v>
      </c>
      <c r="V25" s="11">
        <v>23524</v>
      </c>
      <c r="W25" s="11">
        <v>33992</v>
      </c>
      <c r="X25" s="11">
        <v>9952</v>
      </c>
      <c r="Y25" s="11">
        <v>22931</v>
      </c>
      <c r="Z25" s="11">
        <v>32883</v>
      </c>
    </row>
    <row r="26" spans="2:26" x14ac:dyDescent="0.2">
      <c r="B26" s="10" t="s">
        <v>21</v>
      </c>
      <c r="C26" s="10">
        <v>395</v>
      </c>
      <c r="D26" s="10">
        <v>865</v>
      </c>
      <c r="E26" s="10">
        <v>1257</v>
      </c>
      <c r="F26" s="10">
        <v>785</v>
      </c>
      <c r="G26" s="10">
        <v>344</v>
      </c>
      <c r="H26" s="10">
        <v>80</v>
      </c>
      <c r="I26" s="10">
        <v>1562</v>
      </c>
      <c r="J26" s="10">
        <v>2869</v>
      </c>
      <c r="K26" s="10">
        <v>3031</v>
      </c>
      <c r="L26" s="10">
        <v>1714</v>
      </c>
      <c r="M26" s="10">
        <v>558</v>
      </c>
      <c r="N26" s="10">
        <v>96</v>
      </c>
      <c r="O26" s="10">
        <v>1957</v>
      </c>
      <c r="P26" s="10">
        <v>3734</v>
      </c>
      <c r="Q26" s="10">
        <v>4288</v>
      </c>
      <c r="R26" s="10">
        <v>2499</v>
      </c>
      <c r="S26" s="10">
        <v>902</v>
      </c>
      <c r="T26" s="10">
        <v>176</v>
      </c>
      <c r="U26" s="11">
        <v>3726</v>
      </c>
      <c r="V26" s="11">
        <v>9830</v>
      </c>
      <c r="W26" s="11">
        <v>13556</v>
      </c>
      <c r="X26" s="11">
        <v>3646</v>
      </c>
      <c r="Y26" s="11">
        <v>9734</v>
      </c>
      <c r="Z26" s="11">
        <v>13380</v>
      </c>
    </row>
    <row r="27" spans="2:26" x14ac:dyDescent="0.2">
      <c r="B27" s="10" t="s">
        <v>22</v>
      </c>
      <c r="C27" s="10">
        <v>4339</v>
      </c>
      <c r="D27" s="10">
        <v>4994</v>
      </c>
      <c r="E27" s="10">
        <v>5674</v>
      </c>
      <c r="F27" s="10">
        <v>4288</v>
      </c>
      <c r="G27" s="10">
        <v>1818</v>
      </c>
      <c r="H27" s="10">
        <v>403</v>
      </c>
      <c r="I27" s="10">
        <v>9882</v>
      </c>
      <c r="J27" s="10">
        <v>12601</v>
      </c>
      <c r="K27" s="10">
        <v>13847</v>
      </c>
      <c r="L27" s="10">
        <v>10060</v>
      </c>
      <c r="M27" s="10">
        <v>3478</v>
      </c>
      <c r="N27" s="10">
        <v>627</v>
      </c>
      <c r="O27" s="10">
        <v>14221</v>
      </c>
      <c r="P27" s="10">
        <v>17595</v>
      </c>
      <c r="Q27" s="10">
        <v>19521</v>
      </c>
      <c r="R27" s="10">
        <v>14348</v>
      </c>
      <c r="S27" s="10">
        <v>5296</v>
      </c>
      <c r="T27" s="10">
        <v>1030</v>
      </c>
      <c r="U27" s="11">
        <v>21516</v>
      </c>
      <c r="V27" s="11">
        <v>50495</v>
      </c>
      <c r="W27" s="11">
        <v>72011</v>
      </c>
      <c r="X27" s="11">
        <v>21113</v>
      </c>
      <c r="Y27" s="11">
        <v>49868</v>
      </c>
      <c r="Z27" s="11">
        <v>70981</v>
      </c>
    </row>
    <row r="28" spans="2:26" x14ac:dyDescent="0.2">
      <c r="B28" s="10" t="s">
        <v>51</v>
      </c>
      <c r="C28" s="10">
        <v>735</v>
      </c>
      <c r="D28" s="10">
        <v>1726</v>
      </c>
      <c r="E28" s="10">
        <v>2529</v>
      </c>
      <c r="F28" s="10">
        <v>2123</v>
      </c>
      <c r="G28" s="10">
        <v>794</v>
      </c>
      <c r="H28" s="10">
        <v>203</v>
      </c>
      <c r="I28" s="10">
        <v>1519</v>
      </c>
      <c r="J28" s="10">
        <v>2954</v>
      </c>
      <c r="K28" s="10">
        <v>3514</v>
      </c>
      <c r="L28" s="10">
        <v>2293</v>
      </c>
      <c r="M28" s="10">
        <v>744</v>
      </c>
      <c r="N28" s="10">
        <v>136</v>
      </c>
      <c r="O28" s="10">
        <v>2254</v>
      </c>
      <c r="P28" s="10">
        <v>4680</v>
      </c>
      <c r="Q28" s="10">
        <v>6043</v>
      </c>
      <c r="R28" s="10">
        <v>4416</v>
      </c>
      <c r="S28" s="10">
        <v>1538</v>
      </c>
      <c r="T28" s="10">
        <v>339</v>
      </c>
      <c r="U28" s="11">
        <v>8110</v>
      </c>
      <c r="V28" s="11">
        <v>11160</v>
      </c>
      <c r="W28" s="11">
        <v>19270</v>
      </c>
      <c r="X28" s="11">
        <v>7907</v>
      </c>
      <c r="Y28" s="11">
        <v>11024</v>
      </c>
      <c r="Z28" s="11">
        <v>18931</v>
      </c>
    </row>
    <row r="29" spans="2:26" x14ac:dyDescent="0.2">
      <c r="B29" s="10" t="s">
        <v>23</v>
      </c>
      <c r="C29" s="10">
        <v>324</v>
      </c>
      <c r="D29" s="10">
        <v>775</v>
      </c>
      <c r="E29" s="10">
        <v>835</v>
      </c>
      <c r="F29" s="10">
        <v>510</v>
      </c>
      <c r="G29" s="10">
        <v>200</v>
      </c>
      <c r="H29" s="10">
        <v>81</v>
      </c>
      <c r="I29" s="10">
        <v>689</v>
      </c>
      <c r="J29" s="10">
        <v>1478</v>
      </c>
      <c r="K29" s="10">
        <v>1624</v>
      </c>
      <c r="L29" s="10">
        <v>817</v>
      </c>
      <c r="M29" s="10">
        <v>237</v>
      </c>
      <c r="N29" s="10">
        <v>55</v>
      </c>
      <c r="O29" s="10">
        <v>1013</v>
      </c>
      <c r="P29" s="10">
        <v>2253</v>
      </c>
      <c r="Q29" s="10">
        <v>2459</v>
      </c>
      <c r="R29" s="10">
        <v>1327</v>
      </c>
      <c r="S29" s="10">
        <v>437</v>
      </c>
      <c r="T29" s="10">
        <v>136</v>
      </c>
      <c r="U29" s="11">
        <v>2725</v>
      </c>
      <c r="V29" s="11">
        <v>4900</v>
      </c>
      <c r="W29" s="11">
        <v>7625</v>
      </c>
      <c r="X29" s="11">
        <v>2644</v>
      </c>
      <c r="Y29" s="11">
        <v>4845</v>
      </c>
      <c r="Z29" s="11">
        <v>7489</v>
      </c>
    </row>
    <row r="30" spans="2:26" x14ac:dyDescent="0.2">
      <c r="B30" s="10" t="s">
        <v>24</v>
      </c>
      <c r="C30" s="10">
        <v>1421</v>
      </c>
      <c r="D30" s="10">
        <v>1077</v>
      </c>
      <c r="E30" s="10">
        <v>803</v>
      </c>
      <c r="F30" s="10">
        <v>518</v>
      </c>
      <c r="G30" s="10">
        <v>287</v>
      </c>
      <c r="H30" s="10">
        <v>89</v>
      </c>
      <c r="I30" s="10">
        <v>2631</v>
      </c>
      <c r="J30" s="10">
        <v>2287</v>
      </c>
      <c r="K30" s="10">
        <v>1784</v>
      </c>
      <c r="L30" s="10">
        <v>1211</v>
      </c>
      <c r="M30" s="10">
        <v>618</v>
      </c>
      <c r="N30" s="10">
        <v>178</v>
      </c>
      <c r="O30" s="10">
        <v>4052</v>
      </c>
      <c r="P30" s="10">
        <v>3364</v>
      </c>
      <c r="Q30" s="10">
        <v>2587</v>
      </c>
      <c r="R30" s="10">
        <v>1729</v>
      </c>
      <c r="S30" s="10">
        <v>905</v>
      </c>
      <c r="T30" s="10">
        <v>267</v>
      </c>
      <c r="U30" s="11">
        <v>4195</v>
      </c>
      <c r="V30" s="11">
        <v>8709</v>
      </c>
      <c r="W30" s="11">
        <v>12904</v>
      </c>
      <c r="X30" s="11">
        <v>4106</v>
      </c>
      <c r="Y30" s="11">
        <v>8531</v>
      </c>
      <c r="Z30" s="11">
        <v>12637</v>
      </c>
    </row>
    <row r="31" spans="2:26" x14ac:dyDescent="0.2">
      <c r="B31" s="10" t="s">
        <v>25</v>
      </c>
      <c r="C31" s="10">
        <v>725</v>
      </c>
      <c r="D31" s="10">
        <v>496</v>
      </c>
      <c r="E31" s="10">
        <v>391</v>
      </c>
      <c r="F31" s="10">
        <v>311</v>
      </c>
      <c r="G31" s="10">
        <v>170</v>
      </c>
      <c r="H31" s="10">
        <v>47</v>
      </c>
      <c r="I31" s="10">
        <v>1127</v>
      </c>
      <c r="J31" s="10">
        <v>962</v>
      </c>
      <c r="K31" s="10">
        <v>803</v>
      </c>
      <c r="L31" s="10">
        <v>624</v>
      </c>
      <c r="M31" s="10">
        <v>307</v>
      </c>
      <c r="N31" s="10">
        <v>105</v>
      </c>
      <c r="O31" s="10">
        <v>1852</v>
      </c>
      <c r="P31" s="10">
        <v>1458</v>
      </c>
      <c r="Q31" s="10">
        <v>1194</v>
      </c>
      <c r="R31" s="10">
        <v>935</v>
      </c>
      <c r="S31" s="10">
        <v>477</v>
      </c>
      <c r="T31" s="10">
        <v>152</v>
      </c>
      <c r="U31" s="11">
        <v>2140</v>
      </c>
      <c r="V31" s="11">
        <v>3928</v>
      </c>
      <c r="W31" s="11">
        <v>6068</v>
      </c>
      <c r="X31" s="11">
        <v>2093</v>
      </c>
      <c r="Y31" s="11">
        <v>3823</v>
      </c>
      <c r="Z31" s="11">
        <v>5916</v>
      </c>
    </row>
    <row r="32" spans="2:26" x14ac:dyDescent="0.2">
      <c r="B32" s="10" t="s">
        <v>26</v>
      </c>
      <c r="C32" s="10">
        <v>522</v>
      </c>
      <c r="D32" s="10">
        <v>395</v>
      </c>
      <c r="E32" s="10">
        <v>262</v>
      </c>
      <c r="F32" s="10">
        <v>154</v>
      </c>
      <c r="G32" s="10">
        <v>85</v>
      </c>
      <c r="H32" s="10">
        <v>15</v>
      </c>
      <c r="I32" s="10">
        <v>999</v>
      </c>
      <c r="J32" s="10">
        <v>815</v>
      </c>
      <c r="K32" s="10">
        <v>604</v>
      </c>
      <c r="L32" s="10">
        <v>405</v>
      </c>
      <c r="M32" s="10">
        <v>193</v>
      </c>
      <c r="N32" s="10">
        <v>55</v>
      </c>
      <c r="O32" s="10">
        <v>1521</v>
      </c>
      <c r="P32" s="10">
        <v>1210</v>
      </c>
      <c r="Q32" s="10">
        <v>866</v>
      </c>
      <c r="R32" s="10">
        <v>559</v>
      </c>
      <c r="S32" s="10">
        <v>278</v>
      </c>
      <c r="T32" s="10">
        <v>70</v>
      </c>
      <c r="U32" s="11">
        <v>1433</v>
      </c>
      <c r="V32" s="11">
        <v>3071</v>
      </c>
      <c r="W32" s="11">
        <v>4504</v>
      </c>
      <c r="X32" s="11">
        <v>1418</v>
      </c>
      <c r="Y32" s="11">
        <v>3016</v>
      </c>
      <c r="Z32" s="11">
        <v>4434</v>
      </c>
    </row>
    <row r="33" spans="1:71" x14ac:dyDescent="0.2">
      <c r="B33" s="10" t="s">
        <v>27</v>
      </c>
      <c r="C33" s="10">
        <v>769</v>
      </c>
      <c r="D33" s="10">
        <v>477</v>
      </c>
      <c r="E33" s="10">
        <v>251</v>
      </c>
      <c r="F33" s="10">
        <v>92</v>
      </c>
      <c r="G33" s="10">
        <v>59</v>
      </c>
      <c r="H33" s="10">
        <v>70</v>
      </c>
      <c r="I33" s="10">
        <v>1191</v>
      </c>
      <c r="J33" s="10">
        <v>579</v>
      </c>
      <c r="K33" s="10">
        <v>292</v>
      </c>
      <c r="L33" s="10">
        <v>107</v>
      </c>
      <c r="M33" s="10">
        <v>44</v>
      </c>
      <c r="N33" s="10">
        <v>68</v>
      </c>
      <c r="O33" s="10">
        <v>1960</v>
      </c>
      <c r="P33" s="10">
        <v>1056</v>
      </c>
      <c r="Q33" s="10">
        <v>543</v>
      </c>
      <c r="R33" s="10">
        <v>199</v>
      </c>
      <c r="S33" s="10">
        <v>103</v>
      </c>
      <c r="T33" s="10">
        <v>138</v>
      </c>
      <c r="U33" s="11">
        <v>1718</v>
      </c>
      <c r="V33" s="11">
        <v>2281</v>
      </c>
      <c r="W33" s="11">
        <v>3999</v>
      </c>
      <c r="X33" s="11">
        <v>1648</v>
      </c>
      <c r="Y33" s="11">
        <v>2213</v>
      </c>
      <c r="Z33" s="11">
        <v>3861</v>
      </c>
    </row>
    <row r="34" spans="1:71" x14ac:dyDescent="0.2">
      <c r="B34" s="10" t="s">
        <v>28</v>
      </c>
      <c r="C34" s="10">
        <v>744</v>
      </c>
      <c r="D34" s="10">
        <v>565</v>
      </c>
      <c r="E34" s="10">
        <v>445</v>
      </c>
      <c r="F34" s="10">
        <v>322</v>
      </c>
      <c r="G34" s="10">
        <v>113</v>
      </c>
      <c r="H34" s="10">
        <v>31</v>
      </c>
      <c r="I34" s="10">
        <v>1042</v>
      </c>
      <c r="J34" s="10">
        <v>919</v>
      </c>
      <c r="K34" s="10">
        <v>670</v>
      </c>
      <c r="L34" s="10">
        <v>341</v>
      </c>
      <c r="M34" s="10">
        <v>105</v>
      </c>
      <c r="N34" s="10">
        <v>19</v>
      </c>
      <c r="O34" s="10">
        <v>1786</v>
      </c>
      <c r="P34" s="10">
        <v>1484</v>
      </c>
      <c r="Q34" s="10">
        <v>1115</v>
      </c>
      <c r="R34" s="10">
        <v>663</v>
      </c>
      <c r="S34" s="10">
        <v>218</v>
      </c>
      <c r="T34" s="10">
        <v>50</v>
      </c>
      <c r="U34" s="11">
        <v>2220</v>
      </c>
      <c r="V34" s="11">
        <v>3096</v>
      </c>
      <c r="W34" s="11">
        <v>5316</v>
      </c>
      <c r="X34" s="11">
        <v>2189</v>
      </c>
      <c r="Y34" s="11">
        <v>3077</v>
      </c>
      <c r="Z34" s="11">
        <v>5266</v>
      </c>
    </row>
    <row r="35" spans="1:71" x14ac:dyDescent="0.2">
      <c r="B35" s="10" t="s">
        <v>29</v>
      </c>
      <c r="C35" s="10">
        <v>779</v>
      </c>
      <c r="D35" s="10">
        <v>807</v>
      </c>
      <c r="E35" s="10">
        <v>720</v>
      </c>
      <c r="F35" s="10">
        <v>436</v>
      </c>
      <c r="G35" s="10">
        <v>222</v>
      </c>
      <c r="H35" s="10">
        <v>69</v>
      </c>
      <c r="I35" s="10">
        <v>1670</v>
      </c>
      <c r="J35" s="10">
        <v>2069</v>
      </c>
      <c r="K35" s="10">
        <v>1756</v>
      </c>
      <c r="L35" s="10">
        <v>1115</v>
      </c>
      <c r="M35" s="10">
        <v>403</v>
      </c>
      <c r="N35" s="10">
        <v>127</v>
      </c>
      <c r="O35" s="10">
        <v>2449</v>
      </c>
      <c r="P35" s="10">
        <v>2876</v>
      </c>
      <c r="Q35" s="10">
        <v>2476</v>
      </c>
      <c r="R35" s="10">
        <v>1551</v>
      </c>
      <c r="S35" s="10">
        <v>625</v>
      </c>
      <c r="T35" s="10">
        <v>196</v>
      </c>
      <c r="U35" s="11">
        <v>3033</v>
      </c>
      <c r="V35" s="11">
        <v>7140</v>
      </c>
      <c r="W35" s="11">
        <v>10173</v>
      </c>
      <c r="X35" s="11">
        <v>2964</v>
      </c>
      <c r="Y35" s="11">
        <v>7013</v>
      </c>
      <c r="Z35" s="11">
        <v>9977</v>
      </c>
    </row>
    <row r="36" spans="1:71" x14ac:dyDescent="0.2">
      <c r="B36" s="10" t="s">
        <v>30</v>
      </c>
      <c r="C36" s="10">
        <v>751</v>
      </c>
      <c r="D36" s="10">
        <v>794</v>
      </c>
      <c r="E36" s="10">
        <v>932</v>
      </c>
      <c r="F36" s="10">
        <v>745</v>
      </c>
      <c r="G36" s="10">
        <v>412</v>
      </c>
      <c r="H36" s="10">
        <v>160</v>
      </c>
      <c r="I36" s="10">
        <v>868</v>
      </c>
      <c r="J36" s="10">
        <v>904</v>
      </c>
      <c r="K36" s="10">
        <v>973</v>
      </c>
      <c r="L36" s="10">
        <v>687</v>
      </c>
      <c r="M36" s="10">
        <v>332</v>
      </c>
      <c r="N36" s="10">
        <v>85</v>
      </c>
      <c r="O36" s="10">
        <v>1619</v>
      </c>
      <c r="P36" s="10">
        <v>1698</v>
      </c>
      <c r="Q36" s="10">
        <v>1905</v>
      </c>
      <c r="R36" s="10">
        <v>1432</v>
      </c>
      <c r="S36" s="10">
        <v>744</v>
      </c>
      <c r="T36" s="10">
        <v>245</v>
      </c>
      <c r="U36" s="11">
        <v>3794</v>
      </c>
      <c r="V36" s="11">
        <v>3849</v>
      </c>
      <c r="W36" s="11">
        <v>7643</v>
      </c>
      <c r="X36" s="11">
        <v>3634</v>
      </c>
      <c r="Y36" s="11">
        <v>3764</v>
      </c>
      <c r="Z36" s="11">
        <v>7398</v>
      </c>
    </row>
    <row r="37" spans="1:71" x14ac:dyDescent="0.2">
      <c r="B37" s="10" t="s">
        <v>31</v>
      </c>
      <c r="C37" s="10">
        <v>906</v>
      </c>
      <c r="D37" s="10">
        <v>1961</v>
      </c>
      <c r="E37" s="10">
        <v>2847</v>
      </c>
      <c r="F37" s="10">
        <v>2948</v>
      </c>
      <c r="G37" s="10">
        <v>2072</v>
      </c>
      <c r="H37" s="10">
        <v>602</v>
      </c>
      <c r="I37" s="10">
        <v>1395</v>
      </c>
      <c r="J37" s="10">
        <v>1704</v>
      </c>
      <c r="K37" s="10">
        <v>1847</v>
      </c>
      <c r="L37" s="10">
        <v>1454</v>
      </c>
      <c r="M37" s="10">
        <v>792</v>
      </c>
      <c r="N37" s="10">
        <v>235</v>
      </c>
      <c r="O37" s="10">
        <v>2301</v>
      </c>
      <c r="P37" s="10">
        <v>3665</v>
      </c>
      <c r="Q37" s="10">
        <v>4694</v>
      </c>
      <c r="R37" s="10">
        <v>4402</v>
      </c>
      <c r="S37" s="10">
        <v>2864</v>
      </c>
      <c r="T37" s="10">
        <v>837</v>
      </c>
      <c r="U37" s="11">
        <v>11336</v>
      </c>
      <c r="V37" s="11">
        <v>7427</v>
      </c>
      <c r="W37" s="11">
        <v>18763</v>
      </c>
      <c r="X37" s="11">
        <v>10734</v>
      </c>
      <c r="Y37" s="11">
        <v>7192</v>
      </c>
      <c r="Z37" s="11">
        <v>17926</v>
      </c>
    </row>
    <row r="38" spans="1:71" x14ac:dyDescent="0.2">
      <c r="B38" s="10" t="s">
        <v>32</v>
      </c>
      <c r="C38" s="10">
        <v>3132</v>
      </c>
      <c r="D38" s="10">
        <v>4391</v>
      </c>
      <c r="E38" s="10">
        <v>5887</v>
      </c>
      <c r="F38" s="10">
        <v>6151</v>
      </c>
      <c r="G38" s="10">
        <v>4790</v>
      </c>
      <c r="H38" s="10">
        <v>2485</v>
      </c>
      <c r="I38" s="10">
        <v>3953</v>
      </c>
      <c r="J38" s="10">
        <v>5472</v>
      </c>
      <c r="K38" s="10">
        <v>6966</v>
      </c>
      <c r="L38" s="10">
        <v>6713</v>
      </c>
      <c r="M38" s="10">
        <v>4852</v>
      </c>
      <c r="N38" s="10">
        <v>2105</v>
      </c>
      <c r="O38" s="10">
        <v>7085</v>
      </c>
      <c r="P38" s="10">
        <v>9863</v>
      </c>
      <c r="Q38" s="10">
        <v>12853</v>
      </c>
      <c r="R38" s="10">
        <v>12864</v>
      </c>
      <c r="S38" s="10">
        <v>9642</v>
      </c>
      <c r="T38" s="10">
        <v>4590</v>
      </c>
      <c r="U38" s="11">
        <v>26836</v>
      </c>
      <c r="V38" s="11">
        <v>30061</v>
      </c>
      <c r="W38" s="11">
        <v>56897</v>
      </c>
      <c r="X38" s="11">
        <v>24351</v>
      </c>
      <c r="Y38" s="11">
        <v>27956</v>
      </c>
      <c r="Z38" s="11">
        <v>52307</v>
      </c>
      <c r="AB38" s="74"/>
      <c r="AC38" s="74"/>
      <c r="AD38" s="74"/>
      <c r="AE38" s="74"/>
      <c r="AF38" s="74"/>
      <c r="AG38" s="74"/>
      <c r="AH38" s="74"/>
      <c r="AI38" s="74"/>
      <c r="AJ38" s="74"/>
      <c r="AK38" s="74"/>
      <c r="AL38" s="74"/>
      <c r="AM38" s="74"/>
      <c r="AN38" s="74"/>
      <c r="AO38" s="74"/>
      <c r="AP38" s="74"/>
      <c r="AQ38" s="74"/>
      <c r="AR38" s="74"/>
      <c r="AS38" s="74"/>
      <c r="AT38" s="74"/>
      <c r="AU38" s="74"/>
      <c r="AV38" s="74"/>
      <c r="AY38" s="77"/>
      <c r="AZ38" s="77"/>
      <c r="BA38" s="77"/>
      <c r="BB38" s="77"/>
      <c r="BC38" s="77"/>
      <c r="BD38" s="77"/>
      <c r="BE38" s="77"/>
      <c r="BF38" s="77"/>
      <c r="BG38" s="77"/>
      <c r="BH38" s="77"/>
      <c r="BI38" s="77"/>
      <c r="BJ38" s="77"/>
      <c r="BK38" s="77"/>
      <c r="BL38" s="77"/>
      <c r="BM38" s="77"/>
      <c r="BN38" s="77"/>
      <c r="BO38" s="77"/>
      <c r="BP38" s="77"/>
      <c r="BQ38" s="77"/>
      <c r="BR38" s="77"/>
      <c r="BS38" s="77"/>
    </row>
    <row r="39" spans="1:71" x14ac:dyDescent="0.2">
      <c r="B39" s="10" t="s">
        <v>46</v>
      </c>
      <c r="C39" s="10">
        <v>61487</v>
      </c>
      <c r="D39" s="10">
        <v>64417</v>
      </c>
      <c r="E39" s="10">
        <v>69330</v>
      </c>
      <c r="F39" s="10">
        <v>58891</v>
      </c>
      <c r="G39" s="10">
        <v>36840</v>
      </c>
      <c r="H39" s="10">
        <v>15085</v>
      </c>
      <c r="I39" s="10">
        <v>81257</v>
      </c>
      <c r="J39" s="10">
        <v>86273</v>
      </c>
      <c r="K39" s="10">
        <v>84393</v>
      </c>
      <c r="L39" s="10">
        <v>62063</v>
      </c>
      <c r="M39" s="10">
        <v>31774</v>
      </c>
      <c r="N39" s="10">
        <v>10860</v>
      </c>
      <c r="O39" s="10">
        <v>142744</v>
      </c>
      <c r="P39" s="10">
        <v>150690</v>
      </c>
      <c r="Q39" s="10">
        <v>153723</v>
      </c>
      <c r="R39" s="10">
        <v>120954</v>
      </c>
      <c r="S39" s="10">
        <v>68614</v>
      </c>
      <c r="T39" s="10">
        <v>25945</v>
      </c>
      <c r="U39" s="11">
        <v>306050</v>
      </c>
      <c r="V39" s="11">
        <v>356620</v>
      </c>
      <c r="W39" s="11">
        <v>662670</v>
      </c>
      <c r="X39" s="11">
        <v>290965</v>
      </c>
      <c r="Y39" s="11">
        <v>345760</v>
      </c>
      <c r="Z39" s="11">
        <v>636725</v>
      </c>
      <c r="AB39" s="118"/>
      <c r="AC39" s="118"/>
      <c r="AD39" s="118"/>
      <c r="AE39" s="118"/>
      <c r="AF39" s="118"/>
      <c r="AG39" s="118"/>
      <c r="AH39" s="118"/>
      <c r="AI39" s="118"/>
      <c r="AJ39" s="118"/>
      <c r="AK39" s="118"/>
      <c r="AL39" s="118"/>
      <c r="AM39" s="118"/>
      <c r="AN39" s="118"/>
      <c r="AO39" s="118"/>
      <c r="AP39" s="118"/>
      <c r="AQ39" s="118"/>
      <c r="AR39" s="118"/>
      <c r="AS39" s="118"/>
      <c r="AT39" s="118"/>
      <c r="AU39" s="118"/>
      <c r="AV39" s="118"/>
      <c r="AW39" s="29"/>
      <c r="AX39" s="29"/>
      <c r="AY39" s="119"/>
      <c r="AZ39" s="119"/>
      <c r="BA39" s="119"/>
      <c r="BB39" s="119"/>
      <c r="BC39" s="119"/>
      <c r="BD39" s="119"/>
      <c r="BE39" s="119"/>
      <c r="BF39" s="119"/>
      <c r="BG39" s="119"/>
      <c r="BH39" s="119"/>
      <c r="BI39" s="119"/>
      <c r="BJ39" s="119"/>
      <c r="BK39" s="119"/>
      <c r="BL39" s="119"/>
      <c r="BM39" s="119"/>
      <c r="BN39" s="119"/>
      <c r="BO39" s="119"/>
      <c r="BP39" s="119"/>
      <c r="BQ39" s="119"/>
      <c r="BR39" s="119"/>
      <c r="BS39" s="119"/>
    </row>
    <row r="40" spans="1:71" x14ac:dyDescent="0.2">
      <c r="AB40" s="74"/>
      <c r="AC40" s="74"/>
      <c r="AD40" s="74"/>
      <c r="AE40" s="74"/>
      <c r="AF40" s="74"/>
      <c r="AG40" s="74"/>
      <c r="AH40" s="74"/>
      <c r="AI40" s="74"/>
      <c r="AJ40" s="74"/>
      <c r="AK40" s="74"/>
      <c r="AL40" s="74"/>
      <c r="AM40" s="74"/>
      <c r="AN40" s="74"/>
      <c r="AO40" s="74"/>
      <c r="AP40" s="74"/>
      <c r="AQ40" s="74"/>
      <c r="AR40" s="74"/>
      <c r="AS40" s="74"/>
      <c r="AT40" s="74"/>
      <c r="AU40" s="74"/>
      <c r="AV40" s="74"/>
      <c r="AY40" s="77"/>
      <c r="AZ40" s="77"/>
      <c r="BA40" s="77"/>
      <c r="BB40" s="77"/>
      <c r="BC40" s="77"/>
      <c r="BD40" s="77"/>
      <c r="BE40" s="77"/>
      <c r="BF40" s="77"/>
      <c r="BG40" s="77"/>
      <c r="BH40" s="77"/>
      <c r="BI40" s="77"/>
      <c r="BJ40" s="77"/>
      <c r="BK40" s="77"/>
      <c r="BL40" s="77"/>
      <c r="BM40" s="77"/>
      <c r="BN40" s="77"/>
      <c r="BO40" s="77"/>
      <c r="BP40" s="77"/>
      <c r="BQ40" s="77"/>
      <c r="BR40" s="77"/>
      <c r="BS40" s="77"/>
    </row>
    <row r="41" spans="1:71" x14ac:dyDescent="0.2">
      <c r="A41" s="14"/>
      <c r="B41" s="10" t="s">
        <v>0</v>
      </c>
      <c r="C41" s="4">
        <v>19.2</v>
      </c>
      <c r="D41" s="4">
        <v>19.399999999999999</v>
      </c>
      <c r="E41" s="4">
        <v>20.3</v>
      </c>
      <c r="F41" s="4">
        <v>18.399999999999999</v>
      </c>
      <c r="G41" s="4">
        <v>15.2</v>
      </c>
      <c r="H41" s="4">
        <v>92.4</v>
      </c>
      <c r="I41" s="13">
        <v>17020</v>
      </c>
      <c r="J41" s="4">
        <v>23.1</v>
      </c>
      <c r="K41" s="4">
        <v>21.8</v>
      </c>
      <c r="L41" s="4">
        <v>20.5</v>
      </c>
      <c r="M41" s="4">
        <v>16.899999999999999</v>
      </c>
      <c r="N41" s="4">
        <v>12.5</v>
      </c>
      <c r="O41" s="4">
        <v>94.7</v>
      </c>
      <c r="P41" s="13">
        <v>26882</v>
      </c>
      <c r="Q41" s="4">
        <v>21.6</v>
      </c>
      <c r="R41" s="4">
        <v>20.8</v>
      </c>
      <c r="S41" s="4">
        <v>20.399999999999999</v>
      </c>
      <c r="T41" s="4">
        <v>17.5</v>
      </c>
      <c r="U41" s="4">
        <v>13.5</v>
      </c>
      <c r="V41" s="4">
        <v>93.8</v>
      </c>
      <c r="W41" s="13">
        <v>43902</v>
      </c>
      <c r="X41" s="14"/>
      <c r="Y41" s="14"/>
      <c r="Z41" s="14"/>
      <c r="AA41" s="74"/>
      <c r="AB41" s="74"/>
      <c r="AC41" s="74"/>
      <c r="AD41" s="74"/>
      <c r="AE41" s="74"/>
      <c r="AF41" s="74"/>
      <c r="AG41" s="74"/>
      <c r="AH41" s="74"/>
      <c r="AI41" s="74"/>
      <c r="AJ41" s="74"/>
      <c r="AK41" s="74"/>
      <c r="AL41" s="74"/>
      <c r="AM41" s="74"/>
      <c r="AN41" s="74"/>
      <c r="AO41" s="74"/>
      <c r="AP41" s="74"/>
      <c r="AQ41" s="74"/>
      <c r="AR41" s="74"/>
      <c r="AS41" s="74"/>
      <c r="AT41" s="74"/>
      <c r="AU41" s="74"/>
      <c r="AV41" s="74"/>
      <c r="AX41" s="77"/>
      <c r="AY41" s="77"/>
      <c r="AZ41" s="77"/>
      <c r="BA41" s="77"/>
      <c r="BB41" s="77"/>
      <c r="BC41" s="77"/>
      <c r="BD41" s="77"/>
      <c r="BE41" s="77"/>
      <c r="BF41" s="77"/>
      <c r="BG41" s="77"/>
      <c r="BH41" s="77"/>
      <c r="BI41" s="77"/>
      <c r="BJ41" s="77"/>
      <c r="BK41" s="77"/>
      <c r="BL41" s="77"/>
      <c r="BM41" s="77"/>
      <c r="BN41" s="77"/>
      <c r="BO41" s="77"/>
      <c r="BP41" s="77"/>
      <c r="BQ41" s="77"/>
      <c r="BR41" s="77"/>
      <c r="BS41" s="77"/>
    </row>
    <row r="42" spans="1:71" x14ac:dyDescent="0.2">
      <c r="A42" s="14"/>
      <c r="B42" s="10" t="s">
        <v>1</v>
      </c>
      <c r="C42" s="4">
        <v>27.2</v>
      </c>
      <c r="D42" s="4">
        <v>23.3</v>
      </c>
      <c r="E42" s="4">
        <v>19</v>
      </c>
      <c r="F42" s="4">
        <v>15.1</v>
      </c>
      <c r="G42" s="4">
        <v>10.7</v>
      </c>
      <c r="H42" s="4">
        <v>95.2</v>
      </c>
      <c r="I42" s="13">
        <v>15124</v>
      </c>
      <c r="J42" s="4">
        <v>31</v>
      </c>
      <c r="K42" s="4">
        <v>25.1</v>
      </c>
      <c r="L42" s="4">
        <v>19</v>
      </c>
      <c r="M42" s="4">
        <v>13.4</v>
      </c>
      <c r="N42" s="4">
        <v>8.4</v>
      </c>
      <c r="O42" s="4">
        <v>96.8</v>
      </c>
      <c r="P42" s="13">
        <v>15941</v>
      </c>
      <c r="Q42" s="4">
        <v>29.2</v>
      </c>
      <c r="R42" s="4">
        <v>24.2</v>
      </c>
      <c r="S42" s="4">
        <v>19</v>
      </c>
      <c r="T42" s="4">
        <v>14.2</v>
      </c>
      <c r="U42" s="4">
        <v>9.5</v>
      </c>
      <c r="V42" s="4">
        <v>96</v>
      </c>
      <c r="W42" s="13">
        <v>31065</v>
      </c>
      <c r="X42" s="14"/>
      <c r="Y42" s="14"/>
      <c r="Z42" s="14"/>
      <c r="AA42" s="74"/>
      <c r="AB42" s="74"/>
      <c r="AC42" s="74"/>
      <c r="AD42" s="74"/>
      <c r="AE42" s="74"/>
      <c r="AF42" s="74"/>
      <c r="AG42" s="74"/>
      <c r="AH42" s="74"/>
      <c r="AI42" s="74"/>
      <c r="AJ42" s="74"/>
      <c r="AK42" s="74"/>
      <c r="AL42" s="74"/>
      <c r="AM42" s="74"/>
      <c r="AN42" s="74"/>
      <c r="AO42" s="74"/>
      <c r="AP42" s="74"/>
      <c r="AQ42" s="74"/>
      <c r="AR42" s="74"/>
      <c r="AS42" s="74"/>
      <c r="AT42" s="74"/>
      <c r="AU42" s="74"/>
      <c r="AV42" s="74"/>
      <c r="AX42" s="77"/>
      <c r="AY42" s="77"/>
      <c r="AZ42" s="77"/>
      <c r="BA42" s="77"/>
      <c r="BB42" s="77"/>
      <c r="BC42" s="77"/>
      <c r="BD42" s="77"/>
      <c r="BE42" s="77"/>
      <c r="BF42" s="77"/>
      <c r="BG42" s="77"/>
      <c r="BH42" s="77"/>
      <c r="BI42" s="77"/>
      <c r="BJ42" s="77"/>
      <c r="BK42" s="77"/>
      <c r="BL42" s="77"/>
      <c r="BM42" s="77"/>
      <c r="BN42" s="77"/>
      <c r="BO42" s="77"/>
      <c r="BP42" s="77"/>
      <c r="BQ42" s="77"/>
      <c r="BR42" s="77"/>
      <c r="BS42" s="77"/>
    </row>
    <row r="43" spans="1:71" x14ac:dyDescent="0.2">
      <c r="A43" s="14"/>
      <c r="B43" s="10" t="s">
        <v>2</v>
      </c>
      <c r="C43" s="4">
        <v>26</v>
      </c>
      <c r="D43" s="4">
        <v>20.399999999999999</v>
      </c>
      <c r="E43" s="4">
        <v>18.600000000000001</v>
      </c>
      <c r="F43" s="4">
        <v>16.7</v>
      </c>
      <c r="G43" s="4">
        <v>12.5</v>
      </c>
      <c r="H43" s="4">
        <v>94.2</v>
      </c>
      <c r="I43" s="13">
        <v>20370</v>
      </c>
      <c r="J43" s="4">
        <v>32.4</v>
      </c>
      <c r="K43" s="4">
        <v>23</v>
      </c>
      <c r="L43" s="4">
        <v>18.399999999999999</v>
      </c>
      <c r="M43" s="4">
        <v>13.3</v>
      </c>
      <c r="N43" s="4">
        <v>9.6</v>
      </c>
      <c r="O43" s="4">
        <v>96.6</v>
      </c>
      <c r="P43" s="13">
        <v>5908</v>
      </c>
      <c r="Q43" s="4">
        <v>27.4</v>
      </c>
      <c r="R43" s="4">
        <v>21</v>
      </c>
      <c r="S43" s="4">
        <v>18.5</v>
      </c>
      <c r="T43" s="4">
        <v>15.9</v>
      </c>
      <c r="U43" s="4">
        <v>11.8</v>
      </c>
      <c r="V43" s="4">
        <v>94.7</v>
      </c>
      <c r="W43" s="13">
        <v>26278</v>
      </c>
      <c r="X43" s="14"/>
      <c r="Y43" s="14"/>
      <c r="Z43" s="14"/>
      <c r="AA43" s="74"/>
      <c r="AB43" s="74"/>
      <c r="AC43" s="74"/>
      <c r="AD43" s="74"/>
      <c r="AE43" s="74"/>
      <c r="AF43" s="74"/>
      <c r="AG43" s="74"/>
      <c r="AH43" s="74"/>
      <c r="AI43" s="74"/>
      <c r="AJ43" s="74"/>
      <c r="AK43" s="74"/>
      <c r="AL43" s="74"/>
      <c r="AM43" s="74"/>
      <c r="AN43" s="74"/>
      <c r="AO43" s="74"/>
      <c r="AP43" s="74"/>
      <c r="AQ43" s="74"/>
      <c r="AR43" s="74"/>
      <c r="AS43" s="74"/>
      <c r="AT43" s="74"/>
      <c r="AU43" s="74"/>
      <c r="AV43" s="74"/>
      <c r="AX43" s="77"/>
      <c r="AY43" s="77"/>
      <c r="AZ43" s="77"/>
      <c r="BA43" s="77"/>
      <c r="BB43" s="77"/>
      <c r="BC43" s="77"/>
      <c r="BD43" s="77"/>
      <c r="BE43" s="77"/>
      <c r="BF43" s="77"/>
      <c r="BG43" s="77"/>
      <c r="BH43" s="77"/>
      <c r="BI43" s="77"/>
      <c r="BJ43" s="77"/>
      <c r="BK43" s="77"/>
      <c r="BL43" s="77"/>
      <c r="BM43" s="77"/>
      <c r="BN43" s="77"/>
      <c r="BO43" s="77"/>
      <c r="BP43" s="77"/>
      <c r="BQ43" s="77"/>
      <c r="BR43" s="77"/>
      <c r="BS43" s="77"/>
    </row>
    <row r="44" spans="1:71" x14ac:dyDescent="0.2">
      <c r="A44" s="14"/>
      <c r="B44" s="10" t="s">
        <v>3</v>
      </c>
      <c r="C44" s="4">
        <v>21</v>
      </c>
      <c r="D44" s="4">
        <v>18</v>
      </c>
      <c r="E44" s="4">
        <v>21.8</v>
      </c>
      <c r="F44" s="4">
        <v>18.899999999999999</v>
      </c>
      <c r="G44" s="4">
        <v>14.6</v>
      </c>
      <c r="H44" s="4">
        <v>94.3</v>
      </c>
      <c r="I44" s="13">
        <v>2820</v>
      </c>
      <c r="J44" s="4">
        <v>19.100000000000001</v>
      </c>
      <c r="K44" s="4">
        <v>19.899999999999999</v>
      </c>
      <c r="L44" s="4">
        <v>22.2</v>
      </c>
      <c r="M44" s="4">
        <v>20.3</v>
      </c>
      <c r="N44" s="4">
        <v>14</v>
      </c>
      <c r="O44" s="4">
        <v>95.5</v>
      </c>
      <c r="P44" s="13">
        <v>1209</v>
      </c>
      <c r="Q44" s="4">
        <v>20.399999999999999</v>
      </c>
      <c r="R44" s="4">
        <v>18.600000000000001</v>
      </c>
      <c r="S44" s="4">
        <v>22</v>
      </c>
      <c r="T44" s="4">
        <v>19.3</v>
      </c>
      <c r="U44" s="4">
        <v>14.4</v>
      </c>
      <c r="V44" s="4">
        <v>94.7</v>
      </c>
      <c r="W44" s="13">
        <v>4029</v>
      </c>
      <c r="X44" s="14"/>
      <c r="Y44" s="14"/>
      <c r="Z44" s="14"/>
      <c r="AA44" s="74"/>
      <c r="AB44" s="74"/>
      <c r="AC44" s="74"/>
      <c r="AD44" s="74"/>
      <c r="AE44" s="74"/>
      <c r="AF44" s="74"/>
      <c r="AG44" s="74"/>
      <c r="AH44" s="74"/>
      <c r="AI44" s="74"/>
      <c r="AJ44" s="74"/>
      <c r="AK44" s="74"/>
      <c r="AL44" s="74"/>
      <c r="AM44" s="74"/>
      <c r="AN44" s="74"/>
      <c r="AO44" s="74"/>
      <c r="AP44" s="74"/>
      <c r="AQ44" s="74"/>
      <c r="AR44" s="74"/>
      <c r="AS44" s="74"/>
      <c r="AT44" s="74"/>
      <c r="AU44" s="74"/>
      <c r="AV44" s="74"/>
      <c r="AX44" s="77"/>
      <c r="AY44" s="77"/>
      <c r="AZ44" s="77"/>
      <c r="BA44" s="77"/>
      <c r="BB44" s="77"/>
      <c r="BC44" s="77"/>
      <c r="BD44" s="77"/>
      <c r="BE44" s="77"/>
      <c r="BF44" s="77"/>
      <c r="BG44" s="77"/>
      <c r="BH44" s="77"/>
      <c r="BI44" s="77"/>
      <c r="BJ44" s="77"/>
      <c r="BK44" s="77"/>
      <c r="BL44" s="77"/>
      <c r="BM44" s="77"/>
      <c r="BN44" s="77"/>
      <c r="BO44" s="77"/>
      <c r="BP44" s="77"/>
      <c r="BQ44" s="77"/>
      <c r="BR44" s="77"/>
      <c r="BS44" s="77"/>
    </row>
    <row r="45" spans="1:71" x14ac:dyDescent="0.2">
      <c r="A45" s="14"/>
      <c r="B45" s="10" t="s">
        <v>4</v>
      </c>
      <c r="C45" s="4">
        <v>35.1</v>
      </c>
      <c r="D45" s="4">
        <v>20</v>
      </c>
      <c r="E45" s="4">
        <v>17.100000000000001</v>
      </c>
      <c r="F45" s="4">
        <v>13.2</v>
      </c>
      <c r="G45" s="4">
        <v>9.1</v>
      </c>
      <c r="H45" s="4">
        <v>94.5</v>
      </c>
      <c r="I45" s="13">
        <v>27700</v>
      </c>
      <c r="J45" s="4">
        <v>39.4</v>
      </c>
      <c r="K45" s="4">
        <v>22.6</v>
      </c>
      <c r="L45" s="4">
        <v>16.5</v>
      </c>
      <c r="M45" s="4">
        <v>11.6</v>
      </c>
      <c r="N45" s="4">
        <v>6.4</v>
      </c>
      <c r="O45" s="4">
        <v>96.4</v>
      </c>
      <c r="P45" s="13">
        <v>16753</v>
      </c>
      <c r="Q45" s="4">
        <v>36.700000000000003</v>
      </c>
      <c r="R45" s="4">
        <v>21</v>
      </c>
      <c r="S45" s="4">
        <v>16.899999999999999</v>
      </c>
      <c r="T45" s="4">
        <v>12.6</v>
      </c>
      <c r="U45" s="4">
        <v>8.1</v>
      </c>
      <c r="V45" s="4">
        <v>95.3</v>
      </c>
      <c r="W45" s="13">
        <v>44453</v>
      </c>
      <c r="X45" s="14"/>
      <c r="Y45" s="14"/>
      <c r="Z45" s="14"/>
      <c r="AA45" s="74"/>
      <c r="AB45" s="74"/>
      <c r="AC45" s="74"/>
      <c r="AD45" s="74"/>
      <c r="AE45" s="74"/>
      <c r="AF45" s="74"/>
      <c r="AG45" s="74"/>
      <c r="AH45" s="74"/>
      <c r="AI45" s="74"/>
      <c r="AJ45" s="74"/>
      <c r="AK45" s="74"/>
      <c r="AL45" s="74"/>
      <c r="AM45" s="74"/>
      <c r="AN45" s="74"/>
      <c r="AO45" s="74"/>
      <c r="AP45" s="74"/>
      <c r="AQ45" s="74"/>
      <c r="AR45" s="74"/>
      <c r="AS45" s="74"/>
      <c r="AT45" s="74"/>
      <c r="AU45" s="74"/>
      <c r="AV45" s="74"/>
      <c r="AX45" s="77"/>
      <c r="AY45" s="77"/>
      <c r="AZ45" s="77"/>
      <c r="BA45" s="77"/>
      <c r="BB45" s="77"/>
      <c r="BC45" s="77"/>
      <c r="BD45" s="77"/>
      <c r="BE45" s="77"/>
      <c r="BF45" s="77"/>
      <c r="BG45" s="77"/>
      <c r="BH45" s="77"/>
      <c r="BI45" s="77"/>
      <c r="BJ45" s="77"/>
      <c r="BK45" s="77"/>
      <c r="BL45" s="77"/>
      <c r="BM45" s="77"/>
      <c r="BN45" s="77"/>
      <c r="BO45" s="77"/>
      <c r="BP45" s="77"/>
      <c r="BQ45" s="77"/>
      <c r="BR45" s="77"/>
      <c r="BS45" s="77"/>
    </row>
    <row r="46" spans="1:71" x14ac:dyDescent="0.2">
      <c r="A46" s="14"/>
      <c r="B46" s="10" t="s">
        <v>5</v>
      </c>
      <c r="C46" s="4">
        <v>59.8</v>
      </c>
      <c r="D46" s="4">
        <v>15.9</v>
      </c>
      <c r="E46" s="4">
        <v>10.3</v>
      </c>
      <c r="F46" s="4">
        <v>6.7</v>
      </c>
      <c r="G46" s="4">
        <v>5.3</v>
      </c>
      <c r="H46" s="4">
        <v>98</v>
      </c>
      <c r="I46" s="13">
        <v>3422</v>
      </c>
      <c r="J46" s="4">
        <v>63.4</v>
      </c>
      <c r="K46" s="4">
        <v>17.8</v>
      </c>
      <c r="L46" s="4">
        <v>8.6</v>
      </c>
      <c r="M46" s="4">
        <v>6.4</v>
      </c>
      <c r="N46" s="4">
        <v>2.8</v>
      </c>
      <c r="O46" s="4">
        <v>99.1</v>
      </c>
      <c r="P46" s="13">
        <v>1308</v>
      </c>
      <c r="Q46" s="4">
        <v>60.8</v>
      </c>
      <c r="R46" s="4">
        <v>16.399999999999999</v>
      </c>
      <c r="S46" s="4">
        <v>9.8000000000000007</v>
      </c>
      <c r="T46" s="4">
        <v>6.6</v>
      </c>
      <c r="U46" s="4">
        <v>4.7</v>
      </c>
      <c r="V46" s="4">
        <v>98.3</v>
      </c>
      <c r="W46" s="13">
        <v>4730</v>
      </c>
      <c r="X46" s="14"/>
      <c r="Y46" s="14"/>
      <c r="Z46" s="14"/>
      <c r="AA46" s="74"/>
      <c r="AB46" s="74"/>
      <c r="AC46" s="74"/>
      <c r="AD46" s="74"/>
      <c r="AE46" s="74"/>
      <c r="AF46" s="74"/>
      <c r="AG46" s="74"/>
      <c r="AH46" s="74"/>
      <c r="AI46" s="74"/>
      <c r="AJ46" s="74"/>
      <c r="AK46" s="74"/>
      <c r="AL46" s="74"/>
      <c r="AM46" s="74"/>
      <c r="AN46" s="74"/>
      <c r="AO46" s="74"/>
      <c r="AP46" s="74"/>
      <c r="AQ46" s="74"/>
      <c r="AR46" s="74"/>
      <c r="AS46" s="74"/>
      <c r="AT46" s="74"/>
      <c r="AU46" s="74"/>
      <c r="AV46" s="74"/>
      <c r="AX46" s="77"/>
      <c r="AY46" s="77"/>
      <c r="AZ46" s="77"/>
      <c r="BA46" s="77"/>
      <c r="BB46" s="77"/>
      <c r="BC46" s="77"/>
      <c r="BD46" s="77"/>
      <c r="BE46" s="77"/>
      <c r="BF46" s="77"/>
      <c r="BG46" s="77"/>
      <c r="BH46" s="77"/>
      <c r="BI46" s="77"/>
      <c r="BJ46" s="77"/>
      <c r="BK46" s="77"/>
      <c r="BL46" s="77"/>
      <c r="BM46" s="77"/>
      <c r="BN46" s="77"/>
      <c r="BO46" s="77"/>
      <c r="BP46" s="77"/>
      <c r="BQ46" s="77"/>
      <c r="BR46" s="77"/>
      <c r="BS46" s="77"/>
    </row>
    <row r="47" spans="1:71" x14ac:dyDescent="0.2">
      <c r="A47" s="14"/>
      <c r="B47" s="10" t="s">
        <v>6</v>
      </c>
      <c r="C47" s="4">
        <v>12.7</v>
      </c>
      <c r="D47" s="4">
        <v>19.399999999999999</v>
      </c>
      <c r="E47" s="4">
        <v>25.1</v>
      </c>
      <c r="F47" s="4">
        <v>23.8</v>
      </c>
      <c r="G47" s="4">
        <v>14.4</v>
      </c>
      <c r="H47" s="4">
        <v>95.4</v>
      </c>
      <c r="I47" s="13">
        <v>9517</v>
      </c>
      <c r="J47" s="4">
        <v>18.100000000000001</v>
      </c>
      <c r="K47" s="4">
        <v>25.6</v>
      </c>
      <c r="L47" s="4">
        <v>26.3</v>
      </c>
      <c r="M47" s="4">
        <v>19.100000000000001</v>
      </c>
      <c r="N47" s="4">
        <v>8.6999999999999993</v>
      </c>
      <c r="O47" s="4">
        <v>97.8</v>
      </c>
      <c r="P47" s="13">
        <v>5857</v>
      </c>
      <c r="Q47" s="4">
        <v>14.8</v>
      </c>
      <c r="R47" s="4">
        <v>21.8</v>
      </c>
      <c r="S47" s="4">
        <v>25.5</v>
      </c>
      <c r="T47" s="4">
        <v>22</v>
      </c>
      <c r="U47" s="4">
        <v>12.2</v>
      </c>
      <c r="V47" s="4">
        <v>96.3</v>
      </c>
      <c r="W47" s="13">
        <v>15374</v>
      </c>
      <c r="X47" s="14"/>
      <c r="Y47" s="14"/>
      <c r="Z47" s="14"/>
      <c r="AA47" s="74"/>
      <c r="AB47" s="74"/>
      <c r="AC47" s="74"/>
      <c r="AD47" s="74"/>
      <c r="AE47" s="74"/>
      <c r="AF47" s="74"/>
      <c r="AG47" s="74"/>
      <c r="AH47" s="74"/>
      <c r="AI47" s="74"/>
      <c r="AJ47" s="74"/>
      <c r="AK47" s="74"/>
      <c r="AL47" s="74"/>
      <c r="AM47" s="74"/>
      <c r="AN47" s="74"/>
      <c r="AO47" s="74"/>
      <c r="AP47" s="74"/>
      <c r="AQ47" s="74"/>
      <c r="AR47" s="74"/>
      <c r="AS47" s="74"/>
      <c r="AT47" s="74"/>
      <c r="AU47" s="74"/>
      <c r="AV47" s="74"/>
      <c r="AX47" s="77"/>
      <c r="AY47" s="77"/>
      <c r="AZ47" s="77"/>
      <c r="BA47" s="77"/>
      <c r="BB47" s="77"/>
      <c r="BC47" s="77"/>
      <c r="BD47" s="77"/>
      <c r="BE47" s="77"/>
      <c r="BF47" s="77"/>
      <c r="BG47" s="77"/>
      <c r="BH47" s="77"/>
      <c r="BI47" s="77"/>
      <c r="BJ47" s="77"/>
      <c r="BK47" s="77"/>
      <c r="BL47" s="77"/>
      <c r="BM47" s="77"/>
      <c r="BN47" s="77"/>
      <c r="BO47" s="77"/>
      <c r="BP47" s="77"/>
      <c r="BQ47" s="77"/>
      <c r="BR47" s="77"/>
      <c r="BS47" s="77"/>
    </row>
    <row r="48" spans="1:71" x14ac:dyDescent="0.2">
      <c r="A48" s="14"/>
      <c r="B48" s="10" t="s">
        <v>168</v>
      </c>
      <c r="C48" s="4">
        <v>12.7</v>
      </c>
      <c r="D48" s="4">
        <v>17.2</v>
      </c>
      <c r="E48" s="4">
        <v>22.3</v>
      </c>
      <c r="F48" s="4">
        <v>22</v>
      </c>
      <c r="G48" s="4">
        <v>17.399999999999999</v>
      </c>
      <c r="H48" s="4">
        <v>91.7</v>
      </c>
      <c r="I48" s="13">
        <v>7319</v>
      </c>
      <c r="J48" s="4">
        <v>11.1</v>
      </c>
      <c r="K48" s="4">
        <v>19.2</v>
      </c>
      <c r="L48" s="4">
        <v>20.8</v>
      </c>
      <c r="M48" s="4">
        <v>22.9</v>
      </c>
      <c r="N48" s="4">
        <v>17.7</v>
      </c>
      <c r="O48" s="4">
        <v>91.8</v>
      </c>
      <c r="P48" s="13">
        <v>937</v>
      </c>
      <c r="Q48" s="4">
        <v>12.5</v>
      </c>
      <c r="R48" s="4">
        <v>17.5</v>
      </c>
      <c r="S48" s="4">
        <v>22.2</v>
      </c>
      <c r="T48" s="4">
        <v>22.1</v>
      </c>
      <c r="U48" s="4">
        <v>17.5</v>
      </c>
      <c r="V48" s="4">
        <v>91.7</v>
      </c>
      <c r="W48" s="13">
        <v>8256</v>
      </c>
      <c r="X48" s="14"/>
      <c r="Y48" s="14"/>
      <c r="Z48" s="14"/>
      <c r="AA48" s="74"/>
      <c r="AB48" s="74"/>
      <c r="AC48" s="74"/>
      <c r="AD48" s="74"/>
      <c r="AE48" s="74"/>
      <c r="AF48" s="74"/>
      <c r="AG48" s="74"/>
      <c r="AH48" s="74"/>
      <c r="AI48" s="74"/>
      <c r="AJ48" s="74"/>
      <c r="AK48" s="74"/>
      <c r="AL48" s="74"/>
      <c r="AM48" s="74"/>
      <c r="AN48" s="74"/>
      <c r="AO48" s="74"/>
      <c r="AP48" s="74"/>
      <c r="AQ48" s="74"/>
      <c r="AR48" s="74"/>
      <c r="AS48" s="74"/>
      <c r="AT48" s="74"/>
      <c r="AU48" s="74"/>
      <c r="AV48" s="74"/>
      <c r="AX48" s="77"/>
      <c r="AY48" s="77"/>
      <c r="AZ48" s="77"/>
      <c r="BA48" s="77"/>
      <c r="BB48" s="77"/>
      <c r="BC48" s="77"/>
      <c r="BD48" s="77"/>
      <c r="BE48" s="77"/>
      <c r="BF48" s="77"/>
      <c r="BG48" s="77"/>
      <c r="BH48" s="77"/>
      <c r="BI48" s="77"/>
      <c r="BJ48" s="77"/>
      <c r="BK48" s="77"/>
      <c r="BL48" s="77"/>
      <c r="BM48" s="77"/>
      <c r="BN48" s="77"/>
      <c r="BO48" s="77"/>
      <c r="BP48" s="77"/>
      <c r="BQ48" s="77"/>
      <c r="BR48" s="77"/>
      <c r="BS48" s="77"/>
    </row>
    <row r="49" spans="1:71" x14ac:dyDescent="0.2">
      <c r="A49" s="14"/>
      <c r="B49" s="10" t="s">
        <v>8</v>
      </c>
      <c r="C49" s="4">
        <v>5.0999999999999996</v>
      </c>
      <c r="D49" s="4">
        <v>13.4</v>
      </c>
      <c r="E49" s="4">
        <v>23.5</v>
      </c>
      <c r="F49" s="4">
        <v>27</v>
      </c>
      <c r="G49" s="4">
        <v>21.7</v>
      </c>
      <c r="H49" s="4">
        <v>90.7</v>
      </c>
      <c r="I49" s="13">
        <v>10734</v>
      </c>
      <c r="J49" s="4">
        <v>7.4</v>
      </c>
      <c r="K49" s="4">
        <v>17.8</v>
      </c>
      <c r="L49" s="4">
        <v>24.6</v>
      </c>
      <c r="M49" s="4">
        <v>26.2</v>
      </c>
      <c r="N49" s="4">
        <v>17.8</v>
      </c>
      <c r="O49" s="4">
        <v>93.8</v>
      </c>
      <c r="P49" s="13">
        <v>5575</v>
      </c>
      <c r="Q49" s="4">
        <v>5.9</v>
      </c>
      <c r="R49" s="4">
        <v>14.9</v>
      </c>
      <c r="S49" s="4">
        <v>23.9</v>
      </c>
      <c r="T49" s="4">
        <v>26.7</v>
      </c>
      <c r="U49" s="4">
        <v>20.399999999999999</v>
      </c>
      <c r="V49" s="4">
        <v>91.7</v>
      </c>
      <c r="W49" s="13">
        <v>16309</v>
      </c>
      <c r="X49" s="14"/>
      <c r="Y49" s="14"/>
      <c r="Z49" s="14"/>
      <c r="AA49" s="74"/>
      <c r="AB49" s="74"/>
      <c r="AC49" s="74"/>
      <c r="AD49" s="74"/>
      <c r="AE49" s="74"/>
      <c r="AF49" s="74"/>
      <c r="AG49" s="74"/>
      <c r="AH49" s="74"/>
      <c r="AI49" s="74"/>
      <c r="AJ49" s="74"/>
      <c r="AK49" s="74"/>
      <c r="AL49" s="74"/>
      <c r="AM49" s="74"/>
      <c r="AN49" s="74"/>
      <c r="AO49" s="74"/>
      <c r="AP49" s="74"/>
      <c r="AQ49" s="74"/>
      <c r="AR49" s="74"/>
      <c r="AS49" s="74"/>
      <c r="AT49" s="74"/>
      <c r="AU49" s="74"/>
      <c r="AV49" s="74"/>
      <c r="AX49" s="77"/>
      <c r="AY49" s="77"/>
      <c r="AZ49" s="77"/>
      <c r="BA49" s="77"/>
      <c r="BB49" s="77"/>
      <c r="BC49" s="77"/>
      <c r="BD49" s="77"/>
      <c r="BE49" s="77"/>
      <c r="BF49" s="77"/>
      <c r="BG49" s="77"/>
      <c r="BH49" s="77"/>
      <c r="BI49" s="77"/>
      <c r="BJ49" s="77"/>
      <c r="BK49" s="77"/>
      <c r="BL49" s="77"/>
      <c r="BM49" s="77"/>
      <c r="BN49" s="77"/>
      <c r="BO49" s="77"/>
      <c r="BP49" s="77"/>
      <c r="BQ49" s="77"/>
      <c r="BR49" s="77"/>
      <c r="BS49" s="77"/>
    </row>
    <row r="50" spans="1:71" x14ac:dyDescent="0.2">
      <c r="A50" s="14"/>
      <c r="B50" s="10" t="s">
        <v>9</v>
      </c>
      <c r="C50" s="4" t="s">
        <v>78</v>
      </c>
      <c r="D50" s="4">
        <v>15.7</v>
      </c>
      <c r="E50" s="4">
        <v>17.600000000000001</v>
      </c>
      <c r="F50" s="4">
        <v>33.299999999999997</v>
      </c>
      <c r="G50" s="4">
        <v>23.5</v>
      </c>
      <c r="H50" s="4">
        <v>92.2</v>
      </c>
      <c r="I50" s="13">
        <v>51</v>
      </c>
      <c r="J50" s="4">
        <v>16.600000000000001</v>
      </c>
      <c r="K50" s="4">
        <v>22.8</v>
      </c>
      <c r="L50" s="4">
        <v>24</v>
      </c>
      <c r="M50" s="4">
        <v>21.9</v>
      </c>
      <c r="N50" s="4">
        <v>11.8</v>
      </c>
      <c r="O50" s="4">
        <v>97.1</v>
      </c>
      <c r="P50" s="13">
        <v>549</v>
      </c>
      <c r="Q50" s="4">
        <v>15.3</v>
      </c>
      <c r="R50" s="4">
        <v>22.2</v>
      </c>
      <c r="S50" s="4">
        <v>23.5</v>
      </c>
      <c r="T50" s="4">
        <v>22.8</v>
      </c>
      <c r="U50" s="4">
        <v>12.8</v>
      </c>
      <c r="V50" s="4">
        <v>96.7</v>
      </c>
      <c r="W50" s="13">
        <v>600</v>
      </c>
      <c r="X50" s="14"/>
      <c r="Y50" s="14"/>
      <c r="Z50" s="14"/>
      <c r="AA50" s="74"/>
      <c r="AB50" s="74"/>
      <c r="AC50" s="74"/>
      <c r="AD50" s="74"/>
      <c r="AE50" s="74"/>
      <c r="AF50" s="74"/>
      <c r="AG50" s="74"/>
      <c r="AH50" s="74"/>
      <c r="AI50" s="74"/>
      <c r="AJ50" s="74"/>
      <c r="AK50" s="74"/>
      <c r="AL50" s="74"/>
      <c r="AM50" s="74"/>
      <c r="AN50" s="74"/>
      <c r="AO50" s="74"/>
      <c r="AP50" s="74"/>
      <c r="AQ50" s="74"/>
      <c r="AR50" s="74"/>
      <c r="AS50" s="74"/>
      <c r="AT50" s="74"/>
      <c r="AU50" s="74"/>
      <c r="AV50" s="74"/>
      <c r="AX50" s="77"/>
      <c r="AY50" s="77"/>
      <c r="AZ50" s="77"/>
      <c r="BA50" s="77"/>
      <c r="BB50" s="77"/>
      <c r="BC50" s="77"/>
      <c r="BD50" s="77"/>
      <c r="BE50" s="77"/>
      <c r="BF50" s="77"/>
      <c r="BG50" s="77"/>
      <c r="BH50" s="77"/>
      <c r="BI50" s="77"/>
      <c r="BJ50" s="77"/>
      <c r="BK50" s="77"/>
      <c r="BL50" s="77"/>
      <c r="BM50" s="77"/>
      <c r="BN50" s="77"/>
      <c r="BO50" s="77"/>
      <c r="BP50" s="77"/>
      <c r="BQ50" s="77"/>
      <c r="BR50" s="77"/>
      <c r="BS50" s="77"/>
    </row>
    <row r="51" spans="1:71" x14ac:dyDescent="0.2">
      <c r="A51" s="14"/>
      <c r="B51" s="10" t="s">
        <v>10</v>
      </c>
      <c r="C51" s="4">
        <v>10.5</v>
      </c>
      <c r="D51" s="4">
        <v>15.5</v>
      </c>
      <c r="E51" s="4">
        <v>20.5</v>
      </c>
      <c r="F51" s="4">
        <v>20.9</v>
      </c>
      <c r="G51" s="4">
        <v>21.2</v>
      </c>
      <c r="H51" s="4">
        <v>88.5</v>
      </c>
      <c r="I51" s="13">
        <v>1442</v>
      </c>
      <c r="J51" s="4">
        <v>14.2</v>
      </c>
      <c r="K51" s="4">
        <v>16</v>
      </c>
      <c r="L51" s="4">
        <v>18.3</v>
      </c>
      <c r="M51" s="4">
        <v>22.4</v>
      </c>
      <c r="N51" s="4">
        <v>18.399999999999999</v>
      </c>
      <c r="O51" s="4">
        <v>89.3</v>
      </c>
      <c r="P51" s="13">
        <v>929</v>
      </c>
      <c r="Q51" s="4">
        <v>11.9</v>
      </c>
      <c r="R51" s="4">
        <v>15.7</v>
      </c>
      <c r="S51" s="4">
        <v>19.7</v>
      </c>
      <c r="T51" s="4">
        <v>21.5</v>
      </c>
      <c r="U51" s="4">
        <v>20.100000000000001</v>
      </c>
      <c r="V51" s="4">
        <v>88.8</v>
      </c>
      <c r="W51" s="13">
        <v>2371</v>
      </c>
      <c r="X51" s="14"/>
      <c r="Y51" s="14"/>
      <c r="Z51" s="14"/>
      <c r="AA51" s="74"/>
      <c r="AB51" s="74"/>
      <c r="AC51" s="74"/>
      <c r="AD51" s="74"/>
      <c r="AE51" s="74"/>
      <c r="AF51" s="74"/>
      <c r="AG51" s="74"/>
      <c r="AH51" s="74"/>
      <c r="AI51" s="74"/>
      <c r="AJ51" s="74"/>
      <c r="AK51" s="74"/>
      <c r="AL51" s="74"/>
      <c r="AM51" s="74"/>
      <c r="AN51" s="74"/>
      <c r="AO51" s="74"/>
      <c r="AP51" s="74"/>
      <c r="AQ51" s="74"/>
      <c r="AR51" s="74"/>
      <c r="AS51" s="74"/>
      <c r="AT51" s="74"/>
      <c r="AU51" s="74"/>
      <c r="AV51" s="74"/>
      <c r="AX51" s="77"/>
      <c r="AY51" s="77"/>
      <c r="AZ51" s="77"/>
      <c r="BA51" s="77"/>
      <c r="BB51" s="77"/>
      <c r="BC51" s="77"/>
      <c r="BD51" s="77"/>
      <c r="BE51" s="77"/>
      <c r="BF51" s="77"/>
      <c r="BG51" s="77"/>
      <c r="BH51" s="77"/>
      <c r="BI51" s="77"/>
      <c r="BJ51" s="77"/>
      <c r="BK51" s="77"/>
      <c r="BL51" s="77"/>
      <c r="BM51" s="77"/>
      <c r="BN51" s="77"/>
      <c r="BO51" s="77"/>
      <c r="BP51" s="77"/>
      <c r="BQ51" s="77"/>
      <c r="BR51" s="77"/>
      <c r="BS51" s="77"/>
    </row>
    <row r="52" spans="1:71" x14ac:dyDescent="0.2">
      <c r="A52" s="14"/>
      <c r="B52" s="10" t="s">
        <v>11</v>
      </c>
      <c r="C52" s="4">
        <v>11.6</v>
      </c>
      <c r="D52" s="4">
        <v>22.9</v>
      </c>
      <c r="E52" s="4">
        <v>27.9</v>
      </c>
      <c r="F52" s="4">
        <v>23.2</v>
      </c>
      <c r="G52" s="4">
        <v>11.5</v>
      </c>
      <c r="H52" s="4">
        <v>97.1</v>
      </c>
      <c r="I52" s="13">
        <v>19279</v>
      </c>
      <c r="J52" s="4">
        <v>15.1</v>
      </c>
      <c r="K52" s="4">
        <v>24</v>
      </c>
      <c r="L52" s="4">
        <v>27.2</v>
      </c>
      <c r="M52" s="4">
        <v>20.9</v>
      </c>
      <c r="N52" s="4">
        <v>10.1</v>
      </c>
      <c r="O52" s="4">
        <v>97.3</v>
      </c>
      <c r="P52" s="13">
        <v>13165</v>
      </c>
      <c r="Q52" s="4">
        <v>13</v>
      </c>
      <c r="R52" s="4">
        <v>23.4</v>
      </c>
      <c r="S52" s="4">
        <v>27.6</v>
      </c>
      <c r="T52" s="4">
        <v>22.2</v>
      </c>
      <c r="U52" s="4">
        <v>10.9</v>
      </c>
      <c r="V52" s="4">
        <v>97.1</v>
      </c>
      <c r="W52" s="13">
        <v>32444</v>
      </c>
      <c r="X52" s="14"/>
      <c r="Y52" s="14"/>
      <c r="Z52" s="14"/>
      <c r="AA52" s="74"/>
      <c r="AB52" s="74"/>
      <c r="AC52" s="74"/>
      <c r="AD52" s="74"/>
      <c r="AE52" s="74"/>
      <c r="AF52" s="74"/>
      <c r="AG52" s="74"/>
      <c r="AH52" s="74"/>
      <c r="AI52" s="74"/>
      <c r="AJ52" s="74"/>
      <c r="AK52" s="74"/>
      <c r="AL52" s="74"/>
      <c r="AM52" s="74"/>
      <c r="AN52" s="74"/>
      <c r="AO52" s="74"/>
      <c r="AP52" s="74"/>
      <c r="AQ52" s="74"/>
      <c r="AR52" s="74"/>
      <c r="AS52" s="74"/>
      <c r="AT52" s="74"/>
      <c r="AU52" s="74"/>
      <c r="AV52" s="74"/>
      <c r="AX52" s="77"/>
      <c r="AY52" s="77"/>
      <c r="AZ52" s="77"/>
      <c r="BA52" s="77"/>
      <c r="BB52" s="77"/>
      <c r="BC52" s="77"/>
      <c r="BD52" s="77"/>
      <c r="BE52" s="77"/>
      <c r="BF52" s="77"/>
      <c r="BG52" s="77"/>
      <c r="BH52" s="77"/>
      <c r="BI52" s="77"/>
      <c r="BJ52" s="77"/>
      <c r="BK52" s="77"/>
      <c r="BL52" s="77"/>
      <c r="BM52" s="77"/>
      <c r="BN52" s="77"/>
      <c r="BO52" s="77"/>
      <c r="BP52" s="77"/>
      <c r="BQ52" s="77"/>
      <c r="BR52" s="77"/>
      <c r="BS52" s="77"/>
    </row>
    <row r="53" spans="1:71" x14ac:dyDescent="0.2">
      <c r="A53" s="14"/>
      <c r="B53" s="10" t="s">
        <v>12</v>
      </c>
      <c r="C53" s="4">
        <v>30.3</v>
      </c>
      <c r="D53" s="4">
        <v>25.9</v>
      </c>
      <c r="E53" s="4">
        <v>21.1</v>
      </c>
      <c r="F53" s="4">
        <v>13.9</v>
      </c>
      <c r="G53" s="4">
        <v>6.6</v>
      </c>
      <c r="H53" s="4">
        <v>97.8</v>
      </c>
      <c r="I53" s="13">
        <v>9382</v>
      </c>
      <c r="J53" s="4">
        <v>35.6</v>
      </c>
      <c r="K53" s="4">
        <v>25.9</v>
      </c>
      <c r="L53" s="4">
        <v>19.399999999999999</v>
      </c>
      <c r="M53" s="4">
        <v>11.9</v>
      </c>
      <c r="N53" s="4">
        <v>5.6</v>
      </c>
      <c r="O53" s="4">
        <v>98.4</v>
      </c>
      <c r="P53" s="13">
        <v>3935</v>
      </c>
      <c r="Q53" s="4">
        <v>31.9</v>
      </c>
      <c r="R53" s="4">
        <v>25.9</v>
      </c>
      <c r="S53" s="4">
        <v>20.6</v>
      </c>
      <c r="T53" s="4">
        <v>13.3</v>
      </c>
      <c r="U53" s="4">
        <v>6.3</v>
      </c>
      <c r="V53" s="4">
        <v>98</v>
      </c>
      <c r="W53" s="13">
        <v>13317</v>
      </c>
      <c r="X53" s="14"/>
      <c r="Y53" s="14"/>
      <c r="Z53" s="14"/>
      <c r="AA53" s="74"/>
      <c r="AB53" s="74"/>
      <c r="AC53" s="74"/>
      <c r="AD53" s="74"/>
      <c r="AE53" s="74"/>
      <c r="AF53" s="74"/>
      <c r="AG53" s="74"/>
      <c r="AH53" s="74"/>
      <c r="AI53" s="74"/>
      <c r="AJ53" s="74"/>
      <c r="AK53" s="74"/>
      <c r="AL53" s="74"/>
      <c r="AM53" s="74"/>
      <c r="AN53" s="74"/>
      <c r="AO53" s="74"/>
      <c r="AP53" s="74"/>
      <c r="AQ53" s="74"/>
      <c r="AR53" s="74"/>
      <c r="AS53" s="74"/>
      <c r="AT53" s="74"/>
      <c r="AU53" s="74"/>
      <c r="AV53" s="74"/>
      <c r="AX53" s="77"/>
      <c r="AY53" s="77"/>
      <c r="AZ53" s="77"/>
      <c r="BA53" s="77"/>
      <c r="BB53" s="77"/>
      <c r="BC53" s="77"/>
      <c r="BD53" s="77"/>
      <c r="BE53" s="77"/>
      <c r="BF53" s="77"/>
      <c r="BG53" s="77"/>
      <c r="BH53" s="77"/>
      <c r="BI53" s="77"/>
      <c r="BJ53" s="77"/>
      <c r="BK53" s="77"/>
      <c r="BL53" s="77"/>
      <c r="BM53" s="77"/>
      <c r="BN53" s="77"/>
      <c r="BO53" s="77"/>
      <c r="BP53" s="77"/>
      <c r="BQ53" s="77"/>
      <c r="BR53" s="77"/>
      <c r="BS53" s="77"/>
    </row>
    <row r="54" spans="1:71" x14ac:dyDescent="0.2">
      <c r="A54" s="14"/>
      <c r="B54" s="10" t="s">
        <v>13</v>
      </c>
      <c r="C54" s="4">
        <v>18.899999999999999</v>
      </c>
      <c r="D54" s="4">
        <v>25.2</v>
      </c>
      <c r="E54" s="4">
        <v>24.7</v>
      </c>
      <c r="F54" s="4">
        <v>19</v>
      </c>
      <c r="G54" s="4">
        <v>9.9</v>
      </c>
      <c r="H54" s="4">
        <v>97.8</v>
      </c>
      <c r="I54" s="13">
        <v>16846</v>
      </c>
      <c r="J54" s="4">
        <v>27.8</v>
      </c>
      <c r="K54" s="4">
        <v>26.8</v>
      </c>
      <c r="L54" s="4">
        <v>23.2</v>
      </c>
      <c r="M54" s="4">
        <v>14.6</v>
      </c>
      <c r="N54" s="4">
        <v>6.2</v>
      </c>
      <c r="O54" s="4">
        <v>98.5</v>
      </c>
      <c r="P54" s="13">
        <v>14333</v>
      </c>
      <c r="Q54" s="4">
        <v>23</v>
      </c>
      <c r="R54" s="4">
        <v>26</v>
      </c>
      <c r="S54" s="4">
        <v>24</v>
      </c>
      <c r="T54" s="4">
        <v>17</v>
      </c>
      <c r="U54" s="4">
        <v>8.1999999999999993</v>
      </c>
      <c r="V54" s="4">
        <v>98.1</v>
      </c>
      <c r="W54" s="13">
        <v>31179</v>
      </c>
      <c r="X54" s="14"/>
      <c r="Y54" s="14"/>
      <c r="Z54" s="14"/>
      <c r="AA54" s="74"/>
      <c r="AB54" s="74"/>
      <c r="AC54" s="74"/>
      <c r="AD54" s="74"/>
      <c r="AE54" s="74"/>
      <c r="AF54" s="74"/>
      <c r="AG54" s="74"/>
      <c r="AH54" s="74"/>
      <c r="AI54" s="74"/>
      <c r="AJ54" s="74"/>
      <c r="AK54" s="74"/>
      <c r="AL54" s="74"/>
      <c r="AM54" s="74"/>
      <c r="AN54" s="74"/>
      <c r="AO54" s="74"/>
      <c r="AP54" s="74"/>
      <c r="AQ54" s="74"/>
      <c r="AR54" s="74"/>
      <c r="AS54" s="74"/>
      <c r="AT54" s="74"/>
      <c r="AU54" s="74"/>
      <c r="AV54" s="74"/>
      <c r="AX54" s="77"/>
      <c r="AY54" s="77"/>
      <c r="AZ54" s="77"/>
      <c r="BA54" s="77"/>
      <c r="BB54" s="77"/>
      <c r="BC54" s="77"/>
      <c r="BD54" s="77"/>
      <c r="BE54" s="77"/>
      <c r="BF54" s="77"/>
      <c r="BG54" s="77"/>
      <c r="BH54" s="77"/>
      <c r="BI54" s="77"/>
      <c r="BJ54" s="77"/>
      <c r="BK54" s="77"/>
      <c r="BL54" s="77"/>
      <c r="BM54" s="77"/>
      <c r="BN54" s="77"/>
      <c r="BO54" s="77"/>
      <c r="BP54" s="77"/>
      <c r="BQ54" s="77"/>
      <c r="BR54" s="77"/>
      <c r="BS54" s="77"/>
    </row>
    <row r="55" spans="1:71" x14ac:dyDescent="0.2">
      <c r="A55" s="14"/>
      <c r="B55" s="10" t="s">
        <v>14</v>
      </c>
      <c r="C55" s="4">
        <v>26</v>
      </c>
      <c r="D55" s="4">
        <v>26.6</v>
      </c>
      <c r="E55" s="4">
        <v>21.4</v>
      </c>
      <c r="F55" s="4">
        <v>14.8</v>
      </c>
      <c r="G55" s="4">
        <v>8.1999999999999993</v>
      </c>
      <c r="H55" s="4">
        <v>96.9</v>
      </c>
      <c r="I55" s="13">
        <v>4881</v>
      </c>
      <c r="J55" s="4">
        <v>32.6</v>
      </c>
      <c r="K55" s="4">
        <v>26.8</v>
      </c>
      <c r="L55" s="4">
        <v>20.399999999999999</v>
      </c>
      <c r="M55" s="4">
        <v>11.7</v>
      </c>
      <c r="N55" s="4">
        <v>6</v>
      </c>
      <c r="O55" s="4">
        <v>97.6</v>
      </c>
      <c r="P55" s="13">
        <v>3253</v>
      </c>
      <c r="Q55" s="4">
        <v>28.6</v>
      </c>
      <c r="R55" s="4">
        <v>26.7</v>
      </c>
      <c r="S55" s="4">
        <v>21</v>
      </c>
      <c r="T55" s="4">
        <v>13.6</v>
      </c>
      <c r="U55" s="4">
        <v>7.3</v>
      </c>
      <c r="V55" s="4">
        <v>97.2</v>
      </c>
      <c r="W55" s="13">
        <v>8134</v>
      </c>
      <c r="X55" s="14"/>
      <c r="Y55" s="14"/>
      <c r="Z55" s="14"/>
      <c r="AA55" s="74"/>
      <c r="AB55" s="74"/>
      <c r="AC55" s="74"/>
      <c r="AD55" s="74"/>
      <c r="AE55" s="74"/>
      <c r="AF55" s="74"/>
      <c r="AG55" s="74"/>
      <c r="AH55" s="74"/>
      <c r="AI55" s="74"/>
      <c r="AJ55" s="74"/>
      <c r="AK55" s="74"/>
      <c r="AL55" s="74"/>
      <c r="AM55" s="74"/>
      <c r="AN55" s="74"/>
      <c r="AO55" s="74"/>
      <c r="AP55" s="74"/>
      <c r="AQ55" s="74"/>
      <c r="AR55" s="74"/>
      <c r="AS55" s="74"/>
      <c r="AT55" s="74"/>
      <c r="AU55" s="74"/>
      <c r="AV55" s="74"/>
      <c r="AX55" s="77"/>
      <c r="AY55" s="77"/>
      <c r="AZ55" s="77"/>
      <c r="BA55" s="77"/>
      <c r="BB55" s="77"/>
      <c r="BC55" s="77"/>
      <c r="BD55" s="77"/>
      <c r="BE55" s="77"/>
      <c r="BF55" s="77"/>
      <c r="BG55" s="77"/>
      <c r="BH55" s="77"/>
      <c r="BI55" s="77"/>
      <c r="BJ55" s="77"/>
      <c r="BK55" s="77"/>
      <c r="BL55" s="77"/>
      <c r="BM55" s="77"/>
      <c r="BN55" s="77"/>
      <c r="BO55" s="77"/>
      <c r="BP55" s="77"/>
      <c r="BQ55" s="77"/>
      <c r="BR55" s="77"/>
      <c r="BS55" s="77"/>
    </row>
    <row r="56" spans="1:71" x14ac:dyDescent="0.2">
      <c r="A56" s="14"/>
      <c r="B56" s="10" t="s">
        <v>15</v>
      </c>
      <c r="C56" s="4">
        <v>22.1</v>
      </c>
      <c r="D56" s="4">
        <v>24.7</v>
      </c>
      <c r="E56" s="4">
        <v>24.7</v>
      </c>
      <c r="F56" s="4">
        <v>18.100000000000001</v>
      </c>
      <c r="G56" s="4">
        <v>8.1999999999999993</v>
      </c>
      <c r="H56" s="4">
        <v>97.9</v>
      </c>
      <c r="I56" s="13">
        <v>17865</v>
      </c>
      <c r="J56" s="4">
        <v>24.5</v>
      </c>
      <c r="K56" s="4">
        <v>26.5</v>
      </c>
      <c r="L56" s="4">
        <v>23</v>
      </c>
      <c r="M56" s="4">
        <v>17</v>
      </c>
      <c r="N56" s="4">
        <v>7.1</v>
      </c>
      <c r="O56" s="4">
        <v>98.1</v>
      </c>
      <c r="P56" s="13">
        <v>18648</v>
      </c>
      <c r="Q56" s="4">
        <v>23.3</v>
      </c>
      <c r="R56" s="4">
        <v>25.6</v>
      </c>
      <c r="S56" s="4">
        <v>23.8</v>
      </c>
      <c r="T56" s="4">
        <v>17.5</v>
      </c>
      <c r="U56" s="4">
        <v>7.7</v>
      </c>
      <c r="V56" s="4">
        <v>98</v>
      </c>
      <c r="W56" s="13">
        <v>36513</v>
      </c>
      <c r="X56" s="14"/>
      <c r="Y56" s="14"/>
      <c r="Z56" s="14"/>
      <c r="AA56" s="74"/>
      <c r="AB56" s="74"/>
      <c r="AC56" s="74"/>
      <c r="AD56" s="74"/>
      <c r="AE56" s="74"/>
      <c r="AF56" s="74"/>
      <c r="AG56" s="74"/>
      <c r="AH56" s="74"/>
      <c r="AI56" s="74"/>
      <c r="AJ56" s="74"/>
      <c r="AK56" s="74"/>
      <c r="AL56" s="74"/>
      <c r="AM56" s="74"/>
      <c r="AN56" s="74"/>
      <c r="AO56" s="74"/>
      <c r="AP56" s="74"/>
      <c r="AQ56" s="74"/>
      <c r="AR56" s="74"/>
      <c r="AS56" s="74"/>
      <c r="AT56" s="74"/>
      <c r="AU56" s="74"/>
      <c r="AV56" s="74"/>
      <c r="AX56" s="77"/>
      <c r="AY56" s="77"/>
      <c r="AZ56" s="77"/>
      <c r="BA56" s="77"/>
      <c r="BB56" s="77"/>
      <c r="BC56" s="77"/>
      <c r="BD56" s="77"/>
      <c r="BE56" s="77"/>
      <c r="BF56" s="77"/>
      <c r="BG56" s="77"/>
      <c r="BH56" s="77"/>
      <c r="BI56" s="77"/>
      <c r="BJ56" s="77"/>
      <c r="BK56" s="77"/>
      <c r="BL56" s="77"/>
      <c r="BM56" s="77"/>
      <c r="BN56" s="77"/>
      <c r="BO56" s="77"/>
      <c r="BP56" s="77"/>
      <c r="BQ56" s="77"/>
      <c r="BR56" s="77"/>
      <c r="BS56" s="77"/>
    </row>
    <row r="57" spans="1:71" x14ac:dyDescent="0.2">
      <c r="A57" s="14"/>
      <c r="B57" s="10" t="s">
        <v>16</v>
      </c>
      <c r="C57" s="4">
        <v>13.8</v>
      </c>
      <c r="D57" s="4">
        <v>19</v>
      </c>
      <c r="E57" s="4">
        <v>22.4</v>
      </c>
      <c r="F57" s="4">
        <v>21.7</v>
      </c>
      <c r="G57" s="4">
        <v>15.4</v>
      </c>
      <c r="H57" s="4">
        <v>92.3</v>
      </c>
      <c r="I57" s="13">
        <v>3973</v>
      </c>
      <c r="J57" s="4">
        <v>19.7</v>
      </c>
      <c r="K57" s="4">
        <v>21.7</v>
      </c>
      <c r="L57" s="4">
        <v>23.1</v>
      </c>
      <c r="M57" s="4">
        <v>18.8</v>
      </c>
      <c r="N57" s="4">
        <v>11.4</v>
      </c>
      <c r="O57" s="4">
        <v>94.7</v>
      </c>
      <c r="P57" s="13">
        <v>6124</v>
      </c>
      <c r="Q57" s="4">
        <v>17.399999999999999</v>
      </c>
      <c r="R57" s="4">
        <v>20.7</v>
      </c>
      <c r="S57" s="4">
        <v>22.8</v>
      </c>
      <c r="T57" s="4">
        <v>20</v>
      </c>
      <c r="U57" s="4">
        <v>13</v>
      </c>
      <c r="V57" s="4">
        <v>93.8</v>
      </c>
      <c r="W57" s="13">
        <v>10097</v>
      </c>
      <c r="X57" s="14"/>
      <c r="Y57" s="14"/>
      <c r="Z57" s="14"/>
      <c r="AA57" s="74"/>
      <c r="AB57" s="74"/>
      <c r="AC57" s="74"/>
      <c r="AD57" s="74"/>
      <c r="AE57" s="74"/>
      <c r="AF57" s="74"/>
      <c r="AG57" s="74"/>
      <c r="AH57" s="74"/>
      <c r="AI57" s="74"/>
      <c r="AJ57" s="74"/>
      <c r="AK57" s="74"/>
      <c r="AL57" s="74"/>
      <c r="AM57" s="74"/>
      <c r="AN57" s="74"/>
      <c r="AO57" s="74"/>
      <c r="AP57" s="74"/>
      <c r="AQ57" s="74"/>
      <c r="AR57" s="74"/>
      <c r="AS57" s="74"/>
      <c r="AT57" s="74"/>
      <c r="AU57" s="74"/>
      <c r="AV57" s="74"/>
      <c r="AX57" s="77"/>
      <c r="AY57" s="77"/>
      <c r="AZ57" s="77"/>
      <c r="BA57" s="77"/>
      <c r="BB57" s="77"/>
      <c r="BC57" s="77"/>
      <c r="BD57" s="77"/>
      <c r="BE57" s="77"/>
      <c r="BF57" s="77"/>
      <c r="BG57" s="77"/>
      <c r="BH57" s="77"/>
      <c r="BI57" s="77"/>
      <c r="BJ57" s="77"/>
      <c r="BK57" s="77"/>
      <c r="BL57" s="77"/>
      <c r="BM57" s="77"/>
      <c r="BN57" s="77"/>
      <c r="BO57" s="77"/>
      <c r="BP57" s="77"/>
      <c r="BQ57" s="77"/>
      <c r="BR57" s="77"/>
      <c r="BS57" s="77"/>
    </row>
    <row r="58" spans="1:71" x14ac:dyDescent="0.2">
      <c r="A58" s="14"/>
      <c r="B58" s="10" t="s">
        <v>17</v>
      </c>
      <c r="C58" s="4">
        <v>10.7</v>
      </c>
      <c r="D58" s="4">
        <v>18.2</v>
      </c>
      <c r="E58" s="4">
        <v>23</v>
      </c>
      <c r="F58" s="4">
        <v>23.2</v>
      </c>
      <c r="G58" s="4">
        <v>16.399999999999999</v>
      </c>
      <c r="H58" s="4">
        <v>91.5</v>
      </c>
      <c r="I58" s="13">
        <v>9089</v>
      </c>
      <c r="J58" s="4">
        <v>19.7</v>
      </c>
      <c r="K58" s="4">
        <v>24.1</v>
      </c>
      <c r="L58" s="4">
        <v>23.9</v>
      </c>
      <c r="M58" s="4">
        <v>18.399999999999999</v>
      </c>
      <c r="N58" s="4">
        <v>10.3</v>
      </c>
      <c r="O58" s="4">
        <v>96.4</v>
      </c>
      <c r="P58" s="13">
        <v>28808</v>
      </c>
      <c r="Q58" s="4">
        <v>17.5</v>
      </c>
      <c r="R58" s="4">
        <v>22.7</v>
      </c>
      <c r="S58" s="4">
        <v>23.7</v>
      </c>
      <c r="T58" s="4">
        <v>19.5</v>
      </c>
      <c r="U58" s="4">
        <v>11.8</v>
      </c>
      <c r="V58" s="4">
        <v>95.2</v>
      </c>
      <c r="W58" s="13">
        <v>37897</v>
      </c>
      <c r="X58" s="14"/>
      <c r="Y58" s="14"/>
      <c r="Z58" s="14"/>
      <c r="AA58" s="74"/>
      <c r="AB58" s="74"/>
      <c r="AC58" s="74"/>
      <c r="AD58" s="74"/>
      <c r="AE58" s="74"/>
      <c r="AF58" s="74"/>
      <c r="AG58" s="74"/>
      <c r="AH58" s="74"/>
      <c r="AI58" s="74"/>
      <c r="AJ58" s="74"/>
      <c r="AK58" s="74"/>
      <c r="AL58" s="74"/>
      <c r="AM58" s="74"/>
      <c r="AN58" s="74"/>
      <c r="AO58" s="74"/>
      <c r="AP58" s="74"/>
      <c r="AQ58" s="74"/>
      <c r="AR58" s="74"/>
      <c r="AS58" s="74"/>
      <c r="AT58" s="74"/>
      <c r="AU58" s="74"/>
      <c r="AV58" s="74"/>
      <c r="AX58" s="77"/>
      <c r="AY58" s="77"/>
      <c r="AZ58" s="77"/>
      <c r="BA58" s="77"/>
      <c r="BB58" s="77"/>
      <c r="BC58" s="77"/>
      <c r="BD58" s="77"/>
      <c r="BE58" s="77"/>
      <c r="BF58" s="77"/>
      <c r="BG58" s="77"/>
      <c r="BH58" s="77"/>
      <c r="BI58" s="77"/>
      <c r="BJ58" s="77"/>
      <c r="BK58" s="77"/>
      <c r="BL58" s="77"/>
      <c r="BM58" s="77"/>
      <c r="BN58" s="77"/>
      <c r="BO58" s="77"/>
      <c r="BP58" s="77"/>
      <c r="BQ58" s="77"/>
      <c r="BR58" s="77"/>
      <c r="BS58" s="77"/>
    </row>
    <row r="59" spans="1:71" x14ac:dyDescent="0.2">
      <c r="A59" s="14"/>
      <c r="B59" s="10" t="s">
        <v>18</v>
      </c>
      <c r="C59" s="4">
        <v>13.6</v>
      </c>
      <c r="D59" s="4">
        <v>22.3</v>
      </c>
      <c r="E59" s="4">
        <v>25</v>
      </c>
      <c r="F59" s="4">
        <v>21.3</v>
      </c>
      <c r="G59" s="4">
        <v>12.1</v>
      </c>
      <c r="H59" s="4">
        <v>94.4</v>
      </c>
      <c r="I59" s="13">
        <v>4991</v>
      </c>
      <c r="J59" s="4">
        <v>19.899999999999999</v>
      </c>
      <c r="K59" s="4">
        <v>25.9</v>
      </c>
      <c r="L59" s="4">
        <v>25.1</v>
      </c>
      <c r="M59" s="4">
        <v>17.3</v>
      </c>
      <c r="N59" s="4">
        <v>8.9</v>
      </c>
      <c r="O59" s="4">
        <v>97.1</v>
      </c>
      <c r="P59" s="13">
        <v>16077</v>
      </c>
      <c r="Q59" s="4">
        <v>18.399999999999999</v>
      </c>
      <c r="R59" s="4">
        <v>25.1</v>
      </c>
      <c r="S59" s="4">
        <v>25.1</v>
      </c>
      <c r="T59" s="4">
        <v>18.2</v>
      </c>
      <c r="U59" s="4">
        <v>9.6999999999999993</v>
      </c>
      <c r="V59" s="4">
        <v>96.4</v>
      </c>
      <c r="W59" s="13">
        <v>21068</v>
      </c>
      <c r="X59" s="14"/>
      <c r="Y59" s="14"/>
      <c r="Z59" s="14"/>
      <c r="AA59" s="74"/>
      <c r="AB59" s="74"/>
      <c r="AC59" s="74"/>
      <c r="AD59" s="74"/>
      <c r="AE59" s="74"/>
      <c r="AF59" s="74"/>
      <c r="AG59" s="74"/>
      <c r="AH59" s="74"/>
      <c r="AI59" s="74"/>
      <c r="AJ59" s="74"/>
      <c r="AK59" s="74"/>
      <c r="AL59" s="74"/>
      <c r="AM59" s="74"/>
      <c r="AN59" s="74"/>
      <c r="AO59" s="74"/>
      <c r="AP59" s="74"/>
      <c r="AQ59" s="74"/>
      <c r="AR59" s="74"/>
      <c r="AS59" s="74"/>
      <c r="AT59" s="74"/>
      <c r="AU59" s="74"/>
      <c r="AV59" s="74"/>
      <c r="AX59" s="77"/>
      <c r="AY59" s="77"/>
      <c r="AZ59" s="77"/>
      <c r="BA59" s="77"/>
      <c r="BB59" s="77"/>
      <c r="BC59" s="77"/>
      <c r="BD59" s="77"/>
      <c r="BE59" s="77"/>
      <c r="BF59" s="77"/>
      <c r="BG59" s="77"/>
      <c r="BH59" s="77"/>
      <c r="BI59" s="77"/>
      <c r="BJ59" s="77"/>
      <c r="BK59" s="77"/>
      <c r="BL59" s="77"/>
      <c r="BM59" s="77"/>
      <c r="BN59" s="77"/>
      <c r="BO59" s="77"/>
      <c r="BP59" s="77"/>
      <c r="BQ59" s="77"/>
      <c r="BR59" s="77"/>
      <c r="BS59" s="77"/>
    </row>
    <row r="60" spans="1:71" x14ac:dyDescent="0.2">
      <c r="A60" s="14"/>
      <c r="B60" s="10" t="s">
        <v>19</v>
      </c>
      <c r="C60" s="4">
        <v>14.6</v>
      </c>
      <c r="D60" s="4">
        <v>24.5</v>
      </c>
      <c r="E60" s="4">
        <v>25</v>
      </c>
      <c r="F60" s="4">
        <v>18.100000000000001</v>
      </c>
      <c r="G60" s="4">
        <v>12.9</v>
      </c>
      <c r="H60" s="4">
        <v>95.1</v>
      </c>
      <c r="I60" s="13">
        <v>975</v>
      </c>
      <c r="J60" s="4">
        <v>22.1</v>
      </c>
      <c r="K60" s="4">
        <v>25.6</v>
      </c>
      <c r="L60" s="4">
        <v>22.9</v>
      </c>
      <c r="M60" s="4">
        <v>17.100000000000001</v>
      </c>
      <c r="N60" s="4">
        <v>8.6999999999999993</v>
      </c>
      <c r="O60" s="4">
        <v>96.3</v>
      </c>
      <c r="P60" s="13">
        <v>958</v>
      </c>
      <c r="Q60" s="4">
        <v>18.3</v>
      </c>
      <c r="R60" s="4">
        <v>25</v>
      </c>
      <c r="S60" s="4">
        <v>24</v>
      </c>
      <c r="T60" s="4">
        <v>17.600000000000001</v>
      </c>
      <c r="U60" s="4">
        <v>10.8</v>
      </c>
      <c r="V60" s="4">
        <v>95.7</v>
      </c>
      <c r="W60" s="13">
        <v>1933</v>
      </c>
      <c r="X60" s="14"/>
      <c r="Y60" s="14"/>
      <c r="Z60" s="14"/>
      <c r="AA60" s="74"/>
      <c r="AB60" s="74"/>
      <c r="AC60" s="74"/>
      <c r="AD60" s="74"/>
      <c r="AE60" s="74"/>
      <c r="AF60" s="74"/>
      <c r="AG60" s="74"/>
      <c r="AH60" s="74"/>
      <c r="AI60" s="74"/>
      <c r="AJ60" s="74"/>
      <c r="AK60" s="74"/>
      <c r="AL60" s="74"/>
      <c r="AM60" s="74"/>
      <c r="AN60" s="74"/>
      <c r="AO60" s="74"/>
      <c r="AP60" s="74"/>
      <c r="AQ60" s="74"/>
      <c r="AR60" s="74"/>
      <c r="AS60" s="74"/>
      <c r="AT60" s="74"/>
      <c r="AU60" s="74"/>
      <c r="AV60" s="74"/>
      <c r="AX60" s="77"/>
      <c r="AY60" s="77"/>
      <c r="AZ60" s="77"/>
      <c r="BA60" s="77"/>
      <c r="BB60" s="77"/>
      <c r="BC60" s="77"/>
      <c r="BD60" s="77"/>
      <c r="BE60" s="77"/>
      <c r="BF60" s="77"/>
      <c r="BG60" s="77"/>
      <c r="BH60" s="77"/>
      <c r="BI60" s="77"/>
      <c r="BJ60" s="77"/>
      <c r="BK60" s="77"/>
      <c r="BL60" s="77"/>
      <c r="BM60" s="77"/>
      <c r="BN60" s="77"/>
      <c r="BO60" s="77"/>
      <c r="BP60" s="77"/>
      <c r="BQ60" s="77"/>
      <c r="BR60" s="77"/>
      <c r="BS60" s="77"/>
    </row>
    <row r="61" spans="1:71" x14ac:dyDescent="0.2">
      <c r="A61" s="14"/>
      <c r="B61" s="10" t="s">
        <v>20</v>
      </c>
      <c r="C61" s="4">
        <v>21.4</v>
      </c>
      <c r="D61" s="4">
        <v>20.6</v>
      </c>
      <c r="E61" s="4">
        <v>22.8</v>
      </c>
      <c r="F61" s="4">
        <v>19.7</v>
      </c>
      <c r="G61" s="4">
        <v>10.7</v>
      </c>
      <c r="H61" s="4">
        <v>95.1</v>
      </c>
      <c r="I61" s="13">
        <v>10468</v>
      </c>
      <c r="J61" s="4">
        <v>29.5</v>
      </c>
      <c r="K61" s="4">
        <v>24.3</v>
      </c>
      <c r="L61" s="4">
        <v>22.8</v>
      </c>
      <c r="M61" s="4">
        <v>14.5</v>
      </c>
      <c r="N61" s="4">
        <v>6.5</v>
      </c>
      <c r="O61" s="4">
        <v>97.5</v>
      </c>
      <c r="P61" s="13">
        <v>23524</v>
      </c>
      <c r="Q61" s="4">
        <v>27</v>
      </c>
      <c r="R61" s="4">
        <v>23.2</v>
      </c>
      <c r="S61" s="4">
        <v>22.8</v>
      </c>
      <c r="T61" s="4">
        <v>16.100000000000001</v>
      </c>
      <c r="U61" s="4">
        <v>7.8</v>
      </c>
      <c r="V61" s="4">
        <v>96.7</v>
      </c>
      <c r="W61" s="13">
        <v>33992</v>
      </c>
      <c r="X61" s="14"/>
      <c r="Y61" s="14"/>
      <c r="Z61" s="14"/>
      <c r="AA61" s="74"/>
      <c r="AB61" s="74"/>
      <c r="AC61" s="74"/>
      <c r="AD61" s="74"/>
      <c r="AE61" s="74"/>
      <c r="AF61" s="74"/>
      <c r="AG61" s="74"/>
      <c r="AH61" s="74"/>
      <c r="AI61" s="74"/>
      <c r="AJ61" s="74"/>
      <c r="AK61" s="74"/>
      <c r="AL61" s="74"/>
      <c r="AM61" s="74"/>
      <c r="AN61" s="74"/>
      <c r="AO61" s="74"/>
      <c r="AP61" s="74"/>
      <c r="AQ61" s="74"/>
      <c r="AR61" s="74"/>
      <c r="AS61" s="74"/>
      <c r="AT61" s="74"/>
      <c r="AU61" s="74"/>
      <c r="AV61" s="74"/>
      <c r="AX61" s="77"/>
      <c r="AY61" s="77"/>
      <c r="AZ61" s="77"/>
      <c r="BA61" s="77"/>
      <c r="BB61" s="77"/>
      <c r="BC61" s="77"/>
      <c r="BD61" s="77"/>
      <c r="BE61" s="77"/>
      <c r="BF61" s="77"/>
      <c r="BG61" s="77"/>
      <c r="BH61" s="77"/>
      <c r="BI61" s="77"/>
      <c r="BJ61" s="77"/>
      <c r="BK61" s="77"/>
      <c r="BL61" s="77"/>
      <c r="BM61" s="77"/>
      <c r="BN61" s="77"/>
      <c r="BO61" s="77"/>
      <c r="BP61" s="77"/>
      <c r="BQ61" s="77"/>
      <c r="BR61" s="77"/>
      <c r="BS61" s="77"/>
    </row>
    <row r="62" spans="1:71" x14ac:dyDescent="0.2">
      <c r="A62" s="14"/>
      <c r="B62" s="10" t="s">
        <v>21</v>
      </c>
      <c r="C62" s="4">
        <v>10.6</v>
      </c>
      <c r="D62" s="4">
        <v>23.2</v>
      </c>
      <c r="E62" s="4">
        <v>33.700000000000003</v>
      </c>
      <c r="F62" s="4">
        <v>21.1</v>
      </c>
      <c r="G62" s="4">
        <v>9.1999999999999993</v>
      </c>
      <c r="H62" s="4">
        <v>97.9</v>
      </c>
      <c r="I62" s="13">
        <v>3726</v>
      </c>
      <c r="J62" s="4">
        <v>15.9</v>
      </c>
      <c r="K62" s="4">
        <v>29.2</v>
      </c>
      <c r="L62" s="4">
        <v>30.8</v>
      </c>
      <c r="M62" s="4">
        <v>17.399999999999999</v>
      </c>
      <c r="N62" s="4">
        <v>5.7</v>
      </c>
      <c r="O62" s="4">
        <v>99</v>
      </c>
      <c r="P62" s="13">
        <v>9830</v>
      </c>
      <c r="Q62" s="4">
        <v>14.4</v>
      </c>
      <c r="R62" s="4">
        <v>27.5</v>
      </c>
      <c r="S62" s="4">
        <v>31.6</v>
      </c>
      <c r="T62" s="4">
        <v>18.399999999999999</v>
      </c>
      <c r="U62" s="4">
        <v>6.7</v>
      </c>
      <c r="V62" s="4">
        <v>98.7</v>
      </c>
      <c r="W62" s="13">
        <v>13556</v>
      </c>
      <c r="X62" s="14"/>
      <c r="Y62" s="14"/>
      <c r="Z62" s="14"/>
      <c r="AA62" s="74"/>
      <c r="AB62" s="74"/>
      <c r="AC62" s="74"/>
      <c r="AD62" s="74"/>
      <c r="AE62" s="74"/>
      <c r="AF62" s="74"/>
      <c r="AG62" s="74"/>
      <c r="AH62" s="74"/>
      <c r="AI62" s="74"/>
      <c r="AJ62" s="74"/>
      <c r="AK62" s="74"/>
      <c r="AL62" s="74"/>
      <c r="AM62" s="74"/>
      <c r="AN62" s="74"/>
      <c r="AO62" s="74"/>
      <c r="AP62" s="74"/>
      <c r="AQ62" s="74"/>
      <c r="AR62" s="74"/>
      <c r="AS62" s="74"/>
      <c r="AT62" s="74"/>
      <c r="AU62" s="74"/>
      <c r="AV62" s="74"/>
      <c r="AX62" s="77"/>
      <c r="AY62" s="77"/>
      <c r="AZ62" s="77"/>
      <c r="BA62" s="77"/>
      <c r="BB62" s="77"/>
      <c r="BC62" s="77"/>
      <c r="BD62" s="77"/>
      <c r="BE62" s="77"/>
      <c r="BF62" s="77"/>
      <c r="BG62" s="77"/>
      <c r="BH62" s="77"/>
      <c r="BI62" s="77"/>
      <c r="BJ62" s="77"/>
      <c r="BK62" s="77"/>
      <c r="BL62" s="77"/>
      <c r="BM62" s="77"/>
      <c r="BN62" s="77"/>
      <c r="BO62" s="77"/>
      <c r="BP62" s="77"/>
      <c r="BQ62" s="77"/>
      <c r="BR62" s="77"/>
      <c r="BS62" s="77"/>
    </row>
    <row r="63" spans="1:71" x14ac:dyDescent="0.2">
      <c r="A63" s="14"/>
      <c r="B63" s="10" t="s">
        <v>22</v>
      </c>
      <c r="C63" s="4">
        <v>20.2</v>
      </c>
      <c r="D63" s="4">
        <v>23.2</v>
      </c>
      <c r="E63" s="4">
        <v>26.4</v>
      </c>
      <c r="F63" s="4">
        <v>19.899999999999999</v>
      </c>
      <c r="G63" s="4">
        <v>8.4</v>
      </c>
      <c r="H63" s="4">
        <v>98.1</v>
      </c>
      <c r="I63" s="13">
        <v>21516</v>
      </c>
      <c r="J63" s="4">
        <v>19.600000000000001</v>
      </c>
      <c r="K63" s="4">
        <v>25</v>
      </c>
      <c r="L63" s="4">
        <v>27.4</v>
      </c>
      <c r="M63" s="4">
        <v>19.899999999999999</v>
      </c>
      <c r="N63" s="4">
        <v>6.9</v>
      </c>
      <c r="O63" s="4">
        <v>98.8</v>
      </c>
      <c r="P63" s="13">
        <v>50495</v>
      </c>
      <c r="Q63" s="4">
        <v>19.7</v>
      </c>
      <c r="R63" s="4">
        <v>24.4</v>
      </c>
      <c r="S63" s="4">
        <v>27.1</v>
      </c>
      <c r="T63" s="4">
        <v>19.899999999999999</v>
      </c>
      <c r="U63" s="4">
        <v>7.4</v>
      </c>
      <c r="V63" s="4">
        <v>98.6</v>
      </c>
      <c r="W63" s="13">
        <v>72011</v>
      </c>
      <c r="X63" s="14"/>
      <c r="Y63" s="14"/>
      <c r="Z63" s="14"/>
      <c r="AA63" s="74"/>
      <c r="AB63" s="74"/>
      <c r="AC63" s="74"/>
      <c r="AD63" s="74"/>
      <c r="AE63" s="74"/>
      <c r="AF63" s="74"/>
      <c r="AG63" s="74"/>
      <c r="AH63" s="74"/>
      <c r="AI63" s="74"/>
      <c r="AJ63" s="74"/>
      <c r="AK63" s="74"/>
      <c r="AL63" s="74"/>
      <c r="AM63" s="74"/>
      <c r="AN63" s="74"/>
      <c r="AO63" s="74"/>
      <c r="AP63" s="74"/>
      <c r="AQ63" s="74"/>
      <c r="AR63" s="74"/>
      <c r="AS63" s="74"/>
      <c r="AT63" s="74"/>
      <c r="AU63" s="74"/>
      <c r="AV63" s="74"/>
      <c r="AX63" s="77"/>
      <c r="AY63" s="77"/>
      <c r="AZ63" s="77"/>
      <c r="BA63" s="77"/>
      <c r="BB63" s="77"/>
      <c r="BC63" s="77"/>
      <c r="BD63" s="77"/>
      <c r="BE63" s="77"/>
      <c r="BF63" s="77"/>
      <c r="BG63" s="77"/>
      <c r="BH63" s="77"/>
      <c r="BI63" s="77"/>
      <c r="BJ63" s="77"/>
      <c r="BK63" s="77"/>
      <c r="BL63" s="77"/>
      <c r="BM63" s="77"/>
      <c r="BN63" s="77"/>
      <c r="BO63" s="77"/>
      <c r="BP63" s="77"/>
      <c r="BQ63" s="77"/>
      <c r="BR63" s="77"/>
      <c r="BS63" s="77"/>
    </row>
    <row r="64" spans="1:71" x14ac:dyDescent="0.2">
      <c r="A64" s="14"/>
      <c r="B64" s="10" t="s">
        <v>51</v>
      </c>
      <c r="C64" s="4">
        <v>9.1</v>
      </c>
      <c r="D64" s="4">
        <v>21.3</v>
      </c>
      <c r="E64" s="4">
        <v>31.2</v>
      </c>
      <c r="F64" s="4">
        <v>26.2</v>
      </c>
      <c r="G64" s="4">
        <v>9.8000000000000007</v>
      </c>
      <c r="H64" s="4">
        <v>97.5</v>
      </c>
      <c r="I64" s="13">
        <v>8110</v>
      </c>
      <c r="J64" s="4">
        <v>13.6</v>
      </c>
      <c r="K64" s="4">
        <v>26.5</v>
      </c>
      <c r="L64" s="4">
        <v>31.5</v>
      </c>
      <c r="M64" s="4">
        <v>20.5</v>
      </c>
      <c r="N64" s="4">
        <v>6.7</v>
      </c>
      <c r="O64" s="4">
        <v>98.8</v>
      </c>
      <c r="P64" s="13">
        <v>11160</v>
      </c>
      <c r="Q64" s="4">
        <v>11.7</v>
      </c>
      <c r="R64" s="4">
        <v>24.3</v>
      </c>
      <c r="S64" s="4">
        <v>31.4</v>
      </c>
      <c r="T64" s="4">
        <v>22.9</v>
      </c>
      <c r="U64" s="4">
        <v>8</v>
      </c>
      <c r="V64" s="4">
        <v>98.2</v>
      </c>
      <c r="W64" s="13">
        <v>19270</v>
      </c>
      <c r="X64" s="14"/>
      <c r="Y64" s="14"/>
      <c r="Z64" s="14"/>
      <c r="AA64" s="74"/>
      <c r="AB64" s="74"/>
      <c r="AC64" s="74"/>
      <c r="AD64" s="74"/>
      <c r="AE64" s="74"/>
      <c r="AF64" s="74"/>
      <c r="AG64" s="74"/>
      <c r="AH64" s="74"/>
      <c r="AI64" s="74"/>
      <c r="AJ64" s="74"/>
      <c r="AK64" s="74"/>
      <c r="AL64" s="74"/>
      <c r="AM64" s="74"/>
      <c r="AN64" s="74"/>
      <c r="AO64" s="74"/>
      <c r="AP64" s="74"/>
      <c r="AQ64" s="74"/>
      <c r="AR64" s="74"/>
      <c r="AS64" s="74"/>
      <c r="AT64" s="74"/>
      <c r="AU64" s="74"/>
      <c r="AV64" s="74"/>
      <c r="AX64" s="77"/>
      <c r="AY64" s="77"/>
      <c r="AZ64" s="77"/>
      <c r="BA64" s="77"/>
      <c r="BB64" s="77"/>
      <c r="BC64" s="77"/>
      <c r="BD64" s="77"/>
      <c r="BE64" s="77"/>
      <c r="BF64" s="77"/>
      <c r="BG64" s="77"/>
      <c r="BH64" s="77"/>
      <c r="BI64" s="77"/>
      <c r="BJ64" s="77"/>
      <c r="BK64" s="77"/>
      <c r="BL64" s="77"/>
      <c r="BM64" s="77"/>
      <c r="BN64" s="77"/>
      <c r="BO64" s="77"/>
      <c r="BP64" s="77"/>
      <c r="BQ64" s="77"/>
      <c r="BR64" s="77"/>
      <c r="BS64" s="77"/>
    </row>
    <row r="65" spans="1:71" x14ac:dyDescent="0.2">
      <c r="A65" s="14"/>
      <c r="B65" s="10" t="s">
        <v>23</v>
      </c>
      <c r="C65" s="4">
        <v>11.9</v>
      </c>
      <c r="D65" s="4">
        <v>28.4</v>
      </c>
      <c r="E65" s="4">
        <v>30.6</v>
      </c>
      <c r="F65" s="4">
        <v>18.7</v>
      </c>
      <c r="G65" s="4">
        <v>7.3</v>
      </c>
      <c r="H65" s="4">
        <v>97</v>
      </c>
      <c r="I65" s="13">
        <v>2725</v>
      </c>
      <c r="J65" s="4">
        <v>14.1</v>
      </c>
      <c r="K65" s="4">
        <v>30.2</v>
      </c>
      <c r="L65" s="4">
        <v>33.1</v>
      </c>
      <c r="M65" s="4">
        <v>16.7</v>
      </c>
      <c r="N65" s="4">
        <v>4.8</v>
      </c>
      <c r="O65" s="4">
        <v>98.9</v>
      </c>
      <c r="P65" s="13">
        <v>4900</v>
      </c>
      <c r="Q65" s="4">
        <v>13.3</v>
      </c>
      <c r="R65" s="4">
        <v>29.5</v>
      </c>
      <c r="S65" s="4">
        <v>32.200000000000003</v>
      </c>
      <c r="T65" s="4">
        <v>17.399999999999999</v>
      </c>
      <c r="U65" s="4">
        <v>5.7</v>
      </c>
      <c r="V65" s="4">
        <v>98.2</v>
      </c>
      <c r="W65" s="13">
        <v>7625</v>
      </c>
      <c r="X65" s="14"/>
      <c r="Y65" s="14"/>
      <c r="Z65" s="14"/>
      <c r="AA65" s="74"/>
      <c r="AB65" s="74"/>
      <c r="AC65" s="74"/>
      <c r="AD65" s="74"/>
      <c r="AE65" s="74"/>
      <c r="AF65" s="74"/>
      <c r="AG65" s="74"/>
      <c r="AH65" s="74"/>
      <c r="AI65" s="74"/>
      <c r="AJ65" s="74"/>
      <c r="AK65" s="74"/>
      <c r="AL65" s="74"/>
      <c r="AM65" s="74"/>
      <c r="AN65" s="74"/>
      <c r="AO65" s="74"/>
      <c r="AP65" s="74"/>
      <c r="AQ65" s="74"/>
      <c r="AR65" s="74"/>
      <c r="AS65" s="74"/>
      <c r="AT65" s="74"/>
      <c r="AU65" s="74"/>
      <c r="AV65" s="74"/>
      <c r="AX65" s="77"/>
      <c r="AY65" s="77"/>
      <c r="AZ65" s="77"/>
      <c r="BA65" s="77"/>
      <c r="BB65" s="77"/>
      <c r="BC65" s="77"/>
      <c r="BD65" s="77"/>
      <c r="BE65" s="77"/>
      <c r="BF65" s="77"/>
      <c r="BG65" s="77"/>
      <c r="BH65" s="77"/>
      <c r="BI65" s="77"/>
      <c r="BJ65" s="77"/>
      <c r="BK65" s="77"/>
      <c r="BL65" s="77"/>
      <c r="BM65" s="77"/>
      <c r="BN65" s="77"/>
      <c r="BO65" s="77"/>
      <c r="BP65" s="77"/>
      <c r="BQ65" s="77"/>
      <c r="BR65" s="77"/>
      <c r="BS65" s="77"/>
    </row>
    <row r="66" spans="1:71" x14ac:dyDescent="0.2">
      <c r="A66" s="14"/>
      <c r="B66" s="10" t="s">
        <v>24</v>
      </c>
      <c r="C66" s="4">
        <v>33.9</v>
      </c>
      <c r="D66" s="4">
        <v>25.7</v>
      </c>
      <c r="E66" s="4">
        <v>19.100000000000001</v>
      </c>
      <c r="F66" s="4">
        <v>12.3</v>
      </c>
      <c r="G66" s="4">
        <v>6.8</v>
      </c>
      <c r="H66" s="4">
        <v>97.9</v>
      </c>
      <c r="I66" s="13">
        <v>4195</v>
      </c>
      <c r="J66" s="4">
        <v>30.2</v>
      </c>
      <c r="K66" s="4">
        <v>26.3</v>
      </c>
      <c r="L66" s="4">
        <v>20.5</v>
      </c>
      <c r="M66" s="4">
        <v>13.9</v>
      </c>
      <c r="N66" s="4">
        <v>7.1</v>
      </c>
      <c r="O66" s="4">
        <v>98</v>
      </c>
      <c r="P66" s="13">
        <v>8709</v>
      </c>
      <c r="Q66" s="4">
        <v>31.4</v>
      </c>
      <c r="R66" s="4">
        <v>26.1</v>
      </c>
      <c r="S66" s="4">
        <v>20</v>
      </c>
      <c r="T66" s="4">
        <v>13.4</v>
      </c>
      <c r="U66" s="4">
        <v>7</v>
      </c>
      <c r="V66" s="4">
        <v>97.9</v>
      </c>
      <c r="W66" s="13">
        <v>12904</v>
      </c>
      <c r="X66" s="14"/>
      <c r="Y66" s="14"/>
      <c r="Z66" s="14"/>
      <c r="AA66" s="74"/>
      <c r="AB66" s="74"/>
      <c r="AC66" s="74"/>
      <c r="AD66" s="74"/>
      <c r="AE66" s="74"/>
      <c r="AF66" s="74"/>
      <c r="AG66" s="74"/>
      <c r="AH66" s="74"/>
      <c r="AI66" s="74"/>
      <c r="AJ66" s="74"/>
      <c r="AK66" s="74"/>
      <c r="AL66" s="74"/>
      <c r="AM66" s="74"/>
      <c r="AN66" s="74"/>
      <c r="AO66" s="74"/>
      <c r="AP66" s="74"/>
      <c r="AQ66" s="74"/>
      <c r="AR66" s="74"/>
      <c r="AS66" s="74"/>
      <c r="AT66" s="74"/>
      <c r="AU66" s="74"/>
      <c r="AV66" s="74"/>
      <c r="AX66" s="77"/>
      <c r="AY66" s="77"/>
      <c r="AZ66" s="77"/>
      <c r="BA66" s="77"/>
      <c r="BB66" s="77"/>
      <c r="BC66" s="77"/>
      <c r="BD66" s="77"/>
      <c r="BE66" s="77"/>
      <c r="BF66" s="77"/>
      <c r="BG66" s="77"/>
      <c r="BH66" s="77"/>
      <c r="BI66" s="77"/>
      <c r="BJ66" s="77"/>
      <c r="BK66" s="77"/>
      <c r="BL66" s="77"/>
      <c r="BM66" s="77"/>
      <c r="BN66" s="77"/>
      <c r="BO66" s="77"/>
      <c r="BP66" s="77"/>
      <c r="BQ66" s="77"/>
      <c r="BR66" s="77"/>
      <c r="BS66" s="77"/>
    </row>
    <row r="67" spans="1:71" x14ac:dyDescent="0.2">
      <c r="A67" s="14"/>
      <c r="B67" s="10" t="s">
        <v>25</v>
      </c>
      <c r="C67" s="4">
        <v>33.9</v>
      </c>
      <c r="D67" s="4">
        <v>23.2</v>
      </c>
      <c r="E67" s="4">
        <v>18.3</v>
      </c>
      <c r="F67" s="4">
        <v>14.5</v>
      </c>
      <c r="G67" s="4">
        <v>7.9</v>
      </c>
      <c r="H67" s="4">
        <v>97.8</v>
      </c>
      <c r="I67" s="13">
        <v>2140</v>
      </c>
      <c r="J67" s="4">
        <v>28.7</v>
      </c>
      <c r="K67" s="4">
        <v>24.5</v>
      </c>
      <c r="L67" s="4">
        <v>20.399999999999999</v>
      </c>
      <c r="M67" s="4">
        <v>15.9</v>
      </c>
      <c r="N67" s="4">
        <v>7.8</v>
      </c>
      <c r="O67" s="4">
        <v>97.3</v>
      </c>
      <c r="P67" s="13">
        <v>3928</v>
      </c>
      <c r="Q67" s="4">
        <v>30.5</v>
      </c>
      <c r="R67" s="4">
        <v>24</v>
      </c>
      <c r="S67" s="4">
        <v>19.7</v>
      </c>
      <c r="T67" s="4">
        <v>15.4</v>
      </c>
      <c r="U67" s="4">
        <v>7.9</v>
      </c>
      <c r="V67" s="4">
        <v>97.5</v>
      </c>
      <c r="W67" s="13">
        <v>6068</v>
      </c>
      <c r="X67" s="14"/>
      <c r="Y67" s="14"/>
      <c r="Z67" s="14"/>
      <c r="AA67" s="74"/>
      <c r="AB67" s="74"/>
      <c r="AC67" s="74"/>
      <c r="AD67" s="74"/>
      <c r="AE67" s="74"/>
      <c r="AF67" s="74"/>
      <c r="AG67" s="74"/>
      <c r="AH67" s="74"/>
      <c r="AI67" s="74"/>
      <c r="AJ67" s="74"/>
      <c r="AK67" s="74"/>
      <c r="AL67" s="74"/>
      <c r="AM67" s="74"/>
      <c r="AN67" s="74"/>
      <c r="AO67" s="74"/>
      <c r="AP67" s="74"/>
      <c r="AQ67" s="74"/>
      <c r="AR67" s="74"/>
      <c r="AS67" s="74"/>
      <c r="AT67" s="74"/>
      <c r="AU67" s="74"/>
      <c r="AV67" s="74"/>
      <c r="AX67" s="77"/>
      <c r="AY67" s="77"/>
      <c r="AZ67" s="77"/>
      <c r="BA67" s="77"/>
      <c r="BB67" s="77"/>
      <c r="BC67" s="77"/>
      <c r="BD67" s="77"/>
      <c r="BE67" s="77"/>
      <c r="BF67" s="77"/>
      <c r="BG67" s="77"/>
      <c r="BH67" s="77"/>
      <c r="BI67" s="77"/>
      <c r="BJ67" s="77"/>
      <c r="BK67" s="77"/>
      <c r="BL67" s="77"/>
      <c r="BM67" s="77"/>
      <c r="BN67" s="77"/>
      <c r="BO67" s="77"/>
      <c r="BP67" s="77"/>
      <c r="BQ67" s="77"/>
      <c r="BR67" s="77"/>
      <c r="BS67" s="77"/>
    </row>
    <row r="68" spans="1:71" x14ac:dyDescent="0.2">
      <c r="A68" s="14"/>
      <c r="B68" s="10" t="s">
        <v>26</v>
      </c>
      <c r="C68" s="4">
        <v>36.4</v>
      </c>
      <c r="D68" s="4">
        <v>27.6</v>
      </c>
      <c r="E68" s="4">
        <v>18.3</v>
      </c>
      <c r="F68" s="4">
        <v>10.7</v>
      </c>
      <c r="G68" s="4">
        <v>5.9</v>
      </c>
      <c r="H68" s="4">
        <v>99</v>
      </c>
      <c r="I68" s="13">
        <v>1433</v>
      </c>
      <c r="J68" s="4">
        <v>32.5</v>
      </c>
      <c r="K68" s="4">
        <v>26.5</v>
      </c>
      <c r="L68" s="4">
        <v>19.7</v>
      </c>
      <c r="M68" s="4">
        <v>13.2</v>
      </c>
      <c r="N68" s="4">
        <v>6.3</v>
      </c>
      <c r="O68" s="4">
        <v>98.2</v>
      </c>
      <c r="P68" s="13">
        <v>3071</v>
      </c>
      <c r="Q68" s="4">
        <v>33.799999999999997</v>
      </c>
      <c r="R68" s="4">
        <v>26.9</v>
      </c>
      <c r="S68" s="4">
        <v>19.2</v>
      </c>
      <c r="T68" s="4">
        <v>12.4</v>
      </c>
      <c r="U68" s="4">
        <v>6.2</v>
      </c>
      <c r="V68" s="4">
        <v>98.4</v>
      </c>
      <c r="W68" s="13">
        <v>4504</v>
      </c>
      <c r="X68" s="14"/>
      <c r="Y68" s="14"/>
      <c r="Z68" s="14"/>
      <c r="AA68" s="74"/>
      <c r="AB68" s="74"/>
      <c r="AC68" s="74"/>
      <c r="AD68" s="74"/>
      <c r="AE68" s="74"/>
      <c r="AF68" s="74"/>
      <c r="AG68" s="74"/>
      <c r="AH68" s="74"/>
      <c r="AI68" s="74"/>
      <c r="AJ68" s="74"/>
      <c r="AK68" s="74"/>
      <c r="AL68" s="74"/>
      <c r="AM68" s="74"/>
      <c r="AN68" s="74"/>
      <c r="AO68" s="74"/>
      <c r="AP68" s="74"/>
      <c r="AQ68" s="74"/>
      <c r="AR68" s="74"/>
      <c r="AS68" s="74"/>
      <c r="AT68" s="74"/>
      <c r="AU68" s="74"/>
      <c r="AV68" s="74"/>
      <c r="AX68" s="77"/>
      <c r="AY68" s="77"/>
      <c r="AZ68" s="77"/>
      <c r="BA68" s="77"/>
      <c r="BB68" s="77"/>
      <c r="BC68" s="77"/>
      <c r="BD68" s="77"/>
      <c r="BE68" s="77"/>
      <c r="BF68" s="77"/>
      <c r="BG68" s="77"/>
      <c r="BH68" s="77"/>
      <c r="BI68" s="77"/>
      <c r="BJ68" s="77"/>
      <c r="BK68" s="77"/>
      <c r="BL68" s="77"/>
      <c r="BM68" s="77"/>
      <c r="BN68" s="77"/>
      <c r="BO68" s="77"/>
      <c r="BP68" s="77"/>
      <c r="BQ68" s="77"/>
      <c r="BR68" s="77"/>
      <c r="BS68" s="77"/>
    </row>
    <row r="69" spans="1:71" x14ac:dyDescent="0.2">
      <c r="A69" s="14"/>
      <c r="B69" s="10" t="s">
        <v>27</v>
      </c>
      <c r="C69" s="4">
        <v>44.8</v>
      </c>
      <c r="D69" s="4">
        <v>27.8</v>
      </c>
      <c r="E69" s="4">
        <v>14.6</v>
      </c>
      <c r="F69" s="4">
        <v>5.4</v>
      </c>
      <c r="G69" s="4">
        <v>3.4</v>
      </c>
      <c r="H69" s="4">
        <v>95.9</v>
      </c>
      <c r="I69" s="13">
        <v>1718</v>
      </c>
      <c r="J69" s="4">
        <v>52.2</v>
      </c>
      <c r="K69" s="4">
        <v>25.4</v>
      </c>
      <c r="L69" s="4">
        <v>12.8</v>
      </c>
      <c r="M69" s="4">
        <v>4.7</v>
      </c>
      <c r="N69" s="4">
        <v>1.9</v>
      </c>
      <c r="O69" s="4">
        <v>97</v>
      </c>
      <c r="P69" s="13">
        <v>2281</v>
      </c>
      <c r="Q69" s="4">
        <v>49</v>
      </c>
      <c r="R69" s="4">
        <v>26.4</v>
      </c>
      <c r="S69" s="4">
        <v>13.6</v>
      </c>
      <c r="T69" s="4">
        <v>5</v>
      </c>
      <c r="U69" s="4">
        <v>2.6</v>
      </c>
      <c r="V69" s="4">
        <v>96.5</v>
      </c>
      <c r="W69" s="13">
        <v>3999</v>
      </c>
      <c r="X69" s="14"/>
      <c r="Y69" s="14"/>
      <c r="Z69" s="14"/>
      <c r="AA69" s="74"/>
      <c r="AB69" s="74"/>
      <c r="AC69" s="74"/>
      <c r="AD69" s="74"/>
      <c r="AE69" s="74"/>
      <c r="AF69" s="74"/>
      <c r="AG69" s="74"/>
      <c r="AH69" s="74"/>
      <c r="AI69" s="74"/>
      <c r="AJ69" s="74"/>
      <c r="AK69" s="74"/>
      <c r="AL69" s="74"/>
      <c r="AM69" s="74"/>
      <c r="AN69" s="74"/>
      <c r="AO69" s="74"/>
      <c r="AP69" s="74"/>
      <c r="AQ69" s="74"/>
      <c r="AR69" s="74"/>
      <c r="AS69" s="74"/>
      <c r="AT69" s="74"/>
      <c r="AU69" s="74"/>
      <c r="AV69" s="74"/>
      <c r="AX69" s="77"/>
      <c r="AY69" s="77"/>
      <c r="AZ69" s="77"/>
      <c r="BA69" s="77"/>
      <c r="BB69" s="77"/>
      <c r="BC69" s="77"/>
      <c r="BD69" s="77"/>
      <c r="BE69" s="77"/>
      <c r="BF69" s="77"/>
      <c r="BG69" s="77"/>
      <c r="BH69" s="77"/>
      <c r="BI69" s="77"/>
      <c r="BJ69" s="77"/>
      <c r="BK69" s="77"/>
      <c r="BL69" s="77"/>
      <c r="BM69" s="77"/>
      <c r="BN69" s="77"/>
      <c r="BO69" s="77"/>
      <c r="BP69" s="77"/>
      <c r="BQ69" s="77"/>
      <c r="BR69" s="77"/>
      <c r="BS69" s="77"/>
    </row>
    <row r="70" spans="1:71" x14ac:dyDescent="0.2">
      <c r="A70" s="14"/>
      <c r="B70" s="10" t="s">
        <v>28</v>
      </c>
      <c r="C70" s="4">
        <v>33.5</v>
      </c>
      <c r="D70" s="4">
        <v>25.5</v>
      </c>
      <c r="E70" s="4">
        <v>20</v>
      </c>
      <c r="F70" s="4">
        <v>14.5</v>
      </c>
      <c r="G70" s="4">
        <v>5.0999999999999996</v>
      </c>
      <c r="H70" s="4">
        <v>98.6</v>
      </c>
      <c r="I70" s="13">
        <v>2220</v>
      </c>
      <c r="J70" s="4">
        <v>33.700000000000003</v>
      </c>
      <c r="K70" s="4">
        <v>29.7</v>
      </c>
      <c r="L70" s="4">
        <v>21.6</v>
      </c>
      <c r="M70" s="4">
        <v>11</v>
      </c>
      <c r="N70" s="4">
        <v>3.4</v>
      </c>
      <c r="O70" s="4">
        <v>99.4</v>
      </c>
      <c r="P70" s="13">
        <v>3096</v>
      </c>
      <c r="Q70" s="4">
        <v>33.6</v>
      </c>
      <c r="R70" s="4">
        <v>27.9</v>
      </c>
      <c r="S70" s="4">
        <v>21</v>
      </c>
      <c r="T70" s="4">
        <v>12.5</v>
      </c>
      <c r="U70" s="4">
        <v>4.0999999999999996</v>
      </c>
      <c r="V70" s="4">
        <v>99.1</v>
      </c>
      <c r="W70" s="13">
        <v>5316</v>
      </c>
      <c r="X70" s="14"/>
      <c r="Y70" s="14"/>
      <c r="Z70" s="14"/>
      <c r="AA70" s="74"/>
      <c r="AB70" s="74"/>
      <c r="AC70" s="74"/>
      <c r="AD70" s="74"/>
      <c r="AE70" s="74"/>
      <c r="AF70" s="74"/>
      <c r="AG70" s="74"/>
      <c r="AH70" s="74"/>
      <c r="AI70" s="74"/>
      <c r="AJ70" s="74"/>
      <c r="AK70" s="74"/>
      <c r="AL70" s="74"/>
      <c r="AM70" s="74"/>
      <c r="AN70" s="74"/>
      <c r="AO70" s="74"/>
      <c r="AP70" s="74"/>
      <c r="AQ70" s="74"/>
      <c r="AR70" s="74"/>
      <c r="AS70" s="74"/>
      <c r="AT70" s="74"/>
      <c r="AU70" s="74"/>
      <c r="AV70" s="74"/>
      <c r="AX70" s="77"/>
      <c r="AY70" s="77"/>
      <c r="AZ70" s="77"/>
      <c r="BA70" s="77"/>
      <c r="BB70" s="77"/>
      <c r="BC70" s="77"/>
      <c r="BD70" s="77"/>
      <c r="BE70" s="77"/>
      <c r="BF70" s="77"/>
      <c r="BG70" s="77"/>
      <c r="BH70" s="77"/>
      <c r="BI70" s="77"/>
      <c r="BJ70" s="77"/>
      <c r="BK70" s="77"/>
      <c r="BL70" s="77"/>
      <c r="BM70" s="77"/>
      <c r="BN70" s="77"/>
      <c r="BO70" s="77"/>
      <c r="BP70" s="77"/>
      <c r="BQ70" s="77"/>
      <c r="BR70" s="77"/>
      <c r="BS70" s="77"/>
    </row>
    <row r="71" spans="1:71" x14ac:dyDescent="0.2">
      <c r="A71" s="14"/>
      <c r="B71" s="10" t="s">
        <v>29</v>
      </c>
      <c r="C71" s="4">
        <v>25.7</v>
      </c>
      <c r="D71" s="4">
        <v>26.6</v>
      </c>
      <c r="E71" s="4">
        <v>23.7</v>
      </c>
      <c r="F71" s="4">
        <v>14.4</v>
      </c>
      <c r="G71" s="4">
        <v>7.3</v>
      </c>
      <c r="H71" s="4">
        <v>97.7</v>
      </c>
      <c r="I71" s="13">
        <v>3033</v>
      </c>
      <c r="J71" s="4">
        <v>23.4</v>
      </c>
      <c r="K71" s="4">
        <v>29</v>
      </c>
      <c r="L71" s="4">
        <v>24.6</v>
      </c>
      <c r="M71" s="4">
        <v>15.6</v>
      </c>
      <c r="N71" s="4">
        <v>5.6</v>
      </c>
      <c r="O71" s="4">
        <v>98.2</v>
      </c>
      <c r="P71" s="13">
        <v>7140</v>
      </c>
      <c r="Q71" s="4">
        <v>24.1</v>
      </c>
      <c r="R71" s="4">
        <v>28.3</v>
      </c>
      <c r="S71" s="4">
        <v>24.3</v>
      </c>
      <c r="T71" s="4">
        <v>15.2</v>
      </c>
      <c r="U71" s="4">
        <v>6.1</v>
      </c>
      <c r="V71" s="4">
        <v>98.1</v>
      </c>
      <c r="W71" s="13">
        <v>10173</v>
      </c>
      <c r="X71" s="14"/>
      <c r="Y71" s="14"/>
      <c r="Z71" s="14"/>
      <c r="AA71" s="74"/>
      <c r="AB71" s="74"/>
      <c r="AC71" s="74"/>
      <c r="AD71" s="74"/>
      <c r="AE71" s="74"/>
      <c r="AF71" s="74"/>
      <c r="AG71" s="74"/>
      <c r="AH71" s="74"/>
      <c r="AI71" s="74"/>
      <c r="AJ71" s="74"/>
      <c r="AK71" s="74"/>
      <c r="AL71" s="74"/>
      <c r="AM71" s="74"/>
      <c r="AN71" s="74"/>
      <c r="AO71" s="74"/>
      <c r="AP71" s="74"/>
      <c r="AQ71" s="74"/>
      <c r="AR71" s="74"/>
      <c r="AS71" s="74"/>
      <c r="AT71" s="74"/>
      <c r="AU71" s="74"/>
      <c r="AV71" s="74"/>
      <c r="AX71" s="77"/>
      <c r="AY71" s="77"/>
      <c r="AZ71" s="77"/>
      <c r="BA71" s="77"/>
      <c r="BB71" s="77"/>
      <c r="BC71" s="77"/>
      <c r="BD71" s="77"/>
      <c r="BE71" s="77"/>
      <c r="BF71" s="77"/>
      <c r="BG71" s="77"/>
      <c r="BH71" s="77"/>
      <c r="BI71" s="77"/>
      <c r="BJ71" s="77"/>
      <c r="BK71" s="77"/>
      <c r="BL71" s="77"/>
      <c r="BM71" s="77"/>
      <c r="BN71" s="77"/>
      <c r="BO71" s="77"/>
      <c r="BP71" s="77"/>
      <c r="BQ71" s="77"/>
      <c r="BR71" s="77"/>
      <c r="BS71" s="77"/>
    </row>
    <row r="72" spans="1:71" x14ac:dyDescent="0.2">
      <c r="A72" s="14"/>
      <c r="B72" s="10" t="s">
        <v>30</v>
      </c>
      <c r="C72" s="4">
        <v>19.8</v>
      </c>
      <c r="D72" s="4">
        <v>20.9</v>
      </c>
      <c r="E72" s="4">
        <v>24.6</v>
      </c>
      <c r="F72" s="4">
        <v>19.600000000000001</v>
      </c>
      <c r="G72" s="4">
        <v>10.9</v>
      </c>
      <c r="H72" s="4">
        <v>95.8</v>
      </c>
      <c r="I72" s="13">
        <v>3794</v>
      </c>
      <c r="J72" s="4">
        <v>22.6</v>
      </c>
      <c r="K72" s="4">
        <v>23.5</v>
      </c>
      <c r="L72" s="4">
        <v>25.3</v>
      </c>
      <c r="M72" s="4">
        <v>17.8</v>
      </c>
      <c r="N72" s="4">
        <v>8.6</v>
      </c>
      <c r="O72" s="4">
        <v>97.8</v>
      </c>
      <c r="P72" s="13">
        <v>3849</v>
      </c>
      <c r="Q72" s="4">
        <v>21.2</v>
      </c>
      <c r="R72" s="4">
        <v>22.2</v>
      </c>
      <c r="S72" s="4">
        <v>24.9</v>
      </c>
      <c r="T72" s="4">
        <v>18.7</v>
      </c>
      <c r="U72" s="4">
        <v>9.6999999999999993</v>
      </c>
      <c r="V72" s="4">
        <v>96.8</v>
      </c>
      <c r="W72" s="13">
        <v>7643</v>
      </c>
      <c r="X72" s="14"/>
      <c r="Y72" s="14"/>
      <c r="Z72" s="14"/>
      <c r="AA72" s="74"/>
      <c r="AB72" s="74"/>
      <c r="AC72" s="74"/>
      <c r="AD72" s="74"/>
      <c r="AE72" s="74"/>
      <c r="AF72" s="74"/>
      <c r="AG72" s="74"/>
      <c r="AH72" s="74"/>
      <c r="AI72" s="74"/>
      <c r="AJ72" s="74"/>
      <c r="AK72" s="74"/>
      <c r="AL72" s="74"/>
      <c r="AM72" s="74"/>
      <c r="AN72" s="74"/>
      <c r="AO72" s="74"/>
      <c r="AP72" s="74"/>
      <c r="AQ72" s="74"/>
      <c r="AR72" s="74"/>
      <c r="AS72" s="74"/>
      <c r="AT72" s="74"/>
      <c r="AU72" s="74"/>
      <c r="AV72" s="74"/>
      <c r="AX72" s="77"/>
      <c r="AY72" s="77"/>
      <c r="AZ72" s="77"/>
      <c r="BA72" s="77"/>
      <c r="BB72" s="77"/>
      <c r="BC72" s="77"/>
      <c r="BD72" s="77"/>
      <c r="BE72" s="77"/>
      <c r="BF72" s="77"/>
      <c r="BG72" s="77"/>
      <c r="BH72" s="77"/>
      <c r="BI72" s="77"/>
      <c r="BJ72" s="77"/>
      <c r="BK72" s="77"/>
      <c r="BL72" s="77"/>
      <c r="BM72" s="77"/>
      <c r="BN72" s="77"/>
      <c r="BO72" s="77"/>
      <c r="BP72" s="77"/>
      <c r="BQ72" s="77"/>
      <c r="BR72" s="77"/>
      <c r="BS72" s="77"/>
    </row>
    <row r="73" spans="1:71" x14ac:dyDescent="0.2">
      <c r="A73" s="14"/>
      <c r="B73" s="10" t="s">
        <v>31</v>
      </c>
      <c r="C73" s="4">
        <v>8</v>
      </c>
      <c r="D73" s="4">
        <v>17.3</v>
      </c>
      <c r="E73" s="4">
        <v>25.1</v>
      </c>
      <c r="F73" s="4">
        <v>26</v>
      </c>
      <c r="G73" s="4">
        <v>18.3</v>
      </c>
      <c r="H73" s="4">
        <v>94.7</v>
      </c>
      <c r="I73" s="13">
        <v>11336</v>
      </c>
      <c r="J73" s="4">
        <v>18.8</v>
      </c>
      <c r="K73" s="4">
        <v>22.9</v>
      </c>
      <c r="L73" s="4">
        <v>24.9</v>
      </c>
      <c r="M73" s="4">
        <v>19.600000000000001</v>
      </c>
      <c r="N73" s="4">
        <v>10.7</v>
      </c>
      <c r="O73" s="4">
        <v>96.8</v>
      </c>
      <c r="P73" s="13">
        <v>7427</v>
      </c>
      <c r="Q73" s="4">
        <v>12.3</v>
      </c>
      <c r="R73" s="4">
        <v>19.5</v>
      </c>
      <c r="S73" s="4">
        <v>25</v>
      </c>
      <c r="T73" s="4">
        <v>23.5</v>
      </c>
      <c r="U73" s="4">
        <v>15.3</v>
      </c>
      <c r="V73" s="4">
        <v>95.5</v>
      </c>
      <c r="W73" s="13">
        <v>18763</v>
      </c>
      <c r="X73" s="14"/>
      <c r="Y73" s="14"/>
      <c r="Z73" s="14"/>
      <c r="AA73" s="74"/>
      <c r="AB73" s="74"/>
      <c r="AC73" s="74"/>
      <c r="AD73" s="74"/>
      <c r="AE73" s="74"/>
      <c r="AF73" s="74"/>
      <c r="AG73" s="74"/>
      <c r="AH73" s="74"/>
      <c r="AI73" s="74"/>
      <c r="AJ73" s="74"/>
      <c r="AK73" s="74"/>
      <c r="AL73" s="74"/>
      <c r="AM73" s="74"/>
      <c r="AN73" s="74"/>
      <c r="AO73" s="74"/>
      <c r="AP73" s="74"/>
      <c r="AQ73" s="74"/>
      <c r="AR73" s="74"/>
      <c r="AS73" s="74"/>
      <c r="AT73" s="74"/>
      <c r="AU73" s="74"/>
      <c r="AV73" s="74"/>
      <c r="AX73" s="77"/>
      <c r="AY73" s="77"/>
      <c r="AZ73" s="77"/>
      <c r="BA73" s="77"/>
      <c r="BB73" s="77"/>
      <c r="BC73" s="77"/>
      <c r="BD73" s="77"/>
      <c r="BE73" s="77"/>
      <c r="BF73" s="77"/>
      <c r="BG73" s="77"/>
      <c r="BH73" s="77"/>
      <c r="BI73" s="77"/>
      <c r="BJ73" s="77"/>
      <c r="BK73" s="77"/>
      <c r="BL73" s="77"/>
      <c r="BM73" s="77"/>
      <c r="BN73" s="77"/>
      <c r="BO73" s="77"/>
      <c r="BP73" s="77"/>
      <c r="BQ73" s="77"/>
      <c r="BR73" s="77"/>
      <c r="BS73" s="77"/>
    </row>
    <row r="74" spans="1:71" x14ac:dyDescent="0.2">
      <c r="A74" s="14"/>
      <c r="B74" s="10" t="s">
        <v>32</v>
      </c>
      <c r="C74" s="4">
        <v>11.7</v>
      </c>
      <c r="D74" s="4">
        <v>16.399999999999999</v>
      </c>
      <c r="E74" s="4">
        <v>21.9</v>
      </c>
      <c r="F74" s="4">
        <v>22.9</v>
      </c>
      <c r="G74" s="4">
        <v>17.8</v>
      </c>
      <c r="H74" s="4">
        <v>90.7</v>
      </c>
      <c r="I74" s="13">
        <v>26836</v>
      </c>
      <c r="J74" s="4">
        <v>13.1</v>
      </c>
      <c r="K74" s="4">
        <v>18.2</v>
      </c>
      <c r="L74" s="4">
        <v>23.2</v>
      </c>
      <c r="M74" s="4">
        <v>22.3</v>
      </c>
      <c r="N74" s="4">
        <v>16.100000000000001</v>
      </c>
      <c r="O74" s="4">
        <v>93</v>
      </c>
      <c r="P74" s="13">
        <v>30061</v>
      </c>
      <c r="Q74" s="4">
        <v>12.5</v>
      </c>
      <c r="R74" s="4">
        <v>17.3</v>
      </c>
      <c r="S74" s="4">
        <v>22.6</v>
      </c>
      <c r="T74" s="4">
        <v>22.6</v>
      </c>
      <c r="U74" s="4">
        <v>16.899999999999999</v>
      </c>
      <c r="V74" s="4">
        <v>91.9</v>
      </c>
      <c r="W74" s="13">
        <v>56897</v>
      </c>
      <c r="X74" s="14"/>
      <c r="Y74" s="14"/>
      <c r="Z74" s="14"/>
      <c r="AA74" s="74"/>
      <c r="AB74" s="74"/>
      <c r="AC74" s="74"/>
      <c r="AD74" s="74"/>
      <c r="AE74" s="74"/>
      <c r="AF74" s="74"/>
      <c r="AG74" s="74"/>
      <c r="AH74" s="74"/>
      <c r="AI74" s="74"/>
      <c r="AJ74" s="74"/>
      <c r="AK74" s="74"/>
      <c r="AL74" s="74"/>
      <c r="AM74" s="74"/>
      <c r="AN74" s="74"/>
      <c r="AO74" s="74"/>
      <c r="AP74" s="74"/>
      <c r="AQ74" s="74"/>
      <c r="AR74" s="74"/>
      <c r="AS74" s="74"/>
      <c r="AT74" s="74"/>
      <c r="AU74" s="74"/>
      <c r="AV74" s="74"/>
      <c r="AX74" s="77"/>
      <c r="AY74" s="77"/>
      <c r="AZ74" s="77"/>
      <c r="BA74" s="77"/>
      <c r="BB74" s="77"/>
      <c r="BC74" s="77"/>
      <c r="BD74" s="77"/>
      <c r="BE74" s="77"/>
      <c r="BF74" s="77"/>
      <c r="BG74" s="77"/>
      <c r="BH74" s="77"/>
      <c r="BI74" s="77"/>
      <c r="BJ74" s="77"/>
      <c r="BK74" s="77"/>
      <c r="BL74" s="77"/>
      <c r="BM74" s="77"/>
      <c r="BN74" s="77"/>
      <c r="BO74" s="77"/>
      <c r="BP74" s="77"/>
      <c r="BQ74" s="77"/>
      <c r="BR74" s="77"/>
      <c r="BS74" s="77"/>
    </row>
    <row r="75" spans="1:71" x14ac:dyDescent="0.2">
      <c r="A75" s="14"/>
      <c r="B75" s="10" t="s">
        <v>46</v>
      </c>
      <c r="C75" s="4">
        <v>20.100000000000001</v>
      </c>
      <c r="D75" s="4">
        <v>21</v>
      </c>
      <c r="E75" s="4">
        <v>22.7</v>
      </c>
      <c r="F75" s="4">
        <v>19.2</v>
      </c>
      <c r="G75" s="4">
        <v>12</v>
      </c>
      <c r="H75" s="4">
        <v>95.1</v>
      </c>
      <c r="I75" s="13">
        <v>306050</v>
      </c>
      <c r="J75" s="4">
        <v>22.8</v>
      </c>
      <c r="K75" s="4">
        <v>24.2</v>
      </c>
      <c r="L75" s="4">
        <v>23.7</v>
      </c>
      <c r="M75" s="4">
        <v>17.399999999999999</v>
      </c>
      <c r="N75" s="4">
        <v>8.9</v>
      </c>
      <c r="O75" s="4">
        <v>97</v>
      </c>
      <c r="P75" s="13">
        <v>356620</v>
      </c>
      <c r="Q75" s="4">
        <v>21.5</v>
      </c>
      <c r="R75" s="4">
        <v>22.7</v>
      </c>
      <c r="S75" s="4">
        <v>23.2</v>
      </c>
      <c r="T75" s="4">
        <v>18.3</v>
      </c>
      <c r="U75" s="4">
        <v>10.4</v>
      </c>
      <c r="V75" s="4">
        <v>96.1</v>
      </c>
      <c r="W75" s="13">
        <v>662670</v>
      </c>
      <c r="X75" s="14"/>
      <c r="Y75" s="14"/>
      <c r="Z75" s="14"/>
      <c r="AA75" s="74"/>
      <c r="AB75" s="74"/>
      <c r="AC75" s="74"/>
      <c r="AD75" s="74"/>
      <c r="AE75" s="74"/>
      <c r="AF75" s="74"/>
      <c r="AG75" s="74"/>
      <c r="AH75" s="74"/>
      <c r="AI75" s="74"/>
      <c r="AJ75" s="74"/>
      <c r="AK75" s="74"/>
      <c r="AL75" s="74"/>
      <c r="AM75" s="74"/>
      <c r="AN75" s="74"/>
      <c r="AO75" s="74"/>
      <c r="AP75" s="74"/>
      <c r="AQ75" s="74"/>
      <c r="AR75" s="74"/>
      <c r="AS75" s="74"/>
      <c r="AT75" s="74"/>
      <c r="AU75" s="74"/>
      <c r="AV75" s="74"/>
      <c r="AX75" s="77"/>
      <c r="AY75" s="77"/>
      <c r="AZ75" s="77"/>
      <c r="BA75" s="77"/>
      <c r="BB75" s="77"/>
      <c r="BC75" s="77"/>
      <c r="BD75" s="77"/>
      <c r="BE75" s="77"/>
      <c r="BF75" s="77"/>
      <c r="BG75" s="77"/>
      <c r="BH75" s="77"/>
      <c r="BI75" s="77"/>
      <c r="BJ75" s="77"/>
      <c r="BK75" s="77"/>
      <c r="BL75" s="77"/>
      <c r="BM75" s="77"/>
      <c r="BN75" s="77"/>
      <c r="BO75" s="77"/>
      <c r="BP75" s="77"/>
      <c r="BQ75" s="77"/>
      <c r="BR75" s="77"/>
      <c r="BS75" s="77"/>
    </row>
    <row r="76" spans="1:71" x14ac:dyDescent="0.2">
      <c r="A76" s="14"/>
      <c r="AY76" s="77"/>
      <c r="AZ76" s="77"/>
      <c r="BA76" s="77"/>
      <c r="BB76" s="77"/>
      <c r="BC76" s="77"/>
      <c r="BD76" s="77"/>
      <c r="BE76" s="77"/>
      <c r="BF76" s="77"/>
      <c r="BG76" s="77"/>
      <c r="BH76" s="77"/>
      <c r="BI76" s="77"/>
      <c r="BJ76" s="77"/>
      <c r="BK76" s="77"/>
      <c r="BL76" s="77"/>
      <c r="BM76" s="77"/>
      <c r="BN76" s="77"/>
      <c r="BO76" s="77"/>
      <c r="BP76" s="77"/>
      <c r="BQ76" s="77"/>
      <c r="BR76" s="77"/>
      <c r="BS76" s="77"/>
    </row>
    <row r="77" spans="1:71" x14ac:dyDescent="0.2">
      <c r="A77" s="14"/>
      <c r="B77" s="10" t="s">
        <v>0</v>
      </c>
      <c r="C77" s="4">
        <f>ROUND(C41,1)</f>
        <v>19.2</v>
      </c>
      <c r="D77" s="4">
        <f t="shared" ref="D77:V77" si="0">ROUND(D41,1)</f>
        <v>19.399999999999999</v>
      </c>
      <c r="E77" s="4">
        <f t="shared" si="0"/>
        <v>20.3</v>
      </c>
      <c r="F77" s="4">
        <f t="shared" si="0"/>
        <v>18.399999999999999</v>
      </c>
      <c r="G77" s="4">
        <f t="shared" si="0"/>
        <v>15.2</v>
      </c>
      <c r="H77" s="4">
        <f t="shared" si="0"/>
        <v>92.4</v>
      </c>
      <c r="I77" s="13">
        <f>ROUND(I41,0)</f>
        <v>17020</v>
      </c>
      <c r="J77" s="4">
        <f t="shared" si="0"/>
        <v>23.1</v>
      </c>
      <c r="K77" s="4">
        <f t="shared" si="0"/>
        <v>21.8</v>
      </c>
      <c r="L77" s="4">
        <f t="shared" si="0"/>
        <v>20.5</v>
      </c>
      <c r="M77" s="4">
        <f t="shared" si="0"/>
        <v>16.899999999999999</v>
      </c>
      <c r="N77" s="4">
        <f t="shared" si="0"/>
        <v>12.5</v>
      </c>
      <c r="O77" s="4">
        <f t="shared" si="0"/>
        <v>94.7</v>
      </c>
      <c r="P77" s="13">
        <f>ROUND(P41,0)</f>
        <v>26882</v>
      </c>
      <c r="Q77" s="4">
        <f t="shared" si="0"/>
        <v>21.6</v>
      </c>
      <c r="R77" s="4">
        <f t="shared" si="0"/>
        <v>20.8</v>
      </c>
      <c r="S77" s="4">
        <f t="shared" si="0"/>
        <v>20.399999999999999</v>
      </c>
      <c r="T77" s="4">
        <f t="shared" si="0"/>
        <v>17.5</v>
      </c>
      <c r="U77" s="4">
        <f t="shared" si="0"/>
        <v>13.5</v>
      </c>
      <c r="V77" s="4">
        <f t="shared" si="0"/>
        <v>93.8</v>
      </c>
      <c r="W77" s="13">
        <f>ROUND(W41,0)</f>
        <v>43902</v>
      </c>
      <c r="AY77" s="77"/>
      <c r="AZ77" s="77"/>
      <c r="BA77" s="77"/>
      <c r="BB77" s="77"/>
      <c r="BC77" s="77"/>
      <c r="BD77" s="77"/>
      <c r="BE77" s="77"/>
      <c r="BF77" s="77"/>
      <c r="BG77" s="77"/>
      <c r="BH77" s="77"/>
      <c r="BI77" s="77"/>
      <c r="BJ77" s="77"/>
      <c r="BK77" s="77"/>
      <c r="BL77" s="77"/>
      <c r="BM77" s="77"/>
      <c r="BN77" s="77"/>
      <c r="BO77" s="77"/>
      <c r="BP77" s="77"/>
      <c r="BQ77" s="77"/>
      <c r="BR77" s="77"/>
      <c r="BS77" s="77"/>
    </row>
    <row r="78" spans="1:71" x14ac:dyDescent="0.2">
      <c r="A78" s="14"/>
      <c r="B78" s="10" t="s">
        <v>1</v>
      </c>
      <c r="C78" s="4">
        <f t="shared" ref="C78:H78" si="1">ROUND(C42,1)</f>
        <v>27.2</v>
      </c>
      <c r="D78" s="4">
        <f t="shared" si="1"/>
        <v>23.3</v>
      </c>
      <c r="E78" s="4">
        <f t="shared" si="1"/>
        <v>19</v>
      </c>
      <c r="F78" s="4">
        <f t="shared" si="1"/>
        <v>15.1</v>
      </c>
      <c r="G78" s="4">
        <f t="shared" si="1"/>
        <v>10.7</v>
      </c>
      <c r="H78" s="4">
        <f t="shared" si="1"/>
        <v>95.2</v>
      </c>
      <c r="I78" s="13">
        <f t="shared" ref="I78:I111" si="2">ROUND(I42,0)</f>
        <v>15124</v>
      </c>
      <c r="J78" s="4">
        <f t="shared" ref="J78:O78" si="3">ROUND(J42,1)</f>
        <v>31</v>
      </c>
      <c r="K78" s="4">
        <f t="shared" si="3"/>
        <v>25.1</v>
      </c>
      <c r="L78" s="4">
        <f t="shared" si="3"/>
        <v>19</v>
      </c>
      <c r="M78" s="4">
        <f t="shared" si="3"/>
        <v>13.4</v>
      </c>
      <c r="N78" s="4">
        <f t="shared" si="3"/>
        <v>8.4</v>
      </c>
      <c r="O78" s="4">
        <f t="shared" si="3"/>
        <v>96.8</v>
      </c>
      <c r="P78" s="13">
        <f t="shared" ref="P78:P111" si="4">ROUND(P42,0)</f>
        <v>15941</v>
      </c>
      <c r="Q78" s="4">
        <f t="shared" ref="Q78:V78" si="5">ROUND(Q42,1)</f>
        <v>29.2</v>
      </c>
      <c r="R78" s="4">
        <f t="shared" si="5"/>
        <v>24.2</v>
      </c>
      <c r="S78" s="4">
        <f t="shared" si="5"/>
        <v>19</v>
      </c>
      <c r="T78" s="4">
        <f t="shared" si="5"/>
        <v>14.2</v>
      </c>
      <c r="U78" s="4">
        <f t="shared" si="5"/>
        <v>9.5</v>
      </c>
      <c r="V78" s="4">
        <f t="shared" si="5"/>
        <v>96</v>
      </c>
      <c r="W78" s="13">
        <f t="shared" ref="W78:W111" si="6">ROUND(W42,0)</f>
        <v>31065</v>
      </c>
      <c r="AY78" s="77"/>
      <c r="AZ78" s="77"/>
      <c r="BA78" s="77"/>
      <c r="BB78" s="77"/>
      <c r="BC78" s="77"/>
      <c r="BD78" s="77"/>
      <c r="BE78" s="77"/>
      <c r="BF78" s="77"/>
      <c r="BG78" s="77"/>
      <c r="BH78" s="77"/>
      <c r="BI78" s="77"/>
      <c r="BJ78" s="77"/>
      <c r="BK78" s="77"/>
      <c r="BL78" s="77"/>
      <c r="BM78" s="77"/>
      <c r="BN78" s="77"/>
      <c r="BO78" s="77"/>
      <c r="BP78" s="77"/>
      <c r="BQ78" s="77"/>
      <c r="BR78" s="77"/>
      <c r="BS78" s="77"/>
    </row>
    <row r="79" spans="1:71" x14ac:dyDescent="0.2">
      <c r="A79" s="14"/>
      <c r="B79" s="10" t="s">
        <v>2</v>
      </c>
      <c r="C79" s="4">
        <f t="shared" ref="C79:H79" si="7">ROUND(C43,1)</f>
        <v>26</v>
      </c>
      <c r="D79" s="4">
        <f t="shared" si="7"/>
        <v>20.399999999999999</v>
      </c>
      <c r="E79" s="4">
        <f t="shared" si="7"/>
        <v>18.600000000000001</v>
      </c>
      <c r="F79" s="4">
        <f t="shared" si="7"/>
        <v>16.7</v>
      </c>
      <c r="G79" s="4">
        <f t="shared" si="7"/>
        <v>12.5</v>
      </c>
      <c r="H79" s="4">
        <f t="shared" si="7"/>
        <v>94.2</v>
      </c>
      <c r="I79" s="13">
        <f t="shared" si="2"/>
        <v>20370</v>
      </c>
      <c r="J79" s="4">
        <f t="shared" ref="J79:O79" si="8">ROUND(J43,1)</f>
        <v>32.4</v>
      </c>
      <c r="K79" s="4">
        <f t="shared" si="8"/>
        <v>23</v>
      </c>
      <c r="L79" s="4">
        <f t="shared" si="8"/>
        <v>18.399999999999999</v>
      </c>
      <c r="M79" s="4">
        <f t="shared" si="8"/>
        <v>13.3</v>
      </c>
      <c r="N79" s="4">
        <f t="shared" si="8"/>
        <v>9.6</v>
      </c>
      <c r="O79" s="4">
        <f t="shared" si="8"/>
        <v>96.6</v>
      </c>
      <c r="P79" s="13">
        <f t="shared" si="4"/>
        <v>5908</v>
      </c>
      <c r="Q79" s="4">
        <f t="shared" ref="Q79:V79" si="9">ROUND(Q43,1)</f>
        <v>27.4</v>
      </c>
      <c r="R79" s="4">
        <f t="shared" si="9"/>
        <v>21</v>
      </c>
      <c r="S79" s="4">
        <f t="shared" si="9"/>
        <v>18.5</v>
      </c>
      <c r="T79" s="4">
        <f t="shared" si="9"/>
        <v>15.9</v>
      </c>
      <c r="U79" s="4">
        <f t="shared" si="9"/>
        <v>11.8</v>
      </c>
      <c r="V79" s="4">
        <f t="shared" si="9"/>
        <v>94.7</v>
      </c>
      <c r="W79" s="13">
        <f t="shared" si="6"/>
        <v>26278</v>
      </c>
      <c r="AY79" s="77"/>
      <c r="AZ79" s="77"/>
      <c r="BA79" s="77"/>
      <c r="BB79" s="77"/>
      <c r="BC79" s="77"/>
      <c r="BD79" s="77"/>
      <c r="BE79" s="77"/>
      <c r="BF79" s="77"/>
      <c r="BG79" s="77"/>
      <c r="BH79" s="77"/>
      <c r="BI79" s="77"/>
      <c r="BJ79" s="77"/>
      <c r="BK79" s="77"/>
      <c r="BL79" s="77"/>
      <c r="BM79" s="77"/>
      <c r="BN79" s="77"/>
      <c r="BO79" s="77"/>
      <c r="BP79" s="77"/>
      <c r="BQ79" s="77"/>
      <c r="BR79" s="77"/>
      <c r="BS79" s="77"/>
    </row>
    <row r="80" spans="1:71" x14ac:dyDescent="0.2">
      <c r="A80" s="14"/>
      <c r="B80" s="10" t="s">
        <v>3</v>
      </c>
      <c r="C80" s="4">
        <f t="shared" ref="C80:H80" si="10">ROUND(C44,1)</f>
        <v>21</v>
      </c>
      <c r="D80" s="4">
        <f t="shared" si="10"/>
        <v>18</v>
      </c>
      <c r="E80" s="4">
        <f t="shared" si="10"/>
        <v>21.8</v>
      </c>
      <c r="F80" s="4">
        <f t="shared" si="10"/>
        <v>18.899999999999999</v>
      </c>
      <c r="G80" s="4">
        <f t="shared" si="10"/>
        <v>14.6</v>
      </c>
      <c r="H80" s="4">
        <f t="shared" si="10"/>
        <v>94.3</v>
      </c>
      <c r="I80" s="13">
        <f t="shared" si="2"/>
        <v>2820</v>
      </c>
      <c r="J80" s="4">
        <f t="shared" ref="J80:O80" si="11">ROUND(J44,1)</f>
        <v>19.100000000000001</v>
      </c>
      <c r="K80" s="4">
        <f t="shared" si="11"/>
        <v>19.899999999999999</v>
      </c>
      <c r="L80" s="4">
        <f t="shared" si="11"/>
        <v>22.2</v>
      </c>
      <c r="M80" s="4">
        <f t="shared" si="11"/>
        <v>20.3</v>
      </c>
      <c r="N80" s="4">
        <f t="shared" si="11"/>
        <v>14</v>
      </c>
      <c r="O80" s="4">
        <f t="shared" si="11"/>
        <v>95.5</v>
      </c>
      <c r="P80" s="13">
        <f t="shared" si="4"/>
        <v>1209</v>
      </c>
      <c r="Q80" s="4">
        <f t="shared" ref="Q80:V80" si="12">ROUND(Q44,1)</f>
        <v>20.399999999999999</v>
      </c>
      <c r="R80" s="4">
        <f t="shared" si="12"/>
        <v>18.600000000000001</v>
      </c>
      <c r="S80" s="4">
        <f t="shared" si="12"/>
        <v>22</v>
      </c>
      <c r="T80" s="4">
        <f t="shared" si="12"/>
        <v>19.3</v>
      </c>
      <c r="U80" s="4">
        <f t="shared" si="12"/>
        <v>14.4</v>
      </c>
      <c r="V80" s="4">
        <f t="shared" si="12"/>
        <v>94.7</v>
      </c>
      <c r="W80" s="13">
        <f t="shared" si="6"/>
        <v>4029</v>
      </c>
      <c r="AY80" s="77"/>
      <c r="AZ80" s="77"/>
      <c r="BA80" s="77"/>
      <c r="BB80" s="77"/>
      <c r="BC80" s="77"/>
      <c r="BD80" s="77"/>
      <c r="BE80" s="77"/>
      <c r="BF80" s="77"/>
      <c r="BG80" s="77"/>
      <c r="BH80" s="77"/>
      <c r="BI80" s="77"/>
      <c r="BJ80" s="77"/>
      <c r="BK80" s="77"/>
      <c r="BL80" s="77"/>
      <c r="BM80" s="77"/>
      <c r="BN80" s="77"/>
      <c r="BO80" s="77"/>
      <c r="BP80" s="77"/>
      <c r="BQ80" s="77"/>
      <c r="BR80" s="77"/>
      <c r="BS80" s="77"/>
    </row>
    <row r="81" spans="1:71" x14ac:dyDescent="0.2">
      <c r="A81" s="14"/>
      <c r="B81" s="10" t="s">
        <v>4</v>
      </c>
      <c r="C81" s="4">
        <f t="shared" ref="C81:H81" si="13">ROUND(C45,1)</f>
        <v>35.1</v>
      </c>
      <c r="D81" s="4">
        <f t="shared" si="13"/>
        <v>20</v>
      </c>
      <c r="E81" s="4">
        <f t="shared" si="13"/>
        <v>17.100000000000001</v>
      </c>
      <c r="F81" s="4">
        <f t="shared" si="13"/>
        <v>13.2</v>
      </c>
      <c r="G81" s="4">
        <f t="shared" si="13"/>
        <v>9.1</v>
      </c>
      <c r="H81" s="4">
        <f t="shared" si="13"/>
        <v>94.5</v>
      </c>
      <c r="I81" s="13">
        <f t="shared" si="2"/>
        <v>27700</v>
      </c>
      <c r="J81" s="4">
        <f t="shared" ref="J81:O81" si="14">ROUND(J45,1)</f>
        <v>39.4</v>
      </c>
      <c r="K81" s="4">
        <f t="shared" si="14"/>
        <v>22.6</v>
      </c>
      <c r="L81" s="4">
        <f t="shared" si="14"/>
        <v>16.5</v>
      </c>
      <c r="M81" s="4">
        <f t="shared" si="14"/>
        <v>11.6</v>
      </c>
      <c r="N81" s="4">
        <f t="shared" si="14"/>
        <v>6.4</v>
      </c>
      <c r="O81" s="4">
        <f t="shared" si="14"/>
        <v>96.4</v>
      </c>
      <c r="P81" s="13">
        <f t="shared" si="4"/>
        <v>16753</v>
      </c>
      <c r="Q81" s="4">
        <f t="shared" ref="Q81:V81" si="15">ROUND(Q45,1)</f>
        <v>36.700000000000003</v>
      </c>
      <c r="R81" s="4">
        <f t="shared" si="15"/>
        <v>21</v>
      </c>
      <c r="S81" s="4">
        <f t="shared" si="15"/>
        <v>16.899999999999999</v>
      </c>
      <c r="T81" s="4">
        <f t="shared" si="15"/>
        <v>12.6</v>
      </c>
      <c r="U81" s="4">
        <f t="shared" si="15"/>
        <v>8.1</v>
      </c>
      <c r="V81" s="4">
        <f t="shared" si="15"/>
        <v>95.3</v>
      </c>
      <c r="W81" s="13">
        <f t="shared" si="6"/>
        <v>44453</v>
      </c>
      <c r="AY81" s="77"/>
      <c r="AZ81" s="77"/>
      <c r="BA81" s="77"/>
      <c r="BB81" s="77"/>
      <c r="BC81" s="77"/>
      <c r="BD81" s="77"/>
      <c r="BE81" s="77"/>
      <c r="BF81" s="77"/>
      <c r="BG81" s="77"/>
      <c r="BH81" s="77"/>
      <c r="BI81" s="77"/>
      <c r="BJ81" s="77"/>
      <c r="BK81" s="77"/>
      <c r="BL81" s="77"/>
      <c r="BM81" s="77"/>
      <c r="BN81" s="77"/>
      <c r="BO81" s="77"/>
      <c r="BP81" s="77"/>
      <c r="BQ81" s="77"/>
      <c r="BR81" s="77"/>
      <c r="BS81" s="77"/>
    </row>
    <row r="82" spans="1:71" x14ac:dyDescent="0.2">
      <c r="A82" s="14"/>
      <c r="B82" s="10" t="s">
        <v>5</v>
      </c>
      <c r="C82" s="4">
        <f t="shared" ref="C82:H82" si="16">ROUND(C46,1)</f>
        <v>59.8</v>
      </c>
      <c r="D82" s="4">
        <f t="shared" si="16"/>
        <v>15.9</v>
      </c>
      <c r="E82" s="4">
        <f t="shared" si="16"/>
        <v>10.3</v>
      </c>
      <c r="F82" s="4">
        <f t="shared" si="16"/>
        <v>6.7</v>
      </c>
      <c r="G82" s="4">
        <f t="shared" si="16"/>
        <v>5.3</v>
      </c>
      <c r="H82" s="4">
        <f t="shared" si="16"/>
        <v>98</v>
      </c>
      <c r="I82" s="13">
        <f t="shared" si="2"/>
        <v>3422</v>
      </c>
      <c r="J82" s="4">
        <f t="shared" ref="J82:O82" si="17">ROUND(J46,1)</f>
        <v>63.4</v>
      </c>
      <c r="K82" s="4">
        <f t="shared" si="17"/>
        <v>17.8</v>
      </c>
      <c r="L82" s="4">
        <f t="shared" si="17"/>
        <v>8.6</v>
      </c>
      <c r="M82" s="4">
        <f t="shared" si="17"/>
        <v>6.4</v>
      </c>
      <c r="N82" s="4">
        <f t="shared" si="17"/>
        <v>2.8</v>
      </c>
      <c r="O82" s="4">
        <f t="shared" si="17"/>
        <v>99.1</v>
      </c>
      <c r="P82" s="13">
        <f t="shared" si="4"/>
        <v>1308</v>
      </c>
      <c r="Q82" s="4">
        <f t="shared" ref="Q82:V82" si="18">ROUND(Q46,1)</f>
        <v>60.8</v>
      </c>
      <c r="R82" s="4">
        <f t="shared" si="18"/>
        <v>16.399999999999999</v>
      </c>
      <c r="S82" s="4">
        <f t="shared" si="18"/>
        <v>9.8000000000000007</v>
      </c>
      <c r="T82" s="4">
        <f t="shared" si="18"/>
        <v>6.6</v>
      </c>
      <c r="U82" s="4">
        <f t="shared" si="18"/>
        <v>4.7</v>
      </c>
      <c r="V82" s="4">
        <f t="shared" si="18"/>
        <v>98.3</v>
      </c>
      <c r="W82" s="13">
        <f t="shared" si="6"/>
        <v>4730</v>
      </c>
      <c r="AY82" s="77"/>
      <c r="AZ82" s="77"/>
      <c r="BA82" s="77"/>
      <c r="BB82" s="77"/>
      <c r="BC82" s="77"/>
      <c r="BD82" s="77"/>
      <c r="BE82" s="77"/>
      <c r="BF82" s="77"/>
      <c r="BG82" s="77"/>
      <c r="BH82" s="77"/>
      <c r="BI82" s="77"/>
      <c r="BJ82" s="77"/>
      <c r="BK82" s="77"/>
      <c r="BL82" s="77"/>
      <c r="BM82" s="77"/>
      <c r="BN82" s="77"/>
      <c r="BO82" s="77"/>
      <c r="BP82" s="77"/>
      <c r="BQ82" s="77"/>
      <c r="BR82" s="77"/>
      <c r="BS82" s="77"/>
    </row>
    <row r="83" spans="1:71" x14ac:dyDescent="0.2">
      <c r="B83" s="10" t="s">
        <v>6</v>
      </c>
      <c r="C83" s="4">
        <f t="shared" ref="C83:H83" si="19">ROUND(C47,1)</f>
        <v>12.7</v>
      </c>
      <c r="D83" s="4">
        <f t="shared" si="19"/>
        <v>19.399999999999999</v>
      </c>
      <c r="E83" s="4">
        <f t="shared" si="19"/>
        <v>25.1</v>
      </c>
      <c r="F83" s="4">
        <f t="shared" si="19"/>
        <v>23.8</v>
      </c>
      <c r="G83" s="4">
        <f t="shared" si="19"/>
        <v>14.4</v>
      </c>
      <c r="H83" s="4">
        <f t="shared" si="19"/>
        <v>95.4</v>
      </c>
      <c r="I83" s="13">
        <f t="shared" si="2"/>
        <v>9517</v>
      </c>
      <c r="J83" s="4">
        <f t="shared" ref="J83:O83" si="20">ROUND(J47,1)</f>
        <v>18.100000000000001</v>
      </c>
      <c r="K83" s="4">
        <f t="shared" si="20"/>
        <v>25.6</v>
      </c>
      <c r="L83" s="4">
        <f t="shared" si="20"/>
        <v>26.3</v>
      </c>
      <c r="M83" s="4">
        <f t="shared" si="20"/>
        <v>19.100000000000001</v>
      </c>
      <c r="N83" s="4">
        <f t="shared" si="20"/>
        <v>8.6999999999999993</v>
      </c>
      <c r="O83" s="4">
        <f t="shared" si="20"/>
        <v>97.8</v>
      </c>
      <c r="P83" s="13">
        <f t="shared" si="4"/>
        <v>5857</v>
      </c>
      <c r="Q83" s="4">
        <f t="shared" ref="Q83:V83" si="21">ROUND(Q47,1)</f>
        <v>14.8</v>
      </c>
      <c r="R83" s="4">
        <f t="shared" si="21"/>
        <v>21.8</v>
      </c>
      <c r="S83" s="4">
        <f t="shared" si="21"/>
        <v>25.5</v>
      </c>
      <c r="T83" s="4">
        <f t="shared" si="21"/>
        <v>22</v>
      </c>
      <c r="U83" s="4">
        <f t="shared" si="21"/>
        <v>12.2</v>
      </c>
      <c r="V83" s="4">
        <f t="shared" si="21"/>
        <v>96.3</v>
      </c>
      <c r="W83" s="13">
        <f t="shared" si="6"/>
        <v>15374</v>
      </c>
      <c r="AY83" s="77"/>
      <c r="AZ83" s="77"/>
      <c r="BA83" s="77"/>
      <c r="BB83" s="77"/>
      <c r="BC83" s="77"/>
      <c r="BD83" s="77"/>
      <c r="BE83" s="77"/>
      <c r="BF83" s="77"/>
      <c r="BG83" s="77"/>
      <c r="BH83" s="77"/>
      <c r="BI83" s="77"/>
      <c r="BJ83" s="77"/>
      <c r="BK83" s="77"/>
      <c r="BL83" s="77"/>
      <c r="BM83" s="77"/>
      <c r="BN83" s="77"/>
      <c r="BO83" s="77"/>
      <c r="BP83" s="77"/>
      <c r="BQ83" s="77"/>
      <c r="BR83" s="77"/>
      <c r="BS83" s="77"/>
    </row>
    <row r="84" spans="1:71" x14ac:dyDescent="0.2">
      <c r="B84" s="10" t="s">
        <v>7</v>
      </c>
      <c r="C84" s="4">
        <f t="shared" ref="C84:H84" si="22">ROUND(C48,1)</f>
        <v>12.7</v>
      </c>
      <c r="D84" s="4">
        <f t="shared" si="22"/>
        <v>17.2</v>
      </c>
      <c r="E84" s="4">
        <f t="shared" si="22"/>
        <v>22.3</v>
      </c>
      <c r="F84" s="4">
        <f t="shared" si="22"/>
        <v>22</v>
      </c>
      <c r="G84" s="4">
        <f t="shared" si="22"/>
        <v>17.399999999999999</v>
      </c>
      <c r="H84" s="4">
        <f t="shared" si="22"/>
        <v>91.7</v>
      </c>
      <c r="I84" s="13">
        <f t="shared" si="2"/>
        <v>7319</v>
      </c>
      <c r="J84" s="4">
        <f t="shared" ref="J84:O84" si="23">ROUND(J48,1)</f>
        <v>11.1</v>
      </c>
      <c r="K84" s="4">
        <f t="shared" si="23"/>
        <v>19.2</v>
      </c>
      <c r="L84" s="4">
        <f t="shared" si="23"/>
        <v>20.8</v>
      </c>
      <c r="M84" s="4">
        <f t="shared" si="23"/>
        <v>22.9</v>
      </c>
      <c r="N84" s="4">
        <f t="shared" si="23"/>
        <v>17.7</v>
      </c>
      <c r="O84" s="4">
        <f t="shared" si="23"/>
        <v>91.8</v>
      </c>
      <c r="P84" s="13">
        <f t="shared" si="4"/>
        <v>937</v>
      </c>
      <c r="Q84" s="4">
        <f t="shared" ref="Q84:V84" si="24">ROUND(Q48,1)</f>
        <v>12.5</v>
      </c>
      <c r="R84" s="4">
        <f t="shared" si="24"/>
        <v>17.5</v>
      </c>
      <c r="S84" s="4">
        <f t="shared" si="24"/>
        <v>22.2</v>
      </c>
      <c r="T84" s="4">
        <f t="shared" si="24"/>
        <v>22.1</v>
      </c>
      <c r="U84" s="4">
        <f t="shared" si="24"/>
        <v>17.5</v>
      </c>
      <c r="V84" s="4">
        <f t="shared" si="24"/>
        <v>91.7</v>
      </c>
      <c r="W84" s="13">
        <f t="shared" si="6"/>
        <v>8256</v>
      </c>
      <c r="AY84" s="77"/>
      <c r="AZ84" s="77"/>
      <c r="BA84" s="77"/>
      <c r="BB84" s="77"/>
      <c r="BC84" s="77"/>
      <c r="BD84" s="77"/>
      <c r="BE84" s="77"/>
      <c r="BF84" s="77"/>
      <c r="BG84" s="77"/>
      <c r="BH84" s="77"/>
      <c r="BI84" s="77"/>
      <c r="BJ84" s="77"/>
      <c r="BK84" s="77"/>
      <c r="BL84" s="77"/>
      <c r="BM84" s="77"/>
      <c r="BN84" s="77"/>
      <c r="BO84" s="77"/>
      <c r="BP84" s="77"/>
      <c r="BQ84" s="77"/>
      <c r="BR84" s="77"/>
      <c r="BS84" s="77"/>
    </row>
    <row r="85" spans="1:71" x14ac:dyDescent="0.2">
      <c r="B85" s="10" t="s">
        <v>8</v>
      </c>
      <c r="C85" s="4">
        <f t="shared" ref="C85:H85" si="25">ROUND(C49,1)</f>
        <v>5.0999999999999996</v>
      </c>
      <c r="D85" s="4">
        <f t="shared" si="25"/>
        <v>13.4</v>
      </c>
      <c r="E85" s="4">
        <f t="shared" si="25"/>
        <v>23.5</v>
      </c>
      <c r="F85" s="4">
        <f t="shared" si="25"/>
        <v>27</v>
      </c>
      <c r="G85" s="4">
        <f t="shared" si="25"/>
        <v>21.7</v>
      </c>
      <c r="H85" s="4">
        <f t="shared" si="25"/>
        <v>90.7</v>
      </c>
      <c r="I85" s="13">
        <f t="shared" si="2"/>
        <v>10734</v>
      </c>
      <c r="J85" s="4">
        <f t="shared" ref="J85:O85" si="26">ROUND(J49,1)</f>
        <v>7.4</v>
      </c>
      <c r="K85" s="4">
        <f t="shared" si="26"/>
        <v>17.8</v>
      </c>
      <c r="L85" s="4">
        <f t="shared" si="26"/>
        <v>24.6</v>
      </c>
      <c r="M85" s="4">
        <f t="shared" si="26"/>
        <v>26.2</v>
      </c>
      <c r="N85" s="4">
        <f t="shared" si="26"/>
        <v>17.8</v>
      </c>
      <c r="O85" s="4">
        <f t="shared" si="26"/>
        <v>93.8</v>
      </c>
      <c r="P85" s="13">
        <f t="shared" si="4"/>
        <v>5575</v>
      </c>
      <c r="Q85" s="4">
        <f t="shared" ref="Q85:V85" si="27">ROUND(Q49,1)</f>
        <v>5.9</v>
      </c>
      <c r="R85" s="4">
        <f t="shared" si="27"/>
        <v>14.9</v>
      </c>
      <c r="S85" s="4">
        <f t="shared" si="27"/>
        <v>23.9</v>
      </c>
      <c r="T85" s="4">
        <f t="shared" si="27"/>
        <v>26.7</v>
      </c>
      <c r="U85" s="4">
        <f t="shared" si="27"/>
        <v>20.399999999999999</v>
      </c>
      <c r="V85" s="4">
        <f t="shared" si="27"/>
        <v>91.7</v>
      </c>
      <c r="W85" s="13">
        <f t="shared" si="6"/>
        <v>16309</v>
      </c>
      <c r="AY85" s="77"/>
      <c r="AZ85" s="77"/>
      <c r="BA85" s="77"/>
      <c r="BB85" s="77"/>
      <c r="BC85" s="77"/>
      <c r="BD85" s="77"/>
      <c r="BE85" s="77"/>
      <c r="BF85" s="77"/>
      <c r="BG85" s="77"/>
      <c r="BH85" s="77"/>
      <c r="BI85" s="77"/>
      <c r="BJ85" s="77"/>
      <c r="BK85" s="77"/>
      <c r="BL85" s="77"/>
      <c r="BM85" s="77"/>
      <c r="BN85" s="77"/>
      <c r="BO85" s="77"/>
      <c r="BP85" s="77"/>
      <c r="BQ85" s="77"/>
      <c r="BR85" s="77"/>
      <c r="BS85" s="77"/>
    </row>
    <row r="86" spans="1:71" x14ac:dyDescent="0.2">
      <c r="B86" s="10" t="s">
        <v>9</v>
      </c>
      <c r="C86" s="4" t="s">
        <v>78</v>
      </c>
      <c r="D86" s="4">
        <f t="shared" ref="D86:H86" si="28">ROUND(D50,1)</f>
        <v>15.7</v>
      </c>
      <c r="E86" s="4">
        <f t="shared" si="28"/>
        <v>17.600000000000001</v>
      </c>
      <c r="F86" s="4">
        <f t="shared" si="28"/>
        <v>33.299999999999997</v>
      </c>
      <c r="G86" s="4">
        <f t="shared" si="28"/>
        <v>23.5</v>
      </c>
      <c r="H86" s="4">
        <f t="shared" si="28"/>
        <v>92.2</v>
      </c>
      <c r="I86" s="13">
        <f t="shared" si="2"/>
        <v>51</v>
      </c>
      <c r="J86" s="4">
        <f t="shared" ref="J86:O86" si="29">ROUND(J50,1)</f>
        <v>16.600000000000001</v>
      </c>
      <c r="K86" s="4">
        <f t="shared" si="29"/>
        <v>22.8</v>
      </c>
      <c r="L86" s="4">
        <f t="shared" si="29"/>
        <v>24</v>
      </c>
      <c r="M86" s="4">
        <f t="shared" si="29"/>
        <v>21.9</v>
      </c>
      <c r="N86" s="4">
        <f t="shared" si="29"/>
        <v>11.8</v>
      </c>
      <c r="O86" s="4">
        <f t="shared" si="29"/>
        <v>97.1</v>
      </c>
      <c r="P86" s="13">
        <f t="shared" si="4"/>
        <v>549</v>
      </c>
      <c r="Q86" s="4">
        <f t="shared" ref="Q86:V86" si="30">ROUND(Q50,1)</f>
        <v>15.3</v>
      </c>
      <c r="R86" s="4">
        <f t="shared" si="30"/>
        <v>22.2</v>
      </c>
      <c r="S86" s="4">
        <f t="shared" si="30"/>
        <v>23.5</v>
      </c>
      <c r="T86" s="4">
        <f t="shared" si="30"/>
        <v>22.8</v>
      </c>
      <c r="U86" s="4">
        <f t="shared" si="30"/>
        <v>12.8</v>
      </c>
      <c r="V86" s="4">
        <f t="shared" si="30"/>
        <v>96.7</v>
      </c>
      <c r="W86" s="13">
        <f t="shared" si="6"/>
        <v>600</v>
      </c>
      <c r="AY86" s="77"/>
      <c r="AZ86" s="77"/>
      <c r="BA86" s="77"/>
      <c r="BB86" s="77"/>
      <c r="BC86" s="77"/>
      <c r="BD86" s="77"/>
      <c r="BE86" s="77"/>
      <c r="BF86" s="77"/>
      <c r="BG86" s="77"/>
      <c r="BH86" s="77"/>
      <c r="BI86" s="77"/>
      <c r="BJ86" s="77"/>
      <c r="BK86" s="77"/>
      <c r="BL86" s="77"/>
      <c r="BM86" s="77"/>
      <c r="BN86" s="77"/>
      <c r="BO86" s="77"/>
      <c r="BP86" s="77"/>
      <c r="BQ86" s="77"/>
      <c r="BR86" s="77"/>
      <c r="BS86" s="77"/>
    </row>
    <row r="87" spans="1:71" x14ac:dyDescent="0.2">
      <c r="B87" s="10" t="s">
        <v>10</v>
      </c>
      <c r="C87" s="4">
        <f t="shared" ref="C87:H87" si="31">ROUND(C51,1)</f>
        <v>10.5</v>
      </c>
      <c r="D87" s="4">
        <f t="shared" si="31"/>
        <v>15.5</v>
      </c>
      <c r="E87" s="4">
        <f t="shared" si="31"/>
        <v>20.5</v>
      </c>
      <c r="F87" s="4">
        <f t="shared" si="31"/>
        <v>20.9</v>
      </c>
      <c r="G87" s="4">
        <f t="shared" si="31"/>
        <v>21.2</v>
      </c>
      <c r="H87" s="4">
        <f t="shared" si="31"/>
        <v>88.5</v>
      </c>
      <c r="I87" s="13">
        <f t="shared" si="2"/>
        <v>1442</v>
      </c>
      <c r="J87" s="4">
        <f t="shared" ref="J87:O87" si="32">ROUND(J51,1)</f>
        <v>14.2</v>
      </c>
      <c r="K87" s="4">
        <f t="shared" si="32"/>
        <v>16</v>
      </c>
      <c r="L87" s="4">
        <f t="shared" si="32"/>
        <v>18.3</v>
      </c>
      <c r="M87" s="4">
        <f t="shared" si="32"/>
        <v>22.4</v>
      </c>
      <c r="N87" s="4">
        <f t="shared" si="32"/>
        <v>18.399999999999999</v>
      </c>
      <c r="O87" s="4">
        <f t="shared" si="32"/>
        <v>89.3</v>
      </c>
      <c r="P87" s="13">
        <f t="shared" si="4"/>
        <v>929</v>
      </c>
      <c r="Q87" s="4">
        <f t="shared" ref="Q87:V87" si="33">ROUND(Q51,1)</f>
        <v>11.9</v>
      </c>
      <c r="R87" s="4">
        <f t="shared" si="33"/>
        <v>15.7</v>
      </c>
      <c r="S87" s="4">
        <f t="shared" si="33"/>
        <v>19.7</v>
      </c>
      <c r="T87" s="4">
        <f t="shared" si="33"/>
        <v>21.5</v>
      </c>
      <c r="U87" s="4">
        <f t="shared" si="33"/>
        <v>20.100000000000001</v>
      </c>
      <c r="V87" s="4">
        <f t="shared" si="33"/>
        <v>88.8</v>
      </c>
      <c r="W87" s="13">
        <f t="shared" si="6"/>
        <v>2371</v>
      </c>
      <c r="AY87" s="77"/>
      <c r="AZ87" s="77"/>
      <c r="BA87" s="77"/>
      <c r="BB87" s="77"/>
      <c r="BC87" s="77"/>
      <c r="BD87" s="77"/>
      <c r="BE87" s="77"/>
      <c r="BF87" s="77"/>
      <c r="BG87" s="77"/>
      <c r="BH87" s="77"/>
      <c r="BI87" s="77"/>
      <c r="BJ87" s="77"/>
      <c r="BK87" s="77"/>
      <c r="BL87" s="77"/>
      <c r="BM87" s="77"/>
      <c r="BN87" s="77"/>
      <c r="BO87" s="77"/>
      <c r="BP87" s="77"/>
      <c r="BQ87" s="77"/>
      <c r="BR87" s="77"/>
      <c r="BS87" s="77"/>
    </row>
    <row r="88" spans="1:71" x14ac:dyDescent="0.2">
      <c r="B88" s="10" t="s">
        <v>11</v>
      </c>
      <c r="C88" s="4">
        <f t="shared" ref="C88:H88" si="34">ROUND(C52,1)</f>
        <v>11.6</v>
      </c>
      <c r="D88" s="4">
        <f t="shared" si="34"/>
        <v>22.9</v>
      </c>
      <c r="E88" s="4">
        <f t="shared" si="34"/>
        <v>27.9</v>
      </c>
      <c r="F88" s="4">
        <f t="shared" si="34"/>
        <v>23.2</v>
      </c>
      <c r="G88" s="4">
        <f t="shared" si="34"/>
        <v>11.5</v>
      </c>
      <c r="H88" s="4">
        <f t="shared" si="34"/>
        <v>97.1</v>
      </c>
      <c r="I88" s="13">
        <f t="shared" si="2"/>
        <v>19279</v>
      </c>
      <c r="J88" s="4">
        <f t="shared" ref="J88:O88" si="35">ROUND(J52,1)</f>
        <v>15.1</v>
      </c>
      <c r="K88" s="4">
        <f t="shared" si="35"/>
        <v>24</v>
      </c>
      <c r="L88" s="4">
        <f t="shared" si="35"/>
        <v>27.2</v>
      </c>
      <c r="M88" s="4">
        <f t="shared" si="35"/>
        <v>20.9</v>
      </c>
      <c r="N88" s="4">
        <f t="shared" si="35"/>
        <v>10.1</v>
      </c>
      <c r="O88" s="4">
        <f t="shared" si="35"/>
        <v>97.3</v>
      </c>
      <c r="P88" s="13">
        <f t="shared" si="4"/>
        <v>13165</v>
      </c>
      <c r="Q88" s="4">
        <f t="shared" ref="Q88:V88" si="36">ROUND(Q52,1)</f>
        <v>13</v>
      </c>
      <c r="R88" s="4">
        <f t="shared" si="36"/>
        <v>23.4</v>
      </c>
      <c r="S88" s="4">
        <f t="shared" si="36"/>
        <v>27.6</v>
      </c>
      <c r="T88" s="4">
        <f t="shared" si="36"/>
        <v>22.2</v>
      </c>
      <c r="U88" s="4">
        <f t="shared" si="36"/>
        <v>10.9</v>
      </c>
      <c r="V88" s="4">
        <f t="shared" si="36"/>
        <v>97.1</v>
      </c>
      <c r="W88" s="13">
        <f t="shared" si="6"/>
        <v>32444</v>
      </c>
      <c r="AY88" s="77"/>
      <c r="AZ88" s="77"/>
      <c r="BA88" s="77"/>
      <c r="BB88" s="77"/>
      <c r="BC88" s="77"/>
      <c r="BD88" s="77"/>
      <c r="BE88" s="77"/>
      <c r="BF88" s="77"/>
      <c r="BG88" s="77"/>
      <c r="BH88" s="77"/>
      <c r="BI88" s="77"/>
      <c r="BJ88" s="77"/>
      <c r="BK88" s="77"/>
      <c r="BL88" s="77"/>
      <c r="BM88" s="77"/>
      <c r="BN88" s="77"/>
      <c r="BO88" s="77"/>
      <c r="BP88" s="77"/>
      <c r="BQ88" s="77"/>
      <c r="BR88" s="77"/>
      <c r="BS88" s="77"/>
    </row>
    <row r="89" spans="1:71" x14ac:dyDescent="0.2">
      <c r="B89" s="10" t="s">
        <v>12</v>
      </c>
      <c r="C89" s="4">
        <f t="shared" ref="C89:H89" si="37">ROUND(C53,1)</f>
        <v>30.3</v>
      </c>
      <c r="D89" s="4">
        <f t="shared" si="37"/>
        <v>25.9</v>
      </c>
      <c r="E89" s="4">
        <f t="shared" si="37"/>
        <v>21.1</v>
      </c>
      <c r="F89" s="4">
        <f t="shared" si="37"/>
        <v>13.9</v>
      </c>
      <c r="G89" s="4">
        <f t="shared" si="37"/>
        <v>6.6</v>
      </c>
      <c r="H89" s="4">
        <f t="shared" si="37"/>
        <v>97.8</v>
      </c>
      <c r="I89" s="13">
        <f t="shared" si="2"/>
        <v>9382</v>
      </c>
      <c r="J89" s="4">
        <f t="shared" ref="J89:O89" si="38">ROUND(J53,1)</f>
        <v>35.6</v>
      </c>
      <c r="K89" s="4">
        <f t="shared" si="38"/>
        <v>25.9</v>
      </c>
      <c r="L89" s="4">
        <f t="shared" si="38"/>
        <v>19.399999999999999</v>
      </c>
      <c r="M89" s="4">
        <f t="shared" si="38"/>
        <v>11.9</v>
      </c>
      <c r="N89" s="4">
        <f t="shared" si="38"/>
        <v>5.6</v>
      </c>
      <c r="O89" s="4">
        <f t="shared" si="38"/>
        <v>98.4</v>
      </c>
      <c r="P89" s="13">
        <f t="shared" si="4"/>
        <v>3935</v>
      </c>
      <c r="Q89" s="4">
        <f t="shared" ref="Q89:V89" si="39">ROUND(Q53,1)</f>
        <v>31.9</v>
      </c>
      <c r="R89" s="4">
        <f t="shared" si="39"/>
        <v>25.9</v>
      </c>
      <c r="S89" s="4">
        <f t="shared" si="39"/>
        <v>20.6</v>
      </c>
      <c r="T89" s="4">
        <f t="shared" si="39"/>
        <v>13.3</v>
      </c>
      <c r="U89" s="4">
        <f t="shared" si="39"/>
        <v>6.3</v>
      </c>
      <c r="V89" s="4">
        <f t="shared" si="39"/>
        <v>98</v>
      </c>
      <c r="W89" s="13">
        <f t="shared" si="6"/>
        <v>13317</v>
      </c>
      <c r="AY89" s="77"/>
      <c r="AZ89" s="77"/>
      <c r="BA89" s="77"/>
      <c r="BB89" s="77"/>
      <c r="BC89" s="77"/>
      <c r="BD89" s="77"/>
      <c r="BE89" s="77"/>
      <c r="BF89" s="77"/>
      <c r="BG89" s="77"/>
      <c r="BH89" s="77"/>
      <c r="BI89" s="77"/>
      <c r="BJ89" s="77"/>
      <c r="BK89" s="77"/>
      <c r="BL89" s="77"/>
      <c r="BM89" s="77"/>
      <c r="BN89" s="77"/>
      <c r="BO89" s="77"/>
      <c r="BP89" s="77"/>
      <c r="BQ89" s="77"/>
      <c r="BR89" s="77"/>
      <c r="BS89" s="77"/>
    </row>
    <row r="90" spans="1:71" x14ac:dyDescent="0.2">
      <c r="B90" s="10" t="s">
        <v>13</v>
      </c>
      <c r="C90" s="4">
        <f t="shared" ref="C90:H90" si="40">ROUND(C54,1)</f>
        <v>18.899999999999999</v>
      </c>
      <c r="D90" s="4">
        <f t="shared" si="40"/>
        <v>25.2</v>
      </c>
      <c r="E90" s="4">
        <f t="shared" si="40"/>
        <v>24.7</v>
      </c>
      <c r="F90" s="4">
        <f t="shared" si="40"/>
        <v>19</v>
      </c>
      <c r="G90" s="4">
        <f t="shared" si="40"/>
        <v>9.9</v>
      </c>
      <c r="H90" s="4">
        <f t="shared" si="40"/>
        <v>97.8</v>
      </c>
      <c r="I90" s="13">
        <f t="shared" si="2"/>
        <v>16846</v>
      </c>
      <c r="J90" s="4">
        <f t="shared" ref="J90:O90" si="41">ROUND(J54,1)</f>
        <v>27.8</v>
      </c>
      <c r="K90" s="4">
        <f t="shared" si="41"/>
        <v>26.8</v>
      </c>
      <c r="L90" s="4">
        <f t="shared" si="41"/>
        <v>23.2</v>
      </c>
      <c r="M90" s="4">
        <f t="shared" si="41"/>
        <v>14.6</v>
      </c>
      <c r="N90" s="4">
        <f t="shared" si="41"/>
        <v>6.2</v>
      </c>
      <c r="O90" s="4">
        <f t="shared" si="41"/>
        <v>98.5</v>
      </c>
      <c r="P90" s="13">
        <f t="shared" si="4"/>
        <v>14333</v>
      </c>
      <c r="Q90" s="4">
        <f t="shared" ref="Q90:V90" si="42">ROUND(Q54,1)</f>
        <v>23</v>
      </c>
      <c r="R90" s="4">
        <f t="shared" si="42"/>
        <v>26</v>
      </c>
      <c r="S90" s="4">
        <f t="shared" si="42"/>
        <v>24</v>
      </c>
      <c r="T90" s="4">
        <f t="shared" si="42"/>
        <v>17</v>
      </c>
      <c r="U90" s="4">
        <f t="shared" si="42"/>
        <v>8.1999999999999993</v>
      </c>
      <c r="V90" s="4">
        <f t="shared" si="42"/>
        <v>98.1</v>
      </c>
      <c r="W90" s="13">
        <f t="shared" si="6"/>
        <v>31179</v>
      </c>
      <c r="AY90" s="77"/>
      <c r="AZ90" s="77"/>
      <c r="BA90" s="77"/>
      <c r="BB90" s="77"/>
      <c r="BC90" s="77"/>
      <c r="BD90" s="77"/>
      <c r="BE90" s="77"/>
      <c r="BF90" s="77"/>
      <c r="BG90" s="77"/>
      <c r="BH90" s="77"/>
      <c r="BI90" s="77"/>
      <c r="BJ90" s="77"/>
      <c r="BK90" s="77"/>
      <c r="BL90" s="77"/>
      <c r="BM90" s="77"/>
      <c r="BN90" s="77"/>
      <c r="BO90" s="77"/>
      <c r="BP90" s="77"/>
      <c r="BQ90" s="77"/>
      <c r="BR90" s="77"/>
      <c r="BS90" s="77"/>
    </row>
    <row r="91" spans="1:71" x14ac:dyDescent="0.2">
      <c r="B91" s="10" t="s">
        <v>14</v>
      </c>
      <c r="C91" s="4">
        <f t="shared" ref="C91:H91" si="43">ROUND(C55,1)</f>
        <v>26</v>
      </c>
      <c r="D91" s="4">
        <f t="shared" si="43"/>
        <v>26.6</v>
      </c>
      <c r="E91" s="4">
        <f t="shared" si="43"/>
        <v>21.4</v>
      </c>
      <c r="F91" s="4">
        <f t="shared" si="43"/>
        <v>14.8</v>
      </c>
      <c r="G91" s="4">
        <f t="shared" si="43"/>
        <v>8.1999999999999993</v>
      </c>
      <c r="H91" s="4">
        <f t="shared" si="43"/>
        <v>96.9</v>
      </c>
      <c r="I91" s="13">
        <f t="shared" si="2"/>
        <v>4881</v>
      </c>
      <c r="J91" s="4">
        <f t="shared" ref="J91:O91" si="44">ROUND(J55,1)</f>
        <v>32.6</v>
      </c>
      <c r="K91" s="4">
        <f t="shared" si="44"/>
        <v>26.8</v>
      </c>
      <c r="L91" s="4">
        <f t="shared" si="44"/>
        <v>20.399999999999999</v>
      </c>
      <c r="M91" s="4">
        <f t="shared" si="44"/>
        <v>11.7</v>
      </c>
      <c r="N91" s="4">
        <f t="shared" si="44"/>
        <v>6</v>
      </c>
      <c r="O91" s="4">
        <f t="shared" si="44"/>
        <v>97.6</v>
      </c>
      <c r="P91" s="13">
        <f t="shared" si="4"/>
        <v>3253</v>
      </c>
      <c r="Q91" s="4">
        <f t="shared" ref="Q91:V91" si="45">ROUND(Q55,1)</f>
        <v>28.6</v>
      </c>
      <c r="R91" s="4">
        <f t="shared" si="45"/>
        <v>26.7</v>
      </c>
      <c r="S91" s="4">
        <f t="shared" si="45"/>
        <v>21</v>
      </c>
      <c r="T91" s="4">
        <f t="shared" si="45"/>
        <v>13.6</v>
      </c>
      <c r="U91" s="4">
        <f t="shared" si="45"/>
        <v>7.3</v>
      </c>
      <c r="V91" s="4">
        <f t="shared" si="45"/>
        <v>97.2</v>
      </c>
      <c r="W91" s="13">
        <f t="shared" si="6"/>
        <v>8134</v>
      </c>
      <c r="AY91" s="77"/>
      <c r="AZ91" s="77"/>
      <c r="BA91" s="77"/>
      <c r="BB91" s="77"/>
      <c r="BC91" s="77"/>
      <c r="BD91" s="77"/>
      <c r="BE91" s="77"/>
      <c r="BF91" s="77"/>
      <c r="BG91" s="77"/>
      <c r="BH91" s="77"/>
      <c r="BI91" s="77"/>
      <c r="BJ91" s="77"/>
      <c r="BK91" s="77"/>
      <c r="BL91" s="77"/>
      <c r="BM91" s="77"/>
      <c r="BN91" s="77"/>
      <c r="BO91" s="77"/>
      <c r="BP91" s="77"/>
      <c r="BQ91" s="77"/>
      <c r="BR91" s="77"/>
      <c r="BS91" s="77"/>
    </row>
    <row r="92" spans="1:71" x14ac:dyDescent="0.2">
      <c r="B92" s="10" t="s">
        <v>15</v>
      </c>
      <c r="C92" s="4">
        <f t="shared" ref="C92:H92" si="46">ROUND(C56,1)</f>
        <v>22.1</v>
      </c>
      <c r="D92" s="4">
        <f t="shared" si="46"/>
        <v>24.7</v>
      </c>
      <c r="E92" s="4">
        <f t="shared" si="46"/>
        <v>24.7</v>
      </c>
      <c r="F92" s="4">
        <f t="shared" si="46"/>
        <v>18.100000000000001</v>
      </c>
      <c r="G92" s="4">
        <f t="shared" si="46"/>
        <v>8.1999999999999993</v>
      </c>
      <c r="H92" s="4">
        <f t="shared" si="46"/>
        <v>97.9</v>
      </c>
      <c r="I92" s="13">
        <f t="shared" si="2"/>
        <v>17865</v>
      </c>
      <c r="J92" s="4">
        <f t="shared" ref="J92:O92" si="47">ROUND(J56,1)</f>
        <v>24.5</v>
      </c>
      <c r="K92" s="4">
        <f t="shared" si="47"/>
        <v>26.5</v>
      </c>
      <c r="L92" s="4">
        <f t="shared" si="47"/>
        <v>23</v>
      </c>
      <c r="M92" s="4">
        <f t="shared" si="47"/>
        <v>17</v>
      </c>
      <c r="N92" s="4">
        <f t="shared" si="47"/>
        <v>7.1</v>
      </c>
      <c r="O92" s="4">
        <f t="shared" si="47"/>
        <v>98.1</v>
      </c>
      <c r="P92" s="13">
        <f t="shared" si="4"/>
        <v>18648</v>
      </c>
      <c r="Q92" s="4">
        <f t="shared" ref="Q92:V92" si="48">ROUND(Q56,1)</f>
        <v>23.3</v>
      </c>
      <c r="R92" s="4">
        <f t="shared" si="48"/>
        <v>25.6</v>
      </c>
      <c r="S92" s="4">
        <f t="shared" si="48"/>
        <v>23.8</v>
      </c>
      <c r="T92" s="4">
        <f t="shared" si="48"/>
        <v>17.5</v>
      </c>
      <c r="U92" s="4">
        <f t="shared" si="48"/>
        <v>7.7</v>
      </c>
      <c r="V92" s="4">
        <f t="shared" si="48"/>
        <v>98</v>
      </c>
      <c r="W92" s="13">
        <f t="shared" si="6"/>
        <v>36513</v>
      </c>
      <c r="AY92" s="77"/>
      <c r="AZ92" s="77"/>
      <c r="BA92" s="77"/>
      <c r="BB92" s="77"/>
      <c r="BC92" s="77"/>
      <c r="BD92" s="77"/>
      <c r="BE92" s="77"/>
      <c r="BF92" s="77"/>
      <c r="BG92" s="77"/>
      <c r="BH92" s="77"/>
      <c r="BI92" s="77"/>
      <c r="BJ92" s="77"/>
      <c r="BK92" s="77"/>
      <c r="BL92" s="77"/>
      <c r="BM92" s="77"/>
      <c r="BN92" s="77"/>
      <c r="BO92" s="77"/>
      <c r="BP92" s="77"/>
      <c r="BQ92" s="77"/>
      <c r="BR92" s="77"/>
      <c r="BS92" s="77"/>
    </row>
    <row r="93" spans="1:71" x14ac:dyDescent="0.2">
      <c r="B93" s="10" t="s">
        <v>16</v>
      </c>
      <c r="C93" s="4">
        <f t="shared" ref="C93:H93" si="49">ROUND(C57,1)</f>
        <v>13.8</v>
      </c>
      <c r="D93" s="4">
        <f t="shared" si="49"/>
        <v>19</v>
      </c>
      <c r="E93" s="4">
        <f t="shared" si="49"/>
        <v>22.4</v>
      </c>
      <c r="F93" s="4">
        <f t="shared" si="49"/>
        <v>21.7</v>
      </c>
      <c r="G93" s="4">
        <f t="shared" si="49"/>
        <v>15.4</v>
      </c>
      <c r="H93" s="4">
        <f t="shared" si="49"/>
        <v>92.3</v>
      </c>
      <c r="I93" s="13">
        <f t="shared" si="2"/>
        <v>3973</v>
      </c>
      <c r="J93" s="4">
        <f t="shared" ref="J93:O93" si="50">ROUND(J57,1)</f>
        <v>19.7</v>
      </c>
      <c r="K93" s="4">
        <f t="shared" si="50"/>
        <v>21.7</v>
      </c>
      <c r="L93" s="4">
        <f t="shared" si="50"/>
        <v>23.1</v>
      </c>
      <c r="M93" s="4">
        <f t="shared" si="50"/>
        <v>18.8</v>
      </c>
      <c r="N93" s="4">
        <f t="shared" si="50"/>
        <v>11.4</v>
      </c>
      <c r="O93" s="4">
        <f t="shared" si="50"/>
        <v>94.7</v>
      </c>
      <c r="P93" s="13">
        <f t="shared" si="4"/>
        <v>6124</v>
      </c>
      <c r="Q93" s="4">
        <f t="shared" ref="Q93:V93" si="51">ROUND(Q57,1)</f>
        <v>17.399999999999999</v>
      </c>
      <c r="R93" s="4">
        <f t="shared" si="51"/>
        <v>20.7</v>
      </c>
      <c r="S93" s="4">
        <f t="shared" si="51"/>
        <v>22.8</v>
      </c>
      <c r="T93" s="4">
        <f t="shared" si="51"/>
        <v>20</v>
      </c>
      <c r="U93" s="4">
        <f t="shared" si="51"/>
        <v>13</v>
      </c>
      <c r="V93" s="4">
        <f t="shared" si="51"/>
        <v>93.8</v>
      </c>
      <c r="W93" s="13">
        <f t="shared" si="6"/>
        <v>10097</v>
      </c>
      <c r="AY93" s="77"/>
      <c r="AZ93" s="77"/>
      <c r="BA93" s="77"/>
      <c r="BB93" s="77"/>
      <c r="BC93" s="77"/>
      <c r="BD93" s="77"/>
      <c r="BE93" s="77"/>
      <c r="BF93" s="77"/>
      <c r="BG93" s="77"/>
      <c r="BH93" s="77"/>
      <c r="BI93" s="77"/>
      <c r="BJ93" s="77"/>
      <c r="BK93" s="77"/>
      <c r="BL93" s="77"/>
      <c r="BM93" s="77"/>
      <c r="BN93" s="77"/>
      <c r="BO93" s="77"/>
      <c r="BP93" s="77"/>
      <c r="BQ93" s="77"/>
      <c r="BR93" s="77"/>
      <c r="BS93" s="77"/>
    </row>
    <row r="94" spans="1:71" x14ac:dyDescent="0.2">
      <c r="B94" s="10" t="s">
        <v>17</v>
      </c>
      <c r="C94" s="4">
        <f t="shared" ref="C94:H94" si="52">ROUND(C58,1)</f>
        <v>10.7</v>
      </c>
      <c r="D94" s="4">
        <f t="shared" si="52"/>
        <v>18.2</v>
      </c>
      <c r="E94" s="4">
        <f t="shared" si="52"/>
        <v>23</v>
      </c>
      <c r="F94" s="4">
        <f t="shared" si="52"/>
        <v>23.2</v>
      </c>
      <c r="G94" s="4">
        <f t="shared" si="52"/>
        <v>16.399999999999999</v>
      </c>
      <c r="H94" s="4">
        <f t="shared" si="52"/>
        <v>91.5</v>
      </c>
      <c r="I94" s="13">
        <f t="shared" si="2"/>
        <v>9089</v>
      </c>
      <c r="J94" s="4">
        <f t="shared" ref="J94:O94" si="53">ROUND(J58,1)</f>
        <v>19.7</v>
      </c>
      <c r="K94" s="4">
        <f t="shared" si="53"/>
        <v>24.1</v>
      </c>
      <c r="L94" s="4">
        <f t="shared" si="53"/>
        <v>23.9</v>
      </c>
      <c r="M94" s="4">
        <f t="shared" si="53"/>
        <v>18.399999999999999</v>
      </c>
      <c r="N94" s="4">
        <f t="shared" si="53"/>
        <v>10.3</v>
      </c>
      <c r="O94" s="4">
        <f t="shared" si="53"/>
        <v>96.4</v>
      </c>
      <c r="P94" s="13">
        <f t="shared" si="4"/>
        <v>28808</v>
      </c>
      <c r="Q94" s="4">
        <f t="shared" ref="Q94:V94" si="54">ROUND(Q58,1)</f>
        <v>17.5</v>
      </c>
      <c r="R94" s="4">
        <f t="shared" si="54"/>
        <v>22.7</v>
      </c>
      <c r="S94" s="4">
        <f t="shared" si="54"/>
        <v>23.7</v>
      </c>
      <c r="T94" s="4">
        <f t="shared" si="54"/>
        <v>19.5</v>
      </c>
      <c r="U94" s="4">
        <f t="shared" si="54"/>
        <v>11.8</v>
      </c>
      <c r="V94" s="4">
        <f t="shared" si="54"/>
        <v>95.2</v>
      </c>
      <c r="W94" s="13">
        <f t="shared" si="6"/>
        <v>37897</v>
      </c>
    </row>
    <row r="95" spans="1:71" x14ac:dyDescent="0.2">
      <c r="B95" s="10" t="s">
        <v>18</v>
      </c>
      <c r="C95" s="4">
        <f t="shared" ref="C95:H95" si="55">ROUND(C59,1)</f>
        <v>13.6</v>
      </c>
      <c r="D95" s="4">
        <f t="shared" si="55"/>
        <v>22.3</v>
      </c>
      <c r="E95" s="4">
        <f t="shared" si="55"/>
        <v>25</v>
      </c>
      <c r="F95" s="4">
        <f t="shared" si="55"/>
        <v>21.3</v>
      </c>
      <c r="G95" s="4">
        <f t="shared" si="55"/>
        <v>12.1</v>
      </c>
      <c r="H95" s="4">
        <f t="shared" si="55"/>
        <v>94.4</v>
      </c>
      <c r="I95" s="13">
        <f t="shared" si="2"/>
        <v>4991</v>
      </c>
      <c r="J95" s="4">
        <f t="shared" ref="J95:O95" si="56">ROUND(J59,1)</f>
        <v>19.899999999999999</v>
      </c>
      <c r="K95" s="4">
        <f t="shared" si="56"/>
        <v>25.9</v>
      </c>
      <c r="L95" s="4">
        <f t="shared" si="56"/>
        <v>25.1</v>
      </c>
      <c r="M95" s="4">
        <f t="shared" si="56"/>
        <v>17.3</v>
      </c>
      <c r="N95" s="4">
        <f t="shared" si="56"/>
        <v>8.9</v>
      </c>
      <c r="O95" s="4">
        <f t="shared" si="56"/>
        <v>97.1</v>
      </c>
      <c r="P95" s="13">
        <f t="shared" si="4"/>
        <v>16077</v>
      </c>
      <c r="Q95" s="4">
        <f t="shared" ref="Q95:V95" si="57">ROUND(Q59,1)</f>
        <v>18.399999999999999</v>
      </c>
      <c r="R95" s="4">
        <f t="shared" si="57"/>
        <v>25.1</v>
      </c>
      <c r="S95" s="4">
        <f t="shared" si="57"/>
        <v>25.1</v>
      </c>
      <c r="T95" s="4">
        <f t="shared" si="57"/>
        <v>18.2</v>
      </c>
      <c r="U95" s="4">
        <f t="shared" si="57"/>
        <v>9.6999999999999993</v>
      </c>
      <c r="V95" s="4">
        <f t="shared" si="57"/>
        <v>96.4</v>
      </c>
      <c r="W95" s="13">
        <f t="shared" si="6"/>
        <v>21068</v>
      </c>
    </row>
    <row r="96" spans="1:71" x14ac:dyDescent="0.2">
      <c r="B96" s="10" t="s">
        <v>19</v>
      </c>
      <c r="C96" s="4">
        <f t="shared" ref="C96:H96" si="58">ROUND(C60,1)</f>
        <v>14.6</v>
      </c>
      <c r="D96" s="4">
        <f t="shared" si="58"/>
        <v>24.5</v>
      </c>
      <c r="E96" s="4">
        <f t="shared" si="58"/>
        <v>25</v>
      </c>
      <c r="F96" s="4">
        <f t="shared" si="58"/>
        <v>18.100000000000001</v>
      </c>
      <c r="G96" s="4">
        <f t="shared" si="58"/>
        <v>12.9</v>
      </c>
      <c r="H96" s="4">
        <f t="shared" si="58"/>
        <v>95.1</v>
      </c>
      <c r="I96" s="13">
        <f t="shared" si="2"/>
        <v>975</v>
      </c>
      <c r="J96" s="4">
        <f t="shared" ref="J96:O96" si="59">ROUND(J60,1)</f>
        <v>22.1</v>
      </c>
      <c r="K96" s="4">
        <f t="shared" si="59"/>
        <v>25.6</v>
      </c>
      <c r="L96" s="4">
        <f t="shared" si="59"/>
        <v>22.9</v>
      </c>
      <c r="M96" s="4">
        <f t="shared" si="59"/>
        <v>17.100000000000001</v>
      </c>
      <c r="N96" s="4">
        <f t="shared" si="59"/>
        <v>8.6999999999999993</v>
      </c>
      <c r="O96" s="4">
        <f t="shared" si="59"/>
        <v>96.3</v>
      </c>
      <c r="P96" s="13">
        <f t="shared" si="4"/>
        <v>958</v>
      </c>
      <c r="Q96" s="4">
        <f t="shared" ref="Q96:V96" si="60">ROUND(Q60,1)</f>
        <v>18.3</v>
      </c>
      <c r="R96" s="4">
        <f t="shared" si="60"/>
        <v>25</v>
      </c>
      <c r="S96" s="4">
        <f t="shared" si="60"/>
        <v>24</v>
      </c>
      <c r="T96" s="4">
        <f t="shared" si="60"/>
        <v>17.600000000000001</v>
      </c>
      <c r="U96" s="4">
        <f t="shared" si="60"/>
        <v>10.8</v>
      </c>
      <c r="V96" s="4">
        <f t="shared" si="60"/>
        <v>95.7</v>
      </c>
      <c r="W96" s="13">
        <f t="shared" si="6"/>
        <v>1933</v>
      </c>
    </row>
    <row r="97" spans="2:23" x14ac:dyDescent="0.2">
      <c r="B97" s="10" t="s">
        <v>20</v>
      </c>
      <c r="C97" s="4">
        <f t="shared" ref="C97:H97" si="61">ROUND(C61,1)</f>
        <v>21.4</v>
      </c>
      <c r="D97" s="4">
        <f t="shared" si="61"/>
        <v>20.6</v>
      </c>
      <c r="E97" s="4">
        <f t="shared" si="61"/>
        <v>22.8</v>
      </c>
      <c r="F97" s="4">
        <f t="shared" si="61"/>
        <v>19.7</v>
      </c>
      <c r="G97" s="4">
        <f t="shared" si="61"/>
        <v>10.7</v>
      </c>
      <c r="H97" s="4">
        <f t="shared" si="61"/>
        <v>95.1</v>
      </c>
      <c r="I97" s="13">
        <f t="shared" si="2"/>
        <v>10468</v>
      </c>
      <c r="J97" s="4">
        <f t="shared" ref="J97:O97" si="62">ROUND(J61,1)</f>
        <v>29.5</v>
      </c>
      <c r="K97" s="4">
        <f t="shared" si="62"/>
        <v>24.3</v>
      </c>
      <c r="L97" s="4">
        <f t="shared" si="62"/>
        <v>22.8</v>
      </c>
      <c r="M97" s="4">
        <f t="shared" si="62"/>
        <v>14.5</v>
      </c>
      <c r="N97" s="4">
        <f t="shared" si="62"/>
        <v>6.5</v>
      </c>
      <c r="O97" s="4">
        <f t="shared" si="62"/>
        <v>97.5</v>
      </c>
      <c r="P97" s="13">
        <f t="shared" si="4"/>
        <v>23524</v>
      </c>
      <c r="Q97" s="4">
        <f t="shared" ref="Q97:V97" si="63">ROUND(Q61,1)</f>
        <v>27</v>
      </c>
      <c r="R97" s="4">
        <f t="shared" si="63"/>
        <v>23.2</v>
      </c>
      <c r="S97" s="4">
        <f t="shared" si="63"/>
        <v>22.8</v>
      </c>
      <c r="T97" s="4">
        <f t="shared" si="63"/>
        <v>16.100000000000001</v>
      </c>
      <c r="U97" s="4">
        <f t="shared" si="63"/>
        <v>7.8</v>
      </c>
      <c r="V97" s="4">
        <f t="shared" si="63"/>
        <v>96.7</v>
      </c>
      <c r="W97" s="13">
        <f t="shared" si="6"/>
        <v>33992</v>
      </c>
    </row>
    <row r="98" spans="2:23" x14ac:dyDescent="0.2">
      <c r="B98" s="10" t="s">
        <v>21</v>
      </c>
      <c r="C98" s="4">
        <f t="shared" ref="C98:H98" si="64">ROUND(C62,1)</f>
        <v>10.6</v>
      </c>
      <c r="D98" s="4">
        <f t="shared" si="64"/>
        <v>23.2</v>
      </c>
      <c r="E98" s="4">
        <f t="shared" si="64"/>
        <v>33.700000000000003</v>
      </c>
      <c r="F98" s="4">
        <f t="shared" si="64"/>
        <v>21.1</v>
      </c>
      <c r="G98" s="4">
        <f t="shared" si="64"/>
        <v>9.1999999999999993</v>
      </c>
      <c r="H98" s="4">
        <f t="shared" si="64"/>
        <v>97.9</v>
      </c>
      <c r="I98" s="13">
        <f t="shared" si="2"/>
        <v>3726</v>
      </c>
      <c r="J98" s="4">
        <f t="shared" ref="J98:O98" si="65">ROUND(J62,1)</f>
        <v>15.9</v>
      </c>
      <c r="K98" s="4">
        <f t="shared" si="65"/>
        <v>29.2</v>
      </c>
      <c r="L98" s="4">
        <f t="shared" si="65"/>
        <v>30.8</v>
      </c>
      <c r="M98" s="4">
        <f t="shared" si="65"/>
        <v>17.399999999999999</v>
      </c>
      <c r="N98" s="4">
        <f t="shared" si="65"/>
        <v>5.7</v>
      </c>
      <c r="O98" s="4">
        <f t="shared" si="65"/>
        <v>99</v>
      </c>
      <c r="P98" s="13">
        <f t="shared" si="4"/>
        <v>9830</v>
      </c>
      <c r="Q98" s="4">
        <f t="shared" ref="Q98:V98" si="66">ROUND(Q62,1)</f>
        <v>14.4</v>
      </c>
      <c r="R98" s="4">
        <f t="shared" si="66"/>
        <v>27.5</v>
      </c>
      <c r="S98" s="4">
        <f t="shared" si="66"/>
        <v>31.6</v>
      </c>
      <c r="T98" s="4">
        <f t="shared" si="66"/>
        <v>18.399999999999999</v>
      </c>
      <c r="U98" s="4">
        <f t="shared" si="66"/>
        <v>6.7</v>
      </c>
      <c r="V98" s="4">
        <f t="shared" si="66"/>
        <v>98.7</v>
      </c>
      <c r="W98" s="13">
        <f t="shared" si="6"/>
        <v>13556</v>
      </c>
    </row>
    <row r="99" spans="2:23" x14ac:dyDescent="0.2">
      <c r="B99" s="10" t="s">
        <v>22</v>
      </c>
      <c r="C99" s="4">
        <f t="shared" ref="C99:H99" si="67">ROUND(C63,1)</f>
        <v>20.2</v>
      </c>
      <c r="D99" s="4">
        <f t="shared" si="67"/>
        <v>23.2</v>
      </c>
      <c r="E99" s="4">
        <f t="shared" si="67"/>
        <v>26.4</v>
      </c>
      <c r="F99" s="4">
        <f t="shared" si="67"/>
        <v>19.899999999999999</v>
      </c>
      <c r="G99" s="4">
        <f t="shared" si="67"/>
        <v>8.4</v>
      </c>
      <c r="H99" s="4">
        <f t="shared" si="67"/>
        <v>98.1</v>
      </c>
      <c r="I99" s="13">
        <f t="shared" si="2"/>
        <v>21516</v>
      </c>
      <c r="J99" s="4">
        <f t="shared" ref="J99:O99" si="68">ROUND(J63,1)</f>
        <v>19.600000000000001</v>
      </c>
      <c r="K99" s="4">
        <f t="shared" si="68"/>
        <v>25</v>
      </c>
      <c r="L99" s="4">
        <f t="shared" si="68"/>
        <v>27.4</v>
      </c>
      <c r="M99" s="4">
        <f t="shared" si="68"/>
        <v>19.899999999999999</v>
      </c>
      <c r="N99" s="4">
        <f t="shared" si="68"/>
        <v>6.9</v>
      </c>
      <c r="O99" s="4">
        <f t="shared" si="68"/>
        <v>98.8</v>
      </c>
      <c r="P99" s="13">
        <f t="shared" si="4"/>
        <v>50495</v>
      </c>
      <c r="Q99" s="4">
        <f t="shared" ref="Q99:V99" si="69">ROUND(Q63,1)</f>
        <v>19.7</v>
      </c>
      <c r="R99" s="4">
        <f t="shared" si="69"/>
        <v>24.4</v>
      </c>
      <c r="S99" s="4">
        <f t="shared" si="69"/>
        <v>27.1</v>
      </c>
      <c r="T99" s="4">
        <f t="shared" si="69"/>
        <v>19.899999999999999</v>
      </c>
      <c r="U99" s="4">
        <f t="shared" si="69"/>
        <v>7.4</v>
      </c>
      <c r="V99" s="4">
        <f t="shared" si="69"/>
        <v>98.6</v>
      </c>
      <c r="W99" s="13">
        <f t="shared" si="6"/>
        <v>72011</v>
      </c>
    </row>
    <row r="100" spans="2:23" x14ac:dyDescent="0.2">
      <c r="B100" s="10" t="s">
        <v>51</v>
      </c>
      <c r="C100" s="4">
        <f t="shared" ref="C100:H100" si="70">ROUND(C64,1)</f>
        <v>9.1</v>
      </c>
      <c r="D100" s="4">
        <f t="shared" si="70"/>
        <v>21.3</v>
      </c>
      <c r="E100" s="4">
        <f t="shared" si="70"/>
        <v>31.2</v>
      </c>
      <c r="F100" s="4">
        <f t="shared" si="70"/>
        <v>26.2</v>
      </c>
      <c r="G100" s="4">
        <f t="shared" si="70"/>
        <v>9.8000000000000007</v>
      </c>
      <c r="H100" s="4">
        <f t="shared" si="70"/>
        <v>97.5</v>
      </c>
      <c r="I100" s="13">
        <f t="shared" si="2"/>
        <v>8110</v>
      </c>
      <c r="J100" s="4">
        <f t="shared" ref="J100:O100" si="71">ROUND(J64,1)</f>
        <v>13.6</v>
      </c>
      <c r="K100" s="4">
        <f t="shared" si="71"/>
        <v>26.5</v>
      </c>
      <c r="L100" s="4">
        <f t="shared" si="71"/>
        <v>31.5</v>
      </c>
      <c r="M100" s="4">
        <f t="shared" si="71"/>
        <v>20.5</v>
      </c>
      <c r="N100" s="4">
        <f t="shared" si="71"/>
        <v>6.7</v>
      </c>
      <c r="O100" s="4">
        <f t="shared" si="71"/>
        <v>98.8</v>
      </c>
      <c r="P100" s="13">
        <f t="shared" si="4"/>
        <v>11160</v>
      </c>
      <c r="Q100" s="4">
        <f t="shared" ref="Q100:V100" si="72">ROUND(Q64,1)</f>
        <v>11.7</v>
      </c>
      <c r="R100" s="4">
        <f t="shared" si="72"/>
        <v>24.3</v>
      </c>
      <c r="S100" s="4">
        <f t="shared" si="72"/>
        <v>31.4</v>
      </c>
      <c r="T100" s="4">
        <f t="shared" si="72"/>
        <v>22.9</v>
      </c>
      <c r="U100" s="4">
        <f t="shared" si="72"/>
        <v>8</v>
      </c>
      <c r="V100" s="4">
        <f t="shared" si="72"/>
        <v>98.2</v>
      </c>
      <c r="W100" s="13">
        <f t="shared" si="6"/>
        <v>19270</v>
      </c>
    </row>
    <row r="101" spans="2:23" x14ac:dyDescent="0.2">
      <c r="B101" s="10" t="s">
        <v>23</v>
      </c>
      <c r="C101" s="4">
        <f t="shared" ref="C101:H101" si="73">ROUND(C65,1)</f>
        <v>11.9</v>
      </c>
      <c r="D101" s="4">
        <f t="shared" si="73"/>
        <v>28.4</v>
      </c>
      <c r="E101" s="4">
        <f t="shared" si="73"/>
        <v>30.6</v>
      </c>
      <c r="F101" s="4">
        <f t="shared" si="73"/>
        <v>18.7</v>
      </c>
      <c r="G101" s="4">
        <f t="shared" si="73"/>
        <v>7.3</v>
      </c>
      <c r="H101" s="4">
        <f t="shared" si="73"/>
        <v>97</v>
      </c>
      <c r="I101" s="13">
        <f t="shared" si="2"/>
        <v>2725</v>
      </c>
      <c r="J101" s="4">
        <f t="shared" ref="J101:O101" si="74">ROUND(J65,1)</f>
        <v>14.1</v>
      </c>
      <c r="K101" s="4">
        <f t="shared" si="74"/>
        <v>30.2</v>
      </c>
      <c r="L101" s="4">
        <f t="shared" si="74"/>
        <v>33.1</v>
      </c>
      <c r="M101" s="4">
        <f t="shared" si="74"/>
        <v>16.7</v>
      </c>
      <c r="N101" s="4">
        <f t="shared" si="74"/>
        <v>4.8</v>
      </c>
      <c r="O101" s="4">
        <f t="shared" si="74"/>
        <v>98.9</v>
      </c>
      <c r="P101" s="13">
        <f t="shared" si="4"/>
        <v>4900</v>
      </c>
      <c r="Q101" s="4">
        <f t="shared" ref="Q101:V101" si="75">ROUND(Q65,1)</f>
        <v>13.3</v>
      </c>
      <c r="R101" s="4">
        <f t="shared" si="75"/>
        <v>29.5</v>
      </c>
      <c r="S101" s="4">
        <f t="shared" si="75"/>
        <v>32.200000000000003</v>
      </c>
      <c r="T101" s="4">
        <f t="shared" si="75"/>
        <v>17.399999999999999</v>
      </c>
      <c r="U101" s="4">
        <f t="shared" si="75"/>
        <v>5.7</v>
      </c>
      <c r="V101" s="4">
        <f t="shared" si="75"/>
        <v>98.2</v>
      </c>
      <c r="W101" s="13">
        <f t="shared" si="6"/>
        <v>7625</v>
      </c>
    </row>
    <row r="102" spans="2:23" x14ac:dyDescent="0.2">
      <c r="B102" s="10" t="s">
        <v>24</v>
      </c>
      <c r="C102" s="4">
        <f t="shared" ref="C102:H102" si="76">ROUND(C66,1)</f>
        <v>33.9</v>
      </c>
      <c r="D102" s="4">
        <f t="shared" si="76"/>
        <v>25.7</v>
      </c>
      <c r="E102" s="4">
        <f t="shared" si="76"/>
        <v>19.100000000000001</v>
      </c>
      <c r="F102" s="4">
        <f t="shared" si="76"/>
        <v>12.3</v>
      </c>
      <c r="G102" s="4">
        <f t="shared" si="76"/>
        <v>6.8</v>
      </c>
      <c r="H102" s="4">
        <f t="shared" si="76"/>
        <v>97.9</v>
      </c>
      <c r="I102" s="13">
        <f t="shared" si="2"/>
        <v>4195</v>
      </c>
      <c r="J102" s="4">
        <f t="shared" ref="J102:O102" si="77">ROUND(J66,1)</f>
        <v>30.2</v>
      </c>
      <c r="K102" s="4">
        <f t="shared" si="77"/>
        <v>26.3</v>
      </c>
      <c r="L102" s="4">
        <f t="shared" si="77"/>
        <v>20.5</v>
      </c>
      <c r="M102" s="4">
        <f t="shared" si="77"/>
        <v>13.9</v>
      </c>
      <c r="N102" s="4">
        <f t="shared" si="77"/>
        <v>7.1</v>
      </c>
      <c r="O102" s="4">
        <f t="shared" si="77"/>
        <v>98</v>
      </c>
      <c r="P102" s="13">
        <f t="shared" si="4"/>
        <v>8709</v>
      </c>
      <c r="Q102" s="4">
        <f t="shared" ref="Q102:V102" si="78">ROUND(Q66,1)</f>
        <v>31.4</v>
      </c>
      <c r="R102" s="4">
        <f t="shared" si="78"/>
        <v>26.1</v>
      </c>
      <c r="S102" s="4">
        <f t="shared" si="78"/>
        <v>20</v>
      </c>
      <c r="T102" s="4">
        <f t="shared" si="78"/>
        <v>13.4</v>
      </c>
      <c r="U102" s="4">
        <f t="shared" si="78"/>
        <v>7</v>
      </c>
      <c r="V102" s="4">
        <f t="shared" si="78"/>
        <v>97.9</v>
      </c>
      <c r="W102" s="13">
        <f t="shared" si="6"/>
        <v>12904</v>
      </c>
    </row>
    <row r="103" spans="2:23" x14ac:dyDescent="0.2">
      <c r="B103" s="10" t="s">
        <v>25</v>
      </c>
      <c r="C103" s="4">
        <f t="shared" ref="C103:H103" si="79">ROUND(C67,1)</f>
        <v>33.9</v>
      </c>
      <c r="D103" s="4">
        <f t="shared" si="79"/>
        <v>23.2</v>
      </c>
      <c r="E103" s="4">
        <f t="shared" si="79"/>
        <v>18.3</v>
      </c>
      <c r="F103" s="4">
        <f t="shared" si="79"/>
        <v>14.5</v>
      </c>
      <c r="G103" s="4">
        <f t="shared" si="79"/>
        <v>7.9</v>
      </c>
      <c r="H103" s="4">
        <f t="shared" si="79"/>
        <v>97.8</v>
      </c>
      <c r="I103" s="13">
        <f t="shared" si="2"/>
        <v>2140</v>
      </c>
      <c r="J103" s="4">
        <f t="shared" ref="J103:O103" si="80">ROUND(J67,1)</f>
        <v>28.7</v>
      </c>
      <c r="K103" s="4">
        <f t="shared" si="80"/>
        <v>24.5</v>
      </c>
      <c r="L103" s="4">
        <f t="shared" si="80"/>
        <v>20.399999999999999</v>
      </c>
      <c r="M103" s="4">
        <f t="shared" si="80"/>
        <v>15.9</v>
      </c>
      <c r="N103" s="4">
        <f t="shared" si="80"/>
        <v>7.8</v>
      </c>
      <c r="O103" s="4">
        <f t="shared" si="80"/>
        <v>97.3</v>
      </c>
      <c r="P103" s="13">
        <f t="shared" si="4"/>
        <v>3928</v>
      </c>
      <c r="Q103" s="4">
        <f t="shared" ref="Q103:V103" si="81">ROUND(Q67,1)</f>
        <v>30.5</v>
      </c>
      <c r="R103" s="4">
        <f t="shared" si="81"/>
        <v>24</v>
      </c>
      <c r="S103" s="4">
        <f t="shared" si="81"/>
        <v>19.7</v>
      </c>
      <c r="T103" s="4">
        <f t="shared" si="81"/>
        <v>15.4</v>
      </c>
      <c r="U103" s="4">
        <f t="shared" si="81"/>
        <v>7.9</v>
      </c>
      <c r="V103" s="4">
        <f t="shared" si="81"/>
        <v>97.5</v>
      </c>
      <c r="W103" s="13">
        <f t="shared" si="6"/>
        <v>6068</v>
      </c>
    </row>
    <row r="104" spans="2:23" x14ac:dyDescent="0.2">
      <c r="B104" s="10" t="s">
        <v>26</v>
      </c>
      <c r="C104" s="4">
        <f t="shared" ref="C104:H104" si="82">ROUND(C68,1)</f>
        <v>36.4</v>
      </c>
      <c r="D104" s="4">
        <f t="shared" si="82"/>
        <v>27.6</v>
      </c>
      <c r="E104" s="4">
        <f t="shared" si="82"/>
        <v>18.3</v>
      </c>
      <c r="F104" s="4">
        <f t="shared" si="82"/>
        <v>10.7</v>
      </c>
      <c r="G104" s="4">
        <f t="shared" si="82"/>
        <v>5.9</v>
      </c>
      <c r="H104" s="4">
        <f t="shared" si="82"/>
        <v>99</v>
      </c>
      <c r="I104" s="13">
        <f t="shared" si="2"/>
        <v>1433</v>
      </c>
      <c r="J104" s="4">
        <f t="shared" ref="J104:O104" si="83">ROUND(J68,1)</f>
        <v>32.5</v>
      </c>
      <c r="K104" s="4">
        <f t="shared" si="83"/>
        <v>26.5</v>
      </c>
      <c r="L104" s="4">
        <f t="shared" si="83"/>
        <v>19.7</v>
      </c>
      <c r="M104" s="4">
        <f t="shared" si="83"/>
        <v>13.2</v>
      </c>
      <c r="N104" s="4">
        <f t="shared" si="83"/>
        <v>6.3</v>
      </c>
      <c r="O104" s="4">
        <f t="shared" si="83"/>
        <v>98.2</v>
      </c>
      <c r="P104" s="13">
        <f t="shared" si="4"/>
        <v>3071</v>
      </c>
      <c r="Q104" s="4">
        <f t="shared" ref="Q104:V104" si="84">ROUND(Q68,1)</f>
        <v>33.799999999999997</v>
      </c>
      <c r="R104" s="4">
        <f t="shared" si="84"/>
        <v>26.9</v>
      </c>
      <c r="S104" s="4">
        <f t="shared" si="84"/>
        <v>19.2</v>
      </c>
      <c r="T104" s="4">
        <f t="shared" si="84"/>
        <v>12.4</v>
      </c>
      <c r="U104" s="4">
        <f t="shared" si="84"/>
        <v>6.2</v>
      </c>
      <c r="V104" s="4">
        <f t="shared" si="84"/>
        <v>98.4</v>
      </c>
      <c r="W104" s="13">
        <f t="shared" si="6"/>
        <v>4504</v>
      </c>
    </row>
    <row r="105" spans="2:23" x14ac:dyDescent="0.2">
      <c r="B105" s="10" t="s">
        <v>27</v>
      </c>
      <c r="C105" s="4">
        <f t="shared" ref="C105:H105" si="85">ROUND(C69,1)</f>
        <v>44.8</v>
      </c>
      <c r="D105" s="4">
        <f t="shared" si="85"/>
        <v>27.8</v>
      </c>
      <c r="E105" s="4">
        <f t="shared" si="85"/>
        <v>14.6</v>
      </c>
      <c r="F105" s="4">
        <f t="shared" si="85"/>
        <v>5.4</v>
      </c>
      <c r="G105" s="4">
        <f t="shared" si="85"/>
        <v>3.4</v>
      </c>
      <c r="H105" s="4">
        <f t="shared" si="85"/>
        <v>95.9</v>
      </c>
      <c r="I105" s="13">
        <f t="shared" si="2"/>
        <v>1718</v>
      </c>
      <c r="J105" s="4">
        <f t="shared" ref="J105:O105" si="86">ROUND(J69,1)</f>
        <v>52.2</v>
      </c>
      <c r="K105" s="4">
        <f t="shared" si="86"/>
        <v>25.4</v>
      </c>
      <c r="L105" s="4">
        <f t="shared" si="86"/>
        <v>12.8</v>
      </c>
      <c r="M105" s="4">
        <f t="shared" si="86"/>
        <v>4.7</v>
      </c>
      <c r="N105" s="4">
        <f t="shared" si="86"/>
        <v>1.9</v>
      </c>
      <c r="O105" s="4">
        <f t="shared" si="86"/>
        <v>97</v>
      </c>
      <c r="P105" s="13">
        <f t="shared" si="4"/>
        <v>2281</v>
      </c>
      <c r="Q105" s="4">
        <f t="shared" ref="Q105:V105" si="87">ROUND(Q69,1)</f>
        <v>49</v>
      </c>
      <c r="R105" s="4">
        <f t="shared" si="87"/>
        <v>26.4</v>
      </c>
      <c r="S105" s="4">
        <f t="shared" si="87"/>
        <v>13.6</v>
      </c>
      <c r="T105" s="4">
        <f t="shared" si="87"/>
        <v>5</v>
      </c>
      <c r="U105" s="4">
        <f t="shared" si="87"/>
        <v>2.6</v>
      </c>
      <c r="V105" s="4">
        <f t="shared" si="87"/>
        <v>96.5</v>
      </c>
      <c r="W105" s="13">
        <f t="shared" si="6"/>
        <v>3999</v>
      </c>
    </row>
    <row r="106" spans="2:23" x14ac:dyDescent="0.2">
      <c r="B106" s="10" t="s">
        <v>28</v>
      </c>
      <c r="C106" s="4">
        <f t="shared" ref="C106:H106" si="88">ROUND(C70,1)</f>
        <v>33.5</v>
      </c>
      <c r="D106" s="4">
        <f t="shared" si="88"/>
        <v>25.5</v>
      </c>
      <c r="E106" s="4">
        <f t="shared" si="88"/>
        <v>20</v>
      </c>
      <c r="F106" s="4">
        <f t="shared" si="88"/>
        <v>14.5</v>
      </c>
      <c r="G106" s="4">
        <f t="shared" si="88"/>
        <v>5.0999999999999996</v>
      </c>
      <c r="H106" s="4">
        <f t="shared" si="88"/>
        <v>98.6</v>
      </c>
      <c r="I106" s="13">
        <f t="shared" si="2"/>
        <v>2220</v>
      </c>
      <c r="J106" s="4">
        <f t="shared" ref="J106:O106" si="89">ROUND(J70,1)</f>
        <v>33.700000000000003</v>
      </c>
      <c r="K106" s="4">
        <f t="shared" si="89"/>
        <v>29.7</v>
      </c>
      <c r="L106" s="4">
        <f t="shared" si="89"/>
        <v>21.6</v>
      </c>
      <c r="M106" s="4">
        <f t="shared" si="89"/>
        <v>11</v>
      </c>
      <c r="N106" s="4">
        <f t="shared" si="89"/>
        <v>3.4</v>
      </c>
      <c r="O106" s="4">
        <f t="shared" si="89"/>
        <v>99.4</v>
      </c>
      <c r="P106" s="13">
        <f t="shared" si="4"/>
        <v>3096</v>
      </c>
      <c r="Q106" s="4">
        <f t="shared" ref="Q106:V106" si="90">ROUND(Q70,1)</f>
        <v>33.6</v>
      </c>
      <c r="R106" s="4">
        <f t="shared" si="90"/>
        <v>27.9</v>
      </c>
      <c r="S106" s="4">
        <f t="shared" si="90"/>
        <v>21</v>
      </c>
      <c r="T106" s="4">
        <f t="shared" si="90"/>
        <v>12.5</v>
      </c>
      <c r="U106" s="4">
        <f t="shared" si="90"/>
        <v>4.0999999999999996</v>
      </c>
      <c r="V106" s="4">
        <f t="shared" si="90"/>
        <v>99.1</v>
      </c>
      <c r="W106" s="13">
        <f t="shared" si="6"/>
        <v>5316</v>
      </c>
    </row>
    <row r="107" spans="2:23" x14ac:dyDescent="0.2">
      <c r="B107" s="10" t="s">
        <v>29</v>
      </c>
      <c r="C107" s="4">
        <f t="shared" ref="C107:H107" si="91">ROUND(C71,1)</f>
        <v>25.7</v>
      </c>
      <c r="D107" s="4">
        <f t="shared" si="91"/>
        <v>26.6</v>
      </c>
      <c r="E107" s="4">
        <f t="shared" si="91"/>
        <v>23.7</v>
      </c>
      <c r="F107" s="4">
        <f t="shared" si="91"/>
        <v>14.4</v>
      </c>
      <c r="G107" s="4">
        <f t="shared" si="91"/>
        <v>7.3</v>
      </c>
      <c r="H107" s="4">
        <f t="shared" si="91"/>
        <v>97.7</v>
      </c>
      <c r="I107" s="13">
        <f t="shared" si="2"/>
        <v>3033</v>
      </c>
      <c r="J107" s="4">
        <f t="shared" ref="J107:O107" si="92">ROUND(J71,1)</f>
        <v>23.4</v>
      </c>
      <c r="K107" s="4">
        <f t="shared" si="92"/>
        <v>29</v>
      </c>
      <c r="L107" s="4">
        <f t="shared" si="92"/>
        <v>24.6</v>
      </c>
      <c r="M107" s="4">
        <f t="shared" si="92"/>
        <v>15.6</v>
      </c>
      <c r="N107" s="4">
        <f t="shared" si="92"/>
        <v>5.6</v>
      </c>
      <c r="O107" s="4">
        <f t="shared" si="92"/>
        <v>98.2</v>
      </c>
      <c r="P107" s="13">
        <f t="shared" si="4"/>
        <v>7140</v>
      </c>
      <c r="Q107" s="4">
        <f t="shared" ref="Q107:V107" si="93">ROUND(Q71,1)</f>
        <v>24.1</v>
      </c>
      <c r="R107" s="4">
        <f t="shared" si="93"/>
        <v>28.3</v>
      </c>
      <c r="S107" s="4">
        <f t="shared" si="93"/>
        <v>24.3</v>
      </c>
      <c r="T107" s="4">
        <f t="shared" si="93"/>
        <v>15.2</v>
      </c>
      <c r="U107" s="4">
        <f t="shared" si="93"/>
        <v>6.1</v>
      </c>
      <c r="V107" s="4">
        <f t="shared" si="93"/>
        <v>98.1</v>
      </c>
      <c r="W107" s="13">
        <f t="shared" si="6"/>
        <v>10173</v>
      </c>
    </row>
    <row r="108" spans="2:23" x14ac:dyDescent="0.2">
      <c r="B108" s="10" t="s">
        <v>30</v>
      </c>
      <c r="C108" s="4">
        <f t="shared" ref="C108:H108" si="94">ROUND(C72,1)</f>
        <v>19.8</v>
      </c>
      <c r="D108" s="4">
        <f t="shared" si="94"/>
        <v>20.9</v>
      </c>
      <c r="E108" s="4">
        <f t="shared" si="94"/>
        <v>24.6</v>
      </c>
      <c r="F108" s="4">
        <f t="shared" si="94"/>
        <v>19.600000000000001</v>
      </c>
      <c r="G108" s="4">
        <f t="shared" si="94"/>
        <v>10.9</v>
      </c>
      <c r="H108" s="4">
        <f t="shared" si="94"/>
        <v>95.8</v>
      </c>
      <c r="I108" s="13">
        <f t="shared" si="2"/>
        <v>3794</v>
      </c>
      <c r="J108" s="4">
        <f t="shared" ref="J108:O108" si="95">ROUND(J72,1)</f>
        <v>22.6</v>
      </c>
      <c r="K108" s="4">
        <f t="shared" si="95"/>
        <v>23.5</v>
      </c>
      <c r="L108" s="4">
        <f t="shared" si="95"/>
        <v>25.3</v>
      </c>
      <c r="M108" s="4">
        <f t="shared" si="95"/>
        <v>17.8</v>
      </c>
      <c r="N108" s="4">
        <f t="shared" si="95"/>
        <v>8.6</v>
      </c>
      <c r="O108" s="4">
        <f t="shared" si="95"/>
        <v>97.8</v>
      </c>
      <c r="P108" s="13">
        <f t="shared" si="4"/>
        <v>3849</v>
      </c>
      <c r="Q108" s="4">
        <f t="shared" ref="Q108:V108" si="96">ROUND(Q72,1)</f>
        <v>21.2</v>
      </c>
      <c r="R108" s="4">
        <f t="shared" si="96"/>
        <v>22.2</v>
      </c>
      <c r="S108" s="4">
        <f t="shared" si="96"/>
        <v>24.9</v>
      </c>
      <c r="T108" s="4">
        <f t="shared" si="96"/>
        <v>18.7</v>
      </c>
      <c r="U108" s="4">
        <f t="shared" si="96"/>
        <v>9.6999999999999993</v>
      </c>
      <c r="V108" s="4">
        <f t="shared" si="96"/>
        <v>96.8</v>
      </c>
      <c r="W108" s="13">
        <f t="shared" si="6"/>
        <v>7643</v>
      </c>
    </row>
    <row r="109" spans="2:23" x14ac:dyDescent="0.2">
      <c r="B109" s="10" t="s">
        <v>31</v>
      </c>
      <c r="C109" s="4">
        <f t="shared" ref="C109:H109" si="97">ROUND(C73,1)</f>
        <v>8</v>
      </c>
      <c r="D109" s="4">
        <f t="shared" si="97"/>
        <v>17.3</v>
      </c>
      <c r="E109" s="4">
        <f t="shared" si="97"/>
        <v>25.1</v>
      </c>
      <c r="F109" s="4">
        <f t="shared" si="97"/>
        <v>26</v>
      </c>
      <c r="G109" s="4">
        <f t="shared" si="97"/>
        <v>18.3</v>
      </c>
      <c r="H109" s="4">
        <f t="shared" si="97"/>
        <v>94.7</v>
      </c>
      <c r="I109" s="13">
        <f t="shared" si="2"/>
        <v>11336</v>
      </c>
      <c r="J109" s="4">
        <f t="shared" ref="J109:O109" si="98">ROUND(J73,1)</f>
        <v>18.8</v>
      </c>
      <c r="K109" s="4">
        <f t="shared" si="98"/>
        <v>22.9</v>
      </c>
      <c r="L109" s="4">
        <f t="shared" si="98"/>
        <v>24.9</v>
      </c>
      <c r="M109" s="4">
        <f t="shared" si="98"/>
        <v>19.600000000000001</v>
      </c>
      <c r="N109" s="4">
        <f t="shared" si="98"/>
        <v>10.7</v>
      </c>
      <c r="O109" s="4">
        <f t="shared" si="98"/>
        <v>96.8</v>
      </c>
      <c r="P109" s="13">
        <f t="shared" si="4"/>
        <v>7427</v>
      </c>
      <c r="Q109" s="4">
        <f t="shared" ref="Q109:V109" si="99">ROUND(Q73,1)</f>
        <v>12.3</v>
      </c>
      <c r="R109" s="4">
        <f t="shared" si="99"/>
        <v>19.5</v>
      </c>
      <c r="S109" s="4">
        <f t="shared" si="99"/>
        <v>25</v>
      </c>
      <c r="T109" s="4">
        <f t="shared" si="99"/>
        <v>23.5</v>
      </c>
      <c r="U109" s="4">
        <f t="shared" si="99"/>
        <v>15.3</v>
      </c>
      <c r="V109" s="4">
        <f t="shared" si="99"/>
        <v>95.5</v>
      </c>
      <c r="W109" s="13">
        <f t="shared" si="6"/>
        <v>18763</v>
      </c>
    </row>
    <row r="110" spans="2:23" x14ac:dyDescent="0.2">
      <c r="B110" s="10" t="s">
        <v>32</v>
      </c>
      <c r="C110" s="4">
        <f t="shared" ref="C110:H110" si="100">ROUND(C74,1)</f>
        <v>11.7</v>
      </c>
      <c r="D110" s="4">
        <f t="shared" si="100"/>
        <v>16.399999999999999</v>
      </c>
      <c r="E110" s="4">
        <f t="shared" si="100"/>
        <v>21.9</v>
      </c>
      <c r="F110" s="4">
        <f t="shared" si="100"/>
        <v>22.9</v>
      </c>
      <c r="G110" s="4">
        <f t="shared" si="100"/>
        <v>17.8</v>
      </c>
      <c r="H110" s="4">
        <f t="shared" si="100"/>
        <v>90.7</v>
      </c>
      <c r="I110" s="13">
        <f t="shared" si="2"/>
        <v>26836</v>
      </c>
      <c r="J110" s="4">
        <f t="shared" ref="J110:O110" si="101">ROUND(J74,1)</f>
        <v>13.1</v>
      </c>
      <c r="K110" s="4">
        <f t="shared" si="101"/>
        <v>18.2</v>
      </c>
      <c r="L110" s="4">
        <f t="shared" si="101"/>
        <v>23.2</v>
      </c>
      <c r="M110" s="4">
        <f t="shared" si="101"/>
        <v>22.3</v>
      </c>
      <c r="N110" s="4">
        <f t="shared" si="101"/>
        <v>16.100000000000001</v>
      </c>
      <c r="O110" s="4">
        <f t="shared" si="101"/>
        <v>93</v>
      </c>
      <c r="P110" s="13">
        <f t="shared" si="4"/>
        <v>30061</v>
      </c>
      <c r="Q110" s="4">
        <f t="shared" ref="Q110:V110" si="102">ROUND(Q74,1)</f>
        <v>12.5</v>
      </c>
      <c r="R110" s="4">
        <f t="shared" si="102"/>
        <v>17.3</v>
      </c>
      <c r="S110" s="4">
        <f t="shared" si="102"/>
        <v>22.6</v>
      </c>
      <c r="T110" s="4">
        <f t="shared" si="102"/>
        <v>22.6</v>
      </c>
      <c r="U110" s="4">
        <f t="shared" si="102"/>
        <v>16.899999999999999</v>
      </c>
      <c r="V110" s="4">
        <f t="shared" si="102"/>
        <v>91.9</v>
      </c>
      <c r="W110" s="13">
        <f t="shared" si="6"/>
        <v>56897</v>
      </c>
    </row>
    <row r="111" spans="2:23" x14ac:dyDescent="0.2">
      <c r="B111" s="10" t="s">
        <v>46</v>
      </c>
      <c r="C111" s="4">
        <f t="shared" ref="C111:H111" si="103">ROUND(C75,1)</f>
        <v>20.100000000000001</v>
      </c>
      <c r="D111" s="4">
        <f t="shared" si="103"/>
        <v>21</v>
      </c>
      <c r="E111" s="4">
        <f t="shared" si="103"/>
        <v>22.7</v>
      </c>
      <c r="F111" s="4">
        <f t="shared" si="103"/>
        <v>19.2</v>
      </c>
      <c r="G111" s="4">
        <f t="shared" si="103"/>
        <v>12</v>
      </c>
      <c r="H111" s="4">
        <f t="shared" si="103"/>
        <v>95.1</v>
      </c>
      <c r="I111" s="13">
        <f t="shared" si="2"/>
        <v>306050</v>
      </c>
      <c r="J111" s="4">
        <f t="shared" ref="J111:O111" si="104">ROUND(J75,1)</f>
        <v>22.8</v>
      </c>
      <c r="K111" s="4">
        <f t="shared" si="104"/>
        <v>24.2</v>
      </c>
      <c r="L111" s="4">
        <f t="shared" si="104"/>
        <v>23.7</v>
      </c>
      <c r="M111" s="4">
        <f t="shared" si="104"/>
        <v>17.399999999999999</v>
      </c>
      <c r="N111" s="4">
        <f t="shared" si="104"/>
        <v>8.9</v>
      </c>
      <c r="O111" s="4">
        <f t="shared" si="104"/>
        <v>97</v>
      </c>
      <c r="P111" s="13">
        <f t="shared" si="4"/>
        <v>356620</v>
      </c>
      <c r="Q111" s="4">
        <f t="shared" ref="Q111:V111" si="105">ROUND(Q75,1)</f>
        <v>21.5</v>
      </c>
      <c r="R111" s="4">
        <f t="shared" si="105"/>
        <v>22.7</v>
      </c>
      <c r="S111" s="4">
        <f t="shared" si="105"/>
        <v>23.2</v>
      </c>
      <c r="T111" s="4">
        <f t="shared" si="105"/>
        <v>18.3</v>
      </c>
      <c r="U111" s="4">
        <f t="shared" si="105"/>
        <v>10.4</v>
      </c>
      <c r="V111" s="4">
        <f t="shared" si="105"/>
        <v>96.1</v>
      </c>
      <c r="W111" s="13">
        <f t="shared" si="6"/>
        <v>662670</v>
      </c>
    </row>
    <row r="112" spans="2:23" x14ac:dyDescent="0.2">
      <c r="C112" s="4"/>
      <c r="D112" s="4"/>
      <c r="E112" s="4"/>
      <c r="F112" s="4"/>
      <c r="G112" s="4"/>
      <c r="H112" s="4"/>
      <c r="I112" s="4"/>
      <c r="J112" s="4"/>
      <c r="K112" s="4"/>
      <c r="L112" s="4"/>
      <c r="M112" s="4"/>
      <c r="N112" s="4"/>
      <c r="O112" s="4"/>
      <c r="P112" s="4"/>
      <c r="Q112" s="4"/>
      <c r="R112" s="4"/>
      <c r="S112" s="4"/>
      <c r="T112" s="4"/>
      <c r="U112" s="4"/>
      <c r="V112" s="4"/>
      <c r="W112" s="4"/>
    </row>
    <row r="113" spans="3:23" x14ac:dyDescent="0.2">
      <c r="C113" s="4"/>
      <c r="D113" s="4"/>
      <c r="E113" s="4"/>
      <c r="F113" s="4"/>
      <c r="G113" s="4"/>
      <c r="H113" s="4"/>
      <c r="I113" s="4"/>
      <c r="J113" s="4"/>
      <c r="K113" s="4"/>
      <c r="L113" s="4"/>
      <c r="M113" s="4"/>
      <c r="N113" s="4"/>
      <c r="O113" s="4"/>
      <c r="P113" s="4"/>
      <c r="Q113" s="4"/>
      <c r="R113" s="4"/>
      <c r="S113" s="4"/>
      <c r="T113" s="4"/>
      <c r="U113" s="4"/>
      <c r="V113" s="4"/>
      <c r="W113" s="4"/>
    </row>
    <row r="114" spans="3:23" x14ac:dyDescent="0.2">
      <c r="C114" s="4"/>
      <c r="D114" s="4"/>
      <c r="E114" s="4"/>
      <c r="F114" s="4"/>
      <c r="G114" s="4"/>
      <c r="H114" s="4"/>
      <c r="I114" s="4"/>
      <c r="J114" s="4"/>
      <c r="K114" s="4"/>
      <c r="L114" s="4"/>
      <c r="M114" s="4"/>
      <c r="N114" s="4"/>
      <c r="O114" s="4"/>
      <c r="P114" s="4"/>
      <c r="Q114" s="4"/>
      <c r="R114" s="4"/>
      <c r="S114" s="4"/>
      <c r="T114" s="4"/>
      <c r="U114" s="4"/>
      <c r="V114" s="4"/>
      <c r="W114" s="4"/>
    </row>
    <row r="115" spans="3:23" x14ac:dyDescent="0.2">
      <c r="C115" s="4"/>
      <c r="D115" s="4"/>
      <c r="E115" s="4"/>
      <c r="F115" s="4"/>
      <c r="G115" s="4"/>
      <c r="H115" s="4"/>
      <c r="I115" s="4"/>
      <c r="J115" s="4"/>
      <c r="K115" s="4"/>
      <c r="L115" s="4"/>
      <c r="M115" s="4"/>
      <c r="N115" s="4"/>
      <c r="O115" s="4"/>
      <c r="P115" s="4"/>
      <c r="Q115" s="4"/>
      <c r="R115" s="4"/>
      <c r="S115" s="4"/>
      <c r="T115" s="4"/>
      <c r="U115" s="4"/>
      <c r="V115" s="4"/>
      <c r="W115" s="4"/>
    </row>
    <row r="116" spans="3:23" x14ac:dyDescent="0.2">
      <c r="C116" s="4"/>
      <c r="D116" s="4"/>
      <c r="E116" s="4"/>
      <c r="F116" s="4"/>
      <c r="G116" s="4"/>
      <c r="H116" s="4"/>
      <c r="I116" s="4"/>
      <c r="J116" s="4"/>
      <c r="K116" s="4"/>
      <c r="L116" s="4"/>
      <c r="M116" s="4"/>
      <c r="N116" s="4"/>
      <c r="O116" s="4"/>
      <c r="P116" s="4"/>
      <c r="Q116" s="4"/>
      <c r="R116" s="4"/>
      <c r="S116" s="4"/>
      <c r="T116" s="4"/>
      <c r="U116" s="4"/>
      <c r="V116" s="4"/>
      <c r="W116" s="4"/>
    </row>
    <row r="117" spans="3:23" x14ac:dyDescent="0.2">
      <c r="C117" s="4"/>
      <c r="D117" s="4"/>
      <c r="E117" s="4"/>
      <c r="F117" s="4"/>
      <c r="G117" s="4"/>
      <c r="H117" s="4"/>
      <c r="I117" s="4"/>
      <c r="J117" s="4"/>
      <c r="K117" s="4"/>
      <c r="L117" s="4"/>
      <c r="M117" s="4"/>
      <c r="N117" s="4"/>
      <c r="O117" s="4"/>
      <c r="P117" s="4"/>
      <c r="Q117" s="4"/>
      <c r="R117" s="4"/>
      <c r="S117" s="4"/>
      <c r="T117" s="4"/>
      <c r="U117" s="4"/>
      <c r="V117" s="4"/>
      <c r="W117" s="4"/>
    </row>
  </sheetData>
  <phoneticPr fontId="3" type="noConversion"/>
  <conditionalFormatting sqref="C5:Z39">
    <cfRule type="cellIs" dxfId="7" priority="1" operator="between">
      <formula>1</formula>
      <formula>2</formula>
    </cfRule>
  </conditionalFormatting>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3:BT116"/>
  <sheetViews>
    <sheetView topLeftCell="A19" workbookViewId="0">
      <selection activeCell="A2" sqref="A2"/>
    </sheetView>
  </sheetViews>
  <sheetFormatPr defaultColWidth="9.140625" defaultRowHeight="11.25" x14ac:dyDescent="0.2"/>
  <cols>
    <col min="1" max="16384" width="9.140625" style="11"/>
  </cols>
  <sheetData>
    <row r="3" spans="2:26" ht="11.25" customHeight="1" x14ac:dyDescent="0.2">
      <c r="C3" s="29" t="s">
        <v>39</v>
      </c>
      <c r="D3" s="29"/>
      <c r="E3" s="29"/>
      <c r="F3" s="29"/>
      <c r="G3" s="29"/>
      <c r="H3" s="29"/>
      <c r="I3" s="29" t="s">
        <v>40</v>
      </c>
      <c r="J3" s="29"/>
      <c r="K3" s="29"/>
      <c r="L3" s="29"/>
      <c r="M3" s="29"/>
      <c r="N3" s="29"/>
      <c r="O3" s="29" t="s">
        <v>54</v>
      </c>
      <c r="P3" s="29"/>
      <c r="Q3" s="29"/>
      <c r="R3" s="29"/>
      <c r="S3" s="29"/>
      <c r="T3" s="29"/>
      <c r="U3" s="29" t="s">
        <v>41</v>
      </c>
      <c r="V3" s="29"/>
      <c r="W3" s="29"/>
      <c r="X3" s="29" t="s">
        <v>45</v>
      </c>
      <c r="Y3" s="29"/>
      <c r="Z3" s="29"/>
    </row>
    <row r="4" spans="2:26" x14ac:dyDescent="0.2">
      <c r="C4" s="11" t="s">
        <v>33</v>
      </c>
      <c r="D4" s="11" t="s">
        <v>34</v>
      </c>
      <c r="E4" s="11" t="s">
        <v>35</v>
      </c>
      <c r="F4" s="11" t="s">
        <v>36</v>
      </c>
      <c r="G4" s="11" t="s">
        <v>37</v>
      </c>
      <c r="H4" s="11" t="s">
        <v>38</v>
      </c>
      <c r="I4" s="11" t="s">
        <v>33</v>
      </c>
      <c r="J4" s="11" t="s">
        <v>34</v>
      </c>
      <c r="K4" s="11" t="s">
        <v>35</v>
      </c>
      <c r="L4" s="11" t="s">
        <v>36</v>
      </c>
      <c r="M4" s="11" t="s">
        <v>37</v>
      </c>
      <c r="N4" s="11" t="s">
        <v>38</v>
      </c>
      <c r="O4" s="11" t="s">
        <v>33</v>
      </c>
      <c r="P4" s="11" t="s">
        <v>34</v>
      </c>
      <c r="Q4" s="11" t="s">
        <v>35</v>
      </c>
      <c r="R4" s="11" t="s">
        <v>36</v>
      </c>
      <c r="S4" s="11" t="s">
        <v>37</v>
      </c>
      <c r="T4" s="11" t="s">
        <v>38</v>
      </c>
      <c r="U4" s="11" t="s">
        <v>42</v>
      </c>
      <c r="V4" s="11" t="s">
        <v>43</v>
      </c>
      <c r="W4" s="11" t="s">
        <v>44</v>
      </c>
      <c r="X4" s="11" t="s">
        <v>42</v>
      </c>
      <c r="Y4" s="11" t="s">
        <v>43</v>
      </c>
      <c r="Z4" s="11" t="s">
        <v>44</v>
      </c>
    </row>
    <row r="5" spans="2:26" x14ac:dyDescent="0.2">
      <c r="B5" s="10" t="s">
        <v>0</v>
      </c>
      <c r="C5" s="10">
        <v>3583</v>
      </c>
      <c r="D5" s="10">
        <v>3621</v>
      </c>
      <c r="E5" s="10">
        <v>3619</v>
      </c>
      <c r="F5" s="10">
        <v>3184</v>
      </c>
      <c r="G5" s="10">
        <v>2504</v>
      </c>
      <c r="H5" s="10">
        <v>1109</v>
      </c>
      <c r="I5" s="10">
        <v>6377</v>
      </c>
      <c r="J5" s="10">
        <v>5858</v>
      </c>
      <c r="K5" s="10">
        <v>5572</v>
      </c>
      <c r="L5" s="10">
        <v>4502</v>
      </c>
      <c r="M5" s="10">
        <v>3075</v>
      </c>
      <c r="N5" s="10">
        <v>1231</v>
      </c>
      <c r="O5" s="10">
        <v>9960</v>
      </c>
      <c r="P5" s="10">
        <v>9479</v>
      </c>
      <c r="Q5" s="10">
        <v>9191</v>
      </c>
      <c r="R5" s="10">
        <v>7686</v>
      </c>
      <c r="S5" s="10">
        <v>5579</v>
      </c>
      <c r="T5" s="10">
        <v>2340</v>
      </c>
      <c r="U5" s="11">
        <v>17620</v>
      </c>
      <c r="V5" s="11">
        <v>26615</v>
      </c>
      <c r="W5" s="11">
        <v>44235</v>
      </c>
      <c r="X5" s="11">
        <v>16511</v>
      </c>
      <c r="Y5" s="11">
        <v>25384</v>
      </c>
      <c r="Z5" s="11">
        <v>41895</v>
      </c>
    </row>
    <row r="6" spans="2:26" x14ac:dyDescent="0.2">
      <c r="B6" s="10" t="s">
        <v>1</v>
      </c>
      <c r="C6" s="10">
        <v>4683</v>
      </c>
      <c r="D6" s="10">
        <v>3692</v>
      </c>
      <c r="E6" s="10">
        <v>3023</v>
      </c>
      <c r="F6" s="10">
        <v>2256</v>
      </c>
      <c r="G6" s="10">
        <v>1568</v>
      </c>
      <c r="H6" s="10">
        <v>619</v>
      </c>
      <c r="I6" s="10">
        <v>5074</v>
      </c>
      <c r="J6" s="10">
        <v>4156</v>
      </c>
      <c r="K6" s="10">
        <v>3109</v>
      </c>
      <c r="L6" s="10">
        <v>2169</v>
      </c>
      <c r="M6" s="10">
        <v>1342</v>
      </c>
      <c r="N6" s="10">
        <v>439</v>
      </c>
      <c r="O6" s="10">
        <v>9757</v>
      </c>
      <c r="P6" s="10">
        <v>7848</v>
      </c>
      <c r="Q6" s="10">
        <v>6132</v>
      </c>
      <c r="R6" s="10">
        <v>4425</v>
      </c>
      <c r="S6" s="10">
        <v>2910</v>
      </c>
      <c r="T6" s="10">
        <v>1058</v>
      </c>
      <c r="U6" s="11">
        <v>15841</v>
      </c>
      <c r="V6" s="11">
        <v>16289</v>
      </c>
      <c r="W6" s="11">
        <v>32130</v>
      </c>
      <c r="X6" s="11">
        <v>15222</v>
      </c>
      <c r="Y6" s="11">
        <v>15850</v>
      </c>
      <c r="Z6" s="11">
        <v>31072</v>
      </c>
    </row>
    <row r="7" spans="2:26" x14ac:dyDescent="0.2">
      <c r="B7" s="10" t="s">
        <v>2</v>
      </c>
      <c r="C7" s="10">
        <v>5256</v>
      </c>
      <c r="D7" s="10">
        <v>3871</v>
      </c>
      <c r="E7" s="10">
        <v>3724</v>
      </c>
      <c r="F7" s="10">
        <v>3056</v>
      </c>
      <c r="G7" s="10">
        <v>2286</v>
      </c>
      <c r="H7" s="10">
        <v>1030</v>
      </c>
      <c r="I7" s="10">
        <v>1843</v>
      </c>
      <c r="J7" s="10">
        <v>1245</v>
      </c>
      <c r="K7" s="10">
        <v>989</v>
      </c>
      <c r="L7" s="10">
        <v>725</v>
      </c>
      <c r="M7" s="10">
        <v>431</v>
      </c>
      <c r="N7" s="10">
        <v>150</v>
      </c>
      <c r="O7" s="10">
        <v>7099</v>
      </c>
      <c r="P7" s="10">
        <v>5116</v>
      </c>
      <c r="Q7" s="10">
        <v>4713</v>
      </c>
      <c r="R7" s="10">
        <v>3781</v>
      </c>
      <c r="S7" s="10">
        <v>2717</v>
      </c>
      <c r="T7" s="10">
        <v>1180</v>
      </c>
      <c r="U7" s="11">
        <v>19223</v>
      </c>
      <c r="V7" s="11">
        <v>5383</v>
      </c>
      <c r="W7" s="11">
        <v>24606</v>
      </c>
      <c r="X7" s="11">
        <v>18193</v>
      </c>
      <c r="Y7" s="11">
        <v>5233</v>
      </c>
      <c r="Z7" s="11">
        <v>23426</v>
      </c>
    </row>
    <row r="8" spans="2:26" x14ac:dyDescent="0.2">
      <c r="B8" s="10" t="s">
        <v>3</v>
      </c>
      <c r="C8" s="10">
        <v>626</v>
      </c>
      <c r="D8" s="10">
        <v>516</v>
      </c>
      <c r="E8" s="10">
        <v>604</v>
      </c>
      <c r="F8" s="10">
        <v>499</v>
      </c>
      <c r="G8" s="10">
        <v>373</v>
      </c>
      <c r="H8" s="10">
        <v>119</v>
      </c>
      <c r="I8" s="10">
        <v>201</v>
      </c>
      <c r="J8" s="10">
        <v>234</v>
      </c>
      <c r="K8" s="10">
        <v>231</v>
      </c>
      <c r="L8" s="10">
        <v>215</v>
      </c>
      <c r="M8" s="10">
        <v>118</v>
      </c>
      <c r="N8" s="10">
        <v>37</v>
      </c>
      <c r="O8" s="10">
        <v>827</v>
      </c>
      <c r="P8" s="10">
        <v>750</v>
      </c>
      <c r="Q8" s="10">
        <v>835</v>
      </c>
      <c r="R8" s="10">
        <v>714</v>
      </c>
      <c r="S8" s="10">
        <v>491</v>
      </c>
      <c r="T8" s="10">
        <v>156</v>
      </c>
      <c r="U8" s="11">
        <v>2737</v>
      </c>
      <c r="V8" s="11">
        <v>1036</v>
      </c>
      <c r="W8" s="11">
        <v>3773</v>
      </c>
      <c r="X8" s="11">
        <v>2618</v>
      </c>
      <c r="Y8" s="11">
        <v>999</v>
      </c>
      <c r="Z8" s="11">
        <v>3617</v>
      </c>
    </row>
    <row r="9" spans="2:26" x14ac:dyDescent="0.2">
      <c r="B9" s="10" t="s">
        <v>4</v>
      </c>
      <c r="C9" s="10">
        <v>10461</v>
      </c>
      <c r="D9" s="10">
        <v>5863</v>
      </c>
      <c r="E9" s="10">
        <v>4773</v>
      </c>
      <c r="F9" s="10">
        <v>3617</v>
      </c>
      <c r="G9" s="10">
        <v>2453</v>
      </c>
      <c r="H9" s="10">
        <v>1212</v>
      </c>
      <c r="I9" s="10">
        <v>6929</v>
      </c>
      <c r="J9" s="10">
        <v>4046</v>
      </c>
      <c r="K9" s="10">
        <v>2998</v>
      </c>
      <c r="L9" s="10">
        <v>1949</v>
      </c>
      <c r="M9" s="10">
        <v>1208</v>
      </c>
      <c r="N9" s="10">
        <v>508</v>
      </c>
      <c r="O9" s="10">
        <v>17390</v>
      </c>
      <c r="P9" s="10">
        <v>9909</v>
      </c>
      <c r="Q9" s="10">
        <v>7771</v>
      </c>
      <c r="R9" s="10">
        <v>5566</v>
      </c>
      <c r="S9" s="10">
        <v>3661</v>
      </c>
      <c r="T9" s="10">
        <v>1720</v>
      </c>
      <c r="U9" s="11">
        <v>28379</v>
      </c>
      <c r="V9" s="11">
        <v>17638</v>
      </c>
      <c r="W9" s="11">
        <v>46017</v>
      </c>
      <c r="X9" s="11">
        <v>27167</v>
      </c>
      <c r="Y9" s="11">
        <v>17130</v>
      </c>
      <c r="Z9" s="11">
        <v>44297</v>
      </c>
    </row>
    <row r="10" spans="2:26" x14ac:dyDescent="0.2">
      <c r="B10" s="10" t="s">
        <v>5</v>
      </c>
      <c r="C10" s="10">
        <v>2177</v>
      </c>
      <c r="D10" s="10">
        <v>626</v>
      </c>
      <c r="E10" s="10">
        <v>402</v>
      </c>
      <c r="F10" s="10">
        <v>251</v>
      </c>
      <c r="G10" s="10">
        <v>159</v>
      </c>
      <c r="H10" s="10">
        <v>84</v>
      </c>
      <c r="I10" s="10">
        <v>861</v>
      </c>
      <c r="J10" s="10">
        <v>234</v>
      </c>
      <c r="K10" s="10">
        <v>142</v>
      </c>
      <c r="L10" s="10">
        <v>91</v>
      </c>
      <c r="M10" s="10">
        <v>62</v>
      </c>
      <c r="N10" s="10">
        <v>22</v>
      </c>
      <c r="O10" s="10">
        <v>3038</v>
      </c>
      <c r="P10" s="10">
        <v>860</v>
      </c>
      <c r="Q10" s="10">
        <v>544</v>
      </c>
      <c r="R10" s="10">
        <v>342</v>
      </c>
      <c r="S10" s="10">
        <v>221</v>
      </c>
      <c r="T10" s="10">
        <v>106</v>
      </c>
      <c r="U10" s="11">
        <v>3699</v>
      </c>
      <c r="V10" s="11">
        <v>1412</v>
      </c>
      <c r="W10" s="11">
        <v>5111</v>
      </c>
      <c r="X10" s="11">
        <v>3615</v>
      </c>
      <c r="Y10" s="11">
        <v>1390</v>
      </c>
      <c r="Z10" s="11">
        <v>5005</v>
      </c>
    </row>
    <row r="11" spans="2:26" x14ac:dyDescent="0.2">
      <c r="B11" s="10" t="s">
        <v>6</v>
      </c>
      <c r="C11" s="10">
        <v>1173</v>
      </c>
      <c r="D11" s="10">
        <v>1898</v>
      </c>
      <c r="E11" s="10">
        <v>2452</v>
      </c>
      <c r="F11" s="10">
        <v>2191</v>
      </c>
      <c r="G11" s="10">
        <v>1375</v>
      </c>
      <c r="H11" s="10">
        <v>415</v>
      </c>
      <c r="I11" s="10">
        <v>1179</v>
      </c>
      <c r="J11" s="10">
        <v>1473</v>
      </c>
      <c r="K11" s="10">
        <v>1523</v>
      </c>
      <c r="L11" s="10">
        <v>1107</v>
      </c>
      <c r="M11" s="10">
        <v>573</v>
      </c>
      <c r="N11" s="10">
        <v>123</v>
      </c>
      <c r="O11" s="10">
        <v>2352</v>
      </c>
      <c r="P11" s="10">
        <v>3371</v>
      </c>
      <c r="Q11" s="10">
        <v>3975</v>
      </c>
      <c r="R11" s="10">
        <v>3298</v>
      </c>
      <c r="S11" s="10">
        <v>1948</v>
      </c>
      <c r="T11" s="10">
        <v>538</v>
      </c>
      <c r="U11" s="11">
        <v>9504</v>
      </c>
      <c r="V11" s="11">
        <v>5978</v>
      </c>
      <c r="W11" s="11">
        <v>15482</v>
      </c>
      <c r="X11" s="11">
        <v>9089</v>
      </c>
      <c r="Y11" s="11">
        <v>5855</v>
      </c>
      <c r="Z11" s="11">
        <v>14944</v>
      </c>
    </row>
    <row r="12" spans="2:26" x14ac:dyDescent="0.2">
      <c r="B12" s="10" t="s">
        <v>168</v>
      </c>
      <c r="C12" s="10">
        <v>834</v>
      </c>
      <c r="D12" s="10">
        <v>1156</v>
      </c>
      <c r="E12" s="10">
        <v>1351</v>
      </c>
      <c r="F12" s="10">
        <v>1351</v>
      </c>
      <c r="G12" s="10">
        <v>1021</v>
      </c>
      <c r="H12" s="10">
        <v>444</v>
      </c>
      <c r="I12" s="10">
        <v>123</v>
      </c>
      <c r="J12" s="10">
        <v>134</v>
      </c>
      <c r="K12" s="10">
        <v>136</v>
      </c>
      <c r="L12" s="10">
        <v>160</v>
      </c>
      <c r="M12" s="10">
        <v>102</v>
      </c>
      <c r="N12" s="10">
        <v>41</v>
      </c>
      <c r="O12" s="10">
        <v>957</v>
      </c>
      <c r="P12" s="10">
        <v>1290</v>
      </c>
      <c r="Q12" s="10">
        <v>1487</v>
      </c>
      <c r="R12" s="10">
        <v>1511</v>
      </c>
      <c r="S12" s="10">
        <v>1123</v>
      </c>
      <c r="T12" s="10">
        <v>485</v>
      </c>
      <c r="U12" s="11">
        <v>6157</v>
      </c>
      <c r="V12" s="11">
        <v>696</v>
      </c>
      <c r="W12" s="11">
        <v>6853</v>
      </c>
      <c r="X12" s="11">
        <v>5713</v>
      </c>
      <c r="Y12" s="11">
        <v>655</v>
      </c>
      <c r="Z12" s="11">
        <v>6368</v>
      </c>
    </row>
    <row r="13" spans="2:26" x14ac:dyDescent="0.2">
      <c r="B13" s="10" t="s">
        <v>8</v>
      </c>
      <c r="C13" s="10">
        <v>560</v>
      </c>
      <c r="D13" s="10">
        <v>1388</v>
      </c>
      <c r="E13" s="10">
        <v>2312</v>
      </c>
      <c r="F13" s="10">
        <v>2640</v>
      </c>
      <c r="G13" s="10">
        <v>1829</v>
      </c>
      <c r="H13" s="10">
        <v>689</v>
      </c>
      <c r="I13" s="10">
        <v>421</v>
      </c>
      <c r="J13" s="10">
        <v>966</v>
      </c>
      <c r="K13" s="10">
        <v>1386</v>
      </c>
      <c r="L13" s="10">
        <v>1281</v>
      </c>
      <c r="M13" s="10">
        <v>744</v>
      </c>
      <c r="N13" s="10">
        <v>233</v>
      </c>
      <c r="O13" s="10">
        <v>981</v>
      </c>
      <c r="P13" s="10">
        <v>2354</v>
      </c>
      <c r="Q13" s="10">
        <v>3698</v>
      </c>
      <c r="R13" s="10">
        <v>3921</v>
      </c>
      <c r="S13" s="10">
        <v>2573</v>
      </c>
      <c r="T13" s="10">
        <v>922</v>
      </c>
      <c r="U13" s="11">
        <v>9418</v>
      </c>
      <c r="V13" s="11">
        <v>5031</v>
      </c>
      <c r="W13" s="11">
        <v>14449</v>
      </c>
      <c r="X13" s="11">
        <v>8729</v>
      </c>
      <c r="Y13" s="11">
        <v>4798</v>
      </c>
      <c r="Z13" s="11">
        <v>13527</v>
      </c>
    </row>
    <row r="14" spans="2:26" x14ac:dyDescent="0.2">
      <c r="B14" s="10" t="s">
        <v>9</v>
      </c>
      <c r="C14" s="10">
        <v>2</v>
      </c>
      <c r="D14" s="10">
        <v>5</v>
      </c>
      <c r="E14" s="10">
        <v>9</v>
      </c>
      <c r="F14" s="10">
        <v>9</v>
      </c>
      <c r="G14" s="10">
        <v>12</v>
      </c>
      <c r="H14" s="10">
        <v>4</v>
      </c>
      <c r="I14" s="10">
        <v>81</v>
      </c>
      <c r="J14" s="10">
        <v>137</v>
      </c>
      <c r="K14" s="10">
        <v>104</v>
      </c>
      <c r="L14" s="10">
        <v>107</v>
      </c>
      <c r="M14" s="10">
        <v>55</v>
      </c>
      <c r="N14" s="10">
        <v>14</v>
      </c>
      <c r="O14" s="10">
        <v>83</v>
      </c>
      <c r="P14" s="10">
        <v>142</v>
      </c>
      <c r="Q14" s="10">
        <v>113</v>
      </c>
      <c r="R14" s="10">
        <v>116</v>
      </c>
      <c r="S14" s="10">
        <v>67</v>
      </c>
      <c r="T14" s="10">
        <v>18</v>
      </c>
      <c r="U14" s="11">
        <v>41</v>
      </c>
      <c r="V14" s="11">
        <v>498</v>
      </c>
      <c r="W14" s="11">
        <v>539</v>
      </c>
      <c r="X14" s="11">
        <v>37</v>
      </c>
      <c r="Y14" s="11">
        <v>484</v>
      </c>
      <c r="Z14" s="11">
        <v>521</v>
      </c>
    </row>
    <row r="15" spans="2:26" x14ac:dyDescent="0.2">
      <c r="B15" s="10" t="s">
        <v>10</v>
      </c>
      <c r="C15" s="10">
        <v>176</v>
      </c>
      <c r="D15" s="10">
        <v>241</v>
      </c>
      <c r="E15" s="10">
        <v>351</v>
      </c>
      <c r="F15" s="10">
        <v>399</v>
      </c>
      <c r="G15" s="10">
        <v>328</v>
      </c>
      <c r="H15" s="10">
        <v>165</v>
      </c>
      <c r="I15" s="10">
        <v>147</v>
      </c>
      <c r="J15" s="10">
        <v>183</v>
      </c>
      <c r="K15" s="10">
        <v>209</v>
      </c>
      <c r="L15" s="10">
        <v>184</v>
      </c>
      <c r="M15" s="10">
        <v>174</v>
      </c>
      <c r="N15" s="10">
        <v>103</v>
      </c>
      <c r="O15" s="10">
        <v>323</v>
      </c>
      <c r="P15" s="10">
        <v>424</v>
      </c>
      <c r="Q15" s="10">
        <v>560</v>
      </c>
      <c r="R15" s="10">
        <v>583</v>
      </c>
      <c r="S15" s="10">
        <v>502</v>
      </c>
      <c r="T15" s="10">
        <v>268</v>
      </c>
      <c r="U15" s="11">
        <v>1660</v>
      </c>
      <c r="V15" s="11">
        <v>1000</v>
      </c>
      <c r="W15" s="11">
        <v>2660</v>
      </c>
      <c r="X15" s="11">
        <v>1495</v>
      </c>
      <c r="Y15" s="11">
        <v>897</v>
      </c>
      <c r="Z15" s="11">
        <v>2392</v>
      </c>
    </row>
    <row r="16" spans="2:26" x14ac:dyDescent="0.2">
      <c r="B16" s="10" t="s">
        <v>11</v>
      </c>
      <c r="C16" s="10">
        <v>2542</v>
      </c>
      <c r="D16" s="10">
        <v>4441</v>
      </c>
      <c r="E16" s="10">
        <v>5196</v>
      </c>
      <c r="F16" s="10">
        <v>4091</v>
      </c>
      <c r="G16" s="10">
        <v>1870</v>
      </c>
      <c r="H16" s="10">
        <v>483</v>
      </c>
      <c r="I16" s="10">
        <v>2060</v>
      </c>
      <c r="J16" s="10">
        <v>3178</v>
      </c>
      <c r="K16" s="10">
        <v>3429</v>
      </c>
      <c r="L16" s="10">
        <v>2609</v>
      </c>
      <c r="M16" s="10">
        <v>1159</v>
      </c>
      <c r="N16" s="10">
        <v>229</v>
      </c>
      <c r="O16" s="10">
        <v>4602</v>
      </c>
      <c r="P16" s="10">
        <v>7619</v>
      </c>
      <c r="Q16" s="10">
        <v>8625</v>
      </c>
      <c r="R16" s="10">
        <v>6700</v>
      </c>
      <c r="S16" s="10">
        <v>3029</v>
      </c>
      <c r="T16" s="10">
        <v>712</v>
      </c>
      <c r="U16" s="11">
        <v>18623</v>
      </c>
      <c r="V16" s="11">
        <v>12664</v>
      </c>
      <c r="W16" s="11">
        <v>31287</v>
      </c>
      <c r="X16" s="11">
        <v>18140</v>
      </c>
      <c r="Y16" s="11">
        <v>12435</v>
      </c>
      <c r="Z16" s="11">
        <v>30575</v>
      </c>
    </row>
    <row r="17" spans="2:26" x14ac:dyDescent="0.2">
      <c r="B17" s="10" t="s">
        <v>12</v>
      </c>
      <c r="C17" s="10">
        <v>2961</v>
      </c>
      <c r="D17" s="10">
        <v>2534</v>
      </c>
      <c r="E17" s="10">
        <v>1973</v>
      </c>
      <c r="F17" s="10">
        <v>1249</v>
      </c>
      <c r="G17" s="10">
        <v>603</v>
      </c>
      <c r="H17" s="10">
        <v>192</v>
      </c>
      <c r="I17" s="10">
        <v>1445</v>
      </c>
      <c r="J17" s="10">
        <v>1046</v>
      </c>
      <c r="K17" s="10">
        <v>749</v>
      </c>
      <c r="L17" s="10">
        <v>424</v>
      </c>
      <c r="M17" s="10">
        <v>174</v>
      </c>
      <c r="N17" s="10">
        <v>58</v>
      </c>
      <c r="O17" s="10">
        <v>4406</v>
      </c>
      <c r="P17" s="10">
        <v>3580</v>
      </c>
      <c r="Q17" s="10">
        <v>2722</v>
      </c>
      <c r="R17" s="10">
        <v>1673</v>
      </c>
      <c r="S17" s="10">
        <v>777</v>
      </c>
      <c r="T17" s="10">
        <v>250</v>
      </c>
      <c r="U17" s="11">
        <v>9512</v>
      </c>
      <c r="V17" s="11">
        <v>3896</v>
      </c>
      <c r="W17" s="11">
        <v>13408</v>
      </c>
      <c r="X17" s="11">
        <v>9320</v>
      </c>
      <c r="Y17" s="11">
        <v>3838</v>
      </c>
      <c r="Z17" s="11">
        <v>13158</v>
      </c>
    </row>
    <row r="18" spans="2:26" x14ac:dyDescent="0.2">
      <c r="B18" s="10" t="s">
        <v>13</v>
      </c>
      <c r="C18" s="10">
        <v>3336</v>
      </c>
      <c r="D18" s="10">
        <v>4135</v>
      </c>
      <c r="E18" s="10">
        <v>4088</v>
      </c>
      <c r="F18" s="10">
        <v>3054</v>
      </c>
      <c r="G18" s="10">
        <v>1522</v>
      </c>
      <c r="H18" s="10">
        <v>336</v>
      </c>
      <c r="I18" s="10">
        <v>3916</v>
      </c>
      <c r="J18" s="10">
        <v>3714</v>
      </c>
      <c r="K18" s="10">
        <v>2997</v>
      </c>
      <c r="L18" s="10">
        <v>1841</v>
      </c>
      <c r="M18" s="10">
        <v>802</v>
      </c>
      <c r="N18" s="10">
        <v>165</v>
      </c>
      <c r="O18" s="10">
        <v>7252</v>
      </c>
      <c r="P18" s="10">
        <v>7849</v>
      </c>
      <c r="Q18" s="10">
        <v>7085</v>
      </c>
      <c r="R18" s="10">
        <v>4895</v>
      </c>
      <c r="S18" s="10">
        <v>2324</v>
      </c>
      <c r="T18" s="10">
        <v>501</v>
      </c>
      <c r="U18" s="11">
        <v>16471</v>
      </c>
      <c r="V18" s="11">
        <v>13435</v>
      </c>
      <c r="W18" s="11">
        <v>29906</v>
      </c>
      <c r="X18" s="11">
        <v>16135</v>
      </c>
      <c r="Y18" s="11">
        <v>13270</v>
      </c>
      <c r="Z18" s="11">
        <v>29405</v>
      </c>
    </row>
    <row r="19" spans="2:26" x14ac:dyDescent="0.2">
      <c r="B19" s="10" t="s">
        <v>14</v>
      </c>
      <c r="C19" s="10">
        <v>1357</v>
      </c>
      <c r="D19" s="10">
        <v>1410</v>
      </c>
      <c r="E19" s="10">
        <v>1137</v>
      </c>
      <c r="F19" s="10">
        <v>740</v>
      </c>
      <c r="G19" s="10">
        <v>329</v>
      </c>
      <c r="H19" s="10">
        <v>144</v>
      </c>
      <c r="I19" s="10">
        <v>1101</v>
      </c>
      <c r="J19" s="10">
        <v>925</v>
      </c>
      <c r="K19" s="10">
        <v>657</v>
      </c>
      <c r="L19" s="10">
        <v>420</v>
      </c>
      <c r="M19" s="10">
        <v>200</v>
      </c>
      <c r="N19" s="10">
        <v>74</v>
      </c>
      <c r="O19" s="10">
        <v>2458</v>
      </c>
      <c r="P19" s="10">
        <v>2335</v>
      </c>
      <c r="Q19" s="10">
        <v>1794</v>
      </c>
      <c r="R19" s="10">
        <v>1160</v>
      </c>
      <c r="S19" s="10">
        <v>529</v>
      </c>
      <c r="T19" s="10">
        <v>218</v>
      </c>
      <c r="U19" s="11">
        <v>5117</v>
      </c>
      <c r="V19" s="11">
        <v>3377</v>
      </c>
      <c r="W19" s="11">
        <v>8494</v>
      </c>
      <c r="X19" s="11">
        <v>4973</v>
      </c>
      <c r="Y19" s="11">
        <v>3303</v>
      </c>
      <c r="Z19" s="11">
        <v>8276</v>
      </c>
    </row>
    <row r="20" spans="2:26" x14ac:dyDescent="0.2">
      <c r="B20" s="10" t="s">
        <v>15</v>
      </c>
      <c r="C20" s="10">
        <v>4229</v>
      </c>
      <c r="D20" s="10">
        <v>4727</v>
      </c>
      <c r="E20" s="10">
        <v>4803</v>
      </c>
      <c r="F20" s="10">
        <v>3311</v>
      </c>
      <c r="G20" s="10">
        <v>1603</v>
      </c>
      <c r="H20" s="10">
        <v>392</v>
      </c>
      <c r="I20" s="10">
        <v>4789</v>
      </c>
      <c r="J20" s="10">
        <v>5188</v>
      </c>
      <c r="K20" s="10">
        <v>4509</v>
      </c>
      <c r="L20" s="10">
        <v>3011</v>
      </c>
      <c r="M20" s="10">
        <v>1296</v>
      </c>
      <c r="N20" s="10">
        <v>292</v>
      </c>
      <c r="O20" s="10">
        <v>9018</v>
      </c>
      <c r="P20" s="10">
        <v>9915</v>
      </c>
      <c r="Q20" s="10">
        <v>9312</v>
      </c>
      <c r="R20" s="10">
        <v>6322</v>
      </c>
      <c r="S20" s="10">
        <v>2899</v>
      </c>
      <c r="T20" s="10">
        <v>684</v>
      </c>
      <c r="U20" s="11">
        <v>19065</v>
      </c>
      <c r="V20" s="11">
        <v>19085</v>
      </c>
      <c r="W20" s="11">
        <v>38150</v>
      </c>
      <c r="X20" s="11">
        <v>18673</v>
      </c>
      <c r="Y20" s="11">
        <v>18793</v>
      </c>
      <c r="Z20" s="11">
        <v>37466</v>
      </c>
    </row>
    <row r="21" spans="2:26" x14ac:dyDescent="0.2">
      <c r="B21" s="10" t="s">
        <v>16</v>
      </c>
      <c r="C21" s="10">
        <v>685</v>
      </c>
      <c r="D21" s="10">
        <v>965</v>
      </c>
      <c r="E21" s="10">
        <v>1091</v>
      </c>
      <c r="F21" s="10">
        <v>1032</v>
      </c>
      <c r="G21" s="10">
        <v>689</v>
      </c>
      <c r="H21" s="10">
        <v>328</v>
      </c>
      <c r="I21" s="10">
        <v>1388</v>
      </c>
      <c r="J21" s="10">
        <v>1549</v>
      </c>
      <c r="K21" s="10">
        <v>1668</v>
      </c>
      <c r="L21" s="10">
        <v>1302</v>
      </c>
      <c r="M21" s="10">
        <v>777</v>
      </c>
      <c r="N21" s="10">
        <v>367</v>
      </c>
      <c r="O21" s="10">
        <v>2073</v>
      </c>
      <c r="P21" s="10">
        <v>2514</v>
      </c>
      <c r="Q21" s="10">
        <v>2759</v>
      </c>
      <c r="R21" s="10">
        <v>2334</v>
      </c>
      <c r="S21" s="10">
        <v>1466</v>
      </c>
      <c r="T21" s="10">
        <v>695</v>
      </c>
      <c r="U21" s="11">
        <v>4790</v>
      </c>
      <c r="V21" s="11">
        <v>7051</v>
      </c>
      <c r="W21" s="11">
        <v>11841</v>
      </c>
      <c r="X21" s="11">
        <v>4462</v>
      </c>
      <c r="Y21" s="11">
        <v>6684</v>
      </c>
      <c r="Z21" s="11">
        <v>11146</v>
      </c>
    </row>
    <row r="22" spans="2:26" x14ac:dyDescent="0.2">
      <c r="B22" s="10" t="s">
        <v>17</v>
      </c>
      <c r="C22" s="10">
        <v>1214</v>
      </c>
      <c r="D22" s="10">
        <v>2074</v>
      </c>
      <c r="E22" s="10">
        <v>2632</v>
      </c>
      <c r="F22" s="10">
        <v>2397</v>
      </c>
      <c r="G22" s="10">
        <v>1770</v>
      </c>
      <c r="H22" s="10">
        <v>699</v>
      </c>
      <c r="I22" s="10">
        <v>6606</v>
      </c>
      <c r="J22" s="10">
        <v>7823</v>
      </c>
      <c r="K22" s="10">
        <v>7685</v>
      </c>
      <c r="L22" s="10">
        <v>5661</v>
      </c>
      <c r="M22" s="10">
        <v>3137</v>
      </c>
      <c r="N22" s="10">
        <v>1109</v>
      </c>
      <c r="O22" s="10">
        <v>7820</v>
      </c>
      <c r="P22" s="10">
        <v>9897</v>
      </c>
      <c r="Q22" s="10">
        <v>10317</v>
      </c>
      <c r="R22" s="10">
        <v>8058</v>
      </c>
      <c r="S22" s="10">
        <v>4907</v>
      </c>
      <c r="T22" s="10">
        <v>1808</v>
      </c>
      <c r="U22" s="11">
        <v>10786</v>
      </c>
      <c r="V22" s="11">
        <v>32021</v>
      </c>
      <c r="W22" s="11">
        <v>42807</v>
      </c>
      <c r="X22" s="11">
        <v>10087</v>
      </c>
      <c r="Y22" s="11">
        <v>30912</v>
      </c>
      <c r="Z22" s="11">
        <v>40999</v>
      </c>
    </row>
    <row r="23" spans="2:26" x14ac:dyDescent="0.2">
      <c r="B23" s="10" t="s">
        <v>18</v>
      </c>
      <c r="C23" s="10">
        <v>754</v>
      </c>
      <c r="D23" s="10">
        <v>1257</v>
      </c>
      <c r="E23" s="10">
        <v>1423</v>
      </c>
      <c r="F23" s="10">
        <v>1171</v>
      </c>
      <c r="G23" s="10">
        <v>534</v>
      </c>
      <c r="H23" s="10">
        <v>211</v>
      </c>
      <c r="I23" s="10">
        <v>3424</v>
      </c>
      <c r="J23" s="10">
        <v>4359</v>
      </c>
      <c r="K23" s="10">
        <v>4459</v>
      </c>
      <c r="L23" s="10">
        <v>3053</v>
      </c>
      <c r="M23" s="10">
        <v>1320</v>
      </c>
      <c r="N23" s="10">
        <v>395</v>
      </c>
      <c r="O23" s="10">
        <v>4178</v>
      </c>
      <c r="P23" s="10">
        <v>5616</v>
      </c>
      <c r="Q23" s="10">
        <v>5882</v>
      </c>
      <c r="R23" s="10">
        <v>4224</v>
      </c>
      <c r="S23" s="10">
        <v>1854</v>
      </c>
      <c r="T23" s="10">
        <v>606</v>
      </c>
      <c r="U23" s="11">
        <v>5350</v>
      </c>
      <c r="V23" s="11">
        <v>17010</v>
      </c>
      <c r="W23" s="11">
        <v>22360</v>
      </c>
      <c r="X23" s="11">
        <v>5139</v>
      </c>
      <c r="Y23" s="11">
        <v>16615</v>
      </c>
      <c r="Z23" s="11">
        <v>21754</v>
      </c>
    </row>
    <row r="24" spans="2:26" x14ac:dyDescent="0.2">
      <c r="B24" s="10" t="s">
        <v>19</v>
      </c>
      <c r="C24" s="10">
        <v>218</v>
      </c>
      <c r="D24" s="10">
        <v>270</v>
      </c>
      <c r="E24" s="10">
        <v>312</v>
      </c>
      <c r="F24" s="10">
        <v>236</v>
      </c>
      <c r="G24" s="10">
        <v>121</v>
      </c>
      <c r="H24" s="10">
        <v>49</v>
      </c>
      <c r="I24" s="10">
        <v>217</v>
      </c>
      <c r="J24" s="10">
        <v>304</v>
      </c>
      <c r="K24" s="10">
        <v>250</v>
      </c>
      <c r="L24" s="10">
        <v>201</v>
      </c>
      <c r="M24" s="10">
        <v>116</v>
      </c>
      <c r="N24" s="10">
        <v>44</v>
      </c>
      <c r="O24" s="10">
        <v>435</v>
      </c>
      <c r="P24" s="10">
        <v>574</v>
      </c>
      <c r="Q24" s="10">
        <v>562</v>
      </c>
      <c r="R24" s="10">
        <v>437</v>
      </c>
      <c r="S24" s="10">
        <v>237</v>
      </c>
      <c r="T24" s="10">
        <v>93</v>
      </c>
      <c r="U24" s="11">
        <v>1206</v>
      </c>
      <c r="V24" s="11">
        <v>1132</v>
      </c>
      <c r="W24" s="11">
        <v>2338</v>
      </c>
      <c r="X24" s="11">
        <v>1157</v>
      </c>
      <c r="Y24" s="11">
        <v>1088</v>
      </c>
      <c r="Z24" s="11">
        <v>2245</v>
      </c>
    </row>
    <row r="25" spans="2:26" x14ac:dyDescent="0.2">
      <c r="B25" s="10" t="s">
        <v>20</v>
      </c>
      <c r="C25" s="10">
        <v>2411</v>
      </c>
      <c r="D25" s="10">
        <v>2378</v>
      </c>
      <c r="E25" s="10">
        <v>2503</v>
      </c>
      <c r="F25" s="10">
        <v>1998</v>
      </c>
      <c r="G25" s="10">
        <v>1150</v>
      </c>
      <c r="H25" s="10">
        <v>500</v>
      </c>
      <c r="I25" s="10">
        <v>6917</v>
      </c>
      <c r="J25" s="10">
        <v>5930</v>
      </c>
      <c r="K25" s="10">
        <v>5232</v>
      </c>
      <c r="L25" s="10">
        <v>3400</v>
      </c>
      <c r="M25" s="10">
        <v>1561</v>
      </c>
      <c r="N25" s="10">
        <v>585</v>
      </c>
      <c r="O25" s="10">
        <v>9328</v>
      </c>
      <c r="P25" s="10">
        <v>8308</v>
      </c>
      <c r="Q25" s="10">
        <v>7735</v>
      </c>
      <c r="R25" s="10">
        <v>5398</v>
      </c>
      <c r="S25" s="10">
        <v>2711</v>
      </c>
      <c r="T25" s="10">
        <v>1085</v>
      </c>
      <c r="U25" s="11">
        <v>10940</v>
      </c>
      <c r="V25" s="11">
        <v>23625</v>
      </c>
      <c r="W25" s="11">
        <v>34565</v>
      </c>
      <c r="X25" s="11">
        <v>10440</v>
      </c>
      <c r="Y25" s="11">
        <v>23040</v>
      </c>
      <c r="Z25" s="11">
        <v>33480</v>
      </c>
    </row>
    <row r="26" spans="2:26" x14ac:dyDescent="0.2">
      <c r="B26" s="10" t="s">
        <v>21</v>
      </c>
      <c r="C26" s="10">
        <v>488</v>
      </c>
      <c r="D26" s="10">
        <v>1031</v>
      </c>
      <c r="E26" s="10">
        <v>1256</v>
      </c>
      <c r="F26" s="10">
        <v>814</v>
      </c>
      <c r="G26" s="10">
        <v>347</v>
      </c>
      <c r="H26" s="10">
        <v>67</v>
      </c>
      <c r="I26" s="10">
        <v>1660</v>
      </c>
      <c r="J26" s="10">
        <v>2999</v>
      </c>
      <c r="K26" s="10">
        <v>3147</v>
      </c>
      <c r="L26" s="10">
        <v>1573</v>
      </c>
      <c r="M26" s="10">
        <v>475</v>
      </c>
      <c r="N26" s="10">
        <v>98</v>
      </c>
      <c r="O26" s="10">
        <v>2148</v>
      </c>
      <c r="P26" s="10">
        <v>4030</v>
      </c>
      <c r="Q26" s="10">
        <v>4403</v>
      </c>
      <c r="R26" s="10">
        <v>2387</v>
      </c>
      <c r="S26" s="10">
        <v>822</v>
      </c>
      <c r="T26" s="10">
        <v>165</v>
      </c>
      <c r="U26" s="11">
        <v>4003</v>
      </c>
      <c r="V26" s="11">
        <v>9952</v>
      </c>
      <c r="W26" s="11">
        <v>13955</v>
      </c>
      <c r="X26" s="11">
        <v>3936</v>
      </c>
      <c r="Y26" s="11">
        <v>9854</v>
      </c>
      <c r="Z26" s="11">
        <v>13790</v>
      </c>
    </row>
    <row r="27" spans="2:26" x14ac:dyDescent="0.2">
      <c r="B27" s="10" t="s">
        <v>22</v>
      </c>
      <c r="C27" s="10">
        <v>4680</v>
      </c>
      <c r="D27" s="10">
        <v>5057</v>
      </c>
      <c r="E27" s="10">
        <v>5828</v>
      </c>
      <c r="F27" s="10">
        <v>4508</v>
      </c>
      <c r="G27" s="10">
        <v>1854</v>
      </c>
      <c r="H27" s="10">
        <v>385</v>
      </c>
      <c r="I27" s="10">
        <v>10190</v>
      </c>
      <c r="J27" s="10">
        <v>12062</v>
      </c>
      <c r="K27" s="10">
        <v>13951</v>
      </c>
      <c r="L27" s="10">
        <v>10079</v>
      </c>
      <c r="M27" s="10">
        <v>3721</v>
      </c>
      <c r="N27" s="10">
        <v>652</v>
      </c>
      <c r="O27" s="10">
        <v>14870</v>
      </c>
      <c r="P27" s="10">
        <v>17119</v>
      </c>
      <c r="Q27" s="10">
        <v>19779</v>
      </c>
      <c r="R27" s="10">
        <v>14587</v>
      </c>
      <c r="S27" s="10">
        <v>5575</v>
      </c>
      <c r="T27" s="10">
        <v>1037</v>
      </c>
      <c r="U27" s="11">
        <v>22312</v>
      </c>
      <c r="V27" s="11">
        <v>50655</v>
      </c>
      <c r="W27" s="11">
        <v>72967</v>
      </c>
      <c r="X27" s="11">
        <v>21927</v>
      </c>
      <c r="Y27" s="11">
        <v>50003</v>
      </c>
      <c r="Z27" s="11">
        <v>71930</v>
      </c>
    </row>
    <row r="28" spans="2:26" x14ac:dyDescent="0.2">
      <c r="B28" s="10" t="s">
        <v>51</v>
      </c>
      <c r="C28" s="10">
        <v>909</v>
      </c>
      <c r="D28" s="10">
        <v>2030</v>
      </c>
      <c r="E28" s="10">
        <v>2952</v>
      </c>
      <c r="F28" s="10">
        <v>2227</v>
      </c>
      <c r="G28" s="10">
        <v>759</v>
      </c>
      <c r="H28" s="10">
        <v>189</v>
      </c>
      <c r="I28" s="10">
        <v>1774</v>
      </c>
      <c r="J28" s="10">
        <v>3471</v>
      </c>
      <c r="K28" s="10">
        <v>3731</v>
      </c>
      <c r="L28" s="10">
        <v>2166</v>
      </c>
      <c r="M28" s="10">
        <v>624</v>
      </c>
      <c r="N28" s="10">
        <v>158</v>
      </c>
      <c r="O28" s="10">
        <v>2683</v>
      </c>
      <c r="P28" s="10">
        <v>5501</v>
      </c>
      <c r="Q28" s="10">
        <v>6683</v>
      </c>
      <c r="R28" s="10">
        <v>4393</v>
      </c>
      <c r="S28" s="10">
        <v>1383</v>
      </c>
      <c r="T28" s="10">
        <v>347</v>
      </c>
      <c r="U28" s="11">
        <v>9066</v>
      </c>
      <c r="V28" s="11">
        <v>11924</v>
      </c>
      <c r="W28" s="11">
        <v>20990</v>
      </c>
      <c r="X28" s="11">
        <v>8877</v>
      </c>
      <c r="Y28" s="11">
        <v>11766</v>
      </c>
      <c r="Z28" s="11">
        <v>20643</v>
      </c>
    </row>
    <row r="29" spans="2:26" x14ac:dyDescent="0.2">
      <c r="B29" s="10" t="s">
        <v>23</v>
      </c>
      <c r="C29" s="10">
        <v>417</v>
      </c>
      <c r="D29" s="10">
        <v>869</v>
      </c>
      <c r="E29" s="10">
        <v>998</v>
      </c>
      <c r="F29" s="10">
        <v>577</v>
      </c>
      <c r="G29" s="10">
        <v>169</v>
      </c>
      <c r="H29" s="10">
        <v>65</v>
      </c>
      <c r="I29" s="10">
        <v>767</v>
      </c>
      <c r="J29" s="10">
        <v>1564</v>
      </c>
      <c r="K29" s="10">
        <v>1753</v>
      </c>
      <c r="L29" s="10">
        <v>833</v>
      </c>
      <c r="M29" s="10">
        <v>247</v>
      </c>
      <c r="N29" s="10">
        <v>50</v>
      </c>
      <c r="O29" s="10">
        <v>1184</v>
      </c>
      <c r="P29" s="10">
        <v>2433</v>
      </c>
      <c r="Q29" s="10">
        <v>2751</v>
      </c>
      <c r="R29" s="10">
        <v>1410</v>
      </c>
      <c r="S29" s="10">
        <v>416</v>
      </c>
      <c r="T29" s="10">
        <v>115</v>
      </c>
      <c r="U29" s="11">
        <v>3095</v>
      </c>
      <c r="V29" s="11">
        <v>5214</v>
      </c>
      <c r="W29" s="11">
        <v>8309</v>
      </c>
      <c r="X29" s="11">
        <v>3030</v>
      </c>
      <c r="Y29" s="11">
        <v>5164</v>
      </c>
      <c r="Z29" s="11">
        <v>8194</v>
      </c>
    </row>
    <row r="30" spans="2:26" x14ac:dyDescent="0.2">
      <c r="B30" s="10" t="s">
        <v>24</v>
      </c>
      <c r="C30" s="10">
        <v>1406</v>
      </c>
      <c r="D30" s="10">
        <v>1090</v>
      </c>
      <c r="E30" s="10">
        <v>770</v>
      </c>
      <c r="F30" s="10">
        <v>493</v>
      </c>
      <c r="G30" s="10">
        <v>246</v>
      </c>
      <c r="H30" s="10">
        <v>70</v>
      </c>
      <c r="I30" s="10">
        <v>2767</v>
      </c>
      <c r="J30" s="10">
        <v>2195</v>
      </c>
      <c r="K30" s="10">
        <v>1688</v>
      </c>
      <c r="L30" s="10">
        <v>1130</v>
      </c>
      <c r="M30" s="10">
        <v>513</v>
      </c>
      <c r="N30" s="10">
        <v>112</v>
      </c>
      <c r="O30" s="10">
        <v>4173</v>
      </c>
      <c r="P30" s="10">
        <v>3285</v>
      </c>
      <c r="Q30" s="10">
        <v>2458</v>
      </c>
      <c r="R30" s="10">
        <v>1623</v>
      </c>
      <c r="S30" s="10">
        <v>759</v>
      </c>
      <c r="T30" s="10">
        <v>182</v>
      </c>
      <c r="U30" s="11">
        <v>4075</v>
      </c>
      <c r="V30" s="11">
        <v>8405</v>
      </c>
      <c r="W30" s="11">
        <v>12480</v>
      </c>
      <c r="X30" s="11">
        <v>4005</v>
      </c>
      <c r="Y30" s="11">
        <v>8293</v>
      </c>
      <c r="Z30" s="11">
        <v>12298</v>
      </c>
    </row>
    <row r="31" spans="2:26" x14ac:dyDescent="0.2">
      <c r="B31" s="10" t="s">
        <v>25</v>
      </c>
      <c r="C31" s="10">
        <v>699</v>
      </c>
      <c r="D31" s="10">
        <v>469</v>
      </c>
      <c r="E31" s="10">
        <v>354</v>
      </c>
      <c r="F31" s="10">
        <v>299</v>
      </c>
      <c r="G31" s="10">
        <v>143</v>
      </c>
      <c r="H31" s="10">
        <v>57</v>
      </c>
      <c r="I31" s="10">
        <v>1109</v>
      </c>
      <c r="J31" s="10">
        <v>905</v>
      </c>
      <c r="K31" s="10">
        <v>752</v>
      </c>
      <c r="L31" s="10">
        <v>532</v>
      </c>
      <c r="M31" s="10">
        <v>261</v>
      </c>
      <c r="N31" s="10">
        <v>63</v>
      </c>
      <c r="O31" s="10">
        <v>1808</v>
      </c>
      <c r="P31" s="10">
        <v>1374</v>
      </c>
      <c r="Q31" s="10">
        <v>1106</v>
      </c>
      <c r="R31" s="10">
        <v>831</v>
      </c>
      <c r="S31" s="10">
        <v>404</v>
      </c>
      <c r="T31" s="10">
        <v>120</v>
      </c>
      <c r="U31" s="11">
        <v>2021</v>
      </c>
      <c r="V31" s="11">
        <v>3622</v>
      </c>
      <c r="W31" s="11">
        <v>5643</v>
      </c>
      <c r="X31" s="11">
        <v>1964</v>
      </c>
      <c r="Y31" s="11">
        <v>3559</v>
      </c>
      <c r="Z31" s="11">
        <v>5523</v>
      </c>
    </row>
    <row r="32" spans="2:26" x14ac:dyDescent="0.2">
      <c r="B32" s="10" t="s">
        <v>26</v>
      </c>
      <c r="C32" s="10">
        <v>559</v>
      </c>
      <c r="D32" s="10">
        <v>377</v>
      </c>
      <c r="E32" s="10">
        <v>255</v>
      </c>
      <c r="F32" s="10">
        <v>132</v>
      </c>
      <c r="G32" s="10">
        <v>65</v>
      </c>
      <c r="H32" s="10">
        <v>23</v>
      </c>
      <c r="I32" s="10">
        <v>1084</v>
      </c>
      <c r="J32" s="10">
        <v>886</v>
      </c>
      <c r="K32" s="10">
        <v>669</v>
      </c>
      <c r="L32" s="10">
        <v>379</v>
      </c>
      <c r="M32" s="10">
        <v>170</v>
      </c>
      <c r="N32" s="10">
        <v>51</v>
      </c>
      <c r="O32" s="10">
        <v>1643</v>
      </c>
      <c r="P32" s="10">
        <v>1263</v>
      </c>
      <c r="Q32" s="10">
        <v>924</v>
      </c>
      <c r="R32" s="10">
        <v>511</v>
      </c>
      <c r="S32" s="10">
        <v>235</v>
      </c>
      <c r="T32" s="10">
        <v>74</v>
      </c>
      <c r="U32" s="11">
        <v>1411</v>
      </c>
      <c r="V32" s="11">
        <v>3239</v>
      </c>
      <c r="W32" s="11">
        <v>4650</v>
      </c>
      <c r="X32" s="11">
        <v>1388</v>
      </c>
      <c r="Y32" s="11">
        <v>3188</v>
      </c>
      <c r="Z32" s="11">
        <v>4576</v>
      </c>
    </row>
    <row r="33" spans="1:72" x14ac:dyDescent="0.2">
      <c r="B33" s="10" t="s">
        <v>27</v>
      </c>
      <c r="C33" s="10">
        <v>734</v>
      </c>
      <c r="D33" s="10">
        <v>557</v>
      </c>
      <c r="E33" s="10">
        <v>274</v>
      </c>
      <c r="F33" s="10">
        <v>120</v>
      </c>
      <c r="G33" s="10">
        <v>56</v>
      </c>
      <c r="H33" s="10">
        <v>74</v>
      </c>
      <c r="I33" s="10">
        <v>1174</v>
      </c>
      <c r="J33" s="10">
        <v>727</v>
      </c>
      <c r="K33" s="10">
        <v>318</v>
      </c>
      <c r="L33" s="10">
        <v>135</v>
      </c>
      <c r="M33" s="10">
        <v>48</v>
      </c>
      <c r="N33" s="10">
        <v>62</v>
      </c>
      <c r="O33" s="10">
        <v>1908</v>
      </c>
      <c r="P33" s="10">
        <v>1284</v>
      </c>
      <c r="Q33" s="10">
        <v>592</v>
      </c>
      <c r="R33" s="10">
        <v>255</v>
      </c>
      <c r="S33" s="10">
        <v>104</v>
      </c>
      <c r="T33" s="10">
        <v>136</v>
      </c>
      <c r="U33" s="11">
        <v>1815</v>
      </c>
      <c r="V33" s="11">
        <v>2464</v>
      </c>
      <c r="W33" s="11">
        <v>4279</v>
      </c>
      <c r="X33" s="11">
        <v>1741</v>
      </c>
      <c r="Y33" s="11">
        <v>2402</v>
      </c>
      <c r="Z33" s="11">
        <v>4143</v>
      </c>
    </row>
    <row r="34" spans="1:72" x14ac:dyDescent="0.2">
      <c r="B34" s="10" t="s">
        <v>28</v>
      </c>
      <c r="C34" s="10">
        <v>768</v>
      </c>
      <c r="D34" s="10">
        <v>568</v>
      </c>
      <c r="E34" s="10">
        <v>484</v>
      </c>
      <c r="F34" s="10">
        <v>252</v>
      </c>
      <c r="G34" s="10">
        <v>103</v>
      </c>
      <c r="H34" s="10">
        <v>26</v>
      </c>
      <c r="I34" s="10">
        <v>1094</v>
      </c>
      <c r="J34" s="10">
        <v>902</v>
      </c>
      <c r="K34" s="10">
        <v>607</v>
      </c>
      <c r="L34" s="10">
        <v>331</v>
      </c>
      <c r="M34" s="10">
        <v>98</v>
      </c>
      <c r="N34" s="10">
        <v>28</v>
      </c>
      <c r="O34" s="10">
        <v>1862</v>
      </c>
      <c r="P34" s="10">
        <v>1470</v>
      </c>
      <c r="Q34" s="10">
        <v>1091</v>
      </c>
      <c r="R34" s="10">
        <v>583</v>
      </c>
      <c r="S34" s="10">
        <v>201</v>
      </c>
      <c r="T34" s="10">
        <v>54</v>
      </c>
      <c r="U34" s="11">
        <v>2201</v>
      </c>
      <c r="V34" s="11">
        <v>3060</v>
      </c>
      <c r="W34" s="11">
        <v>5261</v>
      </c>
      <c r="X34" s="11">
        <v>2175</v>
      </c>
      <c r="Y34" s="11">
        <v>3032</v>
      </c>
      <c r="Z34" s="11">
        <v>5207</v>
      </c>
    </row>
    <row r="35" spans="1:72" x14ac:dyDescent="0.2">
      <c r="B35" s="10" t="s">
        <v>29</v>
      </c>
      <c r="C35" s="10">
        <v>905</v>
      </c>
      <c r="D35" s="10">
        <v>984</v>
      </c>
      <c r="E35" s="10">
        <v>838</v>
      </c>
      <c r="F35" s="10">
        <v>489</v>
      </c>
      <c r="G35" s="10">
        <v>216</v>
      </c>
      <c r="H35" s="10">
        <v>67</v>
      </c>
      <c r="I35" s="10">
        <v>2100</v>
      </c>
      <c r="J35" s="10">
        <v>2487</v>
      </c>
      <c r="K35" s="10">
        <v>1952</v>
      </c>
      <c r="L35" s="10">
        <v>1149</v>
      </c>
      <c r="M35" s="10">
        <v>424</v>
      </c>
      <c r="N35" s="10">
        <v>114</v>
      </c>
      <c r="O35" s="10">
        <v>3005</v>
      </c>
      <c r="P35" s="10">
        <v>3471</v>
      </c>
      <c r="Q35" s="10">
        <v>2790</v>
      </c>
      <c r="R35" s="10">
        <v>1638</v>
      </c>
      <c r="S35" s="10">
        <v>640</v>
      </c>
      <c r="T35" s="10">
        <v>181</v>
      </c>
      <c r="U35" s="11">
        <v>3499</v>
      </c>
      <c r="V35" s="11">
        <v>8226</v>
      </c>
      <c r="W35" s="11">
        <v>11725</v>
      </c>
      <c r="X35" s="11">
        <v>3432</v>
      </c>
      <c r="Y35" s="11">
        <v>8112</v>
      </c>
      <c r="Z35" s="11">
        <v>11544</v>
      </c>
    </row>
    <row r="36" spans="1:72" x14ac:dyDescent="0.2">
      <c r="B36" s="10" t="s">
        <v>30</v>
      </c>
      <c r="C36" s="10">
        <v>728</v>
      </c>
      <c r="D36" s="10">
        <v>896</v>
      </c>
      <c r="E36" s="10">
        <v>1008</v>
      </c>
      <c r="F36" s="10">
        <v>902</v>
      </c>
      <c r="G36" s="10">
        <v>493</v>
      </c>
      <c r="H36" s="10">
        <v>221</v>
      </c>
      <c r="I36" s="10">
        <v>934</v>
      </c>
      <c r="J36" s="10">
        <v>912</v>
      </c>
      <c r="K36" s="10">
        <v>956</v>
      </c>
      <c r="L36" s="10">
        <v>716</v>
      </c>
      <c r="M36" s="10">
        <v>373</v>
      </c>
      <c r="N36" s="10">
        <v>91</v>
      </c>
      <c r="O36" s="10">
        <v>1662</v>
      </c>
      <c r="P36" s="10">
        <v>1808</v>
      </c>
      <c r="Q36" s="10">
        <v>1964</v>
      </c>
      <c r="R36" s="10">
        <v>1618</v>
      </c>
      <c r="S36" s="10">
        <v>866</v>
      </c>
      <c r="T36" s="10">
        <v>312</v>
      </c>
      <c r="U36" s="11">
        <v>4248</v>
      </c>
      <c r="V36" s="11">
        <v>3982</v>
      </c>
      <c r="W36" s="11">
        <v>8230</v>
      </c>
      <c r="X36" s="11">
        <v>4027</v>
      </c>
      <c r="Y36" s="11">
        <v>3891</v>
      </c>
      <c r="Z36" s="11">
        <v>7918</v>
      </c>
    </row>
    <row r="37" spans="1:72" x14ac:dyDescent="0.2">
      <c r="B37" s="10" t="s">
        <v>31</v>
      </c>
      <c r="C37" s="10">
        <v>940</v>
      </c>
      <c r="D37" s="10">
        <v>2035</v>
      </c>
      <c r="E37" s="10">
        <v>2943</v>
      </c>
      <c r="F37" s="10">
        <v>3031</v>
      </c>
      <c r="G37" s="10">
        <v>1900</v>
      </c>
      <c r="H37" s="10">
        <v>511</v>
      </c>
      <c r="I37" s="10">
        <v>1534</v>
      </c>
      <c r="J37" s="10">
        <v>1861</v>
      </c>
      <c r="K37" s="10">
        <v>1935</v>
      </c>
      <c r="L37" s="10">
        <v>1506</v>
      </c>
      <c r="M37" s="10">
        <v>811</v>
      </c>
      <c r="N37" s="10">
        <v>227</v>
      </c>
      <c r="O37" s="10">
        <v>2474</v>
      </c>
      <c r="P37" s="10">
        <v>3896</v>
      </c>
      <c r="Q37" s="10">
        <v>4878</v>
      </c>
      <c r="R37" s="10">
        <v>4537</v>
      </c>
      <c r="S37" s="10">
        <v>2711</v>
      </c>
      <c r="T37" s="10">
        <v>738</v>
      </c>
      <c r="U37" s="11">
        <v>11360</v>
      </c>
      <c r="V37" s="11">
        <v>7874</v>
      </c>
      <c r="W37" s="11">
        <v>19234</v>
      </c>
      <c r="X37" s="11">
        <v>10849</v>
      </c>
      <c r="Y37" s="11">
        <v>7647</v>
      </c>
      <c r="Z37" s="11">
        <v>18496</v>
      </c>
    </row>
    <row r="38" spans="1:72" x14ac:dyDescent="0.2">
      <c r="B38" s="10" t="s">
        <v>32</v>
      </c>
      <c r="C38" s="10">
        <v>3118</v>
      </c>
      <c r="D38" s="10">
        <v>4579</v>
      </c>
      <c r="E38" s="10">
        <v>5940</v>
      </c>
      <c r="F38" s="10">
        <v>6395</v>
      </c>
      <c r="G38" s="10">
        <v>4744</v>
      </c>
      <c r="H38" s="10">
        <v>2233</v>
      </c>
      <c r="I38" s="10">
        <v>3867</v>
      </c>
      <c r="J38" s="10">
        <v>5470</v>
      </c>
      <c r="K38" s="10">
        <v>7155</v>
      </c>
      <c r="L38" s="10">
        <v>6991</v>
      </c>
      <c r="M38" s="10">
        <v>4784</v>
      </c>
      <c r="N38" s="10">
        <v>1914</v>
      </c>
      <c r="O38" s="10">
        <v>6985</v>
      </c>
      <c r="P38" s="10">
        <v>10049</v>
      </c>
      <c r="Q38" s="10">
        <v>13095</v>
      </c>
      <c r="R38" s="10">
        <v>13386</v>
      </c>
      <c r="S38" s="10">
        <v>9528</v>
      </c>
      <c r="T38" s="10">
        <v>4147</v>
      </c>
      <c r="U38" s="11">
        <v>27009</v>
      </c>
      <c r="V38" s="11">
        <v>30181</v>
      </c>
      <c r="W38" s="11">
        <v>57190</v>
      </c>
      <c r="X38" s="11">
        <v>24776</v>
      </c>
      <c r="Y38" s="11">
        <v>28267</v>
      </c>
      <c r="Z38" s="11">
        <v>53043</v>
      </c>
    </row>
    <row r="39" spans="1:72" x14ac:dyDescent="0.2">
      <c r="B39" s="10" t="s">
        <v>46</v>
      </c>
      <c r="C39" s="10">
        <v>65589</v>
      </c>
      <c r="D39" s="10">
        <v>67610</v>
      </c>
      <c r="E39" s="10">
        <v>71678</v>
      </c>
      <c r="F39" s="10">
        <v>58971</v>
      </c>
      <c r="G39" s="10">
        <v>35194</v>
      </c>
      <c r="H39" s="10">
        <v>13212</v>
      </c>
      <c r="I39" s="10">
        <v>85153</v>
      </c>
      <c r="J39" s="10">
        <v>89123</v>
      </c>
      <c r="K39" s="10">
        <v>86648</v>
      </c>
      <c r="L39" s="10">
        <v>61932</v>
      </c>
      <c r="M39" s="10">
        <v>30975</v>
      </c>
      <c r="N39" s="10">
        <v>9839</v>
      </c>
      <c r="O39" s="10">
        <v>150742</v>
      </c>
      <c r="P39" s="10">
        <v>156733</v>
      </c>
      <c r="Q39" s="10">
        <v>158326</v>
      </c>
      <c r="R39" s="10">
        <v>120903</v>
      </c>
      <c r="S39" s="10">
        <v>66169</v>
      </c>
      <c r="T39" s="10">
        <v>23051</v>
      </c>
      <c r="U39" s="11">
        <v>312254</v>
      </c>
      <c r="V39" s="11">
        <v>363670</v>
      </c>
      <c r="W39" s="11">
        <v>675924</v>
      </c>
      <c r="X39" s="11">
        <v>299042</v>
      </c>
      <c r="Y39" s="11">
        <v>353831</v>
      </c>
      <c r="Z39" s="11">
        <v>652873</v>
      </c>
      <c r="AB39" s="118"/>
      <c r="AC39" s="118"/>
      <c r="AD39" s="118"/>
      <c r="AE39" s="118"/>
      <c r="AF39" s="118"/>
      <c r="AG39" s="118"/>
      <c r="AH39" s="118"/>
      <c r="AI39" s="118"/>
      <c r="AJ39" s="118"/>
      <c r="AK39" s="118"/>
      <c r="AL39" s="118"/>
      <c r="AM39" s="118"/>
      <c r="AN39" s="118"/>
      <c r="AO39" s="118"/>
      <c r="AP39" s="118"/>
      <c r="AQ39" s="118"/>
      <c r="AR39" s="118"/>
      <c r="AS39" s="118"/>
      <c r="AT39" s="118"/>
      <c r="AU39" s="118"/>
      <c r="AV39" s="118"/>
      <c r="AW39" s="29"/>
      <c r="AX39" s="77"/>
      <c r="AY39" s="119"/>
      <c r="AZ39" s="119"/>
      <c r="BA39" s="119"/>
      <c r="BB39" s="119"/>
      <c r="BC39" s="119"/>
      <c r="BD39" s="119"/>
      <c r="BE39" s="119"/>
      <c r="BF39" s="119"/>
      <c r="BG39" s="119"/>
      <c r="BH39" s="119"/>
      <c r="BI39" s="119"/>
      <c r="BJ39" s="119"/>
      <c r="BK39" s="119"/>
      <c r="BL39" s="119"/>
      <c r="BM39" s="119"/>
      <c r="BN39" s="119"/>
      <c r="BO39" s="119"/>
      <c r="BP39" s="119"/>
      <c r="BQ39" s="119"/>
      <c r="BR39" s="119"/>
      <c r="BS39" s="119"/>
      <c r="BT39" s="29"/>
    </row>
    <row r="40" spans="1:72" x14ac:dyDescent="0.2">
      <c r="AB40" s="74"/>
      <c r="AC40" s="74"/>
      <c r="AD40" s="74"/>
      <c r="AE40" s="74"/>
      <c r="AF40" s="74"/>
      <c r="AG40" s="74"/>
      <c r="AH40" s="74"/>
      <c r="AI40" s="74"/>
      <c r="AJ40" s="74"/>
      <c r="AK40" s="74"/>
      <c r="AL40" s="74"/>
      <c r="AM40" s="74"/>
      <c r="AN40" s="74"/>
      <c r="AO40" s="74"/>
      <c r="AP40" s="74"/>
      <c r="AQ40" s="74"/>
      <c r="AR40" s="74"/>
      <c r="AS40" s="74"/>
      <c r="AT40" s="74"/>
      <c r="AU40" s="74"/>
      <c r="AV40" s="74"/>
      <c r="AX40" s="77"/>
      <c r="AY40" s="77"/>
      <c r="AZ40" s="77"/>
      <c r="BA40" s="77"/>
      <c r="BB40" s="77"/>
      <c r="BC40" s="77"/>
      <c r="BD40" s="77"/>
      <c r="BE40" s="77"/>
      <c r="BF40" s="77"/>
      <c r="BG40" s="77"/>
      <c r="BH40" s="77"/>
      <c r="BI40" s="77"/>
      <c r="BJ40" s="77"/>
      <c r="BK40" s="77"/>
      <c r="BL40" s="77"/>
      <c r="BM40" s="77"/>
      <c r="BN40" s="77"/>
      <c r="BO40" s="77"/>
      <c r="BP40" s="77"/>
      <c r="BQ40" s="77"/>
      <c r="BR40" s="77"/>
      <c r="BS40" s="77"/>
    </row>
    <row r="41" spans="1:72" x14ac:dyDescent="0.2">
      <c r="A41" s="14"/>
      <c r="B41" s="10" t="s">
        <v>0</v>
      </c>
      <c r="C41" s="4">
        <v>20.3</v>
      </c>
      <c r="D41" s="4">
        <v>20.6</v>
      </c>
      <c r="E41" s="4">
        <v>20.5</v>
      </c>
      <c r="F41" s="4">
        <v>18.100000000000001</v>
      </c>
      <c r="G41" s="4">
        <v>14.2</v>
      </c>
      <c r="H41" s="4">
        <v>93.7</v>
      </c>
      <c r="I41" s="13">
        <v>17620</v>
      </c>
      <c r="J41" s="4">
        <v>24</v>
      </c>
      <c r="K41" s="4">
        <v>22</v>
      </c>
      <c r="L41" s="4">
        <v>20.9</v>
      </c>
      <c r="M41" s="4">
        <v>16.899999999999999</v>
      </c>
      <c r="N41" s="4">
        <v>11.6</v>
      </c>
      <c r="O41" s="4">
        <v>95.4</v>
      </c>
      <c r="P41" s="13">
        <v>26615</v>
      </c>
      <c r="Q41" s="4">
        <v>22.5</v>
      </c>
      <c r="R41" s="4">
        <v>21.4</v>
      </c>
      <c r="S41" s="4">
        <v>20.8</v>
      </c>
      <c r="T41" s="4">
        <v>17.399999999999999</v>
      </c>
      <c r="U41" s="4">
        <v>12.6</v>
      </c>
      <c r="V41" s="4">
        <v>94.7</v>
      </c>
      <c r="W41" s="13">
        <v>44235</v>
      </c>
      <c r="X41" s="14"/>
      <c r="Y41" s="14"/>
      <c r="AA41" s="74"/>
      <c r="AB41" s="74"/>
      <c r="AC41" s="74"/>
      <c r="AD41" s="74"/>
      <c r="AE41" s="74"/>
      <c r="AF41" s="74"/>
      <c r="AG41" s="74"/>
      <c r="AH41" s="74"/>
      <c r="AI41" s="74"/>
      <c r="AJ41" s="74"/>
      <c r="AK41" s="74"/>
      <c r="AL41" s="74"/>
      <c r="AM41" s="74"/>
      <c r="AN41" s="74"/>
      <c r="AO41" s="74"/>
      <c r="AP41" s="74"/>
      <c r="AQ41" s="74"/>
      <c r="AR41" s="74"/>
      <c r="AS41" s="74"/>
      <c r="AT41" s="74"/>
      <c r="AU41" s="74"/>
      <c r="AV41" s="74"/>
      <c r="AX41" s="77"/>
      <c r="AY41" s="77"/>
      <c r="AZ41" s="77"/>
      <c r="BA41" s="77"/>
      <c r="BB41" s="77"/>
      <c r="BC41" s="77"/>
      <c r="BD41" s="77"/>
      <c r="BE41" s="77"/>
      <c r="BF41" s="77"/>
      <c r="BG41" s="77"/>
      <c r="BH41" s="77"/>
      <c r="BI41" s="77"/>
      <c r="BJ41" s="77"/>
      <c r="BK41" s="77"/>
      <c r="BL41" s="77"/>
      <c r="BM41" s="77"/>
      <c r="BN41" s="77"/>
      <c r="BO41" s="77"/>
      <c r="BP41" s="77"/>
      <c r="BQ41" s="77"/>
      <c r="BR41" s="77"/>
      <c r="BS41" s="77"/>
    </row>
    <row r="42" spans="1:72" x14ac:dyDescent="0.2">
      <c r="A42" s="14"/>
      <c r="B42" s="10" t="s">
        <v>1</v>
      </c>
      <c r="C42" s="4">
        <v>29.6</v>
      </c>
      <c r="D42" s="4">
        <v>23.3</v>
      </c>
      <c r="E42" s="4">
        <v>19.100000000000001</v>
      </c>
      <c r="F42" s="4">
        <v>14.2</v>
      </c>
      <c r="G42" s="4">
        <v>9.9</v>
      </c>
      <c r="H42" s="4">
        <v>96.1</v>
      </c>
      <c r="I42" s="13">
        <v>15841</v>
      </c>
      <c r="J42" s="4">
        <v>31.1</v>
      </c>
      <c r="K42" s="4">
        <v>25.5</v>
      </c>
      <c r="L42" s="4">
        <v>19.100000000000001</v>
      </c>
      <c r="M42" s="4">
        <v>13.3</v>
      </c>
      <c r="N42" s="4">
        <v>8.1999999999999993</v>
      </c>
      <c r="O42" s="4">
        <v>97.3</v>
      </c>
      <c r="P42" s="13">
        <v>16289</v>
      </c>
      <c r="Q42" s="4">
        <v>30.4</v>
      </c>
      <c r="R42" s="4">
        <v>24.4</v>
      </c>
      <c r="S42" s="4">
        <v>19.100000000000001</v>
      </c>
      <c r="T42" s="4">
        <v>13.8</v>
      </c>
      <c r="U42" s="4">
        <v>9.1</v>
      </c>
      <c r="V42" s="4">
        <v>96.7</v>
      </c>
      <c r="W42" s="13">
        <v>32130</v>
      </c>
      <c r="X42" s="14"/>
      <c r="Y42" s="14"/>
      <c r="AA42" s="74"/>
      <c r="AB42" s="74"/>
      <c r="AC42" s="74"/>
      <c r="AD42" s="74"/>
      <c r="AE42" s="74"/>
      <c r="AF42" s="74"/>
      <c r="AG42" s="74"/>
      <c r="AH42" s="74"/>
      <c r="AI42" s="74"/>
      <c r="AJ42" s="74"/>
      <c r="AK42" s="74"/>
      <c r="AL42" s="74"/>
      <c r="AM42" s="74"/>
      <c r="AN42" s="74"/>
      <c r="AO42" s="74"/>
      <c r="AP42" s="74"/>
      <c r="AQ42" s="74"/>
      <c r="AR42" s="74"/>
      <c r="AS42" s="74"/>
      <c r="AT42" s="74"/>
      <c r="AU42" s="74"/>
      <c r="AV42" s="74"/>
      <c r="AX42" s="77"/>
      <c r="AY42" s="77"/>
      <c r="AZ42" s="77"/>
      <c r="BA42" s="77"/>
      <c r="BB42" s="77"/>
      <c r="BC42" s="77"/>
      <c r="BD42" s="77"/>
      <c r="BE42" s="77"/>
      <c r="BF42" s="77"/>
      <c r="BG42" s="77"/>
      <c r="BH42" s="77"/>
      <c r="BI42" s="77"/>
      <c r="BJ42" s="77"/>
      <c r="BK42" s="77"/>
      <c r="BL42" s="77"/>
      <c r="BM42" s="77"/>
      <c r="BN42" s="77"/>
      <c r="BO42" s="77"/>
      <c r="BP42" s="77"/>
      <c r="BQ42" s="77"/>
      <c r="BR42" s="77"/>
      <c r="BS42" s="77"/>
    </row>
    <row r="43" spans="1:72" x14ac:dyDescent="0.2">
      <c r="A43" s="14"/>
      <c r="B43" s="10" t="s">
        <v>2</v>
      </c>
      <c r="C43" s="4">
        <v>27.3</v>
      </c>
      <c r="D43" s="4">
        <v>20.100000000000001</v>
      </c>
      <c r="E43" s="4">
        <v>19.399999999999999</v>
      </c>
      <c r="F43" s="4">
        <v>15.9</v>
      </c>
      <c r="G43" s="4">
        <v>11.9</v>
      </c>
      <c r="H43" s="4">
        <v>94.6</v>
      </c>
      <c r="I43" s="13">
        <v>19223</v>
      </c>
      <c r="J43" s="4">
        <v>34.200000000000003</v>
      </c>
      <c r="K43" s="4">
        <v>23.1</v>
      </c>
      <c r="L43" s="4">
        <v>18.399999999999999</v>
      </c>
      <c r="M43" s="4">
        <v>13.5</v>
      </c>
      <c r="N43" s="4">
        <v>8</v>
      </c>
      <c r="O43" s="4">
        <v>97.2</v>
      </c>
      <c r="P43" s="13">
        <v>5383</v>
      </c>
      <c r="Q43" s="4">
        <v>28.9</v>
      </c>
      <c r="R43" s="4">
        <v>20.8</v>
      </c>
      <c r="S43" s="4">
        <v>19.2</v>
      </c>
      <c r="T43" s="4">
        <v>15.4</v>
      </c>
      <c r="U43" s="4">
        <v>11</v>
      </c>
      <c r="V43" s="4">
        <v>95.2</v>
      </c>
      <c r="W43" s="13">
        <v>24606</v>
      </c>
      <c r="X43" s="14"/>
      <c r="Y43" s="14"/>
      <c r="AA43" s="74"/>
      <c r="AB43" s="74"/>
      <c r="AC43" s="74"/>
      <c r="AD43" s="74"/>
      <c r="AE43" s="74"/>
      <c r="AF43" s="74"/>
      <c r="AG43" s="74"/>
      <c r="AH43" s="74"/>
      <c r="AI43" s="74"/>
      <c r="AJ43" s="74"/>
      <c r="AK43" s="74"/>
      <c r="AL43" s="74"/>
      <c r="AM43" s="74"/>
      <c r="AN43" s="74"/>
      <c r="AO43" s="74"/>
      <c r="AP43" s="74"/>
      <c r="AQ43" s="74"/>
      <c r="AR43" s="74"/>
      <c r="AS43" s="74"/>
      <c r="AT43" s="74"/>
      <c r="AU43" s="74"/>
      <c r="AV43" s="74"/>
      <c r="AX43" s="77"/>
      <c r="AY43" s="77"/>
      <c r="AZ43" s="77"/>
      <c r="BA43" s="77"/>
      <c r="BB43" s="77"/>
      <c r="BC43" s="77"/>
      <c r="BD43" s="77"/>
      <c r="BE43" s="77"/>
      <c r="BF43" s="77"/>
      <c r="BG43" s="77"/>
      <c r="BH43" s="77"/>
      <c r="BI43" s="77"/>
      <c r="BJ43" s="77"/>
      <c r="BK43" s="77"/>
      <c r="BL43" s="77"/>
      <c r="BM43" s="77"/>
      <c r="BN43" s="77"/>
      <c r="BO43" s="77"/>
      <c r="BP43" s="77"/>
      <c r="BQ43" s="77"/>
      <c r="BR43" s="77"/>
      <c r="BS43" s="77"/>
    </row>
    <row r="44" spans="1:72" x14ac:dyDescent="0.2">
      <c r="A44" s="14"/>
      <c r="B44" s="10" t="s">
        <v>3</v>
      </c>
      <c r="C44" s="4">
        <v>22.9</v>
      </c>
      <c r="D44" s="4">
        <v>18.899999999999999</v>
      </c>
      <c r="E44" s="4">
        <v>22.1</v>
      </c>
      <c r="F44" s="4">
        <v>18.2</v>
      </c>
      <c r="G44" s="4">
        <v>13.6</v>
      </c>
      <c r="H44" s="4">
        <v>95.7</v>
      </c>
      <c r="I44" s="13">
        <v>2737</v>
      </c>
      <c r="J44" s="4">
        <v>19.399999999999999</v>
      </c>
      <c r="K44" s="4">
        <v>22.6</v>
      </c>
      <c r="L44" s="4">
        <v>22.3</v>
      </c>
      <c r="M44" s="4">
        <v>20.8</v>
      </c>
      <c r="N44" s="4">
        <v>11.4</v>
      </c>
      <c r="O44" s="4">
        <v>96.4</v>
      </c>
      <c r="P44" s="13">
        <v>1036</v>
      </c>
      <c r="Q44" s="4">
        <v>21.9</v>
      </c>
      <c r="R44" s="4">
        <v>19.899999999999999</v>
      </c>
      <c r="S44" s="4">
        <v>22.1</v>
      </c>
      <c r="T44" s="4">
        <v>18.899999999999999</v>
      </c>
      <c r="U44" s="4">
        <v>13</v>
      </c>
      <c r="V44" s="4">
        <v>95.9</v>
      </c>
      <c r="W44" s="13">
        <v>3773</v>
      </c>
      <c r="X44" s="14"/>
      <c r="Y44" s="14"/>
      <c r="AA44" s="74"/>
      <c r="AB44" s="74"/>
      <c r="AC44" s="74"/>
      <c r="AD44" s="74"/>
      <c r="AE44" s="74"/>
      <c r="AF44" s="74"/>
      <c r="AG44" s="74"/>
      <c r="AH44" s="74"/>
      <c r="AI44" s="74"/>
      <c r="AJ44" s="74"/>
      <c r="AK44" s="74"/>
      <c r="AL44" s="74"/>
      <c r="AM44" s="74"/>
      <c r="AN44" s="74"/>
      <c r="AO44" s="74"/>
      <c r="AP44" s="74"/>
      <c r="AQ44" s="74"/>
      <c r="AR44" s="74"/>
      <c r="AS44" s="74"/>
      <c r="AT44" s="74"/>
      <c r="AU44" s="74"/>
      <c r="AV44" s="74"/>
      <c r="AX44" s="77"/>
      <c r="AY44" s="77"/>
      <c r="AZ44" s="77"/>
      <c r="BA44" s="77"/>
      <c r="BB44" s="77"/>
      <c r="BC44" s="77"/>
      <c r="BD44" s="77"/>
      <c r="BE44" s="77"/>
      <c r="BF44" s="77"/>
      <c r="BG44" s="77"/>
      <c r="BH44" s="77"/>
      <c r="BI44" s="77"/>
      <c r="BJ44" s="77"/>
      <c r="BK44" s="77"/>
      <c r="BL44" s="77"/>
      <c r="BM44" s="77"/>
      <c r="BN44" s="77"/>
      <c r="BO44" s="77"/>
      <c r="BP44" s="77"/>
      <c r="BQ44" s="77"/>
      <c r="BR44" s="77"/>
      <c r="BS44" s="77"/>
    </row>
    <row r="45" spans="1:72" x14ac:dyDescent="0.2">
      <c r="A45" s="14"/>
      <c r="B45" s="10" t="s">
        <v>4</v>
      </c>
      <c r="C45" s="4">
        <v>36.9</v>
      </c>
      <c r="D45" s="4">
        <v>20.7</v>
      </c>
      <c r="E45" s="4">
        <v>16.8</v>
      </c>
      <c r="F45" s="4">
        <v>12.7</v>
      </c>
      <c r="G45" s="4">
        <v>8.6</v>
      </c>
      <c r="H45" s="4">
        <v>95.7</v>
      </c>
      <c r="I45" s="13">
        <v>28379</v>
      </c>
      <c r="J45" s="4">
        <v>39.299999999999997</v>
      </c>
      <c r="K45" s="4">
        <v>22.9</v>
      </c>
      <c r="L45" s="4">
        <v>17</v>
      </c>
      <c r="M45" s="4">
        <v>11.1</v>
      </c>
      <c r="N45" s="4">
        <v>6.8</v>
      </c>
      <c r="O45" s="4">
        <v>97.1</v>
      </c>
      <c r="P45" s="13">
        <v>17638</v>
      </c>
      <c r="Q45" s="4">
        <v>37.799999999999997</v>
      </c>
      <c r="R45" s="4">
        <v>21.5</v>
      </c>
      <c r="S45" s="4">
        <v>16.899999999999999</v>
      </c>
      <c r="T45" s="4">
        <v>12.1</v>
      </c>
      <c r="U45" s="4">
        <v>8</v>
      </c>
      <c r="V45" s="4">
        <v>96.3</v>
      </c>
      <c r="W45" s="13">
        <v>46017</v>
      </c>
      <c r="X45" s="14"/>
      <c r="Y45" s="14"/>
      <c r="AA45" s="74"/>
      <c r="AB45" s="74"/>
      <c r="AC45" s="74"/>
      <c r="AD45" s="74"/>
      <c r="AE45" s="74"/>
      <c r="AF45" s="74"/>
      <c r="AG45" s="74"/>
      <c r="AH45" s="74"/>
      <c r="AI45" s="74"/>
      <c r="AJ45" s="74"/>
      <c r="AK45" s="74"/>
      <c r="AL45" s="74"/>
      <c r="AM45" s="74"/>
      <c r="AN45" s="74"/>
      <c r="AO45" s="74"/>
      <c r="AP45" s="74"/>
      <c r="AQ45" s="74"/>
      <c r="AR45" s="74"/>
      <c r="AS45" s="74"/>
      <c r="AT45" s="74"/>
      <c r="AU45" s="74"/>
      <c r="AV45" s="74"/>
      <c r="AX45" s="77"/>
      <c r="AY45" s="77"/>
      <c r="AZ45" s="77"/>
      <c r="BA45" s="77"/>
      <c r="BB45" s="77"/>
      <c r="BC45" s="77"/>
      <c r="BD45" s="77"/>
      <c r="BE45" s="77"/>
      <c r="BF45" s="77"/>
      <c r="BG45" s="77"/>
      <c r="BH45" s="77"/>
      <c r="BI45" s="77"/>
      <c r="BJ45" s="77"/>
      <c r="BK45" s="77"/>
      <c r="BL45" s="77"/>
      <c r="BM45" s="77"/>
      <c r="BN45" s="77"/>
      <c r="BO45" s="77"/>
      <c r="BP45" s="77"/>
      <c r="BQ45" s="77"/>
      <c r="BR45" s="77"/>
      <c r="BS45" s="77"/>
    </row>
    <row r="46" spans="1:72" x14ac:dyDescent="0.2">
      <c r="A46" s="14"/>
      <c r="B46" s="10" t="s">
        <v>5</v>
      </c>
      <c r="C46" s="4">
        <v>58.9</v>
      </c>
      <c r="D46" s="4">
        <v>16.899999999999999</v>
      </c>
      <c r="E46" s="4">
        <v>10.9</v>
      </c>
      <c r="F46" s="4">
        <v>6.8</v>
      </c>
      <c r="G46" s="4">
        <v>4.3</v>
      </c>
      <c r="H46" s="4">
        <v>97.7</v>
      </c>
      <c r="I46" s="13">
        <v>3699</v>
      </c>
      <c r="J46" s="4">
        <v>61</v>
      </c>
      <c r="K46" s="4">
        <v>16.600000000000001</v>
      </c>
      <c r="L46" s="4">
        <v>10.1</v>
      </c>
      <c r="M46" s="4">
        <v>6.4</v>
      </c>
      <c r="N46" s="4">
        <v>4.4000000000000004</v>
      </c>
      <c r="O46" s="4">
        <v>98.4</v>
      </c>
      <c r="P46" s="13">
        <v>1412</v>
      </c>
      <c r="Q46" s="4">
        <v>59.4</v>
      </c>
      <c r="R46" s="4">
        <v>16.8</v>
      </c>
      <c r="S46" s="4">
        <v>10.6</v>
      </c>
      <c r="T46" s="4">
        <v>6.7</v>
      </c>
      <c r="U46" s="4">
        <v>4.3</v>
      </c>
      <c r="V46" s="4">
        <v>97.9</v>
      </c>
      <c r="W46" s="13">
        <v>5111</v>
      </c>
      <c r="X46" s="14"/>
      <c r="Y46" s="14"/>
      <c r="AA46" s="74"/>
      <c r="AB46" s="74"/>
      <c r="AC46" s="74"/>
      <c r="AD46" s="74"/>
      <c r="AE46" s="74"/>
      <c r="AF46" s="74"/>
      <c r="AG46" s="74"/>
      <c r="AH46" s="74"/>
      <c r="AI46" s="74"/>
      <c r="AJ46" s="74"/>
      <c r="AK46" s="74"/>
      <c r="AL46" s="74"/>
      <c r="AM46" s="74"/>
      <c r="AN46" s="74"/>
      <c r="AO46" s="74"/>
      <c r="AP46" s="74"/>
      <c r="AQ46" s="74"/>
      <c r="AR46" s="74"/>
      <c r="AS46" s="74"/>
      <c r="AT46" s="74"/>
      <c r="AU46" s="74"/>
      <c r="AV46" s="74"/>
      <c r="AX46" s="77"/>
      <c r="AY46" s="77"/>
      <c r="AZ46" s="77"/>
      <c r="BA46" s="77"/>
      <c r="BB46" s="77"/>
      <c r="BC46" s="77"/>
      <c r="BD46" s="77"/>
      <c r="BE46" s="77"/>
      <c r="BF46" s="77"/>
      <c r="BG46" s="77"/>
      <c r="BH46" s="77"/>
      <c r="BI46" s="77"/>
      <c r="BJ46" s="77"/>
      <c r="BK46" s="77"/>
      <c r="BL46" s="77"/>
      <c r="BM46" s="77"/>
      <c r="BN46" s="77"/>
      <c r="BO46" s="77"/>
      <c r="BP46" s="77"/>
      <c r="BQ46" s="77"/>
      <c r="BR46" s="77"/>
      <c r="BS46" s="77"/>
    </row>
    <row r="47" spans="1:72" x14ac:dyDescent="0.2">
      <c r="A47" s="14"/>
      <c r="B47" s="10" t="s">
        <v>6</v>
      </c>
      <c r="C47" s="4">
        <v>12.3</v>
      </c>
      <c r="D47" s="4">
        <v>20</v>
      </c>
      <c r="E47" s="4">
        <v>25.8</v>
      </c>
      <c r="F47" s="4">
        <v>23.1</v>
      </c>
      <c r="G47" s="4">
        <v>14.5</v>
      </c>
      <c r="H47" s="4">
        <v>95.6</v>
      </c>
      <c r="I47" s="13">
        <v>9504</v>
      </c>
      <c r="J47" s="4">
        <v>19.7</v>
      </c>
      <c r="K47" s="4">
        <v>24.6</v>
      </c>
      <c r="L47" s="4">
        <v>25.5</v>
      </c>
      <c r="M47" s="4">
        <v>18.5</v>
      </c>
      <c r="N47" s="4">
        <v>9.6</v>
      </c>
      <c r="O47" s="4">
        <v>97.9</v>
      </c>
      <c r="P47" s="13">
        <v>5978</v>
      </c>
      <c r="Q47" s="4">
        <v>15.2</v>
      </c>
      <c r="R47" s="4">
        <v>21.8</v>
      </c>
      <c r="S47" s="4">
        <v>25.7</v>
      </c>
      <c r="T47" s="4">
        <v>21.3</v>
      </c>
      <c r="U47" s="4">
        <v>12.6</v>
      </c>
      <c r="V47" s="4">
        <v>96.5</v>
      </c>
      <c r="W47" s="13">
        <v>15482</v>
      </c>
      <c r="X47" s="14"/>
      <c r="Y47" s="14"/>
      <c r="AA47" s="74"/>
      <c r="AB47" s="74"/>
      <c r="AC47" s="74"/>
      <c r="AD47" s="74"/>
      <c r="AE47" s="74"/>
      <c r="AF47" s="74"/>
      <c r="AG47" s="74"/>
      <c r="AH47" s="74"/>
      <c r="AI47" s="74"/>
      <c r="AJ47" s="74"/>
      <c r="AK47" s="74"/>
      <c r="AL47" s="74"/>
      <c r="AM47" s="74"/>
      <c r="AN47" s="74"/>
      <c r="AO47" s="74"/>
      <c r="AP47" s="74"/>
      <c r="AQ47" s="74"/>
      <c r="AR47" s="74"/>
      <c r="AS47" s="74"/>
      <c r="AT47" s="74"/>
      <c r="AU47" s="74"/>
      <c r="AV47" s="74"/>
      <c r="AX47" s="77"/>
      <c r="AY47" s="77"/>
      <c r="AZ47" s="77"/>
      <c r="BA47" s="77"/>
      <c r="BB47" s="77"/>
      <c r="BC47" s="77"/>
      <c r="BD47" s="77"/>
      <c r="BE47" s="77"/>
      <c r="BF47" s="77"/>
      <c r="BG47" s="77"/>
      <c r="BH47" s="77"/>
      <c r="BI47" s="77"/>
      <c r="BJ47" s="77"/>
      <c r="BK47" s="77"/>
      <c r="BL47" s="77"/>
      <c r="BM47" s="77"/>
      <c r="BN47" s="77"/>
      <c r="BO47" s="77"/>
      <c r="BP47" s="77"/>
      <c r="BQ47" s="77"/>
      <c r="BR47" s="77"/>
      <c r="BS47" s="77"/>
    </row>
    <row r="48" spans="1:72" x14ac:dyDescent="0.2">
      <c r="A48" s="14"/>
      <c r="B48" s="10" t="s">
        <v>168</v>
      </c>
      <c r="C48" s="4">
        <v>13.5</v>
      </c>
      <c r="D48" s="4">
        <v>18.8</v>
      </c>
      <c r="E48" s="4">
        <v>21.9</v>
      </c>
      <c r="F48" s="4">
        <v>21.9</v>
      </c>
      <c r="G48" s="4">
        <v>16.600000000000001</v>
      </c>
      <c r="H48" s="4">
        <v>92.8</v>
      </c>
      <c r="I48" s="13">
        <v>6157</v>
      </c>
      <c r="J48" s="4">
        <v>17.7</v>
      </c>
      <c r="K48" s="4">
        <v>19.3</v>
      </c>
      <c r="L48" s="4">
        <v>19.5</v>
      </c>
      <c r="M48" s="4">
        <v>23</v>
      </c>
      <c r="N48" s="4">
        <v>14.7</v>
      </c>
      <c r="O48" s="4">
        <v>94.1</v>
      </c>
      <c r="P48" s="13">
        <v>696</v>
      </c>
      <c r="Q48" s="4">
        <v>14</v>
      </c>
      <c r="R48" s="4">
        <v>18.8</v>
      </c>
      <c r="S48" s="4">
        <v>21.7</v>
      </c>
      <c r="T48" s="4">
        <v>22</v>
      </c>
      <c r="U48" s="4">
        <v>16.399999999999999</v>
      </c>
      <c r="V48" s="4">
        <v>92.9</v>
      </c>
      <c r="W48" s="13">
        <v>6853</v>
      </c>
      <c r="X48" s="14"/>
      <c r="Y48" s="14"/>
      <c r="AA48" s="74"/>
      <c r="AB48" s="74"/>
      <c r="AC48" s="74"/>
      <c r="AD48" s="74"/>
      <c r="AE48" s="74"/>
      <c r="AF48" s="74"/>
      <c r="AG48" s="74"/>
      <c r="AH48" s="74"/>
      <c r="AI48" s="74"/>
      <c r="AJ48" s="74"/>
      <c r="AK48" s="74"/>
      <c r="AL48" s="74"/>
      <c r="AM48" s="74"/>
      <c r="AN48" s="74"/>
      <c r="AO48" s="74"/>
      <c r="AP48" s="74"/>
      <c r="AQ48" s="74"/>
      <c r="AR48" s="74"/>
      <c r="AS48" s="74"/>
      <c r="AT48" s="74"/>
      <c r="AU48" s="74"/>
      <c r="AV48" s="74"/>
      <c r="AX48" s="77"/>
      <c r="AY48" s="77"/>
      <c r="AZ48" s="77"/>
      <c r="BA48" s="77"/>
      <c r="BB48" s="77"/>
      <c r="BC48" s="77"/>
      <c r="BD48" s="77"/>
      <c r="BE48" s="77"/>
      <c r="BF48" s="77"/>
      <c r="BG48" s="77"/>
      <c r="BH48" s="77"/>
      <c r="BI48" s="77"/>
      <c r="BJ48" s="77"/>
      <c r="BK48" s="77"/>
      <c r="BL48" s="77"/>
      <c r="BM48" s="77"/>
      <c r="BN48" s="77"/>
      <c r="BO48" s="77"/>
      <c r="BP48" s="77"/>
      <c r="BQ48" s="77"/>
      <c r="BR48" s="77"/>
      <c r="BS48" s="77"/>
    </row>
    <row r="49" spans="1:71" x14ac:dyDescent="0.2">
      <c r="A49" s="14"/>
      <c r="B49" s="10" t="s">
        <v>8</v>
      </c>
      <c r="C49" s="4">
        <v>5.9</v>
      </c>
      <c r="D49" s="4">
        <v>14.7</v>
      </c>
      <c r="E49" s="4">
        <v>24.5</v>
      </c>
      <c r="F49" s="4">
        <v>28</v>
      </c>
      <c r="G49" s="4">
        <v>19.399999999999999</v>
      </c>
      <c r="H49" s="4">
        <v>92.7</v>
      </c>
      <c r="I49" s="13">
        <v>9418</v>
      </c>
      <c r="J49" s="4">
        <v>8.4</v>
      </c>
      <c r="K49" s="4">
        <v>19.2</v>
      </c>
      <c r="L49" s="4">
        <v>27.5</v>
      </c>
      <c r="M49" s="4">
        <v>25.5</v>
      </c>
      <c r="N49" s="4">
        <v>14.8</v>
      </c>
      <c r="O49" s="4">
        <v>95.4</v>
      </c>
      <c r="P49" s="13">
        <v>5031</v>
      </c>
      <c r="Q49" s="4">
        <v>6.8</v>
      </c>
      <c r="R49" s="4">
        <v>16.3</v>
      </c>
      <c r="S49" s="4">
        <v>25.6</v>
      </c>
      <c r="T49" s="4">
        <v>27.1</v>
      </c>
      <c r="U49" s="4">
        <v>17.8</v>
      </c>
      <c r="V49" s="4">
        <v>93.6</v>
      </c>
      <c r="W49" s="13">
        <v>14449</v>
      </c>
      <c r="X49" s="14"/>
      <c r="Y49" s="14"/>
      <c r="AA49" s="74"/>
      <c r="AB49" s="74"/>
      <c r="AC49" s="74"/>
      <c r="AD49" s="74"/>
      <c r="AE49" s="74"/>
      <c r="AF49" s="74"/>
      <c r="AG49" s="74"/>
      <c r="AH49" s="74"/>
      <c r="AI49" s="74"/>
      <c r="AJ49" s="74"/>
      <c r="AK49" s="74"/>
      <c r="AL49" s="74"/>
      <c r="AM49" s="74"/>
      <c r="AN49" s="74"/>
      <c r="AO49" s="74"/>
      <c r="AP49" s="74"/>
      <c r="AQ49" s="74"/>
      <c r="AR49" s="74"/>
      <c r="AS49" s="74"/>
      <c r="AT49" s="74"/>
      <c r="AU49" s="74"/>
      <c r="AV49" s="74"/>
      <c r="AX49" s="77"/>
      <c r="AY49" s="77"/>
      <c r="AZ49" s="77"/>
      <c r="BA49" s="77"/>
      <c r="BB49" s="77"/>
      <c r="BC49" s="77"/>
      <c r="BD49" s="77"/>
      <c r="BE49" s="77"/>
      <c r="BF49" s="77"/>
      <c r="BG49" s="77"/>
      <c r="BH49" s="77"/>
      <c r="BI49" s="77"/>
      <c r="BJ49" s="77"/>
      <c r="BK49" s="77"/>
      <c r="BL49" s="77"/>
      <c r="BM49" s="77"/>
      <c r="BN49" s="77"/>
      <c r="BO49" s="77"/>
      <c r="BP49" s="77"/>
      <c r="BQ49" s="77"/>
      <c r="BR49" s="77"/>
      <c r="BS49" s="77"/>
    </row>
    <row r="50" spans="1:71" x14ac:dyDescent="0.2">
      <c r="A50" s="14"/>
      <c r="B50" s="10" t="s">
        <v>9</v>
      </c>
      <c r="C50" s="4" t="s">
        <v>78</v>
      </c>
      <c r="D50" s="4">
        <v>12.2</v>
      </c>
      <c r="E50" s="4">
        <v>22</v>
      </c>
      <c r="F50" s="4">
        <v>22</v>
      </c>
      <c r="G50" s="4">
        <v>29.3</v>
      </c>
      <c r="H50" s="4">
        <v>90.2</v>
      </c>
      <c r="I50" s="13">
        <v>41</v>
      </c>
      <c r="J50" s="4">
        <v>16.3</v>
      </c>
      <c r="K50" s="4">
        <v>27.5</v>
      </c>
      <c r="L50" s="4">
        <v>20.9</v>
      </c>
      <c r="M50" s="4">
        <v>21.5</v>
      </c>
      <c r="N50" s="4">
        <v>11</v>
      </c>
      <c r="O50" s="4">
        <v>97.2</v>
      </c>
      <c r="P50" s="13">
        <v>498</v>
      </c>
      <c r="Q50" s="4">
        <v>15.4</v>
      </c>
      <c r="R50" s="4">
        <v>26.3</v>
      </c>
      <c r="S50" s="4">
        <v>21</v>
      </c>
      <c r="T50" s="4">
        <v>21.5</v>
      </c>
      <c r="U50" s="4">
        <v>12.4</v>
      </c>
      <c r="V50" s="4">
        <v>96.7</v>
      </c>
      <c r="W50" s="13">
        <v>539</v>
      </c>
      <c r="X50" s="14"/>
      <c r="Y50" s="14"/>
      <c r="AA50" s="74"/>
      <c r="AB50" s="74"/>
      <c r="AC50" s="74"/>
      <c r="AD50" s="74"/>
      <c r="AE50" s="74"/>
      <c r="AF50" s="74"/>
      <c r="AG50" s="74"/>
      <c r="AH50" s="74"/>
      <c r="AI50" s="74"/>
      <c r="AJ50" s="74"/>
      <c r="AK50" s="74"/>
      <c r="AL50" s="74"/>
      <c r="AM50" s="74"/>
      <c r="AN50" s="74"/>
      <c r="AO50" s="74"/>
      <c r="AP50" s="74"/>
      <c r="AQ50" s="74"/>
      <c r="AR50" s="74"/>
      <c r="AS50" s="74"/>
      <c r="AT50" s="74"/>
      <c r="AU50" s="74"/>
      <c r="AV50" s="74"/>
      <c r="AX50" s="77"/>
      <c r="AY50" s="77"/>
      <c r="AZ50" s="77"/>
      <c r="BA50" s="77"/>
      <c r="BB50" s="77"/>
      <c r="BC50" s="77"/>
      <c r="BD50" s="77"/>
      <c r="BE50" s="77"/>
      <c r="BF50" s="77"/>
      <c r="BG50" s="77"/>
      <c r="BH50" s="77"/>
      <c r="BI50" s="77"/>
      <c r="BJ50" s="77"/>
      <c r="BK50" s="77"/>
      <c r="BL50" s="77"/>
      <c r="BM50" s="77"/>
      <c r="BN50" s="77"/>
      <c r="BO50" s="77"/>
      <c r="BP50" s="77"/>
      <c r="BQ50" s="77"/>
      <c r="BR50" s="77"/>
      <c r="BS50" s="77"/>
    </row>
    <row r="51" spans="1:71" x14ac:dyDescent="0.2">
      <c r="A51" s="14"/>
      <c r="B51" s="10" t="s">
        <v>10</v>
      </c>
      <c r="C51" s="4">
        <v>10.6</v>
      </c>
      <c r="D51" s="4">
        <v>14.5</v>
      </c>
      <c r="E51" s="4">
        <v>21.1</v>
      </c>
      <c r="F51" s="4">
        <v>24</v>
      </c>
      <c r="G51" s="4">
        <v>19.8</v>
      </c>
      <c r="H51" s="4">
        <v>90.1</v>
      </c>
      <c r="I51" s="13">
        <v>1660</v>
      </c>
      <c r="J51" s="4">
        <v>14.7</v>
      </c>
      <c r="K51" s="4">
        <v>18.3</v>
      </c>
      <c r="L51" s="4">
        <v>20.9</v>
      </c>
      <c r="M51" s="4">
        <v>18.399999999999999</v>
      </c>
      <c r="N51" s="4">
        <v>17.399999999999999</v>
      </c>
      <c r="O51" s="4">
        <v>89.7</v>
      </c>
      <c r="P51" s="13">
        <v>1000</v>
      </c>
      <c r="Q51" s="4">
        <v>12.1</v>
      </c>
      <c r="R51" s="4">
        <v>15.9</v>
      </c>
      <c r="S51" s="4">
        <v>21.1</v>
      </c>
      <c r="T51" s="4">
        <v>21.9</v>
      </c>
      <c r="U51" s="4">
        <v>18.899999999999999</v>
      </c>
      <c r="V51" s="4">
        <v>89.9</v>
      </c>
      <c r="W51" s="13">
        <v>2660</v>
      </c>
      <c r="X51" s="14"/>
      <c r="Y51" s="14"/>
      <c r="AA51" s="74"/>
      <c r="AB51" s="74"/>
      <c r="AC51" s="74"/>
      <c r="AD51" s="74"/>
      <c r="AE51" s="74"/>
      <c r="AF51" s="74"/>
      <c r="AG51" s="74"/>
      <c r="AH51" s="74"/>
      <c r="AI51" s="74"/>
      <c r="AJ51" s="74"/>
      <c r="AK51" s="74"/>
      <c r="AL51" s="74"/>
      <c r="AM51" s="74"/>
      <c r="AN51" s="74"/>
      <c r="AO51" s="74"/>
      <c r="AP51" s="74"/>
      <c r="AQ51" s="74"/>
      <c r="AR51" s="74"/>
      <c r="AS51" s="74"/>
      <c r="AT51" s="74"/>
      <c r="AU51" s="74"/>
      <c r="AV51" s="74"/>
      <c r="AX51" s="77"/>
      <c r="AY51" s="77"/>
      <c r="AZ51" s="77"/>
      <c r="BA51" s="77"/>
      <c r="BB51" s="77"/>
      <c r="BC51" s="77"/>
      <c r="BD51" s="77"/>
      <c r="BE51" s="77"/>
      <c r="BF51" s="77"/>
      <c r="BG51" s="77"/>
      <c r="BH51" s="77"/>
      <c r="BI51" s="77"/>
      <c r="BJ51" s="77"/>
      <c r="BK51" s="77"/>
      <c r="BL51" s="77"/>
      <c r="BM51" s="77"/>
      <c r="BN51" s="77"/>
      <c r="BO51" s="77"/>
      <c r="BP51" s="77"/>
      <c r="BQ51" s="77"/>
      <c r="BR51" s="77"/>
      <c r="BS51" s="77"/>
    </row>
    <row r="52" spans="1:71" x14ac:dyDescent="0.2">
      <c r="A52" s="14"/>
      <c r="B52" s="10" t="s">
        <v>11</v>
      </c>
      <c r="C52" s="4">
        <v>13.6</v>
      </c>
      <c r="D52" s="4">
        <v>23.8</v>
      </c>
      <c r="E52" s="4">
        <v>27.9</v>
      </c>
      <c r="F52" s="4">
        <v>22</v>
      </c>
      <c r="G52" s="4">
        <v>10</v>
      </c>
      <c r="H52" s="4">
        <v>97.4</v>
      </c>
      <c r="I52" s="13">
        <v>18623</v>
      </c>
      <c r="J52" s="4">
        <v>16.3</v>
      </c>
      <c r="K52" s="4">
        <v>25.1</v>
      </c>
      <c r="L52" s="4">
        <v>27.1</v>
      </c>
      <c r="M52" s="4">
        <v>20.6</v>
      </c>
      <c r="N52" s="4">
        <v>9.1999999999999993</v>
      </c>
      <c r="O52" s="4">
        <v>98.2</v>
      </c>
      <c r="P52" s="13">
        <v>12664</v>
      </c>
      <c r="Q52" s="4">
        <v>14.7</v>
      </c>
      <c r="R52" s="4">
        <v>24.4</v>
      </c>
      <c r="S52" s="4">
        <v>27.6</v>
      </c>
      <c r="T52" s="4">
        <v>21.4</v>
      </c>
      <c r="U52" s="4">
        <v>9.6999999999999993</v>
      </c>
      <c r="V52" s="4">
        <v>97.7</v>
      </c>
      <c r="W52" s="13">
        <v>31287</v>
      </c>
      <c r="X52" s="14"/>
      <c r="Y52" s="14"/>
      <c r="AA52" s="74"/>
      <c r="AB52" s="74"/>
      <c r="AC52" s="74"/>
      <c r="AD52" s="74"/>
      <c r="AE52" s="74"/>
      <c r="AF52" s="74"/>
      <c r="AG52" s="74"/>
      <c r="AH52" s="74"/>
      <c r="AI52" s="74"/>
      <c r="AJ52" s="74"/>
      <c r="AK52" s="74"/>
      <c r="AL52" s="74"/>
      <c r="AM52" s="74"/>
      <c r="AN52" s="74"/>
      <c r="AO52" s="74"/>
      <c r="AP52" s="74"/>
      <c r="AQ52" s="74"/>
      <c r="AR52" s="74"/>
      <c r="AS52" s="74"/>
      <c r="AT52" s="74"/>
      <c r="AU52" s="74"/>
      <c r="AV52" s="74"/>
      <c r="AX52" s="77"/>
      <c r="AY52" s="77"/>
      <c r="AZ52" s="77"/>
      <c r="BA52" s="77"/>
      <c r="BB52" s="77"/>
      <c r="BC52" s="77"/>
      <c r="BD52" s="77"/>
      <c r="BE52" s="77"/>
      <c r="BF52" s="77"/>
      <c r="BG52" s="77"/>
      <c r="BH52" s="77"/>
      <c r="BI52" s="77"/>
      <c r="BJ52" s="77"/>
      <c r="BK52" s="77"/>
      <c r="BL52" s="77"/>
      <c r="BM52" s="77"/>
      <c r="BN52" s="77"/>
      <c r="BO52" s="77"/>
      <c r="BP52" s="77"/>
      <c r="BQ52" s="77"/>
      <c r="BR52" s="77"/>
      <c r="BS52" s="77"/>
    </row>
    <row r="53" spans="1:71" x14ac:dyDescent="0.2">
      <c r="A53" s="14"/>
      <c r="B53" s="10" t="s">
        <v>12</v>
      </c>
      <c r="C53" s="4">
        <v>31.1</v>
      </c>
      <c r="D53" s="4">
        <v>26.6</v>
      </c>
      <c r="E53" s="4">
        <v>20.7</v>
      </c>
      <c r="F53" s="4">
        <v>13.1</v>
      </c>
      <c r="G53" s="4">
        <v>6.3</v>
      </c>
      <c r="H53" s="4">
        <v>98</v>
      </c>
      <c r="I53" s="13">
        <v>9512</v>
      </c>
      <c r="J53" s="4">
        <v>37.1</v>
      </c>
      <c r="K53" s="4">
        <v>26.8</v>
      </c>
      <c r="L53" s="4">
        <v>19.2</v>
      </c>
      <c r="M53" s="4">
        <v>10.9</v>
      </c>
      <c r="N53" s="4">
        <v>4.5</v>
      </c>
      <c r="O53" s="4">
        <v>98.5</v>
      </c>
      <c r="P53" s="13">
        <v>3896</v>
      </c>
      <c r="Q53" s="4">
        <v>32.9</v>
      </c>
      <c r="R53" s="4">
        <v>26.7</v>
      </c>
      <c r="S53" s="4">
        <v>20.3</v>
      </c>
      <c r="T53" s="4">
        <v>12.5</v>
      </c>
      <c r="U53" s="4">
        <v>5.8</v>
      </c>
      <c r="V53" s="4">
        <v>98.1</v>
      </c>
      <c r="W53" s="13">
        <v>13408</v>
      </c>
      <c r="X53" s="14"/>
      <c r="Y53" s="14"/>
      <c r="AA53" s="74"/>
      <c r="AB53" s="74"/>
      <c r="AC53" s="74"/>
      <c r="AD53" s="74"/>
      <c r="AE53" s="74"/>
      <c r="AF53" s="74"/>
      <c r="AG53" s="74"/>
      <c r="AH53" s="74"/>
      <c r="AI53" s="74"/>
      <c r="AJ53" s="74"/>
      <c r="AK53" s="74"/>
      <c r="AL53" s="74"/>
      <c r="AM53" s="74"/>
      <c r="AN53" s="74"/>
      <c r="AO53" s="74"/>
      <c r="AP53" s="74"/>
      <c r="AQ53" s="74"/>
      <c r="AR53" s="74"/>
      <c r="AS53" s="74"/>
      <c r="AT53" s="74"/>
      <c r="AU53" s="74"/>
      <c r="AV53" s="74"/>
      <c r="AX53" s="77"/>
      <c r="AY53" s="77"/>
      <c r="AZ53" s="77"/>
      <c r="BA53" s="77"/>
      <c r="BB53" s="77"/>
      <c r="BC53" s="77"/>
      <c r="BD53" s="77"/>
      <c r="BE53" s="77"/>
      <c r="BF53" s="77"/>
      <c r="BG53" s="77"/>
      <c r="BH53" s="77"/>
      <c r="BI53" s="77"/>
      <c r="BJ53" s="77"/>
      <c r="BK53" s="77"/>
      <c r="BL53" s="77"/>
      <c r="BM53" s="77"/>
      <c r="BN53" s="77"/>
      <c r="BO53" s="77"/>
      <c r="BP53" s="77"/>
      <c r="BQ53" s="77"/>
      <c r="BR53" s="77"/>
      <c r="BS53" s="77"/>
    </row>
    <row r="54" spans="1:71" x14ac:dyDescent="0.2">
      <c r="A54" s="14"/>
      <c r="B54" s="10" t="s">
        <v>13</v>
      </c>
      <c r="C54" s="4">
        <v>20.3</v>
      </c>
      <c r="D54" s="4">
        <v>25.1</v>
      </c>
      <c r="E54" s="4">
        <v>24.8</v>
      </c>
      <c r="F54" s="4">
        <v>18.5</v>
      </c>
      <c r="G54" s="4">
        <v>9.1999999999999993</v>
      </c>
      <c r="H54" s="4">
        <v>98</v>
      </c>
      <c r="I54" s="13">
        <v>16471</v>
      </c>
      <c r="J54" s="4">
        <v>29.1</v>
      </c>
      <c r="K54" s="4">
        <v>27.6</v>
      </c>
      <c r="L54" s="4">
        <v>22.3</v>
      </c>
      <c r="M54" s="4">
        <v>13.7</v>
      </c>
      <c r="N54" s="4">
        <v>6</v>
      </c>
      <c r="O54" s="4">
        <v>98.8</v>
      </c>
      <c r="P54" s="13">
        <v>13435</v>
      </c>
      <c r="Q54" s="4">
        <v>24.2</v>
      </c>
      <c r="R54" s="4">
        <v>26.2</v>
      </c>
      <c r="S54" s="4">
        <v>23.7</v>
      </c>
      <c r="T54" s="4">
        <v>16.399999999999999</v>
      </c>
      <c r="U54" s="4">
        <v>7.8</v>
      </c>
      <c r="V54" s="4">
        <v>98.3</v>
      </c>
      <c r="W54" s="13">
        <v>29906</v>
      </c>
      <c r="X54" s="14"/>
      <c r="Y54" s="14"/>
      <c r="AA54" s="74"/>
      <c r="AB54" s="74"/>
      <c r="AC54" s="74"/>
      <c r="AD54" s="74"/>
      <c r="AE54" s="74"/>
      <c r="AF54" s="74"/>
      <c r="AG54" s="74"/>
      <c r="AH54" s="74"/>
      <c r="AI54" s="74"/>
      <c r="AJ54" s="74"/>
      <c r="AK54" s="74"/>
      <c r="AL54" s="74"/>
      <c r="AM54" s="74"/>
      <c r="AN54" s="74"/>
      <c r="AO54" s="74"/>
      <c r="AP54" s="74"/>
      <c r="AQ54" s="74"/>
      <c r="AR54" s="74"/>
      <c r="AS54" s="74"/>
      <c r="AT54" s="74"/>
      <c r="AU54" s="74"/>
      <c r="AV54" s="74"/>
      <c r="AX54" s="77"/>
      <c r="AY54" s="77"/>
      <c r="AZ54" s="77"/>
      <c r="BA54" s="77"/>
      <c r="BB54" s="77"/>
      <c r="BC54" s="77"/>
      <c r="BD54" s="77"/>
      <c r="BE54" s="77"/>
      <c r="BF54" s="77"/>
      <c r="BG54" s="77"/>
      <c r="BH54" s="77"/>
      <c r="BI54" s="77"/>
      <c r="BJ54" s="77"/>
      <c r="BK54" s="77"/>
      <c r="BL54" s="77"/>
      <c r="BM54" s="77"/>
      <c r="BN54" s="77"/>
      <c r="BO54" s="77"/>
      <c r="BP54" s="77"/>
      <c r="BQ54" s="77"/>
      <c r="BR54" s="77"/>
      <c r="BS54" s="77"/>
    </row>
    <row r="55" spans="1:71" x14ac:dyDescent="0.2">
      <c r="A55" s="14"/>
      <c r="B55" s="10" t="s">
        <v>14</v>
      </c>
      <c r="C55" s="4">
        <v>26.5</v>
      </c>
      <c r="D55" s="4">
        <v>27.6</v>
      </c>
      <c r="E55" s="4">
        <v>22.2</v>
      </c>
      <c r="F55" s="4">
        <v>14.5</v>
      </c>
      <c r="G55" s="4">
        <v>6.4</v>
      </c>
      <c r="H55" s="4">
        <v>97.2</v>
      </c>
      <c r="I55" s="13">
        <v>5117</v>
      </c>
      <c r="J55" s="4">
        <v>32.6</v>
      </c>
      <c r="K55" s="4">
        <v>27.4</v>
      </c>
      <c r="L55" s="4">
        <v>19.5</v>
      </c>
      <c r="M55" s="4">
        <v>12.4</v>
      </c>
      <c r="N55" s="4">
        <v>5.9</v>
      </c>
      <c r="O55" s="4">
        <v>97.8</v>
      </c>
      <c r="P55" s="13">
        <v>3377</v>
      </c>
      <c r="Q55" s="4">
        <v>28.9</v>
      </c>
      <c r="R55" s="4">
        <v>27.5</v>
      </c>
      <c r="S55" s="4">
        <v>21.1</v>
      </c>
      <c r="T55" s="4">
        <v>13.7</v>
      </c>
      <c r="U55" s="4">
        <v>6.2</v>
      </c>
      <c r="V55" s="4">
        <v>97.4</v>
      </c>
      <c r="W55" s="13">
        <v>8494</v>
      </c>
      <c r="X55" s="14"/>
      <c r="Y55" s="14"/>
      <c r="AA55" s="74"/>
      <c r="AB55" s="74"/>
      <c r="AC55" s="74"/>
      <c r="AD55" s="74"/>
      <c r="AE55" s="74"/>
      <c r="AF55" s="74"/>
      <c r="AG55" s="74"/>
      <c r="AH55" s="74"/>
      <c r="AI55" s="74"/>
      <c r="AJ55" s="74"/>
      <c r="AK55" s="74"/>
      <c r="AL55" s="74"/>
      <c r="AM55" s="74"/>
      <c r="AN55" s="74"/>
      <c r="AO55" s="74"/>
      <c r="AP55" s="74"/>
      <c r="AQ55" s="74"/>
      <c r="AR55" s="74"/>
      <c r="AS55" s="74"/>
      <c r="AT55" s="74"/>
      <c r="AU55" s="74"/>
      <c r="AV55" s="74"/>
      <c r="AX55" s="77"/>
      <c r="AY55" s="77"/>
      <c r="AZ55" s="77"/>
      <c r="BA55" s="77"/>
      <c r="BB55" s="77"/>
      <c r="BC55" s="77"/>
      <c r="BD55" s="77"/>
      <c r="BE55" s="77"/>
      <c r="BF55" s="77"/>
      <c r="BG55" s="77"/>
      <c r="BH55" s="77"/>
      <c r="BI55" s="77"/>
      <c r="BJ55" s="77"/>
      <c r="BK55" s="77"/>
      <c r="BL55" s="77"/>
      <c r="BM55" s="77"/>
      <c r="BN55" s="77"/>
      <c r="BO55" s="77"/>
      <c r="BP55" s="77"/>
      <c r="BQ55" s="77"/>
      <c r="BR55" s="77"/>
      <c r="BS55" s="77"/>
    </row>
    <row r="56" spans="1:71" x14ac:dyDescent="0.2">
      <c r="A56" s="14"/>
      <c r="B56" s="10" t="s">
        <v>15</v>
      </c>
      <c r="C56" s="4">
        <v>22.2</v>
      </c>
      <c r="D56" s="4">
        <v>24.8</v>
      </c>
      <c r="E56" s="4">
        <v>25.2</v>
      </c>
      <c r="F56" s="4">
        <v>17.399999999999999</v>
      </c>
      <c r="G56" s="4">
        <v>8.4</v>
      </c>
      <c r="H56" s="4">
        <v>97.9</v>
      </c>
      <c r="I56" s="13">
        <v>19065</v>
      </c>
      <c r="J56" s="4">
        <v>25.1</v>
      </c>
      <c r="K56" s="4">
        <v>27.2</v>
      </c>
      <c r="L56" s="4">
        <v>23.6</v>
      </c>
      <c r="M56" s="4">
        <v>15.8</v>
      </c>
      <c r="N56" s="4">
        <v>6.8</v>
      </c>
      <c r="O56" s="4">
        <v>98.5</v>
      </c>
      <c r="P56" s="13">
        <v>19085</v>
      </c>
      <c r="Q56" s="4">
        <v>23.6</v>
      </c>
      <c r="R56" s="4">
        <v>26</v>
      </c>
      <c r="S56" s="4">
        <v>24.4</v>
      </c>
      <c r="T56" s="4">
        <v>16.600000000000001</v>
      </c>
      <c r="U56" s="4">
        <v>7.6</v>
      </c>
      <c r="V56" s="4">
        <v>98.2</v>
      </c>
      <c r="W56" s="13">
        <v>38150</v>
      </c>
      <c r="X56" s="14"/>
      <c r="Y56" s="14"/>
      <c r="AA56" s="74"/>
      <c r="AB56" s="74"/>
      <c r="AC56" s="74"/>
      <c r="AD56" s="74"/>
      <c r="AE56" s="74"/>
      <c r="AF56" s="74"/>
      <c r="AG56" s="74"/>
      <c r="AH56" s="74"/>
      <c r="AI56" s="74"/>
      <c r="AJ56" s="74"/>
      <c r="AK56" s="74"/>
      <c r="AL56" s="74"/>
      <c r="AM56" s="74"/>
      <c r="AN56" s="74"/>
      <c r="AO56" s="74"/>
      <c r="AP56" s="74"/>
      <c r="AQ56" s="74"/>
      <c r="AR56" s="74"/>
      <c r="AS56" s="74"/>
      <c r="AT56" s="74"/>
      <c r="AU56" s="74"/>
      <c r="AV56" s="74"/>
      <c r="AX56" s="77"/>
      <c r="AY56" s="77"/>
      <c r="AZ56" s="77"/>
      <c r="BA56" s="77"/>
      <c r="BB56" s="77"/>
      <c r="BC56" s="77"/>
      <c r="BD56" s="77"/>
      <c r="BE56" s="77"/>
      <c r="BF56" s="77"/>
      <c r="BG56" s="77"/>
      <c r="BH56" s="77"/>
      <c r="BI56" s="77"/>
      <c r="BJ56" s="77"/>
      <c r="BK56" s="77"/>
      <c r="BL56" s="77"/>
      <c r="BM56" s="77"/>
      <c r="BN56" s="77"/>
      <c r="BO56" s="77"/>
      <c r="BP56" s="77"/>
      <c r="BQ56" s="77"/>
      <c r="BR56" s="77"/>
      <c r="BS56" s="77"/>
    </row>
    <row r="57" spans="1:71" x14ac:dyDescent="0.2">
      <c r="A57" s="14"/>
      <c r="B57" s="10" t="s">
        <v>16</v>
      </c>
      <c r="C57" s="4">
        <v>14.3</v>
      </c>
      <c r="D57" s="4">
        <v>20.100000000000001</v>
      </c>
      <c r="E57" s="4">
        <v>22.8</v>
      </c>
      <c r="F57" s="4">
        <v>21.5</v>
      </c>
      <c r="G57" s="4">
        <v>14.4</v>
      </c>
      <c r="H57" s="4">
        <v>93.2</v>
      </c>
      <c r="I57" s="13">
        <v>4790</v>
      </c>
      <c r="J57" s="4">
        <v>19.7</v>
      </c>
      <c r="K57" s="4">
        <v>22</v>
      </c>
      <c r="L57" s="4">
        <v>23.7</v>
      </c>
      <c r="M57" s="4">
        <v>18.5</v>
      </c>
      <c r="N57" s="4">
        <v>11</v>
      </c>
      <c r="O57" s="4">
        <v>94.8</v>
      </c>
      <c r="P57" s="13">
        <v>7051</v>
      </c>
      <c r="Q57" s="4">
        <v>17.5</v>
      </c>
      <c r="R57" s="4">
        <v>21.2</v>
      </c>
      <c r="S57" s="4">
        <v>23.3</v>
      </c>
      <c r="T57" s="4">
        <v>19.7</v>
      </c>
      <c r="U57" s="4">
        <v>12.4</v>
      </c>
      <c r="V57" s="4">
        <v>94.1</v>
      </c>
      <c r="W57" s="13">
        <v>11841</v>
      </c>
      <c r="X57" s="14"/>
      <c r="Y57" s="14"/>
      <c r="AA57" s="74"/>
      <c r="AB57" s="74"/>
      <c r="AC57" s="74"/>
      <c r="AD57" s="74"/>
      <c r="AE57" s="74"/>
      <c r="AF57" s="74"/>
      <c r="AG57" s="74"/>
      <c r="AH57" s="74"/>
      <c r="AI57" s="74"/>
      <c r="AJ57" s="74"/>
      <c r="AK57" s="74"/>
      <c r="AL57" s="74"/>
      <c r="AM57" s="74"/>
      <c r="AN57" s="74"/>
      <c r="AO57" s="74"/>
      <c r="AP57" s="74"/>
      <c r="AQ57" s="74"/>
      <c r="AR57" s="74"/>
      <c r="AS57" s="74"/>
      <c r="AT57" s="74"/>
      <c r="AU57" s="74"/>
      <c r="AV57" s="74"/>
      <c r="AX57" s="77"/>
      <c r="AY57" s="77"/>
      <c r="AZ57" s="77"/>
      <c r="BA57" s="77"/>
      <c r="BB57" s="77"/>
      <c r="BC57" s="77"/>
      <c r="BD57" s="77"/>
      <c r="BE57" s="77"/>
      <c r="BF57" s="77"/>
      <c r="BG57" s="77"/>
      <c r="BH57" s="77"/>
      <c r="BI57" s="77"/>
      <c r="BJ57" s="77"/>
      <c r="BK57" s="77"/>
      <c r="BL57" s="77"/>
      <c r="BM57" s="77"/>
      <c r="BN57" s="77"/>
      <c r="BO57" s="77"/>
      <c r="BP57" s="77"/>
      <c r="BQ57" s="77"/>
      <c r="BR57" s="77"/>
      <c r="BS57" s="77"/>
    </row>
    <row r="58" spans="1:71" x14ac:dyDescent="0.2">
      <c r="A58" s="14"/>
      <c r="B58" s="10" t="s">
        <v>17</v>
      </c>
      <c r="C58" s="4">
        <v>11.3</v>
      </c>
      <c r="D58" s="4">
        <v>19.2</v>
      </c>
      <c r="E58" s="4">
        <v>24.4</v>
      </c>
      <c r="F58" s="4">
        <v>22.2</v>
      </c>
      <c r="G58" s="4">
        <v>16.399999999999999</v>
      </c>
      <c r="H58" s="4">
        <v>93.5</v>
      </c>
      <c r="I58" s="13">
        <v>10786</v>
      </c>
      <c r="J58" s="4">
        <v>20.6</v>
      </c>
      <c r="K58" s="4">
        <v>24.4</v>
      </c>
      <c r="L58" s="4">
        <v>24</v>
      </c>
      <c r="M58" s="4">
        <v>17.7</v>
      </c>
      <c r="N58" s="4">
        <v>9.8000000000000007</v>
      </c>
      <c r="O58" s="4">
        <v>96.5</v>
      </c>
      <c r="P58" s="13">
        <v>32021</v>
      </c>
      <c r="Q58" s="4">
        <v>18.3</v>
      </c>
      <c r="R58" s="4">
        <v>23.1</v>
      </c>
      <c r="S58" s="4">
        <v>24.1</v>
      </c>
      <c r="T58" s="4">
        <v>18.8</v>
      </c>
      <c r="U58" s="4">
        <v>11.5</v>
      </c>
      <c r="V58" s="4">
        <v>95.8</v>
      </c>
      <c r="W58" s="13">
        <v>42807</v>
      </c>
      <c r="X58" s="14"/>
      <c r="Y58" s="14"/>
      <c r="AA58" s="74"/>
      <c r="AB58" s="74"/>
      <c r="AC58" s="74"/>
      <c r="AD58" s="74"/>
      <c r="AE58" s="74"/>
      <c r="AF58" s="74"/>
      <c r="AG58" s="74"/>
      <c r="AH58" s="74"/>
      <c r="AI58" s="74"/>
      <c r="AJ58" s="74"/>
      <c r="AK58" s="74"/>
      <c r="AL58" s="74"/>
      <c r="AM58" s="74"/>
      <c r="AN58" s="74"/>
      <c r="AO58" s="74"/>
      <c r="AP58" s="74"/>
      <c r="AQ58" s="74"/>
      <c r="AR58" s="74"/>
      <c r="AS58" s="74"/>
      <c r="AT58" s="74"/>
      <c r="AU58" s="74"/>
      <c r="AV58" s="74"/>
      <c r="AX58" s="77"/>
      <c r="AY58" s="77"/>
      <c r="AZ58" s="77"/>
      <c r="BA58" s="77"/>
      <c r="BB58" s="77"/>
      <c r="BC58" s="77"/>
      <c r="BD58" s="77"/>
      <c r="BE58" s="77"/>
      <c r="BF58" s="77"/>
      <c r="BG58" s="77"/>
      <c r="BH58" s="77"/>
      <c r="BI58" s="77"/>
      <c r="BJ58" s="77"/>
      <c r="BK58" s="77"/>
      <c r="BL58" s="77"/>
      <c r="BM58" s="77"/>
      <c r="BN58" s="77"/>
      <c r="BO58" s="77"/>
      <c r="BP58" s="77"/>
      <c r="BQ58" s="77"/>
      <c r="BR58" s="77"/>
      <c r="BS58" s="77"/>
    </row>
    <row r="59" spans="1:71" x14ac:dyDescent="0.2">
      <c r="A59" s="14"/>
      <c r="B59" s="10" t="s">
        <v>18</v>
      </c>
      <c r="C59" s="4">
        <v>14.1</v>
      </c>
      <c r="D59" s="4">
        <v>23.5</v>
      </c>
      <c r="E59" s="4">
        <v>26.6</v>
      </c>
      <c r="F59" s="4">
        <v>21.9</v>
      </c>
      <c r="G59" s="4">
        <v>10</v>
      </c>
      <c r="H59" s="4">
        <v>96.1</v>
      </c>
      <c r="I59" s="13">
        <v>5350</v>
      </c>
      <c r="J59" s="4">
        <v>20.100000000000001</v>
      </c>
      <c r="K59" s="4">
        <v>25.6</v>
      </c>
      <c r="L59" s="4">
        <v>26.2</v>
      </c>
      <c r="M59" s="4">
        <v>17.899999999999999</v>
      </c>
      <c r="N59" s="4">
        <v>7.8</v>
      </c>
      <c r="O59" s="4">
        <v>97.7</v>
      </c>
      <c r="P59" s="13">
        <v>17010</v>
      </c>
      <c r="Q59" s="4">
        <v>18.7</v>
      </c>
      <c r="R59" s="4">
        <v>25.1</v>
      </c>
      <c r="S59" s="4">
        <v>26.3</v>
      </c>
      <c r="T59" s="4">
        <v>18.899999999999999</v>
      </c>
      <c r="U59" s="4">
        <v>8.3000000000000007</v>
      </c>
      <c r="V59" s="4">
        <v>97.3</v>
      </c>
      <c r="W59" s="13">
        <v>22360</v>
      </c>
      <c r="X59" s="14"/>
      <c r="Y59" s="14"/>
      <c r="AA59" s="74"/>
      <c r="AB59" s="74"/>
      <c r="AC59" s="74"/>
      <c r="AD59" s="74"/>
      <c r="AE59" s="74"/>
      <c r="AF59" s="74"/>
      <c r="AG59" s="74"/>
      <c r="AH59" s="74"/>
      <c r="AI59" s="74"/>
      <c r="AJ59" s="74"/>
      <c r="AK59" s="74"/>
      <c r="AL59" s="74"/>
      <c r="AM59" s="74"/>
      <c r="AN59" s="74"/>
      <c r="AO59" s="74"/>
      <c r="AP59" s="74"/>
      <c r="AQ59" s="74"/>
      <c r="AR59" s="74"/>
      <c r="AS59" s="74"/>
      <c r="AT59" s="74"/>
      <c r="AU59" s="74"/>
      <c r="AV59" s="74"/>
      <c r="AX59" s="77"/>
      <c r="AY59" s="77"/>
      <c r="AZ59" s="77"/>
      <c r="BA59" s="77"/>
      <c r="BB59" s="77"/>
      <c r="BC59" s="77"/>
      <c r="BD59" s="77"/>
      <c r="BE59" s="77"/>
      <c r="BF59" s="77"/>
      <c r="BG59" s="77"/>
      <c r="BH59" s="77"/>
      <c r="BI59" s="77"/>
      <c r="BJ59" s="77"/>
      <c r="BK59" s="77"/>
      <c r="BL59" s="77"/>
      <c r="BM59" s="77"/>
      <c r="BN59" s="77"/>
      <c r="BO59" s="77"/>
      <c r="BP59" s="77"/>
      <c r="BQ59" s="77"/>
      <c r="BR59" s="77"/>
      <c r="BS59" s="77"/>
    </row>
    <row r="60" spans="1:71" x14ac:dyDescent="0.2">
      <c r="A60" s="14"/>
      <c r="B60" s="10" t="s">
        <v>19</v>
      </c>
      <c r="C60" s="4">
        <v>18.100000000000001</v>
      </c>
      <c r="D60" s="4">
        <v>22.4</v>
      </c>
      <c r="E60" s="4">
        <v>25.9</v>
      </c>
      <c r="F60" s="4">
        <v>19.600000000000001</v>
      </c>
      <c r="G60" s="4">
        <v>10</v>
      </c>
      <c r="H60" s="4">
        <v>95.9</v>
      </c>
      <c r="I60" s="13">
        <v>1206</v>
      </c>
      <c r="J60" s="4">
        <v>19.2</v>
      </c>
      <c r="K60" s="4">
        <v>26.9</v>
      </c>
      <c r="L60" s="4">
        <v>22.1</v>
      </c>
      <c r="M60" s="4">
        <v>17.8</v>
      </c>
      <c r="N60" s="4">
        <v>10.199999999999999</v>
      </c>
      <c r="O60" s="4">
        <v>96.1</v>
      </c>
      <c r="P60" s="13">
        <v>1132</v>
      </c>
      <c r="Q60" s="4">
        <v>18.600000000000001</v>
      </c>
      <c r="R60" s="4">
        <v>24.6</v>
      </c>
      <c r="S60" s="4">
        <v>24</v>
      </c>
      <c r="T60" s="4">
        <v>18.7</v>
      </c>
      <c r="U60" s="4">
        <v>10.1</v>
      </c>
      <c r="V60" s="4">
        <v>96</v>
      </c>
      <c r="W60" s="13">
        <v>2338</v>
      </c>
      <c r="X60" s="14"/>
      <c r="Y60" s="14"/>
      <c r="AA60" s="74"/>
      <c r="AB60" s="74"/>
      <c r="AC60" s="74"/>
      <c r="AD60" s="74"/>
      <c r="AE60" s="74"/>
      <c r="AF60" s="74"/>
      <c r="AG60" s="74"/>
      <c r="AH60" s="74"/>
      <c r="AI60" s="74"/>
      <c r="AJ60" s="74"/>
      <c r="AK60" s="74"/>
      <c r="AL60" s="74"/>
      <c r="AM60" s="74"/>
      <c r="AN60" s="74"/>
      <c r="AO60" s="74"/>
      <c r="AP60" s="74"/>
      <c r="AQ60" s="74"/>
      <c r="AR60" s="74"/>
      <c r="AS60" s="74"/>
      <c r="AT60" s="74"/>
      <c r="AU60" s="74"/>
      <c r="AV60" s="74"/>
      <c r="AX60" s="77"/>
      <c r="AY60" s="77"/>
      <c r="AZ60" s="77"/>
      <c r="BA60" s="77"/>
      <c r="BB60" s="77"/>
      <c r="BC60" s="77"/>
      <c r="BD60" s="77"/>
      <c r="BE60" s="77"/>
      <c r="BF60" s="77"/>
      <c r="BG60" s="77"/>
      <c r="BH60" s="77"/>
      <c r="BI60" s="77"/>
      <c r="BJ60" s="77"/>
      <c r="BK60" s="77"/>
      <c r="BL60" s="77"/>
      <c r="BM60" s="77"/>
      <c r="BN60" s="77"/>
      <c r="BO60" s="77"/>
      <c r="BP60" s="77"/>
      <c r="BQ60" s="77"/>
      <c r="BR60" s="77"/>
      <c r="BS60" s="77"/>
    </row>
    <row r="61" spans="1:71" x14ac:dyDescent="0.2">
      <c r="A61" s="14"/>
      <c r="B61" s="10" t="s">
        <v>20</v>
      </c>
      <c r="C61" s="4">
        <v>22</v>
      </c>
      <c r="D61" s="4">
        <v>21.7</v>
      </c>
      <c r="E61" s="4">
        <v>22.9</v>
      </c>
      <c r="F61" s="4">
        <v>18.3</v>
      </c>
      <c r="G61" s="4">
        <v>10.5</v>
      </c>
      <c r="H61" s="4">
        <v>95.4</v>
      </c>
      <c r="I61" s="13">
        <v>10940</v>
      </c>
      <c r="J61" s="4">
        <v>29.3</v>
      </c>
      <c r="K61" s="4">
        <v>25.1</v>
      </c>
      <c r="L61" s="4">
        <v>22.1</v>
      </c>
      <c r="M61" s="4">
        <v>14.4</v>
      </c>
      <c r="N61" s="4">
        <v>6.6</v>
      </c>
      <c r="O61" s="4">
        <v>97.5</v>
      </c>
      <c r="P61" s="13">
        <v>23625</v>
      </c>
      <c r="Q61" s="4">
        <v>27</v>
      </c>
      <c r="R61" s="4">
        <v>24</v>
      </c>
      <c r="S61" s="4">
        <v>22.4</v>
      </c>
      <c r="T61" s="4">
        <v>15.6</v>
      </c>
      <c r="U61" s="4">
        <v>7.8</v>
      </c>
      <c r="V61" s="4">
        <v>96.9</v>
      </c>
      <c r="W61" s="13">
        <v>34565</v>
      </c>
      <c r="X61" s="14"/>
      <c r="Y61" s="14"/>
      <c r="AA61" s="74"/>
      <c r="AB61" s="74"/>
      <c r="AC61" s="74"/>
      <c r="AD61" s="74"/>
      <c r="AE61" s="74"/>
      <c r="AF61" s="74"/>
      <c r="AG61" s="74"/>
      <c r="AH61" s="74"/>
      <c r="AI61" s="74"/>
      <c r="AJ61" s="74"/>
      <c r="AK61" s="74"/>
      <c r="AL61" s="74"/>
      <c r="AM61" s="74"/>
      <c r="AN61" s="74"/>
      <c r="AO61" s="74"/>
      <c r="AP61" s="74"/>
      <c r="AQ61" s="74"/>
      <c r="AR61" s="74"/>
      <c r="AS61" s="74"/>
      <c r="AT61" s="74"/>
      <c r="AU61" s="74"/>
      <c r="AV61" s="74"/>
      <c r="AX61" s="77"/>
      <c r="AY61" s="77"/>
      <c r="AZ61" s="77"/>
      <c r="BA61" s="77"/>
      <c r="BB61" s="77"/>
      <c r="BC61" s="77"/>
      <c r="BD61" s="77"/>
      <c r="BE61" s="77"/>
      <c r="BF61" s="77"/>
      <c r="BG61" s="77"/>
      <c r="BH61" s="77"/>
      <c r="BI61" s="77"/>
      <c r="BJ61" s="77"/>
      <c r="BK61" s="77"/>
      <c r="BL61" s="77"/>
      <c r="BM61" s="77"/>
      <c r="BN61" s="77"/>
      <c r="BO61" s="77"/>
      <c r="BP61" s="77"/>
      <c r="BQ61" s="77"/>
      <c r="BR61" s="77"/>
      <c r="BS61" s="77"/>
    </row>
    <row r="62" spans="1:71" x14ac:dyDescent="0.2">
      <c r="A62" s="14"/>
      <c r="B62" s="10" t="s">
        <v>21</v>
      </c>
      <c r="C62" s="4">
        <v>12.2</v>
      </c>
      <c r="D62" s="4">
        <v>25.8</v>
      </c>
      <c r="E62" s="4">
        <v>31.4</v>
      </c>
      <c r="F62" s="4">
        <v>20.3</v>
      </c>
      <c r="G62" s="4">
        <v>8.6999999999999993</v>
      </c>
      <c r="H62" s="4">
        <v>98.3</v>
      </c>
      <c r="I62" s="13">
        <v>4003</v>
      </c>
      <c r="J62" s="4">
        <v>16.7</v>
      </c>
      <c r="K62" s="4">
        <v>30.1</v>
      </c>
      <c r="L62" s="4">
        <v>31.6</v>
      </c>
      <c r="M62" s="4">
        <v>15.8</v>
      </c>
      <c r="N62" s="4">
        <v>4.8</v>
      </c>
      <c r="O62" s="4">
        <v>99</v>
      </c>
      <c r="P62" s="13">
        <v>9952</v>
      </c>
      <c r="Q62" s="4">
        <v>15.4</v>
      </c>
      <c r="R62" s="4">
        <v>28.9</v>
      </c>
      <c r="S62" s="4">
        <v>31.6</v>
      </c>
      <c r="T62" s="4">
        <v>17.100000000000001</v>
      </c>
      <c r="U62" s="4">
        <v>5.9</v>
      </c>
      <c r="V62" s="4">
        <v>98.8</v>
      </c>
      <c r="W62" s="13">
        <v>13955</v>
      </c>
      <c r="X62" s="14"/>
      <c r="Y62" s="14"/>
      <c r="AA62" s="74"/>
      <c r="AB62" s="74"/>
      <c r="AC62" s="74"/>
      <c r="AD62" s="74"/>
      <c r="AE62" s="74"/>
      <c r="AF62" s="74"/>
      <c r="AG62" s="74"/>
      <c r="AH62" s="74"/>
      <c r="AI62" s="74"/>
      <c r="AJ62" s="74"/>
      <c r="AK62" s="74"/>
      <c r="AL62" s="74"/>
      <c r="AM62" s="74"/>
      <c r="AN62" s="74"/>
      <c r="AO62" s="74"/>
      <c r="AP62" s="74"/>
      <c r="AQ62" s="74"/>
      <c r="AR62" s="74"/>
      <c r="AS62" s="74"/>
      <c r="AT62" s="74"/>
      <c r="AU62" s="74"/>
      <c r="AV62" s="74"/>
      <c r="AX62" s="77"/>
      <c r="AY62" s="77"/>
      <c r="AZ62" s="77"/>
      <c r="BA62" s="77"/>
      <c r="BB62" s="77"/>
      <c r="BC62" s="77"/>
      <c r="BD62" s="77"/>
      <c r="BE62" s="77"/>
      <c r="BF62" s="77"/>
      <c r="BG62" s="77"/>
      <c r="BH62" s="77"/>
      <c r="BI62" s="77"/>
      <c r="BJ62" s="77"/>
      <c r="BK62" s="77"/>
      <c r="BL62" s="77"/>
      <c r="BM62" s="77"/>
      <c r="BN62" s="77"/>
      <c r="BO62" s="77"/>
      <c r="BP62" s="77"/>
      <c r="BQ62" s="77"/>
      <c r="BR62" s="77"/>
      <c r="BS62" s="77"/>
    </row>
    <row r="63" spans="1:71" x14ac:dyDescent="0.2">
      <c r="A63" s="14"/>
      <c r="B63" s="10" t="s">
        <v>22</v>
      </c>
      <c r="C63" s="4">
        <v>21</v>
      </c>
      <c r="D63" s="4">
        <v>22.7</v>
      </c>
      <c r="E63" s="4">
        <v>26.1</v>
      </c>
      <c r="F63" s="4">
        <v>20.2</v>
      </c>
      <c r="G63" s="4">
        <v>8.3000000000000007</v>
      </c>
      <c r="H63" s="4">
        <v>98.3</v>
      </c>
      <c r="I63" s="13">
        <v>22312</v>
      </c>
      <c r="J63" s="4">
        <v>20.100000000000001</v>
      </c>
      <c r="K63" s="4">
        <v>23.8</v>
      </c>
      <c r="L63" s="4">
        <v>27.5</v>
      </c>
      <c r="M63" s="4">
        <v>19.899999999999999</v>
      </c>
      <c r="N63" s="4">
        <v>7.3</v>
      </c>
      <c r="O63" s="4">
        <v>98.7</v>
      </c>
      <c r="P63" s="13">
        <v>50655</v>
      </c>
      <c r="Q63" s="4">
        <v>20.399999999999999</v>
      </c>
      <c r="R63" s="4">
        <v>23.5</v>
      </c>
      <c r="S63" s="4">
        <v>27.1</v>
      </c>
      <c r="T63" s="4">
        <v>20</v>
      </c>
      <c r="U63" s="4">
        <v>7.6</v>
      </c>
      <c r="V63" s="4">
        <v>98.6</v>
      </c>
      <c r="W63" s="13">
        <v>72967</v>
      </c>
      <c r="X63" s="14"/>
      <c r="Y63" s="14"/>
      <c r="AA63" s="74"/>
      <c r="AB63" s="74"/>
      <c r="AC63" s="74"/>
      <c r="AD63" s="74"/>
      <c r="AE63" s="74"/>
      <c r="AF63" s="74"/>
      <c r="AG63" s="74"/>
      <c r="AH63" s="74"/>
      <c r="AI63" s="74"/>
      <c r="AJ63" s="74"/>
      <c r="AK63" s="74"/>
      <c r="AL63" s="74"/>
      <c r="AM63" s="74"/>
      <c r="AN63" s="74"/>
      <c r="AO63" s="74"/>
      <c r="AP63" s="74"/>
      <c r="AQ63" s="74"/>
      <c r="AR63" s="74"/>
      <c r="AS63" s="74"/>
      <c r="AT63" s="74"/>
      <c r="AU63" s="74"/>
      <c r="AV63" s="74"/>
      <c r="AX63" s="77"/>
      <c r="AY63" s="77"/>
      <c r="AZ63" s="77"/>
      <c r="BA63" s="77"/>
      <c r="BB63" s="77"/>
      <c r="BC63" s="77"/>
      <c r="BD63" s="77"/>
      <c r="BE63" s="77"/>
      <c r="BF63" s="77"/>
      <c r="BG63" s="77"/>
      <c r="BH63" s="77"/>
      <c r="BI63" s="77"/>
      <c r="BJ63" s="77"/>
      <c r="BK63" s="77"/>
      <c r="BL63" s="77"/>
      <c r="BM63" s="77"/>
      <c r="BN63" s="77"/>
      <c r="BO63" s="77"/>
      <c r="BP63" s="77"/>
      <c r="BQ63" s="77"/>
      <c r="BR63" s="77"/>
      <c r="BS63" s="77"/>
    </row>
    <row r="64" spans="1:71" x14ac:dyDescent="0.2">
      <c r="A64" s="14"/>
      <c r="B64" s="10" t="s">
        <v>51</v>
      </c>
      <c r="C64" s="4">
        <v>10</v>
      </c>
      <c r="D64" s="4">
        <v>22.4</v>
      </c>
      <c r="E64" s="4">
        <v>32.6</v>
      </c>
      <c r="F64" s="4">
        <v>24.6</v>
      </c>
      <c r="G64" s="4">
        <v>8.4</v>
      </c>
      <c r="H64" s="4">
        <v>97.9</v>
      </c>
      <c r="I64" s="13">
        <v>9066</v>
      </c>
      <c r="J64" s="4">
        <v>14.9</v>
      </c>
      <c r="K64" s="4">
        <v>29.1</v>
      </c>
      <c r="L64" s="4">
        <v>31.3</v>
      </c>
      <c r="M64" s="4">
        <v>18.2</v>
      </c>
      <c r="N64" s="4">
        <v>5.2</v>
      </c>
      <c r="O64" s="4">
        <v>98.7</v>
      </c>
      <c r="P64" s="13">
        <v>11924</v>
      </c>
      <c r="Q64" s="4">
        <v>12.8</v>
      </c>
      <c r="R64" s="4">
        <v>26.2</v>
      </c>
      <c r="S64" s="4">
        <v>31.8</v>
      </c>
      <c r="T64" s="4">
        <v>20.9</v>
      </c>
      <c r="U64" s="4">
        <v>6.6</v>
      </c>
      <c r="V64" s="4">
        <v>98.3</v>
      </c>
      <c r="W64" s="13">
        <v>20990</v>
      </c>
      <c r="X64" s="14"/>
      <c r="Y64" s="14"/>
      <c r="AA64" s="74"/>
      <c r="AB64" s="74"/>
      <c r="AC64" s="74"/>
      <c r="AD64" s="74"/>
      <c r="AE64" s="74"/>
      <c r="AF64" s="74"/>
      <c r="AG64" s="74"/>
      <c r="AH64" s="74"/>
      <c r="AI64" s="74"/>
      <c r="AJ64" s="74"/>
      <c r="AK64" s="74"/>
      <c r="AL64" s="74"/>
      <c r="AM64" s="74"/>
      <c r="AN64" s="74"/>
      <c r="AO64" s="74"/>
      <c r="AP64" s="74"/>
      <c r="AQ64" s="74"/>
      <c r="AR64" s="74"/>
      <c r="AS64" s="74"/>
      <c r="AT64" s="74"/>
      <c r="AU64" s="74"/>
      <c r="AV64" s="74"/>
      <c r="AX64" s="77"/>
      <c r="AY64" s="77"/>
      <c r="AZ64" s="77"/>
      <c r="BA64" s="77"/>
      <c r="BB64" s="77"/>
      <c r="BC64" s="77"/>
      <c r="BD64" s="77"/>
      <c r="BE64" s="77"/>
      <c r="BF64" s="77"/>
      <c r="BG64" s="77"/>
      <c r="BH64" s="77"/>
      <c r="BI64" s="77"/>
      <c r="BJ64" s="77"/>
      <c r="BK64" s="77"/>
      <c r="BL64" s="77"/>
      <c r="BM64" s="77"/>
      <c r="BN64" s="77"/>
      <c r="BO64" s="77"/>
      <c r="BP64" s="77"/>
      <c r="BQ64" s="77"/>
      <c r="BR64" s="77"/>
      <c r="BS64" s="77"/>
    </row>
    <row r="65" spans="1:71" x14ac:dyDescent="0.2">
      <c r="A65" s="14"/>
      <c r="B65" s="10" t="s">
        <v>23</v>
      </c>
      <c r="C65" s="4">
        <v>13.5</v>
      </c>
      <c r="D65" s="4">
        <v>28.1</v>
      </c>
      <c r="E65" s="4">
        <v>32.200000000000003</v>
      </c>
      <c r="F65" s="4">
        <v>18.600000000000001</v>
      </c>
      <c r="G65" s="4">
        <v>5.5</v>
      </c>
      <c r="H65" s="4">
        <v>97.9</v>
      </c>
      <c r="I65" s="13">
        <v>3095</v>
      </c>
      <c r="J65" s="4">
        <v>14.7</v>
      </c>
      <c r="K65" s="4">
        <v>30</v>
      </c>
      <c r="L65" s="4">
        <v>33.6</v>
      </c>
      <c r="M65" s="4">
        <v>16</v>
      </c>
      <c r="N65" s="4">
        <v>4.7</v>
      </c>
      <c r="O65" s="4">
        <v>99</v>
      </c>
      <c r="P65" s="13">
        <v>5214</v>
      </c>
      <c r="Q65" s="4">
        <v>14.2</v>
      </c>
      <c r="R65" s="4">
        <v>29.3</v>
      </c>
      <c r="S65" s="4">
        <v>33.1</v>
      </c>
      <c r="T65" s="4">
        <v>17</v>
      </c>
      <c r="U65" s="4">
        <v>5</v>
      </c>
      <c r="V65" s="4">
        <v>98.6</v>
      </c>
      <c r="W65" s="13">
        <v>8309</v>
      </c>
      <c r="X65" s="14"/>
      <c r="Y65" s="14"/>
      <c r="AA65" s="74"/>
      <c r="AB65" s="74"/>
      <c r="AC65" s="74"/>
      <c r="AD65" s="74"/>
      <c r="AE65" s="74"/>
      <c r="AF65" s="74"/>
      <c r="AG65" s="74"/>
      <c r="AH65" s="74"/>
      <c r="AI65" s="74"/>
      <c r="AJ65" s="74"/>
      <c r="AK65" s="74"/>
      <c r="AL65" s="74"/>
      <c r="AM65" s="74"/>
      <c r="AN65" s="74"/>
      <c r="AO65" s="74"/>
      <c r="AP65" s="74"/>
      <c r="AQ65" s="74"/>
      <c r="AR65" s="74"/>
      <c r="AS65" s="74"/>
      <c r="AT65" s="74"/>
      <c r="AU65" s="74"/>
      <c r="AV65" s="74"/>
      <c r="AX65" s="77"/>
      <c r="AY65" s="77"/>
      <c r="AZ65" s="77"/>
      <c r="BA65" s="77"/>
      <c r="BB65" s="77"/>
      <c r="BC65" s="77"/>
      <c r="BD65" s="77"/>
      <c r="BE65" s="77"/>
      <c r="BF65" s="77"/>
      <c r="BG65" s="77"/>
      <c r="BH65" s="77"/>
      <c r="BI65" s="77"/>
      <c r="BJ65" s="77"/>
      <c r="BK65" s="77"/>
      <c r="BL65" s="77"/>
      <c r="BM65" s="77"/>
      <c r="BN65" s="77"/>
      <c r="BO65" s="77"/>
      <c r="BP65" s="77"/>
      <c r="BQ65" s="77"/>
      <c r="BR65" s="77"/>
      <c r="BS65" s="77"/>
    </row>
    <row r="66" spans="1:71" x14ac:dyDescent="0.2">
      <c r="A66" s="14"/>
      <c r="B66" s="10" t="s">
        <v>24</v>
      </c>
      <c r="C66" s="4">
        <v>34.5</v>
      </c>
      <c r="D66" s="4">
        <v>26.7</v>
      </c>
      <c r="E66" s="4">
        <v>18.899999999999999</v>
      </c>
      <c r="F66" s="4">
        <v>12.1</v>
      </c>
      <c r="G66" s="4">
        <v>6</v>
      </c>
      <c r="H66" s="4">
        <v>98.3</v>
      </c>
      <c r="I66" s="13">
        <v>4075</v>
      </c>
      <c r="J66" s="4">
        <v>32.9</v>
      </c>
      <c r="K66" s="4">
        <v>26.1</v>
      </c>
      <c r="L66" s="4">
        <v>20.100000000000001</v>
      </c>
      <c r="M66" s="4">
        <v>13.4</v>
      </c>
      <c r="N66" s="4">
        <v>6.1</v>
      </c>
      <c r="O66" s="4">
        <v>98.7</v>
      </c>
      <c r="P66" s="13">
        <v>8405</v>
      </c>
      <c r="Q66" s="4">
        <v>33.4</v>
      </c>
      <c r="R66" s="4">
        <v>26.3</v>
      </c>
      <c r="S66" s="4">
        <v>19.7</v>
      </c>
      <c r="T66" s="4">
        <v>13</v>
      </c>
      <c r="U66" s="4">
        <v>6.1</v>
      </c>
      <c r="V66" s="4">
        <v>98.5</v>
      </c>
      <c r="W66" s="13">
        <v>12480</v>
      </c>
      <c r="X66" s="14"/>
      <c r="Y66" s="14"/>
      <c r="AA66" s="74"/>
      <c r="AB66" s="74"/>
      <c r="AC66" s="74"/>
      <c r="AD66" s="74"/>
      <c r="AE66" s="74"/>
      <c r="AF66" s="74"/>
      <c r="AG66" s="74"/>
      <c r="AH66" s="74"/>
      <c r="AI66" s="74"/>
      <c r="AJ66" s="74"/>
      <c r="AK66" s="74"/>
      <c r="AL66" s="74"/>
      <c r="AM66" s="74"/>
      <c r="AN66" s="74"/>
      <c r="AO66" s="74"/>
      <c r="AP66" s="74"/>
      <c r="AQ66" s="74"/>
      <c r="AR66" s="74"/>
      <c r="AS66" s="74"/>
      <c r="AT66" s="74"/>
      <c r="AU66" s="74"/>
      <c r="AV66" s="74"/>
      <c r="AX66" s="77"/>
      <c r="AY66" s="77"/>
      <c r="AZ66" s="77"/>
      <c r="BA66" s="77"/>
      <c r="BB66" s="77"/>
      <c r="BC66" s="77"/>
      <c r="BD66" s="77"/>
      <c r="BE66" s="77"/>
      <c r="BF66" s="77"/>
      <c r="BG66" s="77"/>
      <c r="BH66" s="77"/>
      <c r="BI66" s="77"/>
      <c r="BJ66" s="77"/>
      <c r="BK66" s="77"/>
      <c r="BL66" s="77"/>
      <c r="BM66" s="77"/>
      <c r="BN66" s="77"/>
      <c r="BO66" s="77"/>
      <c r="BP66" s="77"/>
      <c r="BQ66" s="77"/>
      <c r="BR66" s="77"/>
      <c r="BS66" s="77"/>
    </row>
    <row r="67" spans="1:71" x14ac:dyDescent="0.2">
      <c r="A67" s="14"/>
      <c r="B67" s="10" t="s">
        <v>25</v>
      </c>
      <c r="C67" s="4">
        <v>34.6</v>
      </c>
      <c r="D67" s="4">
        <v>23.2</v>
      </c>
      <c r="E67" s="4">
        <v>17.5</v>
      </c>
      <c r="F67" s="4">
        <v>14.8</v>
      </c>
      <c r="G67" s="4">
        <v>7.1</v>
      </c>
      <c r="H67" s="4">
        <v>97.2</v>
      </c>
      <c r="I67" s="13">
        <v>2021</v>
      </c>
      <c r="J67" s="4">
        <v>30.6</v>
      </c>
      <c r="K67" s="4">
        <v>25</v>
      </c>
      <c r="L67" s="4">
        <v>20.8</v>
      </c>
      <c r="M67" s="4">
        <v>14.7</v>
      </c>
      <c r="N67" s="4">
        <v>7.2</v>
      </c>
      <c r="O67" s="4">
        <v>98.3</v>
      </c>
      <c r="P67" s="13">
        <v>3622</v>
      </c>
      <c r="Q67" s="4">
        <v>32</v>
      </c>
      <c r="R67" s="4">
        <v>24.3</v>
      </c>
      <c r="S67" s="4">
        <v>19.600000000000001</v>
      </c>
      <c r="T67" s="4">
        <v>14.7</v>
      </c>
      <c r="U67" s="4">
        <v>7.2</v>
      </c>
      <c r="V67" s="4">
        <v>97.9</v>
      </c>
      <c r="W67" s="13">
        <v>5643</v>
      </c>
      <c r="X67" s="14"/>
      <c r="Y67" s="14"/>
      <c r="AA67" s="74"/>
      <c r="AB67" s="74"/>
      <c r="AC67" s="74"/>
      <c r="AD67" s="74"/>
      <c r="AE67" s="74"/>
      <c r="AF67" s="74"/>
      <c r="AG67" s="74"/>
      <c r="AH67" s="74"/>
      <c r="AI67" s="74"/>
      <c r="AJ67" s="74"/>
      <c r="AK67" s="74"/>
      <c r="AL67" s="74"/>
      <c r="AM67" s="74"/>
      <c r="AN67" s="74"/>
      <c r="AO67" s="74"/>
      <c r="AP67" s="74"/>
      <c r="AQ67" s="74"/>
      <c r="AR67" s="74"/>
      <c r="AS67" s="74"/>
      <c r="AT67" s="74"/>
      <c r="AU67" s="74"/>
      <c r="AV67" s="74"/>
      <c r="AX67" s="77"/>
      <c r="AY67" s="77"/>
      <c r="AZ67" s="77"/>
      <c r="BA67" s="77"/>
      <c r="BB67" s="77"/>
      <c r="BC67" s="77"/>
      <c r="BD67" s="77"/>
      <c r="BE67" s="77"/>
      <c r="BF67" s="77"/>
      <c r="BG67" s="77"/>
      <c r="BH67" s="77"/>
      <c r="BI67" s="77"/>
      <c r="BJ67" s="77"/>
      <c r="BK67" s="77"/>
      <c r="BL67" s="77"/>
      <c r="BM67" s="77"/>
      <c r="BN67" s="77"/>
      <c r="BO67" s="77"/>
      <c r="BP67" s="77"/>
      <c r="BQ67" s="77"/>
      <c r="BR67" s="77"/>
      <c r="BS67" s="77"/>
    </row>
    <row r="68" spans="1:71" x14ac:dyDescent="0.2">
      <c r="A68" s="14"/>
      <c r="B68" s="10" t="s">
        <v>26</v>
      </c>
      <c r="C68" s="4">
        <v>39.6</v>
      </c>
      <c r="D68" s="4">
        <v>26.7</v>
      </c>
      <c r="E68" s="4">
        <v>18.100000000000001</v>
      </c>
      <c r="F68" s="4">
        <v>9.4</v>
      </c>
      <c r="G68" s="4">
        <v>4.5999999999999996</v>
      </c>
      <c r="H68" s="4">
        <v>98.4</v>
      </c>
      <c r="I68" s="13">
        <v>1411</v>
      </c>
      <c r="J68" s="4">
        <v>33.5</v>
      </c>
      <c r="K68" s="4">
        <v>27.4</v>
      </c>
      <c r="L68" s="4">
        <v>20.7</v>
      </c>
      <c r="M68" s="4">
        <v>11.7</v>
      </c>
      <c r="N68" s="4">
        <v>5.2</v>
      </c>
      <c r="O68" s="4">
        <v>98.4</v>
      </c>
      <c r="P68" s="13">
        <v>3239</v>
      </c>
      <c r="Q68" s="4">
        <v>35.299999999999997</v>
      </c>
      <c r="R68" s="4">
        <v>27.2</v>
      </c>
      <c r="S68" s="4">
        <v>19.899999999999999</v>
      </c>
      <c r="T68" s="4">
        <v>11</v>
      </c>
      <c r="U68" s="4">
        <v>5.0999999999999996</v>
      </c>
      <c r="V68" s="4">
        <v>98.4</v>
      </c>
      <c r="W68" s="13">
        <v>4650</v>
      </c>
      <c r="X68" s="14"/>
      <c r="Y68" s="14"/>
      <c r="AA68" s="74"/>
      <c r="AB68" s="74"/>
      <c r="AC68" s="74"/>
      <c r="AD68" s="74"/>
      <c r="AE68" s="74"/>
      <c r="AF68" s="74"/>
      <c r="AG68" s="74"/>
      <c r="AH68" s="74"/>
      <c r="AI68" s="74"/>
      <c r="AJ68" s="74"/>
      <c r="AK68" s="74"/>
      <c r="AL68" s="74"/>
      <c r="AM68" s="74"/>
      <c r="AN68" s="74"/>
      <c r="AO68" s="74"/>
      <c r="AP68" s="74"/>
      <c r="AQ68" s="74"/>
      <c r="AR68" s="74"/>
      <c r="AS68" s="74"/>
      <c r="AT68" s="74"/>
      <c r="AU68" s="74"/>
      <c r="AV68" s="74"/>
      <c r="AX68" s="77"/>
      <c r="AY68" s="77"/>
      <c r="AZ68" s="77"/>
      <c r="BA68" s="77"/>
      <c r="BB68" s="77"/>
      <c r="BC68" s="77"/>
      <c r="BD68" s="77"/>
      <c r="BE68" s="77"/>
      <c r="BF68" s="77"/>
      <c r="BG68" s="77"/>
      <c r="BH68" s="77"/>
      <c r="BI68" s="77"/>
      <c r="BJ68" s="77"/>
      <c r="BK68" s="77"/>
      <c r="BL68" s="77"/>
      <c r="BM68" s="77"/>
      <c r="BN68" s="77"/>
      <c r="BO68" s="77"/>
      <c r="BP68" s="77"/>
      <c r="BQ68" s="77"/>
      <c r="BR68" s="77"/>
      <c r="BS68" s="77"/>
    </row>
    <row r="69" spans="1:71" x14ac:dyDescent="0.2">
      <c r="A69" s="14"/>
      <c r="B69" s="10" t="s">
        <v>27</v>
      </c>
      <c r="C69" s="4">
        <v>40.4</v>
      </c>
      <c r="D69" s="4">
        <v>30.7</v>
      </c>
      <c r="E69" s="4">
        <v>15.1</v>
      </c>
      <c r="F69" s="4">
        <v>6.6</v>
      </c>
      <c r="G69" s="4">
        <v>3.1</v>
      </c>
      <c r="H69" s="4">
        <v>95.9</v>
      </c>
      <c r="I69" s="13">
        <v>1815</v>
      </c>
      <c r="J69" s="4">
        <v>47.6</v>
      </c>
      <c r="K69" s="4">
        <v>29.5</v>
      </c>
      <c r="L69" s="4">
        <v>12.9</v>
      </c>
      <c r="M69" s="4">
        <v>5.5</v>
      </c>
      <c r="N69" s="4">
        <v>1.9</v>
      </c>
      <c r="O69" s="4">
        <v>97.5</v>
      </c>
      <c r="P69" s="13">
        <v>2464</v>
      </c>
      <c r="Q69" s="4">
        <v>44.6</v>
      </c>
      <c r="R69" s="4">
        <v>30</v>
      </c>
      <c r="S69" s="4">
        <v>13.8</v>
      </c>
      <c r="T69" s="4">
        <v>6</v>
      </c>
      <c r="U69" s="4">
        <v>2.4</v>
      </c>
      <c r="V69" s="4">
        <v>96.8</v>
      </c>
      <c r="W69" s="13">
        <v>4279</v>
      </c>
      <c r="X69" s="14"/>
      <c r="Y69" s="14"/>
      <c r="AA69" s="74"/>
      <c r="AB69" s="74"/>
      <c r="AC69" s="74"/>
      <c r="AD69" s="74"/>
      <c r="AE69" s="74"/>
      <c r="AF69" s="74"/>
      <c r="AG69" s="74"/>
      <c r="AH69" s="74"/>
      <c r="AI69" s="74"/>
      <c r="AJ69" s="74"/>
      <c r="AK69" s="74"/>
      <c r="AL69" s="74"/>
      <c r="AM69" s="74"/>
      <c r="AN69" s="74"/>
      <c r="AO69" s="74"/>
      <c r="AP69" s="74"/>
      <c r="AQ69" s="74"/>
      <c r="AR69" s="74"/>
      <c r="AS69" s="74"/>
      <c r="AT69" s="74"/>
      <c r="AU69" s="74"/>
      <c r="AV69" s="74"/>
      <c r="AX69" s="77"/>
      <c r="AY69" s="77"/>
      <c r="AZ69" s="77"/>
      <c r="BA69" s="77"/>
      <c r="BB69" s="77"/>
      <c r="BC69" s="77"/>
      <c r="BD69" s="77"/>
      <c r="BE69" s="77"/>
      <c r="BF69" s="77"/>
      <c r="BG69" s="77"/>
      <c r="BH69" s="77"/>
      <c r="BI69" s="77"/>
      <c r="BJ69" s="77"/>
      <c r="BK69" s="77"/>
      <c r="BL69" s="77"/>
      <c r="BM69" s="77"/>
      <c r="BN69" s="77"/>
      <c r="BO69" s="77"/>
      <c r="BP69" s="77"/>
      <c r="BQ69" s="77"/>
      <c r="BR69" s="77"/>
      <c r="BS69" s="77"/>
    </row>
    <row r="70" spans="1:71" x14ac:dyDescent="0.2">
      <c r="A70" s="14"/>
      <c r="B70" s="10" t="s">
        <v>28</v>
      </c>
      <c r="C70" s="4">
        <v>34.9</v>
      </c>
      <c r="D70" s="4">
        <v>25.8</v>
      </c>
      <c r="E70" s="4">
        <v>22</v>
      </c>
      <c r="F70" s="4">
        <v>11.4</v>
      </c>
      <c r="G70" s="4">
        <v>4.7</v>
      </c>
      <c r="H70" s="4">
        <v>98.8</v>
      </c>
      <c r="I70" s="13">
        <v>2201</v>
      </c>
      <c r="J70" s="4">
        <v>35.799999999999997</v>
      </c>
      <c r="K70" s="4">
        <v>29.5</v>
      </c>
      <c r="L70" s="4">
        <v>19.8</v>
      </c>
      <c r="M70" s="4">
        <v>10.8</v>
      </c>
      <c r="N70" s="4">
        <v>3.2</v>
      </c>
      <c r="O70" s="4">
        <v>99.1</v>
      </c>
      <c r="P70" s="13">
        <v>3060</v>
      </c>
      <c r="Q70" s="4">
        <v>35.4</v>
      </c>
      <c r="R70" s="4">
        <v>27.9</v>
      </c>
      <c r="S70" s="4">
        <v>20.7</v>
      </c>
      <c r="T70" s="4">
        <v>11.1</v>
      </c>
      <c r="U70" s="4">
        <v>3.8</v>
      </c>
      <c r="V70" s="4">
        <v>99</v>
      </c>
      <c r="W70" s="13">
        <v>5261</v>
      </c>
      <c r="X70" s="14"/>
      <c r="Y70" s="14"/>
      <c r="AA70" s="74"/>
      <c r="AB70" s="74"/>
      <c r="AC70" s="74"/>
      <c r="AD70" s="74"/>
      <c r="AE70" s="74"/>
      <c r="AF70" s="74"/>
      <c r="AG70" s="74"/>
      <c r="AH70" s="74"/>
      <c r="AI70" s="74"/>
      <c r="AJ70" s="74"/>
      <c r="AK70" s="74"/>
      <c r="AL70" s="74"/>
      <c r="AM70" s="74"/>
      <c r="AN70" s="74"/>
      <c r="AO70" s="74"/>
      <c r="AP70" s="74"/>
      <c r="AQ70" s="74"/>
      <c r="AR70" s="74"/>
      <c r="AS70" s="74"/>
      <c r="AT70" s="74"/>
      <c r="AU70" s="74"/>
      <c r="AV70" s="74"/>
      <c r="AX70" s="77"/>
      <c r="AY70" s="77"/>
      <c r="AZ70" s="77"/>
      <c r="BA70" s="77"/>
      <c r="BB70" s="77"/>
      <c r="BC70" s="77"/>
      <c r="BD70" s="77"/>
      <c r="BE70" s="77"/>
      <c r="BF70" s="77"/>
      <c r="BG70" s="77"/>
      <c r="BH70" s="77"/>
      <c r="BI70" s="77"/>
      <c r="BJ70" s="77"/>
      <c r="BK70" s="77"/>
      <c r="BL70" s="77"/>
      <c r="BM70" s="77"/>
      <c r="BN70" s="77"/>
      <c r="BO70" s="77"/>
      <c r="BP70" s="77"/>
      <c r="BQ70" s="77"/>
      <c r="BR70" s="77"/>
      <c r="BS70" s="77"/>
    </row>
    <row r="71" spans="1:71" x14ac:dyDescent="0.2">
      <c r="A71" s="14"/>
      <c r="B71" s="10" t="s">
        <v>29</v>
      </c>
      <c r="C71" s="4">
        <v>25.9</v>
      </c>
      <c r="D71" s="4">
        <v>28.1</v>
      </c>
      <c r="E71" s="4">
        <v>23.9</v>
      </c>
      <c r="F71" s="4">
        <v>14</v>
      </c>
      <c r="G71" s="4">
        <v>6.2</v>
      </c>
      <c r="H71" s="4">
        <v>98.1</v>
      </c>
      <c r="I71" s="13">
        <v>3499</v>
      </c>
      <c r="J71" s="4">
        <v>25.5</v>
      </c>
      <c r="K71" s="4">
        <v>30.2</v>
      </c>
      <c r="L71" s="4">
        <v>23.7</v>
      </c>
      <c r="M71" s="4">
        <v>14</v>
      </c>
      <c r="N71" s="4">
        <v>5.2</v>
      </c>
      <c r="O71" s="4">
        <v>98.6</v>
      </c>
      <c r="P71" s="13">
        <v>8226</v>
      </c>
      <c r="Q71" s="4">
        <v>25.6</v>
      </c>
      <c r="R71" s="4">
        <v>29.6</v>
      </c>
      <c r="S71" s="4">
        <v>23.8</v>
      </c>
      <c r="T71" s="4">
        <v>14</v>
      </c>
      <c r="U71" s="4">
        <v>5.5</v>
      </c>
      <c r="V71" s="4">
        <v>98.5</v>
      </c>
      <c r="W71" s="13">
        <v>11725</v>
      </c>
      <c r="X71" s="14"/>
      <c r="Y71" s="14"/>
      <c r="AA71" s="74"/>
      <c r="AB71" s="74"/>
      <c r="AC71" s="74"/>
      <c r="AD71" s="74"/>
      <c r="AE71" s="74"/>
      <c r="AF71" s="74"/>
      <c r="AG71" s="74"/>
      <c r="AH71" s="74"/>
      <c r="AI71" s="74"/>
      <c r="AJ71" s="74"/>
      <c r="AK71" s="74"/>
      <c r="AL71" s="74"/>
      <c r="AM71" s="74"/>
      <c r="AN71" s="74"/>
      <c r="AO71" s="74"/>
      <c r="AP71" s="74"/>
      <c r="AQ71" s="74"/>
      <c r="AR71" s="74"/>
      <c r="AS71" s="74"/>
      <c r="AT71" s="74"/>
      <c r="AU71" s="74"/>
      <c r="AV71" s="74"/>
      <c r="AX71" s="77"/>
      <c r="AY71" s="77"/>
      <c r="AZ71" s="77"/>
      <c r="BA71" s="77"/>
      <c r="BB71" s="77"/>
      <c r="BC71" s="77"/>
      <c r="BD71" s="77"/>
      <c r="BE71" s="77"/>
      <c r="BF71" s="77"/>
      <c r="BG71" s="77"/>
      <c r="BH71" s="77"/>
      <c r="BI71" s="77"/>
      <c r="BJ71" s="77"/>
      <c r="BK71" s="77"/>
      <c r="BL71" s="77"/>
      <c r="BM71" s="77"/>
      <c r="BN71" s="77"/>
      <c r="BO71" s="77"/>
      <c r="BP71" s="77"/>
      <c r="BQ71" s="77"/>
      <c r="BR71" s="77"/>
      <c r="BS71" s="77"/>
    </row>
    <row r="72" spans="1:71" x14ac:dyDescent="0.2">
      <c r="A72" s="14"/>
      <c r="B72" s="10" t="s">
        <v>30</v>
      </c>
      <c r="C72" s="4">
        <v>17.100000000000001</v>
      </c>
      <c r="D72" s="4">
        <v>21.1</v>
      </c>
      <c r="E72" s="4">
        <v>23.7</v>
      </c>
      <c r="F72" s="4">
        <v>21.2</v>
      </c>
      <c r="G72" s="4">
        <v>11.6</v>
      </c>
      <c r="H72" s="4">
        <v>94.8</v>
      </c>
      <c r="I72" s="13">
        <v>4248</v>
      </c>
      <c r="J72" s="4">
        <v>23.5</v>
      </c>
      <c r="K72" s="4">
        <v>22.9</v>
      </c>
      <c r="L72" s="4">
        <v>24</v>
      </c>
      <c r="M72" s="4">
        <v>18</v>
      </c>
      <c r="N72" s="4">
        <v>9.4</v>
      </c>
      <c r="O72" s="4">
        <v>97.7</v>
      </c>
      <c r="P72" s="13">
        <v>3982</v>
      </c>
      <c r="Q72" s="4">
        <v>20.2</v>
      </c>
      <c r="R72" s="4">
        <v>22</v>
      </c>
      <c r="S72" s="4">
        <v>23.9</v>
      </c>
      <c r="T72" s="4">
        <v>19.7</v>
      </c>
      <c r="U72" s="4">
        <v>10.5</v>
      </c>
      <c r="V72" s="4">
        <v>96.2</v>
      </c>
      <c r="W72" s="13">
        <v>8230</v>
      </c>
      <c r="X72" s="14"/>
      <c r="Y72" s="14"/>
      <c r="AA72" s="74"/>
      <c r="AB72" s="74"/>
      <c r="AC72" s="74"/>
      <c r="AD72" s="74"/>
      <c r="AE72" s="74"/>
      <c r="AF72" s="74"/>
      <c r="AG72" s="74"/>
      <c r="AH72" s="74"/>
      <c r="AI72" s="74"/>
      <c r="AJ72" s="74"/>
      <c r="AK72" s="74"/>
      <c r="AL72" s="74"/>
      <c r="AM72" s="74"/>
      <c r="AN72" s="74"/>
      <c r="AO72" s="74"/>
      <c r="AP72" s="74"/>
      <c r="AQ72" s="74"/>
      <c r="AR72" s="74"/>
      <c r="AS72" s="74"/>
      <c r="AT72" s="74"/>
      <c r="AU72" s="74"/>
      <c r="AV72" s="74"/>
      <c r="AX72" s="77"/>
      <c r="AY72" s="77"/>
      <c r="AZ72" s="77"/>
      <c r="BA72" s="77"/>
      <c r="BB72" s="77"/>
      <c r="BC72" s="77"/>
      <c r="BD72" s="77"/>
      <c r="BE72" s="77"/>
      <c r="BF72" s="77"/>
      <c r="BG72" s="77"/>
      <c r="BH72" s="77"/>
      <c r="BI72" s="77"/>
      <c r="BJ72" s="77"/>
      <c r="BK72" s="77"/>
      <c r="BL72" s="77"/>
      <c r="BM72" s="77"/>
      <c r="BN72" s="77"/>
      <c r="BO72" s="77"/>
      <c r="BP72" s="77"/>
      <c r="BQ72" s="77"/>
      <c r="BR72" s="77"/>
      <c r="BS72" s="77"/>
    </row>
    <row r="73" spans="1:71" x14ac:dyDescent="0.2">
      <c r="A73" s="14"/>
      <c r="B73" s="10" t="s">
        <v>31</v>
      </c>
      <c r="C73" s="4">
        <v>8.3000000000000007</v>
      </c>
      <c r="D73" s="4">
        <v>17.899999999999999</v>
      </c>
      <c r="E73" s="4">
        <v>25.9</v>
      </c>
      <c r="F73" s="4">
        <v>26.7</v>
      </c>
      <c r="G73" s="4">
        <v>16.7</v>
      </c>
      <c r="H73" s="4">
        <v>95.5</v>
      </c>
      <c r="I73" s="13">
        <v>11360</v>
      </c>
      <c r="J73" s="4">
        <v>19.5</v>
      </c>
      <c r="K73" s="4">
        <v>23.6</v>
      </c>
      <c r="L73" s="4">
        <v>24.6</v>
      </c>
      <c r="M73" s="4">
        <v>19.100000000000001</v>
      </c>
      <c r="N73" s="4">
        <v>10.3</v>
      </c>
      <c r="O73" s="4">
        <v>97.1</v>
      </c>
      <c r="P73" s="13">
        <v>7874</v>
      </c>
      <c r="Q73" s="4">
        <v>12.9</v>
      </c>
      <c r="R73" s="4">
        <v>20.3</v>
      </c>
      <c r="S73" s="4">
        <v>25.4</v>
      </c>
      <c r="T73" s="4">
        <v>23.6</v>
      </c>
      <c r="U73" s="4">
        <v>14.1</v>
      </c>
      <c r="V73" s="4">
        <v>96.2</v>
      </c>
      <c r="W73" s="13">
        <v>19234</v>
      </c>
      <c r="X73" s="14"/>
      <c r="Y73" s="14"/>
      <c r="AA73" s="74"/>
      <c r="AB73" s="74"/>
      <c r="AC73" s="74"/>
      <c r="AD73" s="74"/>
      <c r="AE73" s="74"/>
      <c r="AF73" s="74"/>
      <c r="AG73" s="74"/>
      <c r="AH73" s="74"/>
      <c r="AI73" s="74"/>
      <c r="AJ73" s="74"/>
      <c r="AK73" s="74"/>
      <c r="AL73" s="74"/>
      <c r="AM73" s="74"/>
      <c r="AN73" s="74"/>
      <c r="AO73" s="74"/>
      <c r="AP73" s="74"/>
      <c r="AQ73" s="74"/>
      <c r="AR73" s="74"/>
      <c r="AS73" s="74"/>
      <c r="AT73" s="74"/>
      <c r="AU73" s="74"/>
      <c r="AV73" s="74"/>
      <c r="AX73" s="77"/>
      <c r="AY73" s="77"/>
      <c r="AZ73" s="77"/>
      <c r="BA73" s="77"/>
      <c r="BB73" s="77"/>
      <c r="BC73" s="77"/>
      <c r="BD73" s="77"/>
      <c r="BE73" s="77"/>
      <c r="BF73" s="77"/>
      <c r="BG73" s="77"/>
      <c r="BH73" s="77"/>
      <c r="BI73" s="77"/>
      <c r="BJ73" s="77"/>
      <c r="BK73" s="77"/>
      <c r="BL73" s="77"/>
      <c r="BM73" s="77"/>
      <c r="BN73" s="77"/>
      <c r="BO73" s="77"/>
      <c r="BP73" s="77"/>
      <c r="BQ73" s="77"/>
      <c r="BR73" s="77"/>
      <c r="BS73" s="77"/>
    </row>
    <row r="74" spans="1:71" x14ac:dyDescent="0.2">
      <c r="A74" s="14"/>
      <c r="B74" s="10" t="s">
        <v>32</v>
      </c>
      <c r="C74" s="4">
        <v>11.5</v>
      </c>
      <c r="D74" s="4">
        <v>17</v>
      </c>
      <c r="E74" s="4">
        <v>22</v>
      </c>
      <c r="F74" s="4">
        <v>23.7</v>
      </c>
      <c r="G74" s="4">
        <v>17.600000000000001</v>
      </c>
      <c r="H74" s="4">
        <v>91.7</v>
      </c>
      <c r="I74" s="13">
        <v>27009</v>
      </c>
      <c r="J74" s="4">
        <v>12.8</v>
      </c>
      <c r="K74" s="4">
        <v>18.100000000000001</v>
      </c>
      <c r="L74" s="4">
        <v>23.7</v>
      </c>
      <c r="M74" s="4">
        <v>23.2</v>
      </c>
      <c r="N74" s="4">
        <v>15.9</v>
      </c>
      <c r="O74" s="4">
        <v>93.7</v>
      </c>
      <c r="P74" s="13">
        <v>30181</v>
      </c>
      <c r="Q74" s="4">
        <v>12.2</v>
      </c>
      <c r="R74" s="4">
        <v>17.600000000000001</v>
      </c>
      <c r="S74" s="4">
        <v>22.9</v>
      </c>
      <c r="T74" s="4">
        <v>23.4</v>
      </c>
      <c r="U74" s="4">
        <v>16.7</v>
      </c>
      <c r="V74" s="4">
        <v>92.7</v>
      </c>
      <c r="W74" s="13">
        <v>57190</v>
      </c>
      <c r="X74" s="14"/>
      <c r="Y74" s="14"/>
      <c r="AA74" s="74"/>
      <c r="AB74" s="74"/>
      <c r="AC74" s="74"/>
      <c r="AD74" s="74"/>
      <c r="AE74" s="74"/>
      <c r="AF74" s="74"/>
      <c r="AG74" s="74"/>
      <c r="AH74" s="74"/>
      <c r="AI74" s="74"/>
      <c r="AJ74" s="74"/>
      <c r="AK74" s="74"/>
      <c r="AL74" s="74"/>
      <c r="AM74" s="74"/>
      <c r="AN74" s="74"/>
      <c r="AO74" s="74"/>
      <c r="AP74" s="74"/>
      <c r="AQ74" s="74"/>
      <c r="AR74" s="74"/>
      <c r="AS74" s="74"/>
      <c r="AT74" s="74"/>
      <c r="AU74" s="74"/>
      <c r="AV74" s="74"/>
      <c r="AX74" s="77"/>
      <c r="AY74" s="77"/>
      <c r="AZ74" s="77"/>
      <c r="BA74" s="77"/>
      <c r="BB74" s="77"/>
      <c r="BC74" s="77"/>
      <c r="BD74" s="77"/>
      <c r="BE74" s="77"/>
      <c r="BF74" s="77"/>
      <c r="BG74" s="77"/>
      <c r="BH74" s="77"/>
      <c r="BI74" s="77"/>
      <c r="BJ74" s="77"/>
      <c r="BK74" s="77"/>
      <c r="BL74" s="77"/>
      <c r="BM74" s="77"/>
      <c r="BN74" s="77"/>
      <c r="BO74" s="77"/>
      <c r="BP74" s="77"/>
      <c r="BQ74" s="77"/>
      <c r="BR74" s="77"/>
      <c r="BS74" s="77"/>
    </row>
    <row r="75" spans="1:71" x14ac:dyDescent="0.2">
      <c r="A75" s="14"/>
      <c r="B75" s="10" t="s">
        <v>46</v>
      </c>
      <c r="C75" s="4">
        <v>21</v>
      </c>
      <c r="D75" s="4">
        <v>21.7</v>
      </c>
      <c r="E75" s="4">
        <v>23</v>
      </c>
      <c r="F75" s="4">
        <v>18.899999999999999</v>
      </c>
      <c r="G75" s="4">
        <v>11.3</v>
      </c>
      <c r="H75" s="4">
        <v>95.8</v>
      </c>
      <c r="I75" s="13">
        <v>312254</v>
      </c>
      <c r="J75" s="4">
        <v>23.4</v>
      </c>
      <c r="K75" s="4">
        <v>24.5</v>
      </c>
      <c r="L75" s="4">
        <v>23.8</v>
      </c>
      <c r="M75" s="4">
        <v>17</v>
      </c>
      <c r="N75" s="4">
        <v>8.5</v>
      </c>
      <c r="O75" s="4">
        <v>97.3</v>
      </c>
      <c r="P75" s="13">
        <v>363670</v>
      </c>
      <c r="Q75" s="4">
        <v>22.3</v>
      </c>
      <c r="R75" s="4">
        <v>23.2</v>
      </c>
      <c r="S75" s="4">
        <v>23.4</v>
      </c>
      <c r="T75" s="4">
        <v>17.899999999999999</v>
      </c>
      <c r="U75" s="4">
        <v>9.8000000000000007</v>
      </c>
      <c r="V75" s="4">
        <v>96.6</v>
      </c>
      <c r="W75" s="13">
        <v>675924</v>
      </c>
      <c r="X75" s="14"/>
      <c r="Y75" s="14"/>
      <c r="AA75" s="74"/>
      <c r="AB75" s="74"/>
      <c r="AC75" s="74"/>
      <c r="AD75" s="74"/>
      <c r="AE75" s="74"/>
      <c r="AF75" s="74"/>
      <c r="AG75" s="74"/>
      <c r="AH75" s="74"/>
      <c r="AI75" s="74"/>
      <c r="AJ75" s="74"/>
      <c r="AK75" s="74"/>
      <c r="AL75" s="74"/>
      <c r="AM75" s="74"/>
      <c r="AN75" s="74"/>
      <c r="AO75" s="74"/>
      <c r="AP75" s="74"/>
      <c r="AQ75" s="74"/>
      <c r="AR75" s="74"/>
      <c r="AS75" s="74"/>
      <c r="AT75" s="74"/>
      <c r="AU75" s="74"/>
      <c r="AV75" s="74"/>
      <c r="AX75" s="77"/>
      <c r="AY75" s="77"/>
      <c r="AZ75" s="77"/>
      <c r="BA75" s="77"/>
      <c r="BB75" s="77"/>
      <c r="BC75" s="77"/>
      <c r="BD75" s="77"/>
      <c r="BE75" s="77"/>
      <c r="BF75" s="77"/>
      <c r="BG75" s="77"/>
      <c r="BH75" s="77"/>
      <c r="BI75" s="77"/>
      <c r="BJ75" s="77"/>
      <c r="BK75" s="77"/>
      <c r="BL75" s="77"/>
      <c r="BM75" s="77"/>
      <c r="BN75" s="77"/>
      <c r="BO75" s="77"/>
      <c r="BP75" s="77"/>
      <c r="BQ75" s="77"/>
      <c r="BR75" s="77"/>
      <c r="BS75" s="77"/>
    </row>
    <row r="76" spans="1:71" x14ac:dyDescent="0.2">
      <c r="A76" s="14"/>
    </row>
    <row r="77" spans="1:71" x14ac:dyDescent="0.2">
      <c r="A77" s="14"/>
      <c r="B77" s="11" t="s">
        <v>0</v>
      </c>
      <c r="C77" s="14">
        <f>ROUND(C41,1)</f>
        <v>20.3</v>
      </c>
      <c r="D77" s="14">
        <f t="shared" ref="D77:V77" si="0">ROUND(D41,1)</f>
        <v>20.6</v>
      </c>
      <c r="E77" s="14">
        <f t="shared" si="0"/>
        <v>20.5</v>
      </c>
      <c r="F77" s="14">
        <f t="shared" si="0"/>
        <v>18.100000000000001</v>
      </c>
      <c r="G77" s="14">
        <f t="shared" si="0"/>
        <v>14.2</v>
      </c>
      <c r="H77" s="14">
        <f t="shared" si="0"/>
        <v>93.7</v>
      </c>
      <c r="I77" s="120">
        <f>ROUND(I41,0)</f>
        <v>17620</v>
      </c>
      <c r="J77" s="14">
        <f t="shared" si="0"/>
        <v>24</v>
      </c>
      <c r="K77" s="14">
        <f t="shared" si="0"/>
        <v>22</v>
      </c>
      <c r="L77" s="14">
        <f t="shared" si="0"/>
        <v>20.9</v>
      </c>
      <c r="M77" s="14">
        <f t="shared" si="0"/>
        <v>16.899999999999999</v>
      </c>
      <c r="N77" s="14">
        <f t="shared" si="0"/>
        <v>11.6</v>
      </c>
      <c r="O77" s="14">
        <f t="shared" si="0"/>
        <v>95.4</v>
      </c>
      <c r="P77" s="120">
        <f>ROUND(P41,0)</f>
        <v>26615</v>
      </c>
      <c r="Q77" s="14">
        <f t="shared" si="0"/>
        <v>22.5</v>
      </c>
      <c r="R77" s="14">
        <f t="shared" si="0"/>
        <v>21.4</v>
      </c>
      <c r="S77" s="14">
        <f t="shared" si="0"/>
        <v>20.8</v>
      </c>
      <c r="T77" s="14">
        <f t="shared" si="0"/>
        <v>17.399999999999999</v>
      </c>
      <c r="U77" s="14">
        <f t="shared" si="0"/>
        <v>12.6</v>
      </c>
      <c r="V77" s="14">
        <f t="shared" si="0"/>
        <v>94.7</v>
      </c>
      <c r="W77" s="120">
        <f>ROUND(W41,0)</f>
        <v>44235</v>
      </c>
    </row>
    <row r="78" spans="1:71" x14ac:dyDescent="0.2">
      <c r="A78" s="14"/>
      <c r="B78" s="11" t="s">
        <v>1</v>
      </c>
      <c r="C78" s="14">
        <f t="shared" ref="C78:H78" si="1">ROUND(C42,1)</f>
        <v>29.6</v>
      </c>
      <c r="D78" s="14">
        <f t="shared" si="1"/>
        <v>23.3</v>
      </c>
      <c r="E78" s="14">
        <f t="shared" si="1"/>
        <v>19.100000000000001</v>
      </c>
      <c r="F78" s="14">
        <f t="shared" si="1"/>
        <v>14.2</v>
      </c>
      <c r="G78" s="14">
        <f t="shared" si="1"/>
        <v>9.9</v>
      </c>
      <c r="H78" s="14">
        <f t="shared" si="1"/>
        <v>96.1</v>
      </c>
      <c r="I78" s="120">
        <f t="shared" ref="I78:I111" si="2">ROUND(I42,0)</f>
        <v>15841</v>
      </c>
      <c r="J78" s="14">
        <f t="shared" ref="J78:O78" si="3">ROUND(J42,1)</f>
        <v>31.1</v>
      </c>
      <c r="K78" s="14">
        <f t="shared" si="3"/>
        <v>25.5</v>
      </c>
      <c r="L78" s="14">
        <f t="shared" si="3"/>
        <v>19.100000000000001</v>
      </c>
      <c r="M78" s="14">
        <f t="shared" si="3"/>
        <v>13.3</v>
      </c>
      <c r="N78" s="14">
        <f t="shared" si="3"/>
        <v>8.1999999999999993</v>
      </c>
      <c r="O78" s="14">
        <f t="shared" si="3"/>
        <v>97.3</v>
      </c>
      <c r="P78" s="120">
        <f t="shared" ref="P78:P111" si="4">ROUND(P42,0)</f>
        <v>16289</v>
      </c>
      <c r="Q78" s="14">
        <f t="shared" ref="Q78:V78" si="5">ROUND(Q42,1)</f>
        <v>30.4</v>
      </c>
      <c r="R78" s="14">
        <f t="shared" si="5"/>
        <v>24.4</v>
      </c>
      <c r="S78" s="14">
        <f t="shared" si="5"/>
        <v>19.100000000000001</v>
      </c>
      <c r="T78" s="14">
        <f t="shared" si="5"/>
        <v>13.8</v>
      </c>
      <c r="U78" s="14">
        <f t="shared" si="5"/>
        <v>9.1</v>
      </c>
      <c r="V78" s="14">
        <f t="shared" si="5"/>
        <v>96.7</v>
      </c>
      <c r="W78" s="120">
        <f t="shared" ref="W78:W111" si="6">ROUND(W42,0)</f>
        <v>32130</v>
      </c>
    </row>
    <row r="79" spans="1:71" x14ac:dyDescent="0.2">
      <c r="A79" s="14"/>
      <c r="B79" s="11" t="s">
        <v>2</v>
      </c>
      <c r="C79" s="14">
        <f t="shared" ref="C79:H79" si="7">ROUND(C43,1)</f>
        <v>27.3</v>
      </c>
      <c r="D79" s="14">
        <f t="shared" si="7"/>
        <v>20.100000000000001</v>
      </c>
      <c r="E79" s="14">
        <f t="shared" si="7"/>
        <v>19.399999999999999</v>
      </c>
      <c r="F79" s="14">
        <f t="shared" si="7"/>
        <v>15.9</v>
      </c>
      <c r="G79" s="14">
        <f t="shared" si="7"/>
        <v>11.9</v>
      </c>
      <c r="H79" s="14">
        <f t="shared" si="7"/>
        <v>94.6</v>
      </c>
      <c r="I79" s="120">
        <f t="shared" si="2"/>
        <v>19223</v>
      </c>
      <c r="J79" s="14">
        <f t="shared" ref="J79:O79" si="8">ROUND(J43,1)</f>
        <v>34.200000000000003</v>
      </c>
      <c r="K79" s="14">
        <f t="shared" si="8"/>
        <v>23.1</v>
      </c>
      <c r="L79" s="14">
        <f t="shared" si="8"/>
        <v>18.399999999999999</v>
      </c>
      <c r="M79" s="14">
        <f t="shared" si="8"/>
        <v>13.5</v>
      </c>
      <c r="N79" s="14">
        <f t="shared" si="8"/>
        <v>8</v>
      </c>
      <c r="O79" s="14">
        <f t="shared" si="8"/>
        <v>97.2</v>
      </c>
      <c r="P79" s="120">
        <f t="shared" si="4"/>
        <v>5383</v>
      </c>
      <c r="Q79" s="14">
        <f t="shared" ref="Q79:V79" si="9">ROUND(Q43,1)</f>
        <v>28.9</v>
      </c>
      <c r="R79" s="14">
        <f t="shared" si="9"/>
        <v>20.8</v>
      </c>
      <c r="S79" s="14">
        <f t="shared" si="9"/>
        <v>19.2</v>
      </c>
      <c r="T79" s="14">
        <f t="shared" si="9"/>
        <v>15.4</v>
      </c>
      <c r="U79" s="14">
        <f t="shared" si="9"/>
        <v>11</v>
      </c>
      <c r="V79" s="14">
        <f t="shared" si="9"/>
        <v>95.2</v>
      </c>
      <c r="W79" s="120">
        <f t="shared" si="6"/>
        <v>24606</v>
      </c>
    </row>
    <row r="80" spans="1:71" x14ac:dyDescent="0.2">
      <c r="A80" s="14"/>
      <c r="B80" s="11" t="s">
        <v>3</v>
      </c>
      <c r="C80" s="14">
        <f t="shared" ref="C80:H80" si="10">ROUND(C44,1)</f>
        <v>22.9</v>
      </c>
      <c r="D80" s="14">
        <f t="shared" si="10"/>
        <v>18.899999999999999</v>
      </c>
      <c r="E80" s="14">
        <f t="shared" si="10"/>
        <v>22.1</v>
      </c>
      <c r="F80" s="14">
        <f t="shared" si="10"/>
        <v>18.2</v>
      </c>
      <c r="G80" s="14">
        <f t="shared" si="10"/>
        <v>13.6</v>
      </c>
      <c r="H80" s="14">
        <f t="shared" si="10"/>
        <v>95.7</v>
      </c>
      <c r="I80" s="120">
        <f t="shared" si="2"/>
        <v>2737</v>
      </c>
      <c r="J80" s="14">
        <f t="shared" ref="J80:O80" si="11">ROUND(J44,1)</f>
        <v>19.399999999999999</v>
      </c>
      <c r="K80" s="14">
        <f t="shared" si="11"/>
        <v>22.6</v>
      </c>
      <c r="L80" s="14">
        <f t="shared" si="11"/>
        <v>22.3</v>
      </c>
      <c r="M80" s="14">
        <f t="shared" si="11"/>
        <v>20.8</v>
      </c>
      <c r="N80" s="14">
        <f t="shared" si="11"/>
        <v>11.4</v>
      </c>
      <c r="O80" s="14">
        <f t="shared" si="11"/>
        <v>96.4</v>
      </c>
      <c r="P80" s="120">
        <f t="shared" si="4"/>
        <v>1036</v>
      </c>
      <c r="Q80" s="14">
        <f t="shared" ref="Q80:V80" si="12">ROUND(Q44,1)</f>
        <v>21.9</v>
      </c>
      <c r="R80" s="14">
        <f t="shared" si="12"/>
        <v>19.899999999999999</v>
      </c>
      <c r="S80" s="14">
        <f t="shared" si="12"/>
        <v>22.1</v>
      </c>
      <c r="T80" s="14">
        <f t="shared" si="12"/>
        <v>18.899999999999999</v>
      </c>
      <c r="U80" s="14">
        <f t="shared" si="12"/>
        <v>13</v>
      </c>
      <c r="V80" s="14">
        <f t="shared" si="12"/>
        <v>95.9</v>
      </c>
      <c r="W80" s="120">
        <f t="shared" si="6"/>
        <v>3773</v>
      </c>
    </row>
    <row r="81" spans="1:23" x14ac:dyDescent="0.2">
      <c r="A81" s="14"/>
      <c r="B81" s="11" t="s">
        <v>4</v>
      </c>
      <c r="C81" s="14">
        <f t="shared" ref="C81:H81" si="13">ROUND(C45,1)</f>
        <v>36.9</v>
      </c>
      <c r="D81" s="14">
        <f t="shared" si="13"/>
        <v>20.7</v>
      </c>
      <c r="E81" s="14">
        <f t="shared" si="13"/>
        <v>16.8</v>
      </c>
      <c r="F81" s="14">
        <f t="shared" si="13"/>
        <v>12.7</v>
      </c>
      <c r="G81" s="14">
        <f t="shared" si="13"/>
        <v>8.6</v>
      </c>
      <c r="H81" s="14">
        <f t="shared" si="13"/>
        <v>95.7</v>
      </c>
      <c r="I81" s="120">
        <f t="shared" si="2"/>
        <v>28379</v>
      </c>
      <c r="J81" s="14">
        <f t="shared" ref="J81:O81" si="14">ROUND(J45,1)</f>
        <v>39.299999999999997</v>
      </c>
      <c r="K81" s="14">
        <f t="shared" si="14"/>
        <v>22.9</v>
      </c>
      <c r="L81" s="14">
        <f t="shared" si="14"/>
        <v>17</v>
      </c>
      <c r="M81" s="14">
        <f t="shared" si="14"/>
        <v>11.1</v>
      </c>
      <c r="N81" s="14">
        <f t="shared" si="14"/>
        <v>6.8</v>
      </c>
      <c r="O81" s="14">
        <f t="shared" si="14"/>
        <v>97.1</v>
      </c>
      <c r="P81" s="120">
        <f t="shared" si="4"/>
        <v>17638</v>
      </c>
      <c r="Q81" s="14">
        <f t="shared" ref="Q81:V81" si="15">ROUND(Q45,1)</f>
        <v>37.799999999999997</v>
      </c>
      <c r="R81" s="14">
        <f t="shared" si="15"/>
        <v>21.5</v>
      </c>
      <c r="S81" s="14">
        <f t="shared" si="15"/>
        <v>16.899999999999999</v>
      </c>
      <c r="T81" s="14">
        <f t="shared" si="15"/>
        <v>12.1</v>
      </c>
      <c r="U81" s="14">
        <f t="shared" si="15"/>
        <v>8</v>
      </c>
      <c r="V81" s="14">
        <f t="shared" si="15"/>
        <v>96.3</v>
      </c>
      <c r="W81" s="120">
        <f t="shared" si="6"/>
        <v>46017</v>
      </c>
    </row>
    <row r="82" spans="1:23" x14ac:dyDescent="0.2">
      <c r="A82" s="14"/>
      <c r="B82" s="11" t="s">
        <v>5</v>
      </c>
      <c r="C82" s="14">
        <f t="shared" ref="C82:H82" si="16">ROUND(C46,1)</f>
        <v>58.9</v>
      </c>
      <c r="D82" s="14">
        <f t="shared" si="16"/>
        <v>16.899999999999999</v>
      </c>
      <c r="E82" s="14">
        <f t="shared" si="16"/>
        <v>10.9</v>
      </c>
      <c r="F82" s="14">
        <f t="shared" si="16"/>
        <v>6.8</v>
      </c>
      <c r="G82" s="14">
        <f t="shared" si="16"/>
        <v>4.3</v>
      </c>
      <c r="H82" s="14">
        <f t="shared" si="16"/>
        <v>97.7</v>
      </c>
      <c r="I82" s="120">
        <f t="shared" si="2"/>
        <v>3699</v>
      </c>
      <c r="J82" s="14">
        <f t="shared" ref="J82:O82" si="17">ROUND(J46,1)</f>
        <v>61</v>
      </c>
      <c r="K82" s="14">
        <f t="shared" si="17"/>
        <v>16.600000000000001</v>
      </c>
      <c r="L82" s="14">
        <f t="shared" si="17"/>
        <v>10.1</v>
      </c>
      <c r="M82" s="14">
        <f t="shared" si="17"/>
        <v>6.4</v>
      </c>
      <c r="N82" s="14">
        <f t="shared" si="17"/>
        <v>4.4000000000000004</v>
      </c>
      <c r="O82" s="14">
        <f t="shared" si="17"/>
        <v>98.4</v>
      </c>
      <c r="P82" s="120">
        <f t="shared" si="4"/>
        <v>1412</v>
      </c>
      <c r="Q82" s="14">
        <f t="shared" ref="Q82:V82" si="18">ROUND(Q46,1)</f>
        <v>59.4</v>
      </c>
      <c r="R82" s="14">
        <f t="shared" si="18"/>
        <v>16.8</v>
      </c>
      <c r="S82" s="14">
        <f t="shared" si="18"/>
        <v>10.6</v>
      </c>
      <c r="T82" s="14">
        <f t="shared" si="18"/>
        <v>6.7</v>
      </c>
      <c r="U82" s="14">
        <f t="shared" si="18"/>
        <v>4.3</v>
      </c>
      <c r="V82" s="14">
        <f t="shared" si="18"/>
        <v>97.9</v>
      </c>
      <c r="W82" s="120">
        <f t="shared" si="6"/>
        <v>5111</v>
      </c>
    </row>
    <row r="83" spans="1:23" x14ac:dyDescent="0.2">
      <c r="B83" s="11" t="s">
        <v>6</v>
      </c>
      <c r="C83" s="14">
        <f t="shared" ref="C83:H83" si="19">ROUND(C47,1)</f>
        <v>12.3</v>
      </c>
      <c r="D83" s="14">
        <f t="shared" si="19"/>
        <v>20</v>
      </c>
      <c r="E83" s="14">
        <f t="shared" si="19"/>
        <v>25.8</v>
      </c>
      <c r="F83" s="14">
        <f t="shared" si="19"/>
        <v>23.1</v>
      </c>
      <c r="G83" s="14">
        <f t="shared" si="19"/>
        <v>14.5</v>
      </c>
      <c r="H83" s="14">
        <f t="shared" si="19"/>
        <v>95.6</v>
      </c>
      <c r="I83" s="120">
        <f t="shared" si="2"/>
        <v>9504</v>
      </c>
      <c r="J83" s="14">
        <f t="shared" ref="J83:O83" si="20">ROUND(J47,1)</f>
        <v>19.7</v>
      </c>
      <c r="K83" s="14">
        <f t="shared" si="20"/>
        <v>24.6</v>
      </c>
      <c r="L83" s="14">
        <f t="shared" si="20"/>
        <v>25.5</v>
      </c>
      <c r="M83" s="14">
        <f t="shared" si="20"/>
        <v>18.5</v>
      </c>
      <c r="N83" s="14">
        <f t="shared" si="20"/>
        <v>9.6</v>
      </c>
      <c r="O83" s="14">
        <f t="shared" si="20"/>
        <v>97.9</v>
      </c>
      <c r="P83" s="120">
        <f t="shared" si="4"/>
        <v>5978</v>
      </c>
      <c r="Q83" s="14">
        <f t="shared" ref="Q83:V83" si="21">ROUND(Q47,1)</f>
        <v>15.2</v>
      </c>
      <c r="R83" s="14">
        <f t="shared" si="21"/>
        <v>21.8</v>
      </c>
      <c r="S83" s="14">
        <f t="shared" si="21"/>
        <v>25.7</v>
      </c>
      <c r="T83" s="14">
        <f t="shared" si="21"/>
        <v>21.3</v>
      </c>
      <c r="U83" s="14">
        <f t="shared" si="21"/>
        <v>12.6</v>
      </c>
      <c r="V83" s="14">
        <f t="shared" si="21"/>
        <v>96.5</v>
      </c>
      <c r="W83" s="120">
        <f t="shared" si="6"/>
        <v>15482</v>
      </c>
    </row>
    <row r="84" spans="1:23" x14ac:dyDescent="0.2">
      <c r="B84" s="11" t="s">
        <v>7</v>
      </c>
      <c r="C84" s="14">
        <f t="shared" ref="C84:H84" si="22">ROUND(C48,1)</f>
        <v>13.5</v>
      </c>
      <c r="D84" s="14">
        <f t="shared" si="22"/>
        <v>18.8</v>
      </c>
      <c r="E84" s="14">
        <f t="shared" si="22"/>
        <v>21.9</v>
      </c>
      <c r="F84" s="14">
        <f t="shared" si="22"/>
        <v>21.9</v>
      </c>
      <c r="G84" s="14">
        <f t="shared" si="22"/>
        <v>16.600000000000001</v>
      </c>
      <c r="H84" s="14">
        <f t="shared" si="22"/>
        <v>92.8</v>
      </c>
      <c r="I84" s="120">
        <f t="shared" si="2"/>
        <v>6157</v>
      </c>
      <c r="J84" s="14">
        <f t="shared" ref="J84:O84" si="23">ROUND(J48,1)</f>
        <v>17.7</v>
      </c>
      <c r="K84" s="14">
        <f t="shared" si="23"/>
        <v>19.3</v>
      </c>
      <c r="L84" s="14">
        <f t="shared" si="23"/>
        <v>19.5</v>
      </c>
      <c r="M84" s="14">
        <f t="shared" si="23"/>
        <v>23</v>
      </c>
      <c r="N84" s="14">
        <f t="shared" si="23"/>
        <v>14.7</v>
      </c>
      <c r="O84" s="14">
        <f t="shared" si="23"/>
        <v>94.1</v>
      </c>
      <c r="P84" s="120">
        <f t="shared" si="4"/>
        <v>696</v>
      </c>
      <c r="Q84" s="14">
        <f t="shared" ref="Q84:V84" si="24">ROUND(Q48,1)</f>
        <v>14</v>
      </c>
      <c r="R84" s="14">
        <f t="shared" si="24"/>
        <v>18.8</v>
      </c>
      <c r="S84" s="14">
        <f t="shared" si="24"/>
        <v>21.7</v>
      </c>
      <c r="T84" s="14">
        <f t="shared" si="24"/>
        <v>22</v>
      </c>
      <c r="U84" s="14">
        <f t="shared" si="24"/>
        <v>16.399999999999999</v>
      </c>
      <c r="V84" s="14">
        <f t="shared" si="24"/>
        <v>92.9</v>
      </c>
      <c r="W84" s="120">
        <f t="shared" si="6"/>
        <v>6853</v>
      </c>
    </row>
    <row r="85" spans="1:23" x14ac:dyDescent="0.2">
      <c r="B85" s="11" t="s">
        <v>8</v>
      </c>
      <c r="C85" s="14">
        <f t="shared" ref="C85:H85" si="25">ROUND(C49,1)</f>
        <v>5.9</v>
      </c>
      <c r="D85" s="14">
        <f t="shared" si="25"/>
        <v>14.7</v>
      </c>
      <c r="E85" s="14">
        <f t="shared" si="25"/>
        <v>24.5</v>
      </c>
      <c r="F85" s="14">
        <f t="shared" si="25"/>
        <v>28</v>
      </c>
      <c r="G85" s="14">
        <f t="shared" si="25"/>
        <v>19.399999999999999</v>
      </c>
      <c r="H85" s="14">
        <f t="shared" si="25"/>
        <v>92.7</v>
      </c>
      <c r="I85" s="120">
        <f t="shared" si="2"/>
        <v>9418</v>
      </c>
      <c r="J85" s="14">
        <f t="shared" ref="J85:O85" si="26">ROUND(J49,1)</f>
        <v>8.4</v>
      </c>
      <c r="K85" s="14">
        <f t="shared" si="26"/>
        <v>19.2</v>
      </c>
      <c r="L85" s="14">
        <f t="shared" si="26"/>
        <v>27.5</v>
      </c>
      <c r="M85" s="14">
        <f t="shared" si="26"/>
        <v>25.5</v>
      </c>
      <c r="N85" s="14">
        <f t="shared" si="26"/>
        <v>14.8</v>
      </c>
      <c r="O85" s="14">
        <f t="shared" si="26"/>
        <v>95.4</v>
      </c>
      <c r="P85" s="120">
        <f t="shared" si="4"/>
        <v>5031</v>
      </c>
      <c r="Q85" s="14">
        <f t="shared" ref="Q85:V85" si="27">ROUND(Q49,1)</f>
        <v>6.8</v>
      </c>
      <c r="R85" s="14">
        <f t="shared" si="27"/>
        <v>16.3</v>
      </c>
      <c r="S85" s="14">
        <f t="shared" si="27"/>
        <v>25.6</v>
      </c>
      <c r="T85" s="14">
        <f t="shared" si="27"/>
        <v>27.1</v>
      </c>
      <c r="U85" s="14">
        <f t="shared" si="27"/>
        <v>17.8</v>
      </c>
      <c r="V85" s="14">
        <f t="shared" si="27"/>
        <v>93.6</v>
      </c>
      <c r="W85" s="120">
        <f t="shared" si="6"/>
        <v>14449</v>
      </c>
    </row>
    <row r="86" spans="1:23" x14ac:dyDescent="0.2">
      <c r="B86" s="11" t="s">
        <v>9</v>
      </c>
      <c r="C86" s="86" t="s">
        <v>78</v>
      </c>
      <c r="D86" s="14">
        <f t="shared" ref="D86:H86" si="28">ROUND(D50,1)</f>
        <v>12.2</v>
      </c>
      <c r="E86" s="14">
        <f t="shared" si="28"/>
        <v>22</v>
      </c>
      <c r="F86" s="14">
        <f t="shared" si="28"/>
        <v>22</v>
      </c>
      <c r="G86" s="14">
        <f t="shared" si="28"/>
        <v>29.3</v>
      </c>
      <c r="H86" s="14">
        <f t="shared" si="28"/>
        <v>90.2</v>
      </c>
      <c r="I86" s="120">
        <f t="shared" si="2"/>
        <v>41</v>
      </c>
      <c r="J86" s="14">
        <f t="shared" ref="J86:O86" si="29">ROUND(J50,1)</f>
        <v>16.3</v>
      </c>
      <c r="K86" s="14">
        <f t="shared" si="29"/>
        <v>27.5</v>
      </c>
      <c r="L86" s="14">
        <f t="shared" si="29"/>
        <v>20.9</v>
      </c>
      <c r="M86" s="14">
        <f t="shared" si="29"/>
        <v>21.5</v>
      </c>
      <c r="N86" s="14">
        <f t="shared" si="29"/>
        <v>11</v>
      </c>
      <c r="O86" s="14">
        <f t="shared" si="29"/>
        <v>97.2</v>
      </c>
      <c r="P86" s="120">
        <f t="shared" si="4"/>
        <v>498</v>
      </c>
      <c r="Q86" s="14">
        <f t="shared" ref="Q86:V86" si="30">ROUND(Q50,1)</f>
        <v>15.4</v>
      </c>
      <c r="R86" s="14">
        <f t="shared" si="30"/>
        <v>26.3</v>
      </c>
      <c r="S86" s="14">
        <f t="shared" si="30"/>
        <v>21</v>
      </c>
      <c r="T86" s="14">
        <f t="shared" si="30"/>
        <v>21.5</v>
      </c>
      <c r="U86" s="14">
        <f t="shared" si="30"/>
        <v>12.4</v>
      </c>
      <c r="V86" s="14">
        <f t="shared" si="30"/>
        <v>96.7</v>
      </c>
      <c r="W86" s="120">
        <f t="shared" si="6"/>
        <v>539</v>
      </c>
    </row>
    <row r="87" spans="1:23" x14ac:dyDescent="0.2">
      <c r="B87" s="11" t="s">
        <v>10</v>
      </c>
      <c r="C87" s="14">
        <f t="shared" ref="C87:H87" si="31">ROUND(C51,1)</f>
        <v>10.6</v>
      </c>
      <c r="D87" s="14">
        <f t="shared" si="31"/>
        <v>14.5</v>
      </c>
      <c r="E87" s="14">
        <f t="shared" si="31"/>
        <v>21.1</v>
      </c>
      <c r="F87" s="14">
        <f t="shared" si="31"/>
        <v>24</v>
      </c>
      <c r="G87" s="14">
        <f t="shared" si="31"/>
        <v>19.8</v>
      </c>
      <c r="H87" s="14">
        <f t="shared" si="31"/>
        <v>90.1</v>
      </c>
      <c r="I87" s="120">
        <f t="shared" si="2"/>
        <v>1660</v>
      </c>
      <c r="J87" s="14">
        <f t="shared" ref="J87:O87" si="32">ROUND(J51,1)</f>
        <v>14.7</v>
      </c>
      <c r="K87" s="14">
        <f t="shared" si="32"/>
        <v>18.3</v>
      </c>
      <c r="L87" s="14">
        <f t="shared" si="32"/>
        <v>20.9</v>
      </c>
      <c r="M87" s="14">
        <f t="shared" si="32"/>
        <v>18.399999999999999</v>
      </c>
      <c r="N87" s="14">
        <f t="shared" si="32"/>
        <v>17.399999999999999</v>
      </c>
      <c r="O87" s="14">
        <f t="shared" si="32"/>
        <v>89.7</v>
      </c>
      <c r="P87" s="120">
        <f t="shared" si="4"/>
        <v>1000</v>
      </c>
      <c r="Q87" s="14">
        <f t="shared" ref="Q87:V87" si="33">ROUND(Q51,1)</f>
        <v>12.1</v>
      </c>
      <c r="R87" s="14">
        <f t="shared" si="33"/>
        <v>15.9</v>
      </c>
      <c r="S87" s="14">
        <f t="shared" si="33"/>
        <v>21.1</v>
      </c>
      <c r="T87" s="14">
        <f t="shared" si="33"/>
        <v>21.9</v>
      </c>
      <c r="U87" s="14">
        <f t="shared" si="33"/>
        <v>18.899999999999999</v>
      </c>
      <c r="V87" s="14">
        <f t="shared" si="33"/>
        <v>89.9</v>
      </c>
      <c r="W87" s="120">
        <f t="shared" si="6"/>
        <v>2660</v>
      </c>
    </row>
    <row r="88" spans="1:23" x14ac:dyDescent="0.2">
      <c r="B88" s="11" t="s">
        <v>11</v>
      </c>
      <c r="C88" s="14">
        <f t="shared" ref="C88:H88" si="34">ROUND(C52,1)</f>
        <v>13.6</v>
      </c>
      <c r="D88" s="14">
        <f t="shared" si="34"/>
        <v>23.8</v>
      </c>
      <c r="E88" s="14">
        <f t="shared" si="34"/>
        <v>27.9</v>
      </c>
      <c r="F88" s="14">
        <f t="shared" si="34"/>
        <v>22</v>
      </c>
      <c r="G88" s="14">
        <f t="shared" si="34"/>
        <v>10</v>
      </c>
      <c r="H88" s="14">
        <f t="shared" si="34"/>
        <v>97.4</v>
      </c>
      <c r="I88" s="120">
        <f t="shared" si="2"/>
        <v>18623</v>
      </c>
      <c r="J88" s="14">
        <f t="shared" ref="J88:O88" si="35">ROUND(J52,1)</f>
        <v>16.3</v>
      </c>
      <c r="K88" s="14">
        <f t="shared" si="35"/>
        <v>25.1</v>
      </c>
      <c r="L88" s="14">
        <f t="shared" si="35"/>
        <v>27.1</v>
      </c>
      <c r="M88" s="14">
        <f t="shared" si="35"/>
        <v>20.6</v>
      </c>
      <c r="N88" s="14">
        <f t="shared" si="35"/>
        <v>9.1999999999999993</v>
      </c>
      <c r="O88" s="14">
        <f t="shared" si="35"/>
        <v>98.2</v>
      </c>
      <c r="P88" s="120">
        <f t="shared" si="4"/>
        <v>12664</v>
      </c>
      <c r="Q88" s="14">
        <f t="shared" ref="Q88:V88" si="36">ROUND(Q52,1)</f>
        <v>14.7</v>
      </c>
      <c r="R88" s="14">
        <f t="shared" si="36"/>
        <v>24.4</v>
      </c>
      <c r="S88" s="14">
        <f t="shared" si="36"/>
        <v>27.6</v>
      </c>
      <c r="T88" s="14">
        <f t="shared" si="36"/>
        <v>21.4</v>
      </c>
      <c r="U88" s="14">
        <f t="shared" si="36"/>
        <v>9.6999999999999993</v>
      </c>
      <c r="V88" s="14">
        <f t="shared" si="36"/>
        <v>97.7</v>
      </c>
      <c r="W88" s="120">
        <f t="shared" si="6"/>
        <v>31287</v>
      </c>
    </row>
    <row r="89" spans="1:23" x14ac:dyDescent="0.2">
      <c r="B89" s="11" t="s">
        <v>12</v>
      </c>
      <c r="C89" s="14">
        <f t="shared" ref="C89:H89" si="37">ROUND(C53,1)</f>
        <v>31.1</v>
      </c>
      <c r="D89" s="14">
        <f t="shared" si="37"/>
        <v>26.6</v>
      </c>
      <c r="E89" s="14">
        <f t="shared" si="37"/>
        <v>20.7</v>
      </c>
      <c r="F89" s="14">
        <f t="shared" si="37"/>
        <v>13.1</v>
      </c>
      <c r="G89" s="14">
        <f t="shared" si="37"/>
        <v>6.3</v>
      </c>
      <c r="H89" s="14">
        <f t="shared" si="37"/>
        <v>98</v>
      </c>
      <c r="I89" s="120">
        <f t="shared" si="2"/>
        <v>9512</v>
      </c>
      <c r="J89" s="14">
        <f t="shared" ref="J89:O89" si="38">ROUND(J53,1)</f>
        <v>37.1</v>
      </c>
      <c r="K89" s="14">
        <f t="shared" si="38"/>
        <v>26.8</v>
      </c>
      <c r="L89" s="14">
        <f t="shared" si="38"/>
        <v>19.2</v>
      </c>
      <c r="M89" s="14">
        <f t="shared" si="38"/>
        <v>10.9</v>
      </c>
      <c r="N89" s="14">
        <f t="shared" si="38"/>
        <v>4.5</v>
      </c>
      <c r="O89" s="14">
        <f t="shared" si="38"/>
        <v>98.5</v>
      </c>
      <c r="P89" s="120">
        <f t="shared" si="4"/>
        <v>3896</v>
      </c>
      <c r="Q89" s="14">
        <f t="shared" ref="Q89:V89" si="39">ROUND(Q53,1)</f>
        <v>32.9</v>
      </c>
      <c r="R89" s="14">
        <f t="shared" si="39"/>
        <v>26.7</v>
      </c>
      <c r="S89" s="14">
        <f t="shared" si="39"/>
        <v>20.3</v>
      </c>
      <c r="T89" s="14">
        <f t="shared" si="39"/>
        <v>12.5</v>
      </c>
      <c r="U89" s="14">
        <f t="shared" si="39"/>
        <v>5.8</v>
      </c>
      <c r="V89" s="14">
        <f t="shared" si="39"/>
        <v>98.1</v>
      </c>
      <c r="W89" s="120">
        <f t="shared" si="6"/>
        <v>13408</v>
      </c>
    </row>
    <row r="90" spans="1:23" x14ac:dyDescent="0.2">
      <c r="B90" s="11" t="s">
        <v>13</v>
      </c>
      <c r="C90" s="14">
        <f t="shared" ref="C90:H90" si="40">ROUND(C54,1)</f>
        <v>20.3</v>
      </c>
      <c r="D90" s="14">
        <f t="shared" si="40"/>
        <v>25.1</v>
      </c>
      <c r="E90" s="14">
        <f t="shared" si="40"/>
        <v>24.8</v>
      </c>
      <c r="F90" s="14">
        <f t="shared" si="40"/>
        <v>18.5</v>
      </c>
      <c r="G90" s="14">
        <f t="shared" si="40"/>
        <v>9.1999999999999993</v>
      </c>
      <c r="H90" s="14">
        <f t="shared" si="40"/>
        <v>98</v>
      </c>
      <c r="I90" s="120">
        <f t="shared" si="2"/>
        <v>16471</v>
      </c>
      <c r="J90" s="14">
        <f t="shared" ref="J90:O90" si="41">ROUND(J54,1)</f>
        <v>29.1</v>
      </c>
      <c r="K90" s="14">
        <f t="shared" si="41"/>
        <v>27.6</v>
      </c>
      <c r="L90" s="14">
        <f t="shared" si="41"/>
        <v>22.3</v>
      </c>
      <c r="M90" s="14">
        <f t="shared" si="41"/>
        <v>13.7</v>
      </c>
      <c r="N90" s="14">
        <f t="shared" si="41"/>
        <v>6</v>
      </c>
      <c r="O90" s="14">
        <f t="shared" si="41"/>
        <v>98.8</v>
      </c>
      <c r="P90" s="120">
        <f t="shared" si="4"/>
        <v>13435</v>
      </c>
      <c r="Q90" s="14">
        <f t="shared" ref="Q90:V90" si="42">ROUND(Q54,1)</f>
        <v>24.2</v>
      </c>
      <c r="R90" s="14">
        <f t="shared" si="42"/>
        <v>26.2</v>
      </c>
      <c r="S90" s="14">
        <f t="shared" si="42"/>
        <v>23.7</v>
      </c>
      <c r="T90" s="14">
        <f t="shared" si="42"/>
        <v>16.399999999999999</v>
      </c>
      <c r="U90" s="14">
        <f t="shared" si="42"/>
        <v>7.8</v>
      </c>
      <c r="V90" s="14">
        <f t="shared" si="42"/>
        <v>98.3</v>
      </c>
      <c r="W90" s="120">
        <f t="shared" si="6"/>
        <v>29906</v>
      </c>
    </row>
    <row r="91" spans="1:23" x14ac:dyDescent="0.2">
      <c r="B91" s="11" t="s">
        <v>14</v>
      </c>
      <c r="C91" s="14">
        <f t="shared" ref="C91:H91" si="43">ROUND(C55,1)</f>
        <v>26.5</v>
      </c>
      <c r="D91" s="14">
        <f t="shared" si="43"/>
        <v>27.6</v>
      </c>
      <c r="E91" s="14">
        <f t="shared" si="43"/>
        <v>22.2</v>
      </c>
      <c r="F91" s="14">
        <f t="shared" si="43"/>
        <v>14.5</v>
      </c>
      <c r="G91" s="14">
        <f t="shared" si="43"/>
        <v>6.4</v>
      </c>
      <c r="H91" s="14">
        <f t="shared" si="43"/>
        <v>97.2</v>
      </c>
      <c r="I91" s="120">
        <f t="shared" si="2"/>
        <v>5117</v>
      </c>
      <c r="J91" s="14">
        <f t="shared" ref="J91:O91" si="44">ROUND(J55,1)</f>
        <v>32.6</v>
      </c>
      <c r="K91" s="14">
        <f t="shared" si="44"/>
        <v>27.4</v>
      </c>
      <c r="L91" s="14">
        <f t="shared" si="44"/>
        <v>19.5</v>
      </c>
      <c r="M91" s="14">
        <f t="shared" si="44"/>
        <v>12.4</v>
      </c>
      <c r="N91" s="14">
        <f t="shared" si="44"/>
        <v>5.9</v>
      </c>
      <c r="O91" s="14">
        <f t="shared" si="44"/>
        <v>97.8</v>
      </c>
      <c r="P91" s="120">
        <f t="shared" si="4"/>
        <v>3377</v>
      </c>
      <c r="Q91" s="14">
        <f t="shared" ref="Q91:V91" si="45">ROUND(Q55,1)</f>
        <v>28.9</v>
      </c>
      <c r="R91" s="14">
        <f t="shared" si="45"/>
        <v>27.5</v>
      </c>
      <c r="S91" s="14">
        <f t="shared" si="45"/>
        <v>21.1</v>
      </c>
      <c r="T91" s="14">
        <f t="shared" si="45"/>
        <v>13.7</v>
      </c>
      <c r="U91" s="14">
        <f t="shared" si="45"/>
        <v>6.2</v>
      </c>
      <c r="V91" s="14">
        <f t="shared" si="45"/>
        <v>97.4</v>
      </c>
      <c r="W91" s="120">
        <f t="shared" si="6"/>
        <v>8494</v>
      </c>
    </row>
    <row r="92" spans="1:23" x14ac:dyDescent="0.2">
      <c r="B92" s="11" t="s">
        <v>15</v>
      </c>
      <c r="C92" s="14">
        <f t="shared" ref="C92:H92" si="46">ROUND(C56,1)</f>
        <v>22.2</v>
      </c>
      <c r="D92" s="14">
        <f t="shared" si="46"/>
        <v>24.8</v>
      </c>
      <c r="E92" s="14">
        <f t="shared" si="46"/>
        <v>25.2</v>
      </c>
      <c r="F92" s="14">
        <f t="shared" si="46"/>
        <v>17.399999999999999</v>
      </c>
      <c r="G92" s="14">
        <f t="shared" si="46"/>
        <v>8.4</v>
      </c>
      <c r="H92" s="14">
        <f t="shared" si="46"/>
        <v>97.9</v>
      </c>
      <c r="I92" s="120">
        <f t="shared" si="2"/>
        <v>19065</v>
      </c>
      <c r="J92" s="14">
        <f t="shared" ref="J92:O92" si="47">ROUND(J56,1)</f>
        <v>25.1</v>
      </c>
      <c r="K92" s="14">
        <f t="shared" si="47"/>
        <v>27.2</v>
      </c>
      <c r="L92" s="14">
        <f t="shared" si="47"/>
        <v>23.6</v>
      </c>
      <c r="M92" s="14">
        <f t="shared" si="47"/>
        <v>15.8</v>
      </c>
      <c r="N92" s="14">
        <f t="shared" si="47"/>
        <v>6.8</v>
      </c>
      <c r="O92" s="14">
        <f t="shared" si="47"/>
        <v>98.5</v>
      </c>
      <c r="P92" s="120">
        <f t="shared" si="4"/>
        <v>19085</v>
      </c>
      <c r="Q92" s="14">
        <f t="shared" ref="Q92:V92" si="48">ROUND(Q56,1)</f>
        <v>23.6</v>
      </c>
      <c r="R92" s="14">
        <f t="shared" si="48"/>
        <v>26</v>
      </c>
      <c r="S92" s="14">
        <f t="shared" si="48"/>
        <v>24.4</v>
      </c>
      <c r="T92" s="14">
        <f t="shared" si="48"/>
        <v>16.600000000000001</v>
      </c>
      <c r="U92" s="14">
        <f t="shared" si="48"/>
        <v>7.6</v>
      </c>
      <c r="V92" s="14">
        <f t="shared" si="48"/>
        <v>98.2</v>
      </c>
      <c r="W92" s="120">
        <f t="shared" si="6"/>
        <v>38150</v>
      </c>
    </row>
    <row r="93" spans="1:23" x14ac:dyDescent="0.2">
      <c r="B93" s="11" t="s">
        <v>16</v>
      </c>
      <c r="C93" s="14">
        <f t="shared" ref="C93:H93" si="49">ROUND(C57,1)</f>
        <v>14.3</v>
      </c>
      <c r="D93" s="14">
        <f t="shared" si="49"/>
        <v>20.100000000000001</v>
      </c>
      <c r="E93" s="14">
        <f t="shared" si="49"/>
        <v>22.8</v>
      </c>
      <c r="F93" s="14">
        <f t="shared" si="49"/>
        <v>21.5</v>
      </c>
      <c r="G93" s="14">
        <f t="shared" si="49"/>
        <v>14.4</v>
      </c>
      <c r="H93" s="14">
        <f t="shared" si="49"/>
        <v>93.2</v>
      </c>
      <c r="I93" s="120">
        <f t="shared" si="2"/>
        <v>4790</v>
      </c>
      <c r="J93" s="14">
        <f t="shared" ref="J93:O93" si="50">ROUND(J57,1)</f>
        <v>19.7</v>
      </c>
      <c r="K93" s="14">
        <f t="shared" si="50"/>
        <v>22</v>
      </c>
      <c r="L93" s="14">
        <f t="shared" si="50"/>
        <v>23.7</v>
      </c>
      <c r="M93" s="14">
        <f t="shared" si="50"/>
        <v>18.5</v>
      </c>
      <c r="N93" s="14">
        <f t="shared" si="50"/>
        <v>11</v>
      </c>
      <c r="O93" s="14">
        <f t="shared" si="50"/>
        <v>94.8</v>
      </c>
      <c r="P93" s="120">
        <f t="shared" si="4"/>
        <v>7051</v>
      </c>
      <c r="Q93" s="14">
        <f t="shared" ref="Q93:V93" si="51">ROUND(Q57,1)</f>
        <v>17.5</v>
      </c>
      <c r="R93" s="14">
        <f t="shared" si="51"/>
        <v>21.2</v>
      </c>
      <c r="S93" s="14">
        <f t="shared" si="51"/>
        <v>23.3</v>
      </c>
      <c r="T93" s="14">
        <f t="shared" si="51"/>
        <v>19.7</v>
      </c>
      <c r="U93" s="14">
        <f t="shared" si="51"/>
        <v>12.4</v>
      </c>
      <c r="V93" s="14">
        <f t="shared" si="51"/>
        <v>94.1</v>
      </c>
      <c r="W93" s="120">
        <f t="shared" si="6"/>
        <v>11841</v>
      </c>
    </row>
    <row r="94" spans="1:23" x14ac:dyDescent="0.2">
      <c r="B94" s="11" t="s">
        <v>17</v>
      </c>
      <c r="C94" s="14">
        <f t="shared" ref="C94:H94" si="52">ROUND(C58,1)</f>
        <v>11.3</v>
      </c>
      <c r="D94" s="14">
        <f t="shared" si="52"/>
        <v>19.2</v>
      </c>
      <c r="E94" s="14">
        <f t="shared" si="52"/>
        <v>24.4</v>
      </c>
      <c r="F94" s="14">
        <f t="shared" si="52"/>
        <v>22.2</v>
      </c>
      <c r="G94" s="14">
        <f t="shared" si="52"/>
        <v>16.399999999999999</v>
      </c>
      <c r="H94" s="14">
        <f t="shared" si="52"/>
        <v>93.5</v>
      </c>
      <c r="I94" s="120">
        <f t="shared" si="2"/>
        <v>10786</v>
      </c>
      <c r="J94" s="14">
        <f t="shared" ref="J94:O94" si="53">ROUND(J58,1)</f>
        <v>20.6</v>
      </c>
      <c r="K94" s="14">
        <f t="shared" si="53"/>
        <v>24.4</v>
      </c>
      <c r="L94" s="14">
        <f t="shared" si="53"/>
        <v>24</v>
      </c>
      <c r="M94" s="14">
        <f t="shared" si="53"/>
        <v>17.7</v>
      </c>
      <c r="N94" s="14">
        <f t="shared" si="53"/>
        <v>9.8000000000000007</v>
      </c>
      <c r="O94" s="14">
        <f t="shared" si="53"/>
        <v>96.5</v>
      </c>
      <c r="P94" s="120">
        <f t="shared" si="4"/>
        <v>32021</v>
      </c>
      <c r="Q94" s="14">
        <f t="shared" ref="Q94:V94" si="54">ROUND(Q58,1)</f>
        <v>18.3</v>
      </c>
      <c r="R94" s="14">
        <f t="shared" si="54"/>
        <v>23.1</v>
      </c>
      <c r="S94" s="14">
        <f t="shared" si="54"/>
        <v>24.1</v>
      </c>
      <c r="T94" s="14">
        <f t="shared" si="54"/>
        <v>18.8</v>
      </c>
      <c r="U94" s="14">
        <f t="shared" si="54"/>
        <v>11.5</v>
      </c>
      <c r="V94" s="14">
        <f t="shared" si="54"/>
        <v>95.8</v>
      </c>
      <c r="W94" s="120">
        <f t="shared" si="6"/>
        <v>42807</v>
      </c>
    </row>
    <row r="95" spans="1:23" x14ac:dyDescent="0.2">
      <c r="B95" s="11" t="s">
        <v>18</v>
      </c>
      <c r="C95" s="14">
        <f t="shared" ref="C95:H95" si="55">ROUND(C59,1)</f>
        <v>14.1</v>
      </c>
      <c r="D95" s="14">
        <f t="shared" si="55"/>
        <v>23.5</v>
      </c>
      <c r="E95" s="14">
        <f t="shared" si="55"/>
        <v>26.6</v>
      </c>
      <c r="F95" s="14">
        <f t="shared" si="55"/>
        <v>21.9</v>
      </c>
      <c r="G95" s="14">
        <f t="shared" si="55"/>
        <v>10</v>
      </c>
      <c r="H95" s="14">
        <f t="shared" si="55"/>
        <v>96.1</v>
      </c>
      <c r="I95" s="120">
        <f t="shared" si="2"/>
        <v>5350</v>
      </c>
      <c r="J95" s="14">
        <f t="shared" ref="J95:O95" si="56">ROUND(J59,1)</f>
        <v>20.100000000000001</v>
      </c>
      <c r="K95" s="14">
        <f t="shared" si="56"/>
        <v>25.6</v>
      </c>
      <c r="L95" s="14">
        <f t="shared" si="56"/>
        <v>26.2</v>
      </c>
      <c r="M95" s="14">
        <f t="shared" si="56"/>
        <v>17.899999999999999</v>
      </c>
      <c r="N95" s="14">
        <f t="shared" si="56"/>
        <v>7.8</v>
      </c>
      <c r="O95" s="14">
        <f t="shared" si="56"/>
        <v>97.7</v>
      </c>
      <c r="P95" s="120">
        <f t="shared" si="4"/>
        <v>17010</v>
      </c>
      <c r="Q95" s="14">
        <f t="shared" ref="Q95:V95" si="57">ROUND(Q59,1)</f>
        <v>18.7</v>
      </c>
      <c r="R95" s="14">
        <f t="shared" si="57"/>
        <v>25.1</v>
      </c>
      <c r="S95" s="14">
        <f t="shared" si="57"/>
        <v>26.3</v>
      </c>
      <c r="T95" s="14">
        <f t="shared" si="57"/>
        <v>18.899999999999999</v>
      </c>
      <c r="U95" s="14">
        <f t="shared" si="57"/>
        <v>8.3000000000000007</v>
      </c>
      <c r="V95" s="14">
        <f t="shared" si="57"/>
        <v>97.3</v>
      </c>
      <c r="W95" s="120">
        <f t="shared" si="6"/>
        <v>22360</v>
      </c>
    </row>
    <row r="96" spans="1:23" x14ac:dyDescent="0.2">
      <c r="B96" s="11" t="s">
        <v>19</v>
      </c>
      <c r="C96" s="14">
        <f t="shared" ref="C96:H96" si="58">ROUND(C60,1)</f>
        <v>18.100000000000001</v>
      </c>
      <c r="D96" s="14">
        <f t="shared" si="58"/>
        <v>22.4</v>
      </c>
      <c r="E96" s="14">
        <f t="shared" si="58"/>
        <v>25.9</v>
      </c>
      <c r="F96" s="14">
        <f t="shared" si="58"/>
        <v>19.600000000000001</v>
      </c>
      <c r="G96" s="14">
        <f t="shared" si="58"/>
        <v>10</v>
      </c>
      <c r="H96" s="14">
        <f t="shared" si="58"/>
        <v>95.9</v>
      </c>
      <c r="I96" s="120">
        <f t="shared" si="2"/>
        <v>1206</v>
      </c>
      <c r="J96" s="14">
        <f t="shared" ref="J96:O96" si="59">ROUND(J60,1)</f>
        <v>19.2</v>
      </c>
      <c r="K96" s="14">
        <f t="shared" si="59"/>
        <v>26.9</v>
      </c>
      <c r="L96" s="14">
        <f t="shared" si="59"/>
        <v>22.1</v>
      </c>
      <c r="M96" s="14">
        <f t="shared" si="59"/>
        <v>17.8</v>
      </c>
      <c r="N96" s="14">
        <f t="shared" si="59"/>
        <v>10.199999999999999</v>
      </c>
      <c r="O96" s="14">
        <f t="shared" si="59"/>
        <v>96.1</v>
      </c>
      <c r="P96" s="120">
        <f t="shared" si="4"/>
        <v>1132</v>
      </c>
      <c r="Q96" s="14">
        <f t="shared" ref="Q96:V96" si="60">ROUND(Q60,1)</f>
        <v>18.600000000000001</v>
      </c>
      <c r="R96" s="14">
        <f t="shared" si="60"/>
        <v>24.6</v>
      </c>
      <c r="S96" s="14">
        <f t="shared" si="60"/>
        <v>24</v>
      </c>
      <c r="T96" s="14">
        <f t="shared" si="60"/>
        <v>18.7</v>
      </c>
      <c r="U96" s="14">
        <f t="shared" si="60"/>
        <v>10.1</v>
      </c>
      <c r="V96" s="14">
        <f t="shared" si="60"/>
        <v>96</v>
      </c>
      <c r="W96" s="120">
        <f t="shared" si="6"/>
        <v>2338</v>
      </c>
    </row>
    <row r="97" spans="2:23" x14ac:dyDescent="0.2">
      <c r="B97" s="11" t="s">
        <v>20</v>
      </c>
      <c r="C97" s="14">
        <f t="shared" ref="C97:H97" si="61">ROUND(C61,1)</f>
        <v>22</v>
      </c>
      <c r="D97" s="14">
        <f t="shared" si="61"/>
        <v>21.7</v>
      </c>
      <c r="E97" s="14">
        <f t="shared" si="61"/>
        <v>22.9</v>
      </c>
      <c r="F97" s="14">
        <f t="shared" si="61"/>
        <v>18.3</v>
      </c>
      <c r="G97" s="14">
        <f t="shared" si="61"/>
        <v>10.5</v>
      </c>
      <c r="H97" s="14">
        <f t="shared" si="61"/>
        <v>95.4</v>
      </c>
      <c r="I97" s="120">
        <f t="shared" si="2"/>
        <v>10940</v>
      </c>
      <c r="J97" s="14">
        <f t="shared" ref="J97:O97" si="62">ROUND(J61,1)</f>
        <v>29.3</v>
      </c>
      <c r="K97" s="14">
        <f t="shared" si="62"/>
        <v>25.1</v>
      </c>
      <c r="L97" s="14">
        <f t="shared" si="62"/>
        <v>22.1</v>
      </c>
      <c r="M97" s="14">
        <f t="shared" si="62"/>
        <v>14.4</v>
      </c>
      <c r="N97" s="14">
        <f t="shared" si="62"/>
        <v>6.6</v>
      </c>
      <c r="O97" s="14">
        <f t="shared" si="62"/>
        <v>97.5</v>
      </c>
      <c r="P97" s="120">
        <f t="shared" si="4"/>
        <v>23625</v>
      </c>
      <c r="Q97" s="14">
        <f t="shared" ref="Q97:V97" si="63">ROUND(Q61,1)</f>
        <v>27</v>
      </c>
      <c r="R97" s="14">
        <f t="shared" si="63"/>
        <v>24</v>
      </c>
      <c r="S97" s="14">
        <f t="shared" si="63"/>
        <v>22.4</v>
      </c>
      <c r="T97" s="14">
        <f t="shared" si="63"/>
        <v>15.6</v>
      </c>
      <c r="U97" s="14">
        <f t="shared" si="63"/>
        <v>7.8</v>
      </c>
      <c r="V97" s="14">
        <f t="shared" si="63"/>
        <v>96.9</v>
      </c>
      <c r="W97" s="120">
        <f t="shared" si="6"/>
        <v>34565</v>
      </c>
    </row>
    <row r="98" spans="2:23" x14ac:dyDescent="0.2">
      <c r="B98" s="11" t="s">
        <v>21</v>
      </c>
      <c r="C98" s="14">
        <f t="shared" ref="C98:H98" si="64">ROUND(C62,1)</f>
        <v>12.2</v>
      </c>
      <c r="D98" s="14">
        <f t="shared" si="64"/>
        <v>25.8</v>
      </c>
      <c r="E98" s="14">
        <f t="shared" si="64"/>
        <v>31.4</v>
      </c>
      <c r="F98" s="14">
        <f t="shared" si="64"/>
        <v>20.3</v>
      </c>
      <c r="G98" s="14">
        <f t="shared" si="64"/>
        <v>8.6999999999999993</v>
      </c>
      <c r="H98" s="14">
        <f t="shared" si="64"/>
        <v>98.3</v>
      </c>
      <c r="I98" s="120">
        <f t="shared" si="2"/>
        <v>4003</v>
      </c>
      <c r="J98" s="14">
        <f t="shared" ref="J98:O98" si="65">ROUND(J62,1)</f>
        <v>16.7</v>
      </c>
      <c r="K98" s="14">
        <f t="shared" si="65"/>
        <v>30.1</v>
      </c>
      <c r="L98" s="14">
        <f t="shared" si="65"/>
        <v>31.6</v>
      </c>
      <c r="M98" s="14">
        <f t="shared" si="65"/>
        <v>15.8</v>
      </c>
      <c r="N98" s="14">
        <f t="shared" si="65"/>
        <v>4.8</v>
      </c>
      <c r="O98" s="14">
        <f t="shared" si="65"/>
        <v>99</v>
      </c>
      <c r="P98" s="120">
        <f t="shared" si="4"/>
        <v>9952</v>
      </c>
      <c r="Q98" s="14">
        <f t="shared" ref="Q98:V98" si="66">ROUND(Q62,1)</f>
        <v>15.4</v>
      </c>
      <c r="R98" s="14">
        <f t="shared" si="66"/>
        <v>28.9</v>
      </c>
      <c r="S98" s="14">
        <f t="shared" si="66"/>
        <v>31.6</v>
      </c>
      <c r="T98" s="14">
        <f t="shared" si="66"/>
        <v>17.100000000000001</v>
      </c>
      <c r="U98" s="14">
        <f t="shared" si="66"/>
        <v>5.9</v>
      </c>
      <c r="V98" s="14">
        <f t="shared" si="66"/>
        <v>98.8</v>
      </c>
      <c r="W98" s="120">
        <f t="shared" si="6"/>
        <v>13955</v>
      </c>
    </row>
    <row r="99" spans="2:23" x14ac:dyDescent="0.2">
      <c r="B99" s="11" t="s">
        <v>22</v>
      </c>
      <c r="C99" s="14">
        <f t="shared" ref="C99:H99" si="67">ROUND(C63,1)</f>
        <v>21</v>
      </c>
      <c r="D99" s="14">
        <f t="shared" si="67"/>
        <v>22.7</v>
      </c>
      <c r="E99" s="14">
        <f t="shared" si="67"/>
        <v>26.1</v>
      </c>
      <c r="F99" s="14">
        <f t="shared" si="67"/>
        <v>20.2</v>
      </c>
      <c r="G99" s="14">
        <f t="shared" si="67"/>
        <v>8.3000000000000007</v>
      </c>
      <c r="H99" s="14">
        <f t="shared" si="67"/>
        <v>98.3</v>
      </c>
      <c r="I99" s="120">
        <f t="shared" si="2"/>
        <v>22312</v>
      </c>
      <c r="J99" s="14">
        <f t="shared" ref="J99:O99" si="68">ROUND(J63,1)</f>
        <v>20.100000000000001</v>
      </c>
      <c r="K99" s="14">
        <f t="shared" si="68"/>
        <v>23.8</v>
      </c>
      <c r="L99" s="14">
        <f t="shared" si="68"/>
        <v>27.5</v>
      </c>
      <c r="M99" s="14">
        <f t="shared" si="68"/>
        <v>19.899999999999999</v>
      </c>
      <c r="N99" s="14">
        <f t="shared" si="68"/>
        <v>7.3</v>
      </c>
      <c r="O99" s="14">
        <f t="shared" si="68"/>
        <v>98.7</v>
      </c>
      <c r="P99" s="120">
        <f t="shared" si="4"/>
        <v>50655</v>
      </c>
      <c r="Q99" s="14">
        <f t="shared" ref="Q99:V99" si="69">ROUND(Q63,1)</f>
        <v>20.399999999999999</v>
      </c>
      <c r="R99" s="14">
        <f t="shared" si="69"/>
        <v>23.5</v>
      </c>
      <c r="S99" s="14">
        <f t="shared" si="69"/>
        <v>27.1</v>
      </c>
      <c r="T99" s="14">
        <f t="shared" si="69"/>
        <v>20</v>
      </c>
      <c r="U99" s="14">
        <f t="shared" si="69"/>
        <v>7.6</v>
      </c>
      <c r="V99" s="14">
        <f t="shared" si="69"/>
        <v>98.6</v>
      </c>
      <c r="W99" s="120">
        <f t="shared" si="6"/>
        <v>72967</v>
      </c>
    </row>
    <row r="100" spans="2:23" x14ac:dyDescent="0.2">
      <c r="B100" s="11" t="s">
        <v>51</v>
      </c>
      <c r="C100" s="14">
        <f t="shared" ref="C100:H100" si="70">ROUND(C64,1)</f>
        <v>10</v>
      </c>
      <c r="D100" s="14">
        <f t="shared" si="70"/>
        <v>22.4</v>
      </c>
      <c r="E100" s="14">
        <f t="shared" si="70"/>
        <v>32.6</v>
      </c>
      <c r="F100" s="14">
        <f t="shared" si="70"/>
        <v>24.6</v>
      </c>
      <c r="G100" s="14">
        <f t="shared" si="70"/>
        <v>8.4</v>
      </c>
      <c r="H100" s="14">
        <f t="shared" si="70"/>
        <v>97.9</v>
      </c>
      <c r="I100" s="120">
        <f t="shared" si="2"/>
        <v>9066</v>
      </c>
      <c r="J100" s="14">
        <f t="shared" ref="J100:O100" si="71">ROUND(J64,1)</f>
        <v>14.9</v>
      </c>
      <c r="K100" s="14">
        <f t="shared" si="71"/>
        <v>29.1</v>
      </c>
      <c r="L100" s="14">
        <f t="shared" si="71"/>
        <v>31.3</v>
      </c>
      <c r="M100" s="14">
        <f t="shared" si="71"/>
        <v>18.2</v>
      </c>
      <c r="N100" s="14">
        <f t="shared" si="71"/>
        <v>5.2</v>
      </c>
      <c r="O100" s="14">
        <f t="shared" si="71"/>
        <v>98.7</v>
      </c>
      <c r="P100" s="120">
        <f t="shared" si="4"/>
        <v>11924</v>
      </c>
      <c r="Q100" s="14">
        <f t="shared" ref="Q100:V100" si="72">ROUND(Q64,1)</f>
        <v>12.8</v>
      </c>
      <c r="R100" s="14">
        <f t="shared" si="72"/>
        <v>26.2</v>
      </c>
      <c r="S100" s="14">
        <f t="shared" si="72"/>
        <v>31.8</v>
      </c>
      <c r="T100" s="14">
        <f t="shared" si="72"/>
        <v>20.9</v>
      </c>
      <c r="U100" s="14">
        <f t="shared" si="72"/>
        <v>6.6</v>
      </c>
      <c r="V100" s="14">
        <f t="shared" si="72"/>
        <v>98.3</v>
      </c>
      <c r="W100" s="120">
        <f t="shared" si="6"/>
        <v>20990</v>
      </c>
    </row>
    <row r="101" spans="2:23" x14ac:dyDescent="0.2">
      <c r="B101" s="11" t="s">
        <v>23</v>
      </c>
      <c r="C101" s="14">
        <f t="shared" ref="C101:H101" si="73">ROUND(C65,1)</f>
        <v>13.5</v>
      </c>
      <c r="D101" s="14">
        <f t="shared" si="73"/>
        <v>28.1</v>
      </c>
      <c r="E101" s="14">
        <f t="shared" si="73"/>
        <v>32.200000000000003</v>
      </c>
      <c r="F101" s="14">
        <f t="shared" si="73"/>
        <v>18.600000000000001</v>
      </c>
      <c r="G101" s="14">
        <f t="shared" si="73"/>
        <v>5.5</v>
      </c>
      <c r="H101" s="14">
        <f t="shared" si="73"/>
        <v>97.9</v>
      </c>
      <c r="I101" s="120">
        <f t="shared" si="2"/>
        <v>3095</v>
      </c>
      <c r="J101" s="14">
        <f t="shared" ref="J101:O101" si="74">ROUND(J65,1)</f>
        <v>14.7</v>
      </c>
      <c r="K101" s="14">
        <f t="shared" si="74"/>
        <v>30</v>
      </c>
      <c r="L101" s="14">
        <f t="shared" si="74"/>
        <v>33.6</v>
      </c>
      <c r="M101" s="14">
        <f t="shared" si="74"/>
        <v>16</v>
      </c>
      <c r="N101" s="14">
        <f t="shared" si="74"/>
        <v>4.7</v>
      </c>
      <c r="O101" s="14">
        <f t="shared" si="74"/>
        <v>99</v>
      </c>
      <c r="P101" s="120">
        <f t="shared" si="4"/>
        <v>5214</v>
      </c>
      <c r="Q101" s="14">
        <f t="shared" ref="Q101:V101" si="75">ROUND(Q65,1)</f>
        <v>14.2</v>
      </c>
      <c r="R101" s="14">
        <f t="shared" si="75"/>
        <v>29.3</v>
      </c>
      <c r="S101" s="14">
        <f t="shared" si="75"/>
        <v>33.1</v>
      </c>
      <c r="T101" s="14">
        <f t="shared" si="75"/>
        <v>17</v>
      </c>
      <c r="U101" s="14">
        <f t="shared" si="75"/>
        <v>5</v>
      </c>
      <c r="V101" s="14">
        <f t="shared" si="75"/>
        <v>98.6</v>
      </c>
      <c r="W101" s="120">
        <f t="shared" si="6"/>
        <v>8309</v>
      </c>
    </row>
    <row r="102" spans="2:23" x14ac:dyDescent="0.2">
      <c r="B102" s="11" t="s">
        <v>24</v>
      </c>
      <c r="C102" s="14">
        <f t="shared" ref="C102:H102" si="76">ROUND(C66,1)</f>
        <v>34.5</v>
      </c>
      <c r="D102" s="14">
        <f t="shared" si="76"/>
        <v>26.7</v>
      </c>
      <c r="E102" s="14">
        <f t="shared" si="76"/>
        <v>18.899999999999999</v>
      </c>
      <c r="F102" s="14">
        <f t="shared" si="76"/>
        <v>12.1</v>
      </c>
      <c r="G102" s="14">
        <f t="shared" si="76"/>
        <v>6</v>
      </c>
      <c r="H102" s="14">
        <f t="shared" si="76"/>
        <v>98.3</v>
      </c>
      <c r="I102" s="120">
        <f t="shared" si="2"/>
        <v>4075</v>
      </c>
      <c r="J102" s="14">
        <f t="shared" ref="J102:O102" si="77">ROUND(J66,1)</f>
        <v>32.9</v>
      </c>
      <c r="K102" s="14">
        <f t="shared" si="77"/>
        <v>26.1</v>
      </c>
      <c r="L102" s="14">
        <f t="shared" si="77"/>
        <v>20.100000000000001</v>
      </c>
      <c r="M102" s="14">
        <f t="shared" si="77"/>
        <v>13.4</v>
      </c>
      <c r="N102" s="14">
        <f t="shared" si="77"/>
        <v>6.1</v>
      </c>
      <c r="O102" s="14">
        <f t="shared" si="77"/>
        <v>98.7</v>
      </c>
      <c r="P102" s="120">
        <f t="shared" si="4"/>
        <v>8405</v>
      </c>
      <c r="Q102" s="14">
        <f t="shared" ref="Q102:V102" si="78">ROUND(Q66,1)</f>
        <v>33.4</v>
      </c>
      <c r="R102" s="14">
        <f t="shared" si="78"/>
        <v>26.3</v>
      </c>
      <c r="S102" s="14">
        <f t="shared" si="78"/>
        <v>19.7</v>
      </c>
      <c r="T102" s="14">
        <f t="shared" si="78"/>
        <v>13</v>
      </c>
      <c r="U102" s="14">
        <f t="shared" si="78"/>
        <v>6.1</v>
      </c>
      <c r="V102" s="14">
        <f t="shared" si="78"/>
        <v>98.5</v>
      </c>
      <c r="W102" s="120">
        <f t="shared" si="6"/>
        <v>12480</v>
      </c>
    </row>
    <row r="103" spans="2:23" x14ac:dyDescent="0.2">
      <c r="B103" s="11" t="s">
        <v>25</v>
      </c>
      <c r="C103" s="14">
        <f t="shared" ref="C103:H103" si="79">ROUND(C67,1)</f>
        <v>34.6</v>
      </c>
      <c r="D103" s="14">
        <f t="shared" si="79"/>
        <v>23.2</v>
      </c>
      <c r="E103" s="14">
        <f t="shared" si="79"/>
        <v>17.5</v>
      </c>
      <c r="F103" s="14">
        <f t="shared" si="79"/>
        <v>14.8</v>
      </c>
      <c r="G103" s="14">
        <f t="shared" si="79"/>
        <v>7.1</v>
      </c>
      <c r="H103" s="14">
        <f t="shared" si="79"/>
        <v>97.2</v>
      </c>
      <c r="I103" s="120">
        <f t="shared" si="2"/>
        <v>2021</v>
      </c>
      <c r="J103" s="14">
        <f t="shared" ref="J103:O103" si="80">ROUND(J67,1)</f>
        <v>30.6</v>
      </c>
      <c r="K103" s="14">
        <f t="shared" si="80"/>
        <v>25</v>
      </c>
      <c r="L103" s="14">
        <f t="shared" si="80"/>
        <v>20.8</v>
      </c>
      <c r="M103" s="14">
        <f t="shared" si="80"/>
        <v>14.7</v>
      </c>
      <c r="N103" s="14">
        <f t="shared" si="80"/>
        <v>7.2</v>
      </c>
      <c r="O103" s="14">
        <f t="shared" si="80"/>
        <v>98.3</v>
      </c>
      <c r="P103" s="120">
        <f t="shared" si="4"/>
        <v>3622</v>
      </c>
      <c r="Q103" s="14">
        <f t="shared" ref="Q103:V103" si="81">ROUND(Q67,1)</f>
        <v>32</v>
      </c>
      <c r="R103" s="14">
        <f t="shared" si="81"/>
        <v>24.3</v>
      </c>
      <c r="S103" s="14">
        <f t="shared" si="81"/>
        <v>19.600000000000001</v>
      </c>
      <c r="T103" s="14">
        <f t="shared" si="81"/>
        <v>14.7</v>
      </c>
      <c r="U103" s="14">
        <f t="shared" si="81"/>
        <v>7.2</v>
      </c>
      <c r="V103" s="14">
        <f t="shared" si="81"/>
        <v>97.9</v>
      </c>
      <c r="W103" s="120">
        <f t="shared" si="6"/>
        <v>5643</v>
      </c>
    </row>
    <row r="104" spans="2:23" x14ac:dyDescent="0.2">
      <c r="B104" s="11" t="s">
        <v>26</v>
      </c>
      <c r="C104" s="14">
        <f t="shared" ref="C104:H104" si="82">ROUND(C68,1)</f>
        <v>39.6</v>
      </c>
      <c r="D104" s="14">
        <f t="shared" si="82"/>
        <v>26.7</v>
      </c>
      <c r="E104" s="14">
        <f t="shared" si="82"/>
        <v>18.100000000000001</v>
      </c>
      <c r="F104" s="14">
        <f t="shared" si="82"/>
        <v>9.4</v>
      </c>
      <c r="G104" s="14">
        <f t="shared" si="82"/>
        <v>4.5999999999999996</v>
      </c>
      <c r="H104" s="14">
        <f t="shared" si="82"/>
        <v>98.4</v>
      </c>
      <c r="I104" s="120">
        <f t="shared" si="2"/>
        <v>1411</v>
      </c>
      <c r="J104" s="14">
        <f t="shared" ref="J104:O104" si="83">ROUND(J68,1)</f>
        <v>33.5</v>
      </c>
      <c r="K104" s="14">
        <f t="shared" si="83"/>
        <v>27.4</v>
      </c>
      <c r="L104" s="14">
        <f t="shared" si="83"/>
        <v>20.7</v>
      </c>
      <c r="M104" s="14">
        <f t="shared" si="83"/>
        <v>11.7</v>
      </c>
      <c r="N104" s="14">
        <f t="shared" si="83"/>
        <v>5.2</v>
      </c>
      <c r="O104" s="14">
        <f t="shared" si="83"/>
        <v>98.4</v>
      </c>
      <c r="P104" s="120">
        <f t="shared" si="4"/>
        <v>3239</v>
      </c>
      <c r="Q104" s="14">
        <f t="shared" ref="Q104:V104" si="84">ROUND(Q68,1)</f>
        <v>35.299999999999997</v>
      </c>
      <c r="R104" s="14">
        <f t="shared" si="84"/>
        <v>27.2</v>
      </c>
      <c r="S104" s="14">
        <f t="shared" si="84"/>
        <v>19.899999999999999</v>
      </c>
      <c r="T104" s="14">
        <f t="shared" si="84"/>
        <v>11</v>
      </c>
      <c r="U104" s="14">
        <f t="shared" si="84"/>
        <v>5.0999999999999996</v>
      </c>
      <c r="V104" s="14">
        <f t="shared" si="84"/>
        <v>98.4</v>
      </c>
      <c r="W104" s="120">
        <f t="shared" si="6"/>
        <v>4650</v>
      </c>
    </row>
    <row r="105" spans="2:23" x14ac:dyDescent="0.2">
      <c r="B105" s="11" t="s">
        <v>27</v>
      </c>
      <c r="C105" s="14">
        <f t="shared" ref="C105:H105" si="85">ROUND(C69,1)</f>
        <v>40.4</v>
      </c>
      <c r="D105" s="14">
        <f t="shared" si="85"/>
        <v>30.7</v>
      </c>
      <c r="E105" s="14">
        <f t="shared" si="85"/>
        <v>15.1</v>
      </c>
      <c r="F105" s="14">
        <f t="shared" si="85"/>
        <v>6.6</v>
      </c>
      <c r="G105" s="14">
        <f t="shared" si="85"/>
        <v>3.1</v>
      </c>
      <c r="H105" s="14">
        <f t="shared" si="85"/>
        <v>95.9</v>
      </c>
      <c r="I105" s="120">
        <f t="shared" si="2"/>
        <v>1815</v>
      </c>
      <c r="J105" s="14">
        <f t="shared" ref="J105:O105" si="86">ROUND(J69,1)</f>
        <v>47.6</v>
      </c>
      <c r="K105" s="14">
        <f t="shared" si="86"/>
        <v>29.5</v>
      </c>
      <c r="L105" s="14">
        <f t="shared" si="86"/>
        <v>12.9</v>
      </c>
      <c r="M105" s="14">
        <f t="shared" si="86"/>
        <v>5.5</v>
      </c>
      <c r="N105" s="14">
        <f t="shared" si="86"/>
        <v>1.9</v>
      </c>
      <c r="O105" s="14">
        <f t="shared" si="86"/>
        <v>97.5</v>
      </c>
      <c r="P105" s="120">
        <f t="shared" si="4"/>
        <v>2464</v>
      </c>
      <c r="Q105" s="14">
        <f t="shared" ref="Q105:V105" si="87">ROUND(Q69,1)</f>
        <v>44.6</v>
      </c>
      <c r="R105" s="14">
        <f t="shared" si="87"/>
        <v>30</v>
      </c>
      <c r="S105" s="14">
        <f t="shared" si="87"/>
        <v>13.8</v>
      </c>
      <c r="T105" s="14">
        <f t="shared" si="87"/>
        <v>6</v>
      </c>
      <c r="U105" s="14">
        <f t="shared" si="87"/>
        <v>2.4</v>
      </c>
      <c r="V105" s="14">
        <f t="shared" si="87"/>
        <v>96.8</v>
      </c>
      <c r="W105" s="120">
        <f t="shared" si="6"/>
        <v>4279</v>
      </c>
    </row>
    <row r="106" spans="2:23" x14ac:dyDescent="0.2">
      <c r="B106" s="11" t="s">
        <v>28</v>
      </c>
      <c r="C106" s="14">
        <f t="shared" ref="C106:H106" si="88">ROUND(C70,1)</f>
        <v>34.9</v>
      </c>
      <c r="D106" s="14">
        <f t="shared" si="88"/>
        <v>25.8</v>
      </c>
      <c r="E106" s="14">
        <f t="shared" si="88"/>
        <v>22</v>
      </c>
      <c r="F106" s="14">
        <f t="shared" si="88"/>
        <v>11.4</v>
      </c>
      <c r="G106" s="14">
        <f t="shared" si="88"/>
        <v>4.7</v>
      </c>
      <c r="H106" s="14">
        <f t="shared" si="88"/>
        <v>98.8</v>
      </c>
      <c r="I106" s="120">
        <f t="shared" si="2"/>
        <v>2201</v>
      </c>
      <c r="J106" s="14">
        <f t="shared" ref="J106:O106" si="89">ROUND(J70,1)</f>
        <v>35.799999999999997</v>
      </c>
      <c r="K106" s="14">
        <f t="shared" si="89"/>
        <v>29.5</v>
      </c>
      <c r="L106" s="14">
        <f t="shared" si="89"/>
        <v>19.8</v>
      </c>
      <c r="M106" s="14">
        <f t="shared" si="89"/>
        <v>10.8</v>
      </c>
      <c r="N106" s="14">
        <f t="shared" si="89"/>
        <v>3.2</v>
      </c>
      <c r="O106" s="14">
        <f t="shared" si="89"/>
        <v>99.1</v>
      </c>
      <c r="P106" s="120">
        <f t="shared" si="4"/>
        <v>3060</v>
      </c>
      <c r="Q106" s="14">
        <f t="shared" ref="Q106:V106" si="90">ROUND(Q70,1)</f>
        <v>35.4</v>
      </c>
      <c r="R106" s="14">
        <f t="shared" si="90"/>
        <v>27.9</v>
      </c>
      <c r="S106" s="14">
        <f t="shared" si="90"/>
        <v>20.7</v>
      </c>
      <c r="T106" s="14">
        <f t="shared" si="90"/>
        <v>11.1</v>
      </c>
      <c r="U106" s="14">
        <f t="shared" si="90"/>
        <v>3.8</v>
      </c>
      <c r="V106" s="14">
        <f t="shared" si="90"/>
        <v>99</v>
      </c>
      <c r="W106" s="120">
        <f t="shared" si="6"/>
        <v>5261</v>
      </c>
    </row>
    <row r="107" spans="2:23" x14ac:dyDescent="0.2">
      <c r="B107" s="11" t="s">
        <v>29</v>
      </c>
      <c r="C107" s="14">
        <f t="shared" ref="C107:H107" si="91">ROUND(C71,1)</f>
        <v>25.9</v>
      </c>
      <c r="D107" s="14">
        <f t="shared" si="91"/>
        <v>28.1</v>
      </c>
      <c r="E107" s="14">
        <f t="shared" si="91"/>
        <v>23.9</v>
      </c>
      <c r="F107" s="14">
        <f t="shared" si="91"/>
        <v>14</v>
      </c>
      <c r="G107" s="14">
        <f t="shared" si="91"/>
        <v>6.2</v>
      </c>
      <c r="H107" s="14">
        <f t="shared" si="91"/>
        <v>98.1</v>
      </c>
      <c r="I107" s="120">
        <f t="shared" si="2"/>
        <v>3499</v>
      </c>
      <c r="J107" s="14">
        <f t="shared" ref="J107:O107" si="92">ROUND(J71,1)</f>
        <v>25.5</v>
      </c>
      <c r="K107" s="14">
        <f t="shared" si="92"/>
        <v>30.2</v>
      </c>
      <c r="L107" s="14">
        <f t="shared" si="92"/>
        <v>23.7</v>
      </c>
      <c r="M107" s="14">
        <f t="shared" si="92"/>
        <v>14</v>
      </c>
      <c r="N107" s="14">
        <f t="shared" si="92"/>
        <v>5.2</v>
      </c>
      <c r="O107" s="14">
        <f t="shared" si="92"/>
        <v>98.6</v>
      </c>
      <c r="P107" s="120">
        <f t="shared" si="4"/>
        <v>8226</v>
      </c>
      <c r="Q107" s="14">
        <f t="shared" ref="Q107:V107" si="93">ROUND(Q71,1)</f>
        <v>25.6</v>
      </c>
      <c r="R107" s="14">
        <f t="shared" si="93"/>
        <v>29.6</v>
      </c>
      <c r="S107" s="14">
        <f t="shared" si="93"/>
        <v>23.8</v>
      </c>
      <c r="T107" s="14">
        <f t="shared" si="93"/>
        <v>14</v>
      </c>
      <c r="U107" s="14">
        <f t="shared" si="93"/>
        <v>5.5</v>
      </c>
      <c r="V107" s="14">
        <f t="shared" si="93"/>
        <v>98.5</v>
      </c>
      <c r="W107" s="120">
        <f t="shared" si="6"/>
        <v>11725</v>
      </c>
    </row>
    <row r="108" spans="2:23" x14ac:dyDescent="0.2">
      <c r="B108" s="11" t="s">
        <v>30</v>
      </c>
      <c r="C108" s="14">
        <f t="shared" ref="C108:H108" si="94">ROUND(C72,1)</f>
        <v>17.100000000000001</v>
      </c>
      <c r="D108" s="14">
        <f t="shared" si="94"/>
        <v>21.1</v>
      </c>
      <c r="E108" s="14">
        <f t="shared" si="94"/>
        <v>23.7</v>
      </c>
      <c r="F108" s="14">
        <f t="shared" si="94"/>
        <v>21.2</v>
      </c>
      <c r="G108" s="14">
        <f t="shared" si="94"/>
        <v>11.6</v>
      </c>
      <c r="H108" s="14">
        <f t="shared" si="94"/>
        <v>94.8</v>
      </c>
      <c r="I108" s="120">
        <f t="shared" si="2"/>
        <v>4248</v>
      </c>
      <c r="J108" s="14">
        <f t="shared" ref="J108:O108" si="95">ROUND(J72,1)</f>
        <v>23.5</v>
      </c>
      <c r="K108" s="14">
        <f t="shared" si="95"/>
        <v>22.9</v>
      </c>
      <c r="L108" s="14">
        <f t="shared" si="95"/>
        <v>24</v>
      </c>
      <c r="M108" s="14">
        <f t="shared" si="95"/>
        <v>18</v>
      </c>
      <c r="N108" s="14">
        <f t="shared" si="95"/>
        <v>9.4</v>
      </c>
      <c r="O108" s="14">
        <f t="shared" si="95"/>
        <v>97.7</v>
      </c>
      <c r="P108" s="120">
        <f t="shared" si="4"/>
        <v>3982</v>
      </c>
      <c r="Q108" s="14">
        <f t="shared" ref="Q108:V108" si="96">ROUND(Q72,1)</f>
        <v>20.2</v>
      </c>
      <c r="R108" s="14">
        <f t="shared" si="96"/>
        <v>22</v>
      </c>
      <c r="S108" s="14">
        <f t="shared" si="96"/>
        <v>23.9</v>
      </c>
      <c r="T108" s="14">
        <f t="shared" si="96"/>
        <v>19.7</v>
      </c>
      <c r="U108" s="14">
        <f t="shared" si="96"/>
        <v>10.5</v>
      </c>
      <c r="V108" s="14">
        <f t="shared" si="96"/>
        <v>96.2</v>
      </c>
      <c r="W108" s="120">
        <f t="shared" si="6"/>
        <v>8230</v>
      </c>
    </row>
    <row r="109" spans="2:23" x14ac:dyDescent="0.2">
      <c r="B109" s="11" t="s">
        <v>31</v>
      </c>
      <c r="C109" s="14">
        <f t="shared" ref="C109:H109" si="97">ROUND(C73,1)</f>
        <v>8.3000000000000007</v>
      </c>
      <c r="D109" s="14">
        <f t="shared" si="97"/>
        <v>17.899999999999999</v>
      </c>
      <c r="E109" s="14">
        <f t="shared" si="97"/>
        <v>25.9</v>
      </c>
      <c r="F109" s="14">
        <f t="shared" si="97"/>
        <v>26.7</v>
      </c>
      <c r="G109" s="14">
        <f t="shared" si="97"/>
        <v>16.7</v>
      </c>
      <c r="H109" s="14">
        <f t="shared" si="97"/>
        <v>95.5</v>
      </c>
      <c r="I109" s="120">
        <f t="shared" si="2"/>
        <v>11360</v>
      </c>
      <c r="J109" s="14">
        <f t="shared" ref="J109:O109" si="98">ROUND(J73,1)</f>
        <v>19.5</v>
      </c>
      <c r="K109" s="14">
        <f t="shared" si="98"/>
        <v>23.6</v>
      </c>
      <c r="L109" s="14">
        <f t="shared" si="98"/>
        <v>24.6</v>
      </c>
      <c r="M109" s="14">
        <f t="shared" si="98"/>
        <v>19.100000000000001</v>
      </c>
      <c r="N109" s="14">
        <f t="shared" si="98"/>
        <v>10.3</v>
      </c>
      <c r="O109" s="14">
        <f t="shared" si="98"/>
        <v>97.1</v>
      </c>
      <c r="P109" s="120">
        <f t="shared" si="4"/>
        <v>7874</v>
      </c>
      <c r="Q109" s="14">
        <f t="shared" ref="Q109:V109" si="99">ROUND(Q73,1)</f>
        <v>12.9</v>
      </c>
      <c r="R109" s="14">
        <f t="shared" si="99"/>
        <v>20.3</v>
      </c>
      <c r="S109" s="14">
        <f t="shared" si="99"/>
        <v>25.4</v>
      </c>
      <c r="T109" s="14">
        <f t="shared" si="99"/>
        <v>23.6</v>
      </c>
      <c r="U109" s="14">
        <f t="shared" si="99"/>
        <v>14.1</v>
      </c>
      <c r="V109" s="14">
        <f t="shared" si="99"/>
        <v>96.2</v>
      </c>
      <c r="W109" s="120">
        <f t="shared" si="6"/>
        <v>19234</v>
      </c>
    </row>
    <row r="110" spans="2:23" x14ac:dyDescent="0.2">
      <c r="B110" s="11" t="s">
        <v>32</v>
      </c>
      <c r="C110" s="14">
        <f t="shared" ref="C110:H110" si="100">ROUND(C74,1)</f>
        <v>11.5</v>
      </c>
      <c r="D110" s="14">
        <f t="shared" si="100"/>
        <v>17</v>
      </c>
      <c r="E110" s="14">
        <f t="shared" si="100"/>
        <v>22</v>
      </c>
      <c r="F110" s="14">
        <f t="shared" si="100"/>
        <v>23.7</v>
      </c>
      <c r="G110" s="14">
        <f t="shared" si="100"/>
        <v>17.600000000000001</v>
      </c>
      <c r="H110" s="14">
        <f t="shared" si="100"/>
        <v>91.7</v>
      </c>
      <c r="I110" s="120">
        <f t="shared" si="2"/>
        <v>27009</v>
      </c>
      <c r="J110" s="14">
        <f t="shared" ref="J110:O110" si="101">ROUND(J74,1)</f>
        <v>12.8</v>
      </c>
      <c r="K110" s="14">
        <f t="shared" si="101"/>
        <v>18.100000000000001</v>
      </c>
      <c r="L110" s="14">
        <f t="shared" si="101"/>
        <v>23.7</v>
      </c>
      <c r="M110" s="14">
        <f t="shared" si="101"/>
        <v>23.2</v>
      </c>
      <c r="N110" s="14">
        <f t="shared" si="101"/>
        <v>15.9</v>
      </c>
      <c r="O110" s="14">
        <f t="shared" si="101"/>
        <v>93.7</v>
      </c>
      <c r="P110" s="120">
        <f t="shared" si="4"/>
        <v>30181</v>
      </c>
      <c r="Q110" s="14">
        <f t="shared" ref="Q110:V110" si="102">ROUND(Q74,1)</f>
        <v>12.2</v>
      </c>
      <c r="R110" s="14">
        <f t="shared" si="102"/>
        <v>17.600000000000001</v>
      </c>
      <c r="S110" s="14">
        <f t="shared" si="102"/>
        <v>22.9</v>
      </c>
      <c r="T110" s="14">
        <f t="shared" si="102"/>
        <v>23.4</v>
      </c>
      <c r="U110" s="14">
        <f t="shared" si="102"/>
        <v>16.7</v>
      </c>
      <c r="V110" s="14">
        <f t="shared" si="102"/>
        <v>92.7</v>
      </c>
      <c r="W110" s="120">
        <f t="shared" si="6"/>
        <v>57190</v>
      </c>
    </row>
    <row r="111" spans="2:23" x14ac:dyDescent="0.2">
      <c r="B111" s="11" t="s">
        <v>46</v>
      </c>
      <c r="C111" s="14">
        <f t="shared" ref="C111:H111" si="103">ROUND(C75,1)</f>
        <v>21</v>
      </c>
      <c r="D111" s="14">
        <f t="shared" si="103"/>
        <v>21.7</v>
      </c>
      <c r="E111" s="14">
        <f t="shared" si="103"/>
        <v>23</v>
      </c>
      <c r="F111" s="14">
        <f t="shared" si="103"/>
        <v>18.899999999999999</v>
      </c>
      <c r="G111" s="14">
        <f t="shared" si="103"/>
        <v>11.3</v>
      </c>
      <c r="H111" s="14">
        <f t="shared" si="103"/>
        <v>95.8</v>
      </c>
      <c r="I111" s="120">
        <f t="shared" si="2"/>
        <v>312254</v>
      </c>
      <c r="J111" s="14">
        <f t="shared" ref="J111:O111" si="104">ROUND(J75,1)</f>
        <v>23.4</v>
      </c>
      <c r="K111" s="14">
        <f t="shared" si="104"/>
        <v>24.5</v>
      </c>
      <c r="L111" s="14">
        <f t="shared" si="104"/>
        <v>23.8</v>
      </c>
      <c r="M111" s="14">
        <f t="shared" si="104"/>
        <v>17</v>
      </c>
      <c r="N111" s="14">
        <f t="shared" si="104"/>
        <v>8.5</v>
      </c>
      <c r="O111" s="14">
        <f t="shared" si="104"/>
        <v>97.3</v>
      </c>
      <c r="P111" s="120">
        <f t="shared" si="4"/>
        <v>363670</v>
      </c>
      <c r="Q111" s="14">
        <f t="shared" ref="Q111:V111" si="105">ROUND(Q75,1)</f>
        <v>22.3</v>
      </c>
      <c r="R111" s="14">
        <f t="shared" si="105"/>
        <v>23.2</v>
      </c>
      <c r="S111" s="14">
        <f t="shared" si="105"/>
        <v>23.4</v>
      </c>
      <c r="T111" s="14">
        <f t="shared" si="105"/>
        <v>17.899999999999999</v>
      </c>
      <c r="U111" s="14">
        <f t="shared" si="105"/>
        <v>9.8000000000000007</v>
      </c>
      <c r="V111" s="14">
        <f t="shared" si="105"/>
        <v>96.6</v>
      </c>
      <c r="W111" s="120">
        <f t="shared" si="6"/>
        <v>675924</v>
      </c>
    </row>
    <row r="112" spans="2:23" x14ac:dyDescent="0.2">
      <c r="C112" s="14"/>
      <c r="D112" s="14"/>
      <c r="E112" s="14"/>
      <c r="F112" s="14"/>
      <c r="G112" s="14"/>
      <c r="H112" s="14"/>
      <c r="I112" s="14"/>
      <c r="J112" s="14"/>
      <c r="K112" s="14"/>
      <c r="L112" s="14"/>
      <c r="M112" s="14"/>
      <c r="N112" s="14"/>
      <c r="O112" s="14"/>
      <c r="P112" s="14"/>
      <c r="Q112" s="14"/>
      <c r="R112" s="14"/>
      <c r="S112" s="14"/>
      <c r="T112" s="14"/>
      <c r="U112" s="14"/>
      <c r="V112" s="14"/>
      <c r="W112" s="14"/>
    </row>
    <row r="113" spans="3:23" x14ac:dyDescent="0.2">
      <c r="C113" s="14"/>
      <c r="D113" s="14"/>
      <c r="E113" s="14"/>
      <c r="F113" s="14"/>
      <c r="G113" s="14"/>
      <c r="H113" s="14"/>
      <c r="I113" s="14"/>
      <c r="J113" s="14"/>
      <c r="K113" s="14"/>
      <c r="L113" s="14"/>
      <c r="M113" s="14"/>
      <c r="N113" s="14"/>
      <c r="O113" s="14"/>
      <c r="P113" s="14"/>
      <c r="Q113" s="14"/>
      <c r="R113" s="14"/>
      <c r="S113" s="14"/>
      <c r="T113" s="14"/>
      <c r="U113" s="14"/>
      <c r="V113" s="14"/>
      <c r="W113" s="14"/>
    </row>
    <row r="114" spans="3:23" x14ac:dyDescent="0.2">
      <c r="C114" s="14"/>
      <c r="D114" s="14"/>
      <c r="E114" s="14"/>
      <c r="F114" s="14"/>
      <c r="G114" s="14"/>
      <c r="H114" s="14"/>
      <c r="I114" s="14"/>
      <c r="J114" s="14"/>
      <c r="K114" s="14"/>
      <c r="L114" s="14"/>
      <c r="M114" s="14"/>
      <c r="N114" s="14"/>
      <c r="O114" s="14"/>
      <c r="P114" s="14"/>
      <c r="Q114" s="14"/>
      <c r="R114" s="14"/>
      <c r="S114" s="14"/>
      <c r="T114" s="14"/>
      <c r="U114" s="14"/>
      <c r="V114" s="14"/>
      <c r="W114" s="14"/>
    </row>
    <row r="115" spans="3:23" x14ac:dyDescent="0.2">
      <c r="C115" s="14"/>
      <c r="D115" s="14"/>
      <c r="E115" s="14"/>
      <c r="F115" s="14"/>
      <c r="G115" s="14"/>
      <c r="H115" s="14"/>
      <c r="I115" s="14"/>
      <c r="J115" s="14"/>
      <c r="K115" s="14"/>
      <c r="L115" s="14"/>
      <c r="M115" s="14"/>
      <c r="N115" s="14"/>
      <c r="O115" s="14"/>
      <c r="P115" s="14"/>
      <c r="Q115" s="14"/>
      <c r="R115" s="14"/>
      <c r="S115" s="14"/>
      <c r="T115" s="14"/>
      <c r="U115" s="14"/>
      <c r="V115" s="14"/>
      <c r="W115" s="14"/>
    </row>
    <row r="116" spans="3:23" x14ac:dyDescent="0.2">
      <c r="C116" s="14"/>
      <c r="D116" s="14"/>
      <c r="E116" s="14"/>
      <c r="F116" s="14"/>
      <c r="G116" s="14"/>
      <c r="H116" s="14"/>
      <c r="I116" s="14"/>
      <c r="J116" s="14"/>
      <c r="K116" s="14"/>
      <c r="L116" s="14"/>
      <c r="M116" s="14"/>
      <c r="N116" s="14"/>
      <c r="O116" s="14"/>
      <c r="P116" s="14"/>
      <c r="Q116" s="14"/>
      <c r="R116" s="14"/>
      <c r="S116" s="14"/>
      <c r="T116" s="14"/>
      <c r="U116" s="14"/>
      <c r="V116" s="14"/>
      <c r="W116" s="14"/>
    </row>
  </sheetData>
  <phoneticPr fontId="3" type="noConversion"/>
  <conditionalFormatting sqref="C5:Z39">
    <cfRule type="cellIs" dxfId="6" priority="1" operator="between">
      <formula>1</formula>
      <formula>2</formula>
    </cfRule>
  </conditionalFormatting>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3:BT111"/>
  <sheetViews>
    <sheetView topLeftCell="A19" workbookViewId="0">
      <selection activeCell="A2" sqref="A2"/>
    </sheetView>
  </sheetViews>
  <sheetFormatPr defaultColWidth="9.140625" defaultRowHeight="11.25" x14ac:dyDescent="0.2"/>
  <cols>
    <col min="1" max="16384" width="9.140625" style="11"/>
  </cols>
  <sheetData>
    <row r="3" spans="2:26" ht="11.25" customHeight="1" x14ac:dyDescent="0.2">
      <c r="C3" s="29" t="s">
        <v>39</v>
      </c>
      <c r="D3" s="29"/>
      <c r="E3" s="29"/>
      <c r="F3" s="29"/>
      <c r="G3" s="29"/>
      <c r="H3" s="29"/>
      <c r="I3" s="29" t="s">
        <v>40</v>
      </c>
      <c r="J3" s="29"/>
      <c r="K3" s="29"/>
      <c r="L3" s="29"/>
      <c r="M3" s="29"/>
      <c r="N3" s="29"/>
      <c r="O3" s="29" t="s">
        <v>54</v>
      </c>
      <c r="P3" s="29"/>
      <c r="Q3" s="29"/>
      <c r="R3" s="29"/>
      <c r="S3" s="29"/>
      <c r="T3" s="29"/>
      <c r="U3" s="29" t="s">
        <v>41</v>
      </c>
      <c r="V3" s="29"/>
      <c r="W3" s="29"/>
      <c r="X3" s="29" t="s">
        <v>45</v>
      </c>
      <c r="Y3" s="29"/>
      <c r="Z3" s="29"/>
    </row>
    <row r="4" spans="2:26" x14ac:dyDescent="0.2">
      <c r="C4" s="11" t="s">
        <v>33</v>
      </c>
      <c r="D4" s="11" t="s">
        <v>34</v>
      </c>
      <c r="E4" s="11" t="s">
        <v>35</v>
      </c>
      <c r="F4" s="11" t="s">
        <v>36</v>
      </c>
      <c r="G4" s="11" t="s">
        <v>37</v>
      </c>
      <c r="H4" s="11" t="s">
        <v>38</v>
      </c>
      <c r="I4" s="11" t="s">
        <v>33</v>
      </c>
      <c r="J4" s="11" t="s">
        <v>34</v>
      </c>
      <c r="K4" s="11" t="s">
        <v>35</v>
      </c>
      <c r="L4" s="11" t="s">
        <v>36</v>
      </c>
      <c r="M4" s="11" t="s">
        <v>37</v>
      </c>
      <c r="N4" s="11" t="s">
        <v>38</v>
      </c>
      <c r="O4" s="11" t="s">
        <v>33</v>
      </c>
      <c r="P4" s="11" t="s">
        <v>34</v>
      </c>
      <c r="Q4" s="11" t="s">
        <v>35</v>
      </c>
      <c r="R4" s="11" t="s">
        <v>36</v>
      </c>
      <c r="S4" s="11" t="s">
        <v>37</v>
      </c>
      <c r="T4" s="11" t="s">
        <v>38</v>
      </c>
      <c r="U4" s="11" t="s">
        <v>42</v>
      </c>
      <c r="V4" s="11" t="s">
        <v>43</v>
      </c>
      <c r="W4" s="11" t="s">
        <v>44</v>
      </c>
      <c r="X4" s="11" t="s">
        <v>42</v>
      </c>
      <c r="Y4" s="11" t="s">
        <v>43</v>
      </c>
      <c r="Z4" s="11" t="s">
        <v>44</v>
      </c>
    </row>
    <row r="5" spans="2:26" x14ac:dyDescent="0.2">
      <c r="B5" s="10" t="s">
        <v>0</v>
      </c>
      <c r="C5" s="10">
        <v>4134</v>
      </c>
      <c r="D5" s="10">
        <v>3855</v>
      </c>
      <c r="E5" s="10">
        <v>3825</v>
      </c>
      <c r="F5" s="10">
        <v>3324</v>
      </c>
      <c r="G5" s="10">
        <v>2488</v>
      </c>
      <c r="H5" s="10">
        <v>1055</v>
      </c>
      <c r="I5" s="10">
        <v>6409</v>
      </c>
      <c r="J5" s="10">
        <v>6056</v>
      </c>
      <c r="K5" s="10">
        <v>5548</v>
      </c>
      <c r="L5" s="10">
        <v>4574</v>
      </c>
      <c r="M5" s="10">
        <v>3196</v>
      </c>
      <c r="N5" s="10">
        <v>1198</v>
      </c>
      <c r="O5" s="10">
        <v>10543</v>
      </c>
      <c r="P5" s="10">
        <v>9911</v>
      </c>
      <c r="Q5" s="10">
        <v>9373</v>
      </c>
      <c r="R5" s="10">
        <v>7898</v>
      </c>
      <c r="S5" s="10">
        <v>5684</v>
      </c>
      <c r="T5" s="10">
        <v>2253</v>
      </c>
      <c r="U5" s="11">
        <v>18681</v>
      </c>
      <c r="V5" s="11">
        <v>26981</v>
      </c>
      <c r="W5" s="11">
        <v>45662</v>
      </c>
      <c r="X5" s="11">
        <v>17626</v>
      </c>
      <c r="Y5" s="11">
        <v>25783</v>
      </c>
      <c r="Z5" s="11">
        <v>43409</v>
      </c>
    </row>
    <row r="6" spans="2:26" x14ac:dyDescent="0.2">
      <c r="B6" s="10" t="s">
        <v>1</v>
      </c>
      <c r="C6" s="10">
        <v>4852</v>
      </c>
      <c r="D6" s="10">
        <v>4029</v>
      </c>
      <c r="E6" s="10">
        <v>3203</v>
      </c>
      <c r="F6" s="10">
        <v>2461</v>
      </c>
      <c r="G6" s="10">
        <v>1609</v>
      </c>
      <c r="H6" s="10">
        <v>630</v>
      </c>
      <c r="I6" s="10">
        <v>5063</v>
      </c>
      <c r="J6" s="10">
        <v>4227</v>
      </c>
      <c r="K6" s="10">
        <v>3137</v>
      </c>
      <c r="L6" s="10">
        <v>2163</v>
      </c>
      <c r="M6" s="10">
        <v>1295</v>
      </c>
      <c r="N6" s="10">
        <v>495</v>
      </c>
      <c r="O6" s="10">
        <v>9915</v>
      </c>
      <c r="P6" s="10">
        <v>8256</v>
      </c>
      <c r="Q6" s="10">
        <v>6340</v>
      </c>
      <c r="R6" s="10">
        <v>4624</v>
      </c>
      <c r="S6" s="10">
        <v>2904</v>
      </c>
      <c r="T6" s="10">
        <v>1125</v>
      </c>
      <c r="U6" s="11">
        <v>16784</v>
      </c>
      <c r="V6" s="11">
        <v>16380</v>
      </c>
      <c r="W6" s="11">
        <v>33164</v>
      </c>
      <c r="X6" s="11">
        <v>16154</v>
      </c>
      <c r="Y6" s="11">
        <v>15885</v>
      </c>
      <c r="Z6" s="11">
        <v>32039</v>
      </c>
    </row>
    <row r="7" spans="2:26" x14ac:dyDescent="0.2">
      <c r="B7" s="10" t="s">
        <v>2</v>
      </c>
      <c r="C7" s="10">
        <v>5171</v>
      </c>
      <c r="D7" s="10">
        <v>3936</v>
      </c>
      <c r="E7" s="10">
        <v>3521</v>
      </c>
      <c r="F7" s="10">
        <v>3069</v>
      </c>
      <c r="G7" s="10">
        <v>2265</v>
      </c>
      <c r="H7" s="10">
        <v>958</v>
      </c>
      <c r="I7" s="10">
        <v>1769</v>
      </c>
      <c r="J7" s="10">
        <v>1185</v>
      </c>
      <c r="K7" s="10">
        <v>937</v>
      </c>
      <c r="L7" s="10">
        <v>659</v>
      </c>
      <c r="M7" s="10">
        <v>445</v>
      </c>
      <c r="N7" s="10">
        <v>179</v>
      </c>
      <c r="O7" s="10">
        <v>6940</v>
      </c>
      <c r="P7" s="10">
        <v>5121</v>
      </c>
      <c r="Q7" s="10">
        <v>4458</v>
      </c>
      <c r="R7" s="10">
        <v>3728</v>
      </c>
      <c r="S7" s="10">
        <v>2710</v>
      </c>
      <c r="T7" s="10">
        <v>1137</v>
      </c>
      <c r="U7" s="11">
        <v>18920</v>
      </c>
      <c r="V7" s="11">
        <v>5174</v>
      </c>
      <c r="W7" s="11">
        <v>24094</v>
      </c>
      <c r="X7" s="11">
        <v>17962</v>
      </c>
      <c r="Y7" s="11">
        <v>4995</v>
      </c>
      <c r="Z7" s="11">
        <v>22957</v>
      </c>
    </row>
    <row r="8" spans="2:26" x14ac:dyDescent="0.2">
      <c r="B8" s="10" t="s">
        <v>3</v>
      </c>
      <c r="C8" s="10">
        <v>582</v>
      </c>
      <c r="D8" s="10">
        <v>584</v>
      </c>
      <c r="E8" s="10">
        <v>566</v>
      </c>
      <c r="F8" s="10">
        <v>540</v>
      </c>
      <c r="G8" s="10">
        <v>352</v>
      </c>
      <c r="H8" s="10">
        <v>118</v>
      </c>
      <c r="I8" s="10">
        <v>202</v>
      </c>
      <c r="J8" s="10">
        <v>237</v>
      </c>
      <c r="K8" s="10">
        <v>225</v>
      </c>
      <c r="L8" s="10">
        <v>201</v>
      </c>
      <c r="M8" s="10">
        <v>139</v>
      </c>
      <c r="N8" s="10">
        <v>33</v>
      </c>
      <c r="O8" s="10">
        <v>784</v>
      </c>
      <c r="P8" s="10">
        <v>821</v>
      </c>
      <c r="Q8" s="10">
        <v>791</v>
      </c>
      <c r="R8" s="10">
        <v>741</v>
      </c>
      <c r="S8" s="10">
        <v>491</v>
      </c>
      <c r="T8" s="10">
        <v>151</v>
      </c>
      <c r="U8" s="11">
        <v>2742</v>
      </c>
      <c r="V8" s="11">
        <v>1037</v>
      </c>
      <c r="W8" s="11">
        <v>3779</v>
      </c>
      <c r="X8" s="11">
        <v>2624</v>
      </c>
      <c r="Y8" s="11">
        <v>1004</v>
      </c>
      <c r="Z8" s="11">
        <v>3628</v>
      </c>
    </row>
    <row r="9" spans="2:26" x14ac:dyDescent="0.2">
      <c r="B9" s="10" t="s">
        <v>4</v>
      </c>
      <c r="C9" s="10">
        <v>11202</v>
      </c>
      <c r="D9" s="10">
        <v>5987</v>
      </c>
      <c r="E9" s="10">
        <v>4665</v>
      </c>
      <c r="F9" s="10">
        <v>3450</v>
      </c>
      <c r="G9" s="10">
        <v>2224</v>
      </c>
      <c r="H9" s="10">
        <v>1083</v>
      </c>
      <c r="I9" s="10">
        <v>7493</v>
      </c>
      <c r="J9" s="10">
        <v>3942</v>
      </c>
      <c r="K9" s="10">
        <v>2715</v>
      </c>
      <c r="L9" s="10">
        <v>1856</v>
      </c>
      <c r="M9" s="10">
        <v>1023</v>
      </c>
      <c r="N9" s="10">
        <v>394</v>
      </c>
      <c r="O9" s="10">
        <v>18695</v>
      </c>
      <c r="P9" s="10">
        <v>9929</v>
      </c>
      <c r="Q9" s="10">
        <v>7380</v>
      </c>
      <c r="R9" s="10">
        <v>5306</v>
      </c>
      <c r="S9" s="10">
        <v>3247</v>
      </c>
      <c r="T9" s="10">
        <v>1477</v>
      </c>
      <c r="U9" s="11">
        <v>28611</v>
      </c>
      <c r="V9" s="11">
        <v>17423</v>
      </c>
      <c r="W9" s="11">
        <v>46034</v>
      </c>
      <c r="X9" s="11">
        <v>27528</v>
      </c>
      <c r="Y9" s="11">
        <v>17029</v>
      </c>
      <c r="Z9" s="11">
        <v>44557</v>
      </c>
    </row>
    <row r="10" spans="2:26" x14ac:dyDescent="0.2">
      <c r="B10" s="10" t="s">
        <v>5</v>
      </c>
      <c r="C10" s="10">
        <v>2164</v>
      </c>
      <c r="D10" s="10">
        <v>661</v>
      </c>
      <c r="E10" s="10">
        <v>404</v>
      </c>
      <c r="F10" s="10">
        <v>285</v>
      </c>
      <c r="G10" s="10">
        <v>141</v>
      </c>
      <c r="H10" s="10">
        <v>75</v>
      </c>
      <c r="I10" s="10">
        <v>898</v>
      </c>
      <c r="J10" s="10">
        <v>257</v>
      </c>
      <c r="K10" s="10">
        <v>167</v>
      </c>
      <c r="L10" s="10">
        <v>68</v>
      </c>
      <c r="M10" s="10">
        <v>50</v>
      </c>
      <c r="N10" s="10">
        <v>22</v>
      </c>
      <c r="O10" s="10">
        <v>3062</v>
      </c>
      <c r="P10" s="10">
        <v>918</v>
      </c>
      <c r="Q10" s="10">
        <v>571</v>
      </c>
      <c r="R10" s="10">
        <v>353</v>
      </c>
      <c r="S10" s="10">
        <v>191</v>
      </c>
      <c r="T10" s="10">
        <v>97</v>
      </c>
      <c r="U10" s="11">
        <v>3730</v>
      </c>
      <c r="V10" s="11">
        <v>1462</v>
      </c>
      <c r="W10" s="11">
        <v>5192</v>
      </c>
      <c r="X10" s="11">
        <v>3655</v>
      </c>
      <c r="Y10" s="11">
        <v>1440</v>
      </c>
      <c r="Z10" s="11">
        <v>5095</v>
      </c>
    </row>
    <row r="11" spans="2:26" x14ac:dyDescent="0.2">
      <c r="B11" s="10" t="s">
        <v>6</v>
      </c>
      <c r="C11" s="10">
        <v>1185</v>
      </c>
      <c r="D11" s="10">
        <v>1983</v>
      </c>
      <c r="E11" s="10">
        <v>2495</v>
      </c>
      <c r="F11" s="10">
        <v>2247</v>
      </c>
      <c r="G11" s="10">
        <v>1305</v>
      </c>
      <c r="H11" s="10">
        <v>386</v>
      </c>
      <c r="I11" s="10">
        <v>1308</v>
      </c>
      <c r="J11" s="10">
        <v>1721</v>
      </c>
      <c r="K11" s="10">
        <v>1670</v>
      </c>
      <c r="L11" s="10">
        <v>1165</v>
      </c>
      <c r="M11" s="10">
        <v>484</v>
      </c>
      <c r="N11" s="10">
        <v>128</v>
      </c>
      <c r="O11" s="10">
        <v>2493</v>
      </c>
      <c r="P11" s="10">
        <v>3704</v>
      </c>
      <c r="Q11" s="10">
        <v>4165</v>
      </c>
      <c r="R11" s="10">
        <v>3412</v>
      </c>
      <c r="S11" s="10">
        <v>1789</v>
      </c>
      <c r="T11" s="10">
        <v>514</v>
      </c>
      <c r="U11" s="11">
        <v>9601</v>
      </c>
      <c r="V11" s="11">
        <v>6476</v>
      </c>
      <c r="W11" s="11">
        <v>16077</v>
      </c>
      <c r="X11" s="11">
        <v>9215</v>
      </c>
      <c r="Y11" s="11">
        <v>6348</v>
      </c>
      <c r="Z11" s="11">
        <v>15563</v>
      </c>
    </row>
    <row r="12" spans="2:26" x14ac:dyDescent="0.2">
      <c r="B12" s="10" t="s">
        <v>168</v>
      </c>
      <c r="C12" s="10">
        <v>773</v>
      </c>
      <c r="D12" s="10">
        <v>972</v>
      </c>
      <c r="E12" s="10">
        <v>1192</v>
      </c>
      <c r="F12" s="10">
        <v>1175</v>
      </c>
      <c r="G12" s="10">
        <v>863</v>
      </c>
      <c r="H12" s="10">
        <v>344</v>
      </c>
      <c r="I12" s="10">
        <v>76</v>
      </c>
      <c r="J12" s="10">
        <v>108</v>
      </c>
      <c r="K12" s="10">
        <v>103</v>
      </c>
      <c r="L12" s="10">
        <v>108</v>
      </c>
      <c r="M12" s="10">
        <v>77</v>
      </c>
      <c r="N12" s="10">
        <v>19</v>
      </c>
      <c r="O12" s="10">
        <v>849</v>
      </c>
      <c r="P12" s="10">
        <v>1080</v>
      </c>
      <c r="Q12" s="10">
        <v>1295</v>
      </c>
      <c r="R12" s="10">
        <v>1283</v>
      </c>
      <c r="S12" s="10">
        <v>940</v>
      </c>
      <c r="T12" s="10">
        <v>363</v>
      </c>
      <c r="U12" s="11">
        <v>5319</v>
      </c>
      <c r="V12" s="11">
        <v>491</v>
      </c>
      <c r="W12" s="11">
        <v>5810</v>
      </c>
      <c r="X12" s="11">
        <v>4975</v>
      </c>
      <c r="Y12" s="11">
        <v>472</v>
      </c>
      <c r="Z12" s="11">
        <v>5447</v>
      </c>
    </row>
    <row r="13" spans="2:26" x14ac:dyDescent="0.2">
      <c r="B13" s="10" t="s">
        <v>8</v>
      </c>
      <c r="C13" s="10">
        <v>517</v>
      </c>
      <c r="D13" s="10">
        <v>1246</v>
      </c>
      <c r="E13" s="10">
        <v>1947</v>
      </c>
      <c r="F13" s="10">
        <v>2329</v>
      </c>
      <c r="G13" s="10">
        <v>1698</v>
      </c>
      <c r="H13" s="10">
        <v>612</v>
      </c>
      <c r="I13" s="10">
        <v>417</v>
      </c>
      <c r="J13" s="10">
        <v>804</v>
      </c>
      <c r="K13" s="10">
        <v>1160</v>
      </c>
      <c r="L13" s="10">
        <v>1152</v>
      </c>
      <c r="M13" s="10">
        <v>730</v>
      </c>
      <c r="N13" s="10">
        <v>241</v>
      </c>
      <c r="O13" s="10">
        <v>934</v>
      </c>
      <c r="P13" s="10">
        <v>2050</v>
      </c>
      <c r="Q13" s="10">
        <v>3107</v>
      </c>
      <c r="R13" s="10">
        <v>3481</v>
      </c>
      <c r="S13" s="10">
        <v>2428</v>
      </c>
      <c r="T13" s="10">
        <v>853</v>
      </c>
      <c r="U13" s="11">
        <v>8349</v>
      </c>
      <c r="V13" s="11">
        <v>4504</v>
      </c>
      <c r="W13" s="11">
        <v>12853</v>
      </c>
      <c r="X13" s="11">
        <v>7737</v>
      </c>
      <c r="Y13" s="11">
        <v>4263</v>
      </c>
      <c r="Z13" s="11">
        <v>12000</v>
      </c>
    </row>
    <row r="14" spans="2:26" x14ac:dyDescent="0.2">
      <c r="B14" s="10" t="s">
        <v>9</v>
      </c>
      <c r="C14" s="10">
        <v>1</v>
      </c>
      <c r="D14" s="10">
        <v>2</v>
      </c>
      <c r="E14" s="10">
        <v>7</v>
      </c>
      <c r="F14" s="10">
        <v>10</v>
      </c>
      <c r="G14" s="10">
        <v>10</v>
      </c>
      <c r="H14" s="10">
        <v>5</v>
      </c>
      <c r="I14" s="10">
        <v>75</v>
      </c>
      <c r="J14" s="10">
        <v>88</v>
      </c>
      <c r="K14" s="10">
        <v>112</v>
      </c>
      <c r="L14" s="10">
        <v>92</v>
      </c>
      <c r="M14" s="10">
        <v>63</v>
      </c>
      <c r="N14" s="10">
        <v>10</v>
      </c>
      <c r="O14" s="10">
        <v>76</v>
      </c>
      <c r="P14" s="10">
        <v>90</v>
      </c>
      <c r="Q14" s="10">
        <v>119</v>
      </c>
      <c r="R14" s="10">
        <v>102</v>
      </c>
      <c r="S14" s="10">
        <v>73</v>
      </c>
      <c r="T14" s="10">
        <v>15</v>
      </c>
      <c r="U14" s="11">
        <v>35</v>
      </c>
      <c r="V14" s="11">
        <v>440</v>
      </c>
      <c r="W14" s="11">
        <v>475</v>
      </c>
      <c r="X14" s="11">
        <v>30</v>
      </c>
      <c r="Y14" s="11">
        <v>430</v>
      </c>
      <c r="Z14" s="11">
        <v>460</v>
      </c>
    </row>
    <row r="15" spans="2:26" x14ac:dyDescent="0.2">
      <c r="B15" s="10" t="s">
        <v>10</v>
      </c>
      <c r="C15" s="10">
        <v>184</v>
      </c>
      <c r="D15" s="10">
        <v>351</v>
      </c>
      <c r="E15" s="10">
        <v>398</v>
      </c>
      <c r="F15" s="10">
        <v>382</v>
      </c>
      <c r="G15" s="10">
        <v>302</v>
      </c>
      <c r="H15" s="10">
        <v>149</v>
      </c>
      <c r="I15" s="10">
        <v>145</v>
      </c>
      <c r="J15" s="10">
        <v>229</v>
      </c>
      <c r="K15" s="10">
        <v>219</v>
      </c>
      <c r="L15" s="10">
        <v>250</v>
      </c>
      <c r="M15" s="10">
        <v>140</v>
      </c>
      <c r="N15" s="10">
        <v>73</v>
      </c>
      <c r="O15" s="10">
        <v>329</v>
      </c>
      <c r="P15" s="10">
        <v>580</v>
      </c>
      <c r="Q15" s="10">
        <v>617</v>
      </c>
      <c r="R15" s="10">
        <v>632</v>
      </c>
      <c r="S15" s="10">
        <v>442</v>
      </c>
      <c r="T15" s="10">
        <v>222</v>
      </c>
      <c r="U15" s="11">
        <v>1766</v>
      </c>
      <c r="V15" s="11">
        <v>1056</v>
      </c>
      <c r="W15" s="11">
        <v>2822</v>
      </c>
      <c r="X15" s="11">
        <v>1617</v>
      </c>
      <c r="Y15" s="11">
        <v>983</v>
      </c>
      <c r="Z15" s="11">
        <v>2600</v>
      </c>
    </row>
    <row r="16" spans="2:26" x14ac:dyDescent="0.2">
      <c r="B16" s="10" t="s">
        <v>11</v>
      </c>
      <c r="C16" s="10">
        <v>2626</v>
      </c>
      <c r="D16" s="10">
        <v>4428</v>
      </c>
      <c r="E16" s="10">
        <v>5046</v>
      </c>
      <c r="F16" s="10">
        <v>3787</v>
      </c>
      <c r="G16" s="10">
        <v>1626</v>
      </c>
      <c r="H16" s="10">
        <v>399</v>
      </c>
      <c r="I16" s="10">
        <v>2033</v>
      </c>
      <c r="J16" s="10">
        <v>3138</v>
      </c>
      <c r="K16" s="10">
        <v>3269</v>
      </c>
      <c r="L16" s="10">
        <v>2389</v>
      </c>
      <c r="M16" s="10">
        <v>973</v>
      </c>
      <c r="N16" s="10">
        <v>234</v>
      </c>
      <c r="O16" s="10">
        <v>4659</v>
      </c>
      <c r="P16" s="10">
        <v>7566</v>
      </c>
      <c r="Q16" s="10">
        <v>8315</v>
      </c>
      <c r="R16" s="10">
        <v>6176</v>
      </c>
      <c r="S16" s="10">
        <v>2599</v>
      </c>
      <c r="T16" s="10">
        <v>633</v>
      </c>
      <c r="U16" s="11">
        <v>17912</v>
      </c>
      <c r="V16" s="11">
        <v>12036</v>
      </c>
      <c r="W16" s="11">
        <v>29948</v>
      </c>
      <c r="X16" s="11">
        <v>17513</v>
      </c>
      <c r="Y16" s="11">
        <v>11802</v>
      </c>
      <c r="Z16" s="11">
        <v>29315</v>
      </c>
    </row>
    <row r="17" spans="2:26" x14ac:dyDescent="0.2">
      <c r="B17" s="10" t="s">
        <v>12</v>
      </c>
      <c r="C17" s="10">
        <v>3045</v>
      </c>
      <c r="D17" s="10">
        <v>2594</v>
      </c>
      <c r="E17" s="10">
        <v>1932</v>
      </c>
      <c r="F17" s="10">
        <v>1229</v>
      </c>
      <c r="G17" s="10">
        <v>525</v>
      </c>
      <c r="H17" s="10">
        <v>141</v>
      </c>
      <c r="I17" s="10">
        <v>1575</v>
      </c>
      <c r="J17" s="10">
        <v>1091</v>
      </c>
      <c r="K17" s="10">
        <v>698</v>
      </c>
      <c r="L17" s="10">
        <v>397</v>
      </c>
      <c r="M17" s="10">
        <v>158</v>
      </c>
      <c r="N17" s="10">
        <v>34</v>
      </c>
      <c r="O17" s="10">
        <v>4620</v>
      </c>
      <c r="P17" s="10">
        <v>3685</v>
      </c>
      <c r="Q17" s="10">
        <v>2630</v>
      </c>
      <c r="R17" s="10">
        <v>1626</v>
      </c>
      <c r="S17" s="10">
        <v>683</v>
      </c>
      <c r="T17" s="10">
        <v>175</v>
      </c>
      <c r="U17" s="11">
        <v>9466</v>
      </c>
      <c r="V17" s="11">
        <v>3953</v>
      </c>
      <c r="W17" s="11">
        <v>13419</v>
      </c>
      <c r="X17" s="11">
        <v>9325</v>
      </c>
      <c r="Y17" s="11">
        <v>3919</v>
      </c>
      <c r="Z17" s="11">
        <v>13244</v>
      </c>
    </row>
    <row r="18" spans="2:26" x14ac:dyDescent="0.2">
      <c r="B18" s="10" t="s">
        <v>13</v>
      </c>
      <c r="C18" s="10">
        <v>3192</v>
      </c>
      <c r="D18" s="10">
        <v>3848</v>
      </c>
      <c r="E18" s="10">
        <v>3963</v>
      </c>
      <c r="F18" s="10">
        <v>2848</v>
      </c>
      <c r="G18" s="10">
        <v>1374</v>
      </c>
      <c r="H18" s="10">
        <v>298</v>
      </c>
      <c r="I18" s="10">
        <v>3784</v>
      </c>
      <c r="J18" s="10">
        <v>3519</v>
      </c>
      <c r="K18" s="10">
        <v>2909</v>
      </c>
      <c r="L18" s="10">
        <v>1814</v>
      </c>
      <c r="M18" s="10">
        <v>698</v>
      </c>
      <c r="N18" s="10">
        <v>136</v>
      </c>
      <c r="O18" s="10">
        <v>6976</v>
      </c>
      <c r="P18" s="10">
        <v>7367</v>
      </c>
      <c r="Q18" s="10">
        <v>6872</v>
      </c>
      <c r="R18" s="10">
        <v>4662</v>
      </c>
      <c r="S18" s="10">
        <v>2072</v>
      </c>
      <c r="T18" s="10">
        <v>434</v>
      </c>
      <c r="U18" s="11">
        <v>15523</v>
      </c>
      <c r="V18" s="11">
        <v>12860</v>
      </c>
      <c r="W18" s="11">
        <v>28383</v>
      </c>
      <c r="X18" s="11">
        <v>15225</v>
      </c>
      <c r="Y18" s="11">
        <v>12724</v>
      </c>
      <c r="Z18" s="11">
        <v>27949</v>
      </c>
    </row>
    <row r="19" spans="2:26" x14ac:dyDescent="0.2">
      <c r="B19" s="10" t="s">
        <v>14</v>
      </c>
      <c r="C19" s="10">
        <v>1525</v>
      </c>
      <c r="D19" s="10">
        <v>1602</v>
      </c>
      <c r="E19" s="10">
        <v>1322</v>
      </c>
      <c r="F19" s="10">
        <v>751</v>
      </c>
      <c r="G19" s="10">
        <v>377</v>
      </c>
      <c r="H19" s="10">
        <v>133</v>
      </c>
      <c r="I19" s="10">
        <v>1219</v>
      </c>
      <c r="J19" s="10">
        <v>1045</v>
      </c>
      <c r="K19" s="10">
        <v>752</v>
      </c>
      <c r="L19" s="10">
        <v>440</v>
      </c>
      <c r="M19" s="10">
        <v>202</v>
      </c>
      <c r="N19" s="10">
        <v>77</v>
      </c>
      <c r="O19" s="10">
        <v>2744</v>
      </c>
      <c r="P19" s="10">
        <v>2647</v>
      </c>
      <c r="Q19" s="10">
        <v>2074</v>
      </c>
      <c r="R19" s="10">
        <v>1191</v>
      </c>
      <c r="S19" s="10">
        <v>579</v>
      </c>
      <c r="T19" s="10">
        <v>210</v>
      </c>
      <c r="U19" s="11">
        <v>5710</v>
      </c>
      <c r="V19" s="11">
        <v>3735</v>
      </c>
      <c r="W19" s="11">
        <v>9445</v>
      </c>
      <c r="X19" s="11">
        <v>5577</v>
      </c>
      <c r="Y19" s="11">
        <v>3658</v>
      </c>
      <c r="Z19" s="11">
        <v>9235</v>
      </c>
    </row>
    <row r="20" spans="2:26" x14ac:dyDescent="0.2">
      <c r="B20" s="10" t="s">
        <v>15</v>
      </c>
      <c r="C20" s="10">
        <v>4260</v>
      </c>
      <c r="D20" s="10">
        <v>5051</v>
      </c>
      <c r="E20" s="10">
        <v>4917</v>
      </c>
      <c r="F20" s="10">
        <v>3357</v>
      </c>
      <c r="G20" s="10">
        <v>1514</v>
      </c>
      <c r="H20" s="10">
        <v>382</v>
      </c>
      <c r="I20" s="10">
        <v>4883</v>
      </c>
      <c r="J20" s="10">
        <v>5192</v>
      </c>
      <c r="K20" s="10">
        <v>4814</v>
      </c>
      <c r="L20" s="10">
        <v>3097</v>
      </c>
      <c r="M20" s="10">
        <v>1404</v>
      </c>
      <c r="N20" s="10">
        <v>327</v>
      </c>
      <c r="O20" s="10">
        <v>9143</v>
      </c>
      <c r="P20" s="10">
        <v>10243</v>
      </c>
      <c r="Q20" s="10">
        <v>9731</v>
      </c>
      <c r="R20" s="10">
        <v>6454</v>
      </c>
      <c r="S20" s="10">
        <v>2918</v>
      </c>
      <c r="T20" s="10">
        <v>709</v>
      </c>
      <c r="U20" s="11">
        <v>19481</v>
      </c>
      <c r="V20" s="11">
        <v>19717</v>
      </c>
      <c r="W20" s="11">
        <v>39198</v>
      </c>
      <c r="X20" s="11">
        <v>19099</v>
      </c>
      <c r="Y20" s="11">
        <v>19390</v>
      </c>
      <c r="Z20" s="11">
        <v>38489</v>
      </c>
    </row>
    <row r="21" spans="2:26" x14ac:dyDescent="0.2">
      <c r="B21" s="10" t="s">
        <v>16</v>
      </c>
      <c r="C21" s="10">
        <v>757</v>
      </c>
      <c r="D21" s="10">
        <v>1007</v>
      </c>
      <c r="E21" s="10">
        <v>1241</v>
      </c>
      <c r="F21" s="10">
        <v>1103</v>
      </c>
      <c r="G21" s="10">
        <v>696</v>
      </c>
      <c r="H21" s="10">
        <v>321</v>
      </c>
      <c r="I21" s="10">
        <v>1428</v>
      </c>
      <c r="J21" s="10">
        <v>1750</v>
      </c>
      <c r="K21" s="10">
        <v>1839</v>
      </c>
      <c r="L21" s="10">
        <v>1393</v>
      </c>
      <c r="M21" s="10">
        <v>771</v>
      </c>
      <c r="N21" s="10">
        <v>345</v>
      </c>
      <c r="O21" s="10">
        <v>2185</v>
      </c>
      <c r="P21" s="10">
        <v>2757</v>
      </c>
      <c r="Q21" s="10">
        <v>3080</v>
      </c>
      <c r="R21" s="10">
        <v>2496</v>
      </c>
      <c r="S21" s="10">
        <v>1467</v>
      </c>
      <c r="T21" s="10">
        <v>666</v>
      </c>
      <c r="U21" s="11">
        <v>5125</v>
      </c>
      <c r="V21" s="11">
        <v>7526</v>
      </c>
      <c r="W21" s="11">
        <v>12651</v>
      </c>
      <c r="X21" s="11">
        <v>4804</v>
      </c>
      <c r="Y21" s="11">
        <v>7181</v>
      </c>
      <c r="Z21" s="11">
        <v>11985</v>
      </c>
    </row>
    <row r="22" spans="2:26" x14ac:dyDescent="0.2">
      <c r="B22" s="10" t="s">
        <v>17</v>
      </c>
      <c r="C22" s="10">
        <v>1391</v>
      </c>
      <c r="D22" s="10">
        <v>2230</v>
      </c>
      <c r="E22" s="10">
        <v>2744</v>
      </c>
      <c r="F22" s="10">
        <v>2747</v>
      </c>
      <c r="G22" s="10">
        <v>1872</v>
      </c>
      <c r="H22" s="10">
        <v>763</v>
      </c>
      <c r="I22" s="10">
        <v>7029</v>
      </c>
      <c r="J22" s="10">
        <v>8351</v>
      </c>
      <c r="K22" s="10">
        <v>8227</v>
      </c>
      <c r="L22" s="10">
        <v>6179</v>
      </c>
      <c r="M22" s="10">
        <v>3433</v>
      </c>
      <c r="N22" s="10">
        <v>1057</v>
      </c>
      <c r="O22" s="10">
        <v>8420</v>
      </c>
      <c r="P22" s="10">
        <v>10581</v>
      </c>
      <c r="Q22" s="10">
        <v>10971</v>
      </c>
      <c r="R22" s="10">
        <v>8926</v>
      </c>
      <c r="S22" s="10">
        <v>5305</v>
      </c>
      <c r="T22" s="10">
        <v>1820</v>
      </c>
      <c r="U22" s="11">
        <v>11747</v>
      </c>
      <c r="V22" s="11">
        <v>34276</v>
      </c>
      <c r="W22" s="11">
        <v>46023</v>
      </c>
      <c r="X22" s="11">
        <v>10984</v>
      </c>
      <c r="Y22" s="11">
        <v>33219</v>
      </c>
      <c r="Z22" s="11">
        <v>44203</v>
      </c>
    </row>
    <row r="23" spans="2:26" x14ac:dyDescent="0.2">
      <c r="B23" s="10" t="s">
        <v>18</v>
      </c>
      <c r="C23" s="10">
        <v>866</v>
      </c>
      <c r="D23" s="10">
        <v>1329</v>
      </c>
      <c r="E23" s="10">
        <v>1585</v>
      </c>
      <c r="F23" s="10">
        <v>1175</v>
      </c>
      <c r="G23" s="10">
        <v>637</v>
      </c>
      <c r="H23" s="10">
        <v>183</v>
      </c>
      <c r="I23" s="10">
        <v>3626</v>
      </c>
      <c r="J23" s="10">
        <v>4773</v>
      </c>
      <c r="K23" s="10">
        <v>4515</v>
      </c>
      <c r="L23" s="10">
        <v>3025</v>
      </c>
      <c r="M23" s="10">
        <v>1374</v>
      </c>
      <c r="N23" s="10">
        <v>406</v>
      </c>
      <c r="O23" s="10">
        <v>4492</v>
      </c>
      <c r="P23" s="10">
        <v>6102</v>
      </c>
      <c r="Q23" s="10">
        <v>6100</v>
      </c>
      <c r="R23" s="10">
        <v>4200</v>
      </c>
      <c r="S23" s="10">
        <v>2011</v>
      </c>
      <c r="T23" s="10">
        <v>589</v>
      </c>
      <c r="U23" s="11">
        <v>5775</v>
      </c>
      <c r="V23" s="11">
        <v>17719</v>
      </c>
      <c r="W23" s="11">
        <v>23494</v>
      </c>
      <c r="X23" s="11">
        <v>5592</v>
      </c>
      <c r="Y23" s="11">
        <v>17313</v>
      </c>
      <c r="Z23" s="11">
        <v>22905</v>
      </c>
    </row>
    <row r="24" spans="2:26" x14ac:dyDescent="0.2">
      <c r="B24" s="10" t="s">
        <v>19</v>
      </c>
      <c r="C24" s="10">
        <v>248</v>
      </c>
      <c r="D24" s="10">
        <v>329</v>
      </c>
      <c r="E24" s="10">
        <v>357</v>
      </c>
      <c r="F24" s="10">
        <v>267</v>
      </c>
      <c r="G24" s="10">
        <v>154</v>
      </c>
      <c r="H24" s="10">
        <v>61</v>
      </c>
      <c r="I24" s="10">
        <v>238</v>
      </c>
      <c r="J24" s="10">
        <v>331</v>
      </c>
      <c r="K24" s="10">
        <v>319</v>
      </c>
      <c r="L24" s="10">
        <v>242</v>
      </c>
      <c r="M24" s="10">
        <v>132</v>
      </c>
      <c r="N24" s="10">
        <v>56</v>
      </c>
      <c r="O24" s="10">
        <v>486</v>
      </c>
      <c r="P24" s="10">
        <v>660</v>
      </c>
      <c r="Q24" s="10">
        <v>676</v>
      </c>
      <c r="R24" s="10">
        <v>509</v>
      </c>
      <c r="S24" s="10">
        <v>286</v>
      </c>
      <c r="T24" s="10">
        <v>117</v>
      </c>
      <c r="U24" s="11">
        <v>1416</v>
      </c>
      <c r="V24" s="11">
        <v>1318</v>
      </c>
      <c r="W24" s="11">
        <v>2734</v>
      </c>
      <c r="X24" s="11">
        <v>1355</v>
      </c>
      <c r="Y24" s="11">
        <v>1262</v>
      </c>
      <c r="Z24" s="11">
        <v>2617</v>
      </c>
    </row>
    <row r="25" spans="2:26" x14ac:dyDescent="0.2">
      <c r="B25" s="10" t="s">
        <v>20</v>
      </c>
      <c r="C25" s="10">
        <v>2552</v>
      </c>
      <c r="D25" s="10">
        <v>2373</v>
      </c>
      <c r="E25" s="10">
        <v>2619</v>
      </c>
      <c r="F25" s="10">
        <v>2033</v>
      </c>
      <c r="G25" s="10">
        <v>1000</v>
      </c>
      <c r="H25" s="10">
        <v>347</v>
      </c>
      <c r="I25" s="10">
        <v>7342</v>
      </c>
      <c r="J25" s="10">
        <v>6171</v>
      </c>
      <c r="K25" s="10">
        <v>5777</v>
      </c>
      <c r="L25" s="10">
        <v>3512</v>
      </c>
      <c r="M25" s="10">
        <v>1355</v>
      </c>
      <c r="N25" s="10">
        <v>513</v>
      </c>
      <c r="O25" s="10">
        <v>9894</v>
      </c>
      <c r="P25" s="10">
        <v>8544</v>
      </c>
      <c r="Q25" s="10">
        <v>8396</v>
      </c>
      <c r="R25" s="10">
        <v>5545</v>
      </c>
      <c r="S25" s="10">
        <v>2355</v>
      </c>
      <c r="T25" s="10">
        <v>860</v>
      </c>
      <c r="U25" s="11">
        <v>10924</v>
      </c>
      <c r="V25" s="11">
        <v>24670</v>
      </c>
      <c r="W25" s="11">
        <v>35594</v>
      </c>
      <c r="X25" s="11">
        <v>10577</v>
      </c>
      <c r="Y25" s="11">
        <v>24157</v>
      </c>
      <c r="Z25" s="11">
        <v>34734</v>
      </c>
    </row>
    <row r="26" spans="2:26" x14ac:dyDescent="0.2">
      <c r="B26" s="10" t="s">
        <v>21</v>
      </c>
      <c r="C26" s="10">
        <v>614</v>
      </c>
      <c r="D26" s="10">
        <v>1131</v>
      </c>
      <c r="E26" s="10">
        <v>1298</v>
      </c>
      <c r="F26" s="10">
        <v>801</v>
      </c>
      <c r="G26" s="10">
        <v>298</v>
      </c>
      <c r="H26" s="10">
        <v>52</v>
      </c>
      <c r="I26" s="10">
        <v>1941</v>
      </c>
      <c r="J26" s="10">
        <v>3271</v>
      </c>
      <c r="K26" s="10">
        <v>3153</v>
      </c>
      <c r="L26" s="10">
        <v>1422</v>
      </c>
      <c r="M26" s="10">
        <v>419</v>
      </c>
      <c r="N26" s="10">
        <v>68</v>
      </c>
      <c r="O26" s="10">
        <v>2555</v>
      </c>
      <c r="P26" s="10">
        <v>4402</v>
      </c>
      <c r="Q26" s="10">
        <v>4451</v>
      </c>
      <c r="R26" s="10">
        <v>2223</v>
      </c>
      <c r="S26" s="10">
        <v>717</v>
      </c>
      <c r="T26" s="10">
        <v>120</v>
      </c>
      <c r="U26" s="11">
        <v>4194</v>
      </c>
      <c r="V26" s="11">
        <v>10274</v>
      </c>
      <c r="W26" s="11">
        <v>14468</v>
      </c>
      <c r="X26" s="11">
        <v>4142</v>
      </c>
      <c r="Y26" s="11">
        <v>10206</v>
      </c>
      <c r="Z26" s="11">
        <v>14348</v>
      </c>
    </row>
    <row r="27" spans="2:26" x14ac:dyDescent="0.2">
      <c r="B27" s="10" t="s">
        <v>22</v>
      </c>
      <c r="C27" s="10">
        <v>4853</v>
      </c>
      <c r="D27" s="10">
        <v>5592</v>
      </c>
      <c r="E27" s="10">
        <v>6261</v>
      </c>
      <c r="F27" s="10">
        <v>4787</v>
      </c>
      <c r="G27" s="10">
        <v>1893</v>
      </c>
      <c r="H27" s="10">
        <v>370</v>
      </c>
      <c r="I27" s="10">
        <v>10990</v>
      </c>
      <c r="J27" s="10">
        <v>13067</v>
      </c>
      <c r="K27" s="10">
        <v>14750</v>
      </c>
      <c r="L27" s="10">
        <v>10249</v>
      </c>
      <c r="M27" s="10">
        <v>3553</v>
      </c>
      <c r="N27" s="10">
        <v>632</v>
      </c>
      <c r="O27" s="10">
        <v>15843</v>
      </c>
      <c r="P27" s="10">
        <v>18659</v>
      </c>
      <c r="Q27" s="10">
        <v>21011</v>
      </c>
      <c r="R27" s="10">
        <v>15036</v>
      </c>
      <c r="S27" s="10">
        <v>5446</v>
      </c>
      <c r="T27" s="10">
        <v>1002</v>
      </c>
      <c r="U27" s="11">
        <v>23756</v>
      </c>
      <c r="V27" s="11">
        <v>53241</v>
      </c>
      <c r="W27" s="11">
        <v>76997</v>
      </c>
      <c r="X27" s="11">
        <v>23386</v>
      </c>
      <c r="Y27" s="11">
        <v>52609</v>
      </c>
      <c r="Z27" s="11">
        <v>75995</v>
      </c>
    </row>
    <row r="28" spans="2:26" x14ac:dyDescent="0.2">
      <c r="B28" s="10" t="s">
        <v>51</v>
      </c>
      <c r="C28" s="10">
        <v>911</v>
      </c>
      <c r="D28" s="10">
        <v>2254</v>
      </c>
      <c r="E28" s="10">
        <v>3045</v>
      </c>
      <c r="F28" s="10">
        <v>2113</v>
      </c>
      <c r="G28" s="10">
        <v>711</v>
      </c>
      <c r="H28" s="10">
        <v>189</v>
      </c>
      <c r="I28" s="10">
        <v>1759</v>
      </c>
      <c r="J28" s="10">
        <v>3586</v>
      </c>
      <c r="K28" s="10">
        <v>4038</v>
      </c>
      <c r="L28" s="10">
        <v>2167</v>
      </c>
      <c r="M28" s="10">
        <v>550</v>
      </c>
      <c r="N28" s="10">
        <v>144</v>
      </c>
      <c r="O28" s="10">
        <v>2670</v>
      </c>
      <c r="P28" s="10">
        <v>5840</v>
      </c>
      <c r="Q28" s="10">
        <v>7083</v>
      </c>
      <c r="R28" s="10">
        <v>4280</v>
      </c>
      <c r="S28" s="10">
        <v>1261</v>
      </c>
      <c r="T28" s="10">
        <v>333</v>
      </c>
      <c r="U28" s="11">
        <v>9223</v>
      </c>
      <c r="V28" s="11">
        <v>12244</v>
      </c>
      <c r="W28" s="11">
        <v>21467</v>
      </c>
      <c r="X28" s="11">
        <v>9034</v>
      </c>
      <c r="Y28" s="11">
        <v>12100</v>
      </c>
      <c r="Z28" s="11">
        <v>21134</v>
      </c>
    </row>
    <row r="29" spans="2:26" x14ac:dyDescent="0.2">
      <c r="B29" s="10" t="s">
        <v>23</v>
      </c>
      <c r="C29" s="10">
        <v>514</v>
      </c>
      <c r="D29" s="10">
        <v>1026</v>
      </c>
      <c r="E29" s="10">
        <v>1152</v>
      </c>
      <c r="F29" s="10">
        <v>499</v>
      </c>
      <c r="G29" s="10">
        <v>145</v>
      </c>
      <c r="H29" s="10">
        <v>39</v>
      </c>
      <c r="I29" s="10">
        <v>880</v>
      </c>
      <c r="J29" s="10">
        <v>1718</v>
      </c>
      <c r="K29" s="10">
        <v>1659</v>
      </c>
      <c r="L29" s="10">
        <v>807</v>
      </c>
      <c r="M29" s="10">
        <v>236</v>
      </c>
      <c r="N29" s="10">
        <v>56</v>
      </c>
      <c r="O29" s="10">
        <v>1394</v>
      </c>
      <c r="P29" s="10">
        <v>2744</v>
      </c>
      <c r="Q29" s="10">
        <v>2811</v>
      </c>
      <c r="R29" s="10">
        <v>1306</v>
      </c>
      <c r="S29" s="10">
        <v>381</v>
      </c>
      <c r="T29" s="10">
        <v>95</v>
      </c>
      <c r="U29" s="11">
        <v>3375</v>
      </c>
      <c r="V29" s="11">
        <v>5356</v>
      </c>
      <c r="W29" s="11">
        <v>8731</v>
      </c>
      <c r="X29" s="11">
        <v>3336</v>
      </c>
      <c r="Y29" s="11">
        <v>5300</v>
      </c>
      <c r="Z29" s="11">
        <v>8636</v>
      </c>
    </row>
    <row r="30" spans="2:26" x14ac:dyDescent="0.2">
      <c r="B30" s="10" t="s">
        <v>24</v>
      </c>
      <c r="C30" s="10">
        <v>1346</v>
      </c>
      <c r="D30" s="10">
        <v>1032</v>
      </c>
      <c r="E30" s="10">
        <v>744</v>
      </c>
      <c r="F30" s="10">
        <v>469</v>
      </c>
      <c r="G30" s="10">
        <v>212</v>
      </c>
      <c r="H30" s="10">
        <v>52</v>
      </c>
      <c r="I30" s="10">
        <v>2575</v>
      </c>
      <c r="J30" s="10">
        <v>2283</v>
      </c>
      <c r="K30" s="10">
        <v>1663</v>
      </c>
      <c r="L30" s="10">
        <v>1001</v>
      </c>
      <c r="M30" s="10">
        <v>477</v>
      </c>
      <c r="N30" s="10">
        <v>109</v>
      </c>
      <c r="O30" s="10">
        <v>3921</v>
      </c>
      <c r="P30" s="10">
        <v>3315</v>
      </c>
      <c r="Q30" s="10">
        <v>2407</v>
      </c>
      <c r="R30" s="10">
        <v>1470</v>
      </c>
      <c r="S30" s="10">
        <v>689</v>
      </c>
      <c r="T30" s="10">
        <v>161</v>
      </c>
      <c r="U30" s="11">
        <v>3855</v>
      </c>
      <c r="V30" s="11">
        <v>8108</v>
      </c>
      <c r="W30" s="11">
        <v>11963</v>
      </c>
      <c r="X30" s="11">
        <v>3803</v>
      </c>
      <c r="Y30" s="11">
        <v>7999</v>
      </c>
      <c r="Z30" s="11">
        <v>11802</v>
      </c>
    </row>
    <row r="31" spans="2:26" x14ac:dyDescent="0.2">
      <c r="B31" s="10" t="s">
        <v>25</v>
      </c>
      <c r="C31" s="10">
        <v>714</v>
      </c>
      <c r="D31" s="10">
        <v>496</v>
      </c>
      <c r="E31" s="10">
        <v>365</v>
      </c>
      <c r="F31" s="10">
        <v>233</v>
      </c>
      <c r="G31" s="10">
        <v>118</v>
      </c>
      <c r="H31" s="10">
        <v>41</v>
      </c>
      <c r="I31" s="10">
        <v>1122</v>
      </c>
      <c r="J31" s="10">
        <v>815</v>
      </c>
      <c r="K31" s="10">
        <v>652</v>
      </c>
      <c r="L31" s="10">
        <v>438</v>
      </c>
      <c r="M31" s="10">
        <v>188</v>
      </c>
      <c r="N31" s="10">
        <v>56</v>
      </c>
      <c r="O31" s="10">
        <v>1836</v>
      </c>
      <c r="P31" s="10">
        <v>1311</v>
      </c>
      <c r="Q31" s="10">
        <v>1017</v>
      </c>
      <c r="R31" s="10">
        <v>671</v>
      </c>
      <c r="S31" s="10">
        <v>306</v>
      </c>
      <c r="T31" s="10">
        <v>97</v>
      </c>
      <c r="U31" s="11">
        <v>1967</v>
      </c>
      <c r="V31" s="11">
        <v>3271</v>
      </c>
      <c r="W31" s="11">
        <v>5238</v>
      </c>
      <c r="X31" s="11">
        <v>1926</v>
      </c>
      <c r="Y31" s="11">
        <v>3215</v>
      </c>
      <c r="Z31" s="11">
        <v>5141</v>
      </c>
    </row>
    <row r="32" spans="2:26" x14ac:dyDescent="0.2">
      <c r="B32" s="10" t="s">
        <v>26</v>
      </c>
      <c r="C32" s="10">
        <v>622</v>
      </c>
      <c r="D32" s="10">
        <v>439</v>
      </c>
      <c r="E32" s="10">
        <v>295</v>
      </c>
      <c r="F32" s="10">
        <v>137</v>
      </c>
      <c r="G32" s="10">
        <v>57</v>
      </c>
      <c r="H32" s="10">
        <v>14</v>
      </c>
      <c r="I32" s="10">
        <v>1182</v>
      </c>
      <c r="J32" s="10">
        <v>938</v>
      </c>
      <c r="K32" s="10">
        <v>663</v>
      </c>
      <c r="L32" s="10">
        <v>406</v>
      </c>
      <c r="M32" s="10">
        <v>144</v>
      </c>
      <c r="N32" s="10">
        <v>33</v>
      </c>
      <c r="O32" s="10">
        <v>1804</v>
      </c>
      <c r="P32" s="10">
        <v>1377</v>
      </c>
      <c r="Q32" s="10">
        <v>958</v>
      </c>
      <c r="R32" s="10">
        <v>543</v>
      </c>
      <c r="S32" s="10">
        <v>201</v>
      </c>
      <c r="T32" s="10">
        <v>47</v>
      </c>
      <c r="U32" s="11">
        <v>1564</v>
      </c>
      <c r="V32" s="11">
        <v>3366</v>
      </c>
      <c r="W32" s="11">
        <v>4930</v>
      </c>
      <c r="X32" s="11">
        <v>1550</v>
      </c>
      <c r="Y32" s="11">
        <v>3333</v>
      </c>
      <c r="Z32" s="11">
        <v>4883</v>
      </c>
    </row>
    <row r="33" spans="1:72" x14ac:dyDescent="0.2">
      <c r="B33" s="10" t="s">
        <v>27</v>
      </c>
      <c r="C33" s="10">
        <v>803</v>
      </c>
      <c r="D33" s="10">
        <v>568</v>
      </c>
      <c r="E33" s="10">
        <v>339</v>
      </c>
      <c r="F33" s="10">
        <v>125</v>
      </c>
      <c r="G33" s="10">
        <v>59</v>
      </c>
      <c r="H33" s="10">
        <v>65</v>
      </c>
      <c r="I33" s="10">
        <v>1189</v>
      </c>
      <c r="J33" s="10">
        <v>768</v>
      </c>
      <c r="K33" s="10">
        <v>352</v>
      </c>
      <c r="L33" s="10">
        <v>119</v>
      </c>
      <c r="M33" s="10">
        <v>74</v>
      </c>
      <c r="N33" s="10">
        <v>73</v>
      </c>
      <c r="O33" s="10">
        <v>1992</v>
      </c>
      <c r="P33" s="10">
        <v>1336</v>
      </c>
      <c r="Q33" s="10">
        <v>691</v>
      </c>
      <c r="R33" s="10">
        <v>244</v>
      </c>
      <c r="S33" s="10">
        <v>133</v>
      </c>
      <c r="T33" s="10">
        <v>138</v>
      </c>
      <c r="U33" s="11">
        <v>1959</v>
      </c>
      <c r="V33" s="11">
        <v>2575</v>
      </c>
      <c r="W33" s="11">
        <v>4534</v>
      </c>
      <c r="X33" s="11">
        <v>1894</v>
      </c>
      <c r="Y33" s="11">
        <v>2502</v>
      </c>
      <c r="Z33" s="11">
        <v>4396</v>
      </c>
    </row>
    <row r="34" spans="1:72" x14ac:dyDescent="0.2">
      <c r="B34" s="10" t="s">
        <v>28</v>
      </c>
      <c r="C34" s="10">
        <v>785</v>
      </c>
      <c r="D34" s="10">
        <v>686</v>
      </c>
      <c r="E34" s="10">
        <v>464</v>
      </c>
      <c r="F34" s="10">
        <v>254</v>
      </c>
      <c r="G34" s="10">
        <v>102</v>
      </c>
      <c r="H34" s="10">
        <v>24</v>
      </c>
      <c r="I34" s="10">
        <v>1230</v>
      </c>
      <c r="J34" s="10">
        <v>982</v>
      </c>
      <c r="K34" s="10">
        <v>568</v>
      </c>
      <c r="L34" s="10">
        <v>258</v>
      </c>
      <c r="M34" s="10">
        <v>90</v>
      </c>
      <c r="N34" s="10">
        <v>18</v>
      </c>
      <c r="O34" s="10">
        <v>2015</v>
      </c>
      <c r="P34" s="10">
        <v>1668</v>
      </c>
      <c r="Q34" s="10">
        <v>1032</v>
      </c>
      <c r="R34" s="10">
        <v>512</v>
      </c>
      <c r="S34" s="10">
        <v>192</v>
      </c>
      <c r="T34" s="10">
        <v>42</v>
      </c>
      <c r="U34" s="11">
        <v>2315</v>
      </c>
      <c r="V34" s="11">
        <v>3146</v>
      </c>
      <c r="W34" s="11">
        <v>5461</v>
      </c>
      <c r="X34" s="11">
        <v>2291</v>
      </c>
      <c r="Y34" s="11">
        <v>3128</v>
      </c>
      <c r="Z34" s="11">
        <v>5419</v>
      </c>
    </row>
    <row r="35" spans="1:72" x14ac:dyDescent="0.2">
      <c r="B35" s="10" t="s">
        <v>29</v>
      </c>
      <c r="C35" s="10">
        <v>1102</v>
      </c>
      <c r="D35" s="10">
        <v>1251</v>
      </c>
      <c r="E35" s="10">
        <v>1019</v>
      </c>
      <c r="F35" s="10">
        <v>591</v>
      </c>
      <c r="G35" s="10">
        <v>267</v>
      </c>
      <c r="H35" s="10">
        <v>84</v>
      </c>
      <c r="I35" s="10">
        <v>2514</v>
      </c>
      <c r="J35" s="10">
        <v>2908</v>
      </c>
      <c r="K35" s="10">
        <v>2256</v>
      </c>
      <c r="L35" s="10">
        <v>1270</v>
      </c>
      <c r="M35" s="10">
        <v>485</v>
      </c>
      <c r="N35" s="10">
        <v>109</v>
      </c>
      <c r="O35" s="10">
        <v>3616</v>
      </c>
      <c r="P35" s="10">
        <v>4159</v>
      </c>
      <c r="Q35" s="10">
        <v>3275</v>
      </c>
      <c r="R35" s="10">
        <v>1861</v>
      </c>
      <c r="S35" s="10">
        <v>752</v>
      </c>
      <c r="T35" s="10">
        <v>193</v>
      </c>
      <c r="U35" s="11">
        <v>4314</v>
      </c>
      <c r="V35" s="11">
        <v>9542</v>
      </c>
      <c r="W35" s="11">
        <v>13856</v>
      </c>
      <c r="X35" s="11">
        <v>4230</v>
      </c>
      <c r="Y35" s="11">
        <v>9433</v>
      </c>
      <c r="Z35" s="11">
        <v>13663</v>
      </c>
    </row>
    <row r="36" spans="1:72" x14ac:dyDescent="0.2">
      <c r="B36" s="10" t="s">
        <v>30</v>
      </c>
      <c r="C36" s="10">
        <v>745</v>
      </c>
      <c r="D36" s="10">
        <v>920</v>
      </c>
      <c r="E36" s="10">
        <v>1143</v>
      </c>
      <c r="F36" s="10">
        <v>1040</v>
      </c>
      <c r="G36" s="10">
        <v>587</v>
      </c>
      <c r="H36" s="10">
        <v>164</v>
      </c>
      <c r="I36" s="10">
        <v>826</v>
      </c>
      <c r="J36" s="10">
        <v>889</v>
      </c>
      <c r="K36" s="10">
        <v>951</v>
      </c>
      <c r="L36" s="10">
        <v>717</v>
      </c>
      <c r="M36" s="10">
        <v>377</v>
      </c>
      <c r="N36" s="10">
        <v>83</v>
      </c>
      <c r="O36" s="10">
        <v>1571</v>
      </c>
      <c r="P36" s="10">
        <v>1809</v>
      </c>
      <c r="Q36" s="10">
        <v>2094</v>
      </c>
      <c r="R36" s="10">
        <v>1757</v>
      </c>
      <c r="S36" s="10">
        <v>964</v>
      </c>
      <c r="T36" s="10">
        <v>247</v>
      </c>
      <c r="U36" s="11">
        <v>4599</v>
      </c>
      <c r="V36" s="11">
        <v>3843</v>
      </c>
      <c r="W36" s="11">
        <v>8442</v>
      </c>
      <c r="X36" s="11">
        <v>4435</v>
      </c>
      <c r="Y36" s="11">
        <v>3760</v>
      </c>
      <c r="Z36" s="11">
        <v>8195</v>
      </c>
    </row>
    <row r="37" spans="1:72" x14ac:dyDescent="0.2">
      <c r="B37" s="10" t="s">
        <v>31</v>
      </c>
      <c r="C37" s="10">
        <v>1049</v>
      </c>
      <c r="D37" s="10">
        <v>2131</v>
      </c>
      <c r="E37" s="10">
        <v>3015</v>
      </c>
      <c r="F37" s="10">
        <v>2855</v>
      </c>
      <c r="G37" s="10">
        <v>1942</v>
      </c>
      <c r="H37" s="10">
        <v>489</v>
      </c>
      <c r="I37" s="10">
        <v>1576</v>
      </c>
      <c r="J37" s="10">
        <v>1925</v>
      </c>
      <c r="K37" s="10">
        <v>2043</v>
      </c>
      <c r="L37" s="10">
        <v>1620</v>
      </c>
      <c r="M37" s="10">
        <v>880</v>
      </c>
      <c r="N37" s="10">
        <v>234</v>
      </c>
      <c r="O37" s="10">
        <v>2625</v>
      </c>
      <c r="P37" s="10">
        <v>4056</v>
      </c>
      <c r="Q37" s="10">
        <v>5058</v>
      </c>
      <c r="R37" s="10">
        <v>4475</v>
      </c>
      <c r="S37" s="10">
        <v>2822</v>
      </c>
      <c r="T37" s="10">
        <v>723</v>
      </c>
      <c r="U37" s="11">
        <v>11481</v>
      </c>
      <c r="V37" s="11">
        <v>8278</v>
      </c>
      <c r="W37" s="11">
        <v>19759</v>
      </c>
      <c r="X37" s="11">
        <v>10992</v>
      </c>
      <c r="Y37" s="11">
        <v>8044</v>
      </c>
      <c r="Z37" s="11">
        <v>19036</v>
      </c>
    </row>
    <row r="38" spans="1:72" x14ac:dyDescent="0.2">
      <c r="B38" s="10" t="s">
        <v>32</v>
      </c>
      <c r="C38" s="10">
        <v>2897</v>
      </c>
      <c r="D38" s="10">
        <v>4442</v>
      </c>
      <c r="E38" s="10">
        <v>6143</v>
      </c>
      <c r="F38" s="10">
        <v>6531</v>
      </c>
      <c r="G38" s="10">
        <v>5101</v>
      </c>
      <c r="H38" s="10">
        <v>2345</v>
      </c>
      <c r="I38" s="10">
        <v>3786</v>
      </c>
      <c r="J38" s="10">
        <v>5657</v>
      </c>
      <c r="K38" s="10">
        <v>7275</v>
      </c>
      <c r="L38" s="10">
        <v>7243</v>
      </c>
      <c r="M38" s="10">
        <v>5287</v>
      </c>
      <c r="N38" s="10">
        <v>1967</v>
      </c>
      <c r="O38" s="10">
        <v>6683</v>
      </c>
      <c r="P38" s="10">
        <v>10099</v>
      </c>
      <c r="Q38" s="10">
        <v>13418</v>
      </c>
      <c r="R38" s="10">
        <v>13774</v>
      </c>
      <c r="S38" s="10">
        <v>10388</v>
      </c>
      <c r="T38" s="10">
        <v>4312</v>
      </c>
      <c r="U38" s="11">
        <v>27459</v>
      </c>
      <c r="V38" s="11">
        <v>31215</v>
      </c>
      <c r="W38" s="11">
        <v>58674</v>
      </c>
      <c r="X38" s="11">
        <v>25114</v>
      </c>
      <c r="Y38" s="11">
        <v>29248</v>
      </c>
      <c r="Z38" s="11">
        <v>54362</v>
      </c>
    </row>
    <row r="39" spans="1:72" x14ac:dyDescent="0.2">
      <c r="B39" s="10" t="s">
        <v>46</v>
      </c>
      <c r="C39" s="10">
        <v>68182</v>
      </c>
      <c r="D39" s="10">
        <v>70365</v>
      </c>
      <c r="E39" s="10">
        <v>73232</v>
      </c>
      <c r="F39" s="10">
        <v>59004</v>
      </c>
      <c r="G39" s="10">
        <v>34524</v>
      </c>
      <c r="H39" s="10">
        <v>12371</v>
      </c>
      <c r="I39" s="10">
        <v>88582</v>
      </c>
      <c r="J39" s="10">
        <v>93022</v>
      </c>
      <c r="K39" s="10">
        <v>89135</v>
      </c>
      <c r="L39" s="10">
        <v>62493</v>
      </c>
      <c r="M39" s="10">
        <v>30902</v>
      </c>
      <c r="N39" s="10">
        <v>9559</v>
      </c>
      <c r="O39" s="10">
        <v>156764</v>
      </c>
      <c r="P39" s="10">
        <v>163387</v>
      </c>
      <c r="Q39" s="10">
        <v>162367</v>
      </c>
      <c r="R39" s="10">
        <v>121497</v>
      </c>
      <c r="S39" s="10">
        <v>65426</v>
      </c>
      <c r="T39" s="10">
        <v>21930</v>
      </c>
      <c r="U39" s="11">
        <v>317678</v>
      </c>
      <c r="V39" s="11">
        <v>373693</v>
      </c>
      <c r="W39" s="11">
        <v>691371</v>
      </c>
      <c r="X39" s="11">
        <v>305307</v>
      </c>
      <c r="Y39" s="11">
        <v>364134</v>
      </c>
      <c r="Z39" s="11">
        <v>669441</v>
      </c>
      <c r="AC39" s="118"/>
      <c r="AD39" s="118"/>
      <c r="AE39" s="118"/>
      <c r="AF39" s="118"/>
      <c r="AG39" s="118"/>
      <c r="AH39" s="118"/>
      <c r="AI39" s="118"/>
      <c r="AJ39" s="118"/>
      <c r="AK39" s="118"/>
      <c r="AL39" s="118"/>
      <c r="AM39" s="118"/>
      <c r="AN39" s="118"/>
      <c r="AO39" s="118"/>
      <c r="AP39" s="118"/>
      <c r="AQ39" s="118"/>
      <c r="AR39" s="118"/>
      <c r="AS39" s="118"/>
      <c r="AT39" s="118"/>
      <c r="AU39" s="118"/>
      <c r="AV39" s="118"/>
      <c r="AW39" s="118"/>
      <c r="AX39" s="29"/>
      <c r="AY39" s="77"/>
      <c r="AZ39" s="119"/>
      <c r="BA39" s="119"/>
      <c r="BB39" s="119"/>
      <c r="BC39" s="119"/>
      <c r="BD39" s="119"/>
      <c r="BE39" s="119"/>
      <c r="BF39" s="119"/>
      <c r="BG39" s="119"/>
      <c r="BH39" s="119"/>
      <c r="BI39" s="119"/>
      <c r="BJ39" s="119"/>
      <c r="BK39" s="119"/>
      <c r="BL39" s="119"/>
      <c r="BM39" s="119"/>
      <c r="BN39" s="119"/>
      <c r="BO39" s="119"/>
      <c r="BP39" s="119"/>
      <c r="BQ39" s="119"/>
      <c r="BR39" s="119"/>
      <c r="BS39" s="119"/>
      <c r="BT39" s="119"/>
    </row>
    <row r="40" spans="1:72" x14ac:dyDescent="0.2">
      <c r="AC40" s="74"/>
      <c r="AD40" s="74"/>
      <c r="AE40" s="74"/>
      <c r="AF40" s="74"/>
      <c r="AG40" s="74"/>
      <c r="AH40" s="74"/>
      <c r="AI40" s="74"/>
      <c r="AJ40" s="74"/>
      <c r="AK40" s="74"/>
      <c r="AL40" s="74"/>
      <c r="AM40" s="74"/>
      <c r="AN40" s="74"/>
      <c r="AO40" s="74"/>
      <c r="AP40" s="74"/>
      <c r="AQ40" s="74"/>
      <c r="AR40" s="74"/>
      <c r="AS40" s="74"/>
      <c r="AT40" s="74"/>
      <c r="AU40" s="74"/>
      <c r="AV40" s="74"/>
      <c r="AW40" s="74"/>
      <c r="AY40" s="77"/>
      <c r="AZ40" s="77"/>
      <c r="BA40" s="77"/>
      <c r="BB40" s="77"/>
      <c r="BC40" s="77"/>
      <c r="BD40" s="77"/>
      <c r="BE40" s="77"/>
      <c r="BF40" s="77"/>
      <c r="BG40" s="77"/>
      <c r="BH40" s="77"/>
      <c r="BI40" s="77"/>
      <c r="BJ40" s="77"/>
      <c r="BK40" s="77"/>
      <c r="BL40" s="77"/>
      <c r="BM40" s="77"/>
      <c r="BN40" s="77"/>
      <c r="BO40" s="77"/>
      <c r="BP40" s="77"/>
      <c r="BQ40" s="77"/>
      <c r="BR40" s="77"/>
      <c r="BS40" s="77"/>
      <c r="BT40" s="77"/>
    </row>
    <row r="41" spans="1:72" x14ac:dyDescent="0.2">
      <c r="A41" s="14"/>
      <c r="B41" s="10" t="s">
        <v>0</v>
      </c>
      <c r="C41" s="4">
        <v>22.1</v>
      </c>
      <c r="D41" s="4">
        <v>20.6</v>
      </c>
      <c r="E41" s="4">
        <v>20.5</v>
      </c>
      <c r="F41" s="4">
        <v>17.8</v>
      </c>
      <c r="G41" s="4">
        <v>13.3</v>
      </c>
      <c r="H41" s="4">
        <v>94.4</v>
      </c>
      <c r="I41" s="13">
        <v>18681</v>
      </c>
      <c r="J41" s="4">
        <v>23.8</v>
      </c>
      <c r="K41" s="4">
        <v>22.4</v>
      </c>
      <c r="L41" s="4">
        <v>20.6</v>
      </c>
      <c r="M41" s="4">
        <v>17</v>
      </c>
      <c r="N41" s="4">
        <v>11.8</v>
      </c>
      <c r="O41" s="4">
        <v>95.6</v>
      </c>
      <c r="P41" s="13">
        <v>26981</v>
      </c>
      <c r="Q41" s="4">
        <v>23.1</v>
      </c>
      <c r="R41" s="4">
        <v>21.7</v>
      </c>
      <c r="S41" s="4">
        <v>20.5</v>
      </c>
      <c r="T41" s="4">
        <v>17.3</v>
      </c>
      <c r="U41" s="4">
        <v>12.4</v>
      </c>
      <c r="V41" s="4">
        <v>95.1</v>
      </c>
      <c r="W41" s="13">
        <v>45662</v>
      </c>
      <c r="X41" s="14"/>
      <c r="Y41" s="14"/>
      <c r="AB41" s="74"/>
      <c r="AC41" s="93"/>
      <c r="AD41" s="93"/>
      <c r="AE41" s="93"/>
      <c r="AF41" s="93"/>
      <c r="AG41" s="93"/>
      <c r="AH41" s="93"/>
      <c r="AI41" s="96"/>
      <c r="AJ41" s="93"/>
      <c r="AK41" s="93"/>
      <c r="AL41" s="93"/>
      <c r="AM41" s="93"/>
      <c r="AN41" s="93"/>
      <c r="AO41" s="93"/>
      <c r="AP41" s="96"/>
      <c r="AQ41" s="93"/>
      <c r="AR41" s="93"/>
      <c r="AS41" s="93"/>
      <c r="AT41" s="93"/>
      <c r="AU41" s="93"/>
      <c r="AV41" s="93"/>
      <c r="AW41" s="96"/>
      <c r="AY41" s="77"/>
      <c r="AZ41" s="80"/>
      <c r="BA41" s="80"/>
      <c r="BB41" s="80"/>
      <c r="BC41" s="80"/>
      <c r="BD41" s="80"/>
      <c r="BE41" s="80"/>
      <c r="BF41" s="80"/>
      <c r="BG41" s="80"/>
      <c r="BH41" s="80"/>
      <c r="BI41" s="80"/>
      <c r="BJ41" s="80"/>
      <c r="BK41" s="80"/>
      <c r="BL41" s="80"/>
      <c r="BM41" s="80"/>
      <c r="BN41" s="80"/>
      <c r="BO41" s="80"/>
      <c r="BP41" s="80"/>
      <c r="BQ41" s="80"/>
      <c r="BR41" s="80"/>
      <c r="BS41" s="80"/>
      <c r="BT41" s="80"/>
    </row>
    <row r="42" spans="1:72" x14ac:dyDescent="0.2">
      <c r="A42" s="14"/>
      <c r="B42" s="10" t="s">
        <v>1</v>
      </c>
      <c r="C42" s="4">
        <v>28.9</v>
      </c>
      <c r="D42" s="4">
        <v>24</v>
      </c>
      <c r="E42" s="4">
        <v>19.100000000000001</v>
      </c>
      <c r="F42" s="4">
        <v>14.7</v>
      </c>
      <c r="G42" s="4">
        <v>9.6</v>
      </c>
      <c r="H42" s="4">
        <v>96.2</v>
      </c>
      <c r="I42" s="13">
        <v>16784</v>
      </c>
      <c r="J42" s="4">
        <v>30.9</v>
      </c>
      <c r="K42" s="4">
        <v>25.8</v>
      </c>
      <c r="L42" s="4">
        <v>19.2</v>
      </c>
      <c r="M42" s="4">
        <v>13.2</v>
      </c>
      <c r="N42" s="4">
        <v>7.9</v>
      </c>
      <c r="O42" s="4">
        <v>97</v>
      </c>
      <c r="P42" s="13">
        <v>16380</v>
      </c>
      <c r="Q42" s="4">
        <v>29.9</v>
      </c>
      <c r="R42" s="4">
        <v>24.9</v>
      </c>
      <c r="S42" s="4">
        <v>19.100000000000001</v>
      </c>
      <c r="T42" s="4">
        <v>13.9</v>
      </c>
      <c r="U42" s="4">
        <v>8.8000000000000007</v>
      </c>
      <c r="V42" s="4">
        <v>96.6</v>
      </c>
      <c r="W42" s="13">
        <v>33164</v>
      </c>
      <c r="X42" s="14"/>
      <c r="Y42" s="14"/>
      <c r="AB42" s="74"/>
      <c r="AC42" s="93"/>
      <c r="AD42" s="93"/>
      <c r="AE42" s="93"/>
      <c r="AF42" s="93"/>
      <c r="AG42" s="93"/>
      <c r="AH42" s="93"/>
      <c r="AI42" s="96"/>
      <c r="AJ42" s="93"/>
      <c r="AK42" s="93"/>
      <c r="AL42" s="93"/>
      <c r="AM42" s="93"/>
      <c r="AN42" s="93"/>
      <c r="AO42" s="93"/>
      <c r="AP42" s="96"/>
      <c r="AQ42" s="93"/>
      <c r="AR42" s="93"/>
      <c r="AS42" s="93"/>
      <c r="AT42" s="93"/>
      <c r="AU42" s="93"/>
      <c r="AV42" s="93"/>
      <c r="AW42" s="96"/>
      <c r="AY42" s="77"/>
      <c r="AZ42" s="80"/>
      <c r="BA42" s="80"/>
      <c r="BB42" s="80"/>
      <c r="BC42" s="80"/>
      <c r="BD42" s="80"/>
      <c r="BE42" s="80"/>
      <c r="BF42" s="80"/>
      <c r="BG42" s="80"/>
      <c r="BH42" s="80"/>
      <c r="BI42" s="80"/>
      <c r="BJ42" s="80"/>
      <c r="BK42" s="80"/>
      <c r="BL42" s="80"/>
      <c r="BM42" s="80"/>
      <c r="BN42" s="80"/>
      <c r="BO42" s="80"/>
      <c r="BP42" s="80"/>
      <c r="BQ42" s="80"/>
      <c r="BR42" s="80"/>
      <c r="BS42" s="80"/>
      <c r="BT42" s="80"/>
    </row>
    <row r="43" spans="1:72" x14ac:dyDescent="0.2">
      <c r="A43" s="14"/>
      <c r="B43" s="10" t="s">
        <v>2</v>
      </c>
      <c r="C43" s="4">
        <v>27.3</v>
      </c>
      <c r="D43" s="4">
        <v>20.8</v>
      </c>
      <c r="E43" s="4">
        <v>18.600000000000001</v>
      </c>
      <c r="F43" s="4">
        <v>16.2</v>
      </c>
      <c r="G43" s="4">
        <v>12</v>
      </c>
      <c r="H43" s="4">
        <v>94.9</v>
      </c>
      <c r="I43" s="13">
        <v>18920</v>
      </c>
      <c r="J43" s="4">
        <v>34.200000000000003</v>
      </c>
      <c r="K43" s="4">
        <v>22.9</v>
      </c>
      <c r="L43" s="4">
        <v>18.100000000000001</v>
      </c>
      <c r="M43" s="4">
        <v>12.7</v>
      </c>
      <c r="N43" s="4">
        <v>8.6</v>
      </c>
      <c r="O43" s="4">
        <v>96.5</v>
      </c>
      <c r="P43" s="13">
        <v>5174</v>
      </c>
      <c r="Q43" s="4">
        <v>28.8</v>
      </c>
      <c r="R43" s="4">
        <v>21.3</v>
      </c>
      <c r="S43" s="4">
        <v>18.5</v>
      </c>
      <c r="T43" s="4">
        <v>15.5</v>
      </c>
      <c r="U43" s="4">
        <v>11.2</v>
      </c>
      <c r="V43" s="4">
        <v>95.3</v>
      </c>
      <c r="W43" s="13">
        <v>24094</v>
      </c>
      <c r="X43" s="14"/>
      <c r="Y43" s="14"/>
      <c r="AB43" s="74"/>
      <c r="AC43" s="93"/>
      <c r="AD43" s="93"/>
      <c r="AE43" s="93"/>
      <c r="AF43" s="93"/>
      <c r="AG43" s="93"/>
      <c r="AH43" s="93"/>
      <c r="AI43" s="96"/>
      <c r="AJ43" s="93"/>
      <c r="AK43" s="93"/>
      <c r="AL43" s="93"/>
      <c r="AM43" s="93"/>
      <c r="AN43" s="93"/>
      <c r="AO43" s="93"/>
      <c r="AP43" s="96"/>
      <c r="AQ43" s="93"/>
      <c r="AR43" s="93"/>
      <c r="AS43" s="93"/>
      <c r="AT43" s="93"/>
      <c r="AU43" s="93"/>
      <c r="AV43" s="93"/>
      <c r="AW43" s="96"/>
      <c r="AY43" s="77"/>
      <c r="AZ43" s="80"/>
      <c r="BA43" s="80"/>
      <c r="BB43" s="80"/>
      <c r="BC43" s="80"/>
      <c r="BD43" s="80"/>
      <c r="BE43" s="80"/>
      <c r="BF43" s="80"/>
      <c r="BG43" s="80"/>
      <c r="BH43" s="80"/>
      <c r="BI43" s="80"/>
      <c r="BJ43" s="80"/>
      <c r="BK43" s="80"/>
      <c r="BL43" s="80"/>
      <c r="BM43" s="80"/>
      <c r="BN43" s="80"/>
      <c r="BO43" s="80"/>
      <c r="BP43" s="80"/>
      <c r="BQ43" s="80"/>
      <c r="BR43" s="80"/>
      <c r="BS43" s="80"/>
      <c r="BT43" s="80"/>
    </row>
    <row r="44" spans="1:72" x14ac:dyDescent="0.2">
      <c r="A44" s="14"/>
      <c r="B44" s="10" t="s">
        <v>3</v>
      </c>
      <c r="C44" s="4">
        <v>21.2</v>
      </c>
      <c r="D44" s="4">
        <v>21.3</v>
      </c>
      <c r="E44" s="4">
        <v>20.6</v>
      </c>
      <c r="F44" s="4">
        <v>19.7</v>
      </c>
      <c r="G44" s="4">
        <v>12.8</v>
      </c>
      <c r="H44" s="4">
        <v>95.7</v>
      </c>
      <c r="I44" s="13">
        <v>2742</v>
      </c>
      <c r="J44" s="4">
        <v>19.5</v>
      </c>
      <c r="K44" s="4">
        <v>22.9</v>
      </c>
      <c r="L44" s="4">
        <v>21.7</v>
      </c>
      <c r="M44" s="4">
        <v>19.399999999999999</v>
      </c>
      <c r="N44" s="4">
        <v>13.4</v>
      </c>
      <c r="O44" s="4">
        <v>96.8</v>
      </c>
      <c r="P44" s="13">
        <v>1037</v>
      </c>
      <c r="Q44" s="4">
        <v>20.7</v>
      </c>
      <c r="R44" s="4">
        <v>21.7</v>
      </c>
      <c r="S44" s="4">
        <v>20.9</v>
      </c>
      <c r="T44" s="4">
        <v>19.600000000000001</v>
      </c>
      <c r="U44" s="4">
        <v>13</v>
      </c>
      <c r="V44" s="4">
        <v>96</v>
      </c>
      <c r="W44" s="13">
        <v>3779</v>
      </c>
      <c r="X44" s="14"/>
      <c r="Y44" s="14"/>
      <c r="AB44" s="74"/>
      <c r="AC44" s="93"/>
      <c r="AD44" s="93"/>
      <c r="AE44" s="93"/>
      <c r="AF44" s="93"/>
      <c r="AG44" s="93"/>
      <c r="AH44" s="93"/>
      <c r="AI44" s="96"/>
      <c r="AJ44" s="93"/>
      <c r="AK44" s="93"/>
      <c r="AL44" s="93"/>
      <c r="AM44" s="93"/>
      <c r="AN44" s="93"/>
      <c r="AO44" s="93"/>
      <c r="AP44" s="96"/>
      <c r="AQ44" s="93"/>
      <c r="AR44" s="93"/>
      <c r="AS44" s="93"/>
      <c r="AT44" s="93"/>
      <c r="AU44" s="93"/>
      <c r="AV44" s="93"/>
      <c r="AW44" s="96"/>
      <c r="AY44" s="77"/>
      <c r="AZ44" s="80"/>
      <c r="BA44" s="80"/>
      <c r="BB44" s="80"/>
      <c r="BC44" s="80"/>
      <c r="BD44" s="80"/>
      <c r="BE44" s="80"/>
      <c r="BF44" s="80"/>
      <c r="BG44" s="80"/>
      <c r="BH44" s="80"/>
      <c r="BI44" s="80"/>
      <c r="BJ44" s="80"/>
      <c r="BK44" s="80"/>
      <c r="BL44" s="80"/>
      <c r="BM44" s="80"/>
      <c r="BN44" s="80"/>
      <c r="BO44" s="80"/>
      <c r="BP44" s="80"/>
      <c r="BQ44" s="80"/>
      <c r="BR44" s="80"/>
      <c r="BS44" s="80"/>
      <c r="BT44" s="80"/>
    </row>
    <row r="45" spans="1:72" x14ac:dyDescent="0.2">
      <c r="A45" s="14"/>
      <c r="B45" s="10" t="s">
        <v>4</v>
      </c>
      <c r="C45" s="4">
        <v>39.200000000000003</v>
      </c>
      <c r="D45" s="4">
        <v>20.9</v>
      </c>
      <c r="E45" s="4">
        <v>16.3</v>
      </c>
      <c r="F45" s="4">
        <v>12.1</v>
      </c>
      <c r="G45" s="4">
        <v>7.8</v>
      </c>
      <c r="H45" s="4">
        <v>96.2</v>
      </c>
      <c r="I45" s="13">
        <v>28611</v>
      </c>
      <c r="J45" s="4">
        <v>43</v>
      </c>
      <c r="K45" s="4">
        <v>22.6</v>
      </c>
      <c r="L45" s="4">
        <v>15.6</v>
      </c>
      <c r="M45" s="4">
        <v>10.7</v>
      </c>
      <c r="N45" s="4">
        <v>5.9</v>
      </c>
      <c r="O45" s="4">
        <v>97.7</v>
      </c>
      <c r="P45" s="13">
        <v>17423</v>
      </c>
      <c r="Q45" s="4">
        <v>40.6</v>
      </c>
      <c r="R45" s="4">
        <v>21.6</v>
      </c>
      <c r="S45" s="4">
        <v>16</v>
      </c>
      <c r="T45" s="4">
        <v>11.5</v>
      </c>
      <c r="U45" s="4">
        <v>7.1</v>
      </c>
      <c r="V45" s="4">
        <v>96.8</v>
      </c>
      <c r="W45" s="13">
        <v>46034</v>
      </c>
      <c r="X45" s="14"/>
      <c r="Y45" s="14"/>
      <c r="AB45" s="74"/>
      <c r="AC45" s="93"/>
      <c r="AD45" s="93"/>
      <c r="AE45" s="93"/>
      <c r="AF45" s="93"/>
      <c r="AG45" s="93"/>
      <c r="AH45" s="93"/>
      <c r="AI45" s="96"/>
      <c r="AJ45" s="93"/>
      <c r="AK45" s="93"/>
      <c r="AL45" s="93"/>
      <c r="AM45" s="93"/>
      <c r="AN45" s="93"/>
      <c r="AO45" s="93"/>
      <c r="AP45" s="96"/>
      <c r="AQ45" s="93"/>
      <c r="AR45" s="93"/>
      <c r="AS45" s="93"/>
      <c r="AT45" s="93"/>
      <c r="AU45" s="93"/>
      <c r="AV45" s="93"/>
      <c r="AW45" s="96"/>
      <c r="AY45" s="77"/>
      <c r="AZ45" s="80"/>
      <c r="BA45" s="80"/>
      <c r="BB45" s="80"/>
      <c r="BC45" s="80"/>
      <c r="BD45" s="80"/>
      <c r="BE45" s="80"/>
      <c r="BF45" s="80"/>
      <c r="BG45" s="80"/>
      <c r="BH45" s="80"/>
      <c r="BI45" s="80"/>
      <c r="BJ45" s="80"/>
      <c r="BK45" s="80"/>
      <c r="BL45" s="80"/>
      <c r="BM45" s="80"/>
      <c r="BN45" s="80"/>
      <c r="BO45" s="80"/>
      <c r="BP45" s="80"/>
      <c r="BQ45" s="80"/>
      <c r="BR45" s="80"/>
      <c r="BS45" s="80"/>
      <c r="BT45" s="80"/>
    </row>
    <row r="46" spans="1:72" x14ac:dyDescent="0.2">
      <c r="A46" s="14"/>
      <c r="B46" s="10" t="s">
        <v>5</v>
      </c>
      <c r="C46" s="4">
        <v>58</v>
      </c>
      <c r="D46" s="4">
        <v>17.7</v>
      </c>
      <c r="E46" s="4">
        <v>10.8</v>
      </c>
      <c r="F46" s="4">
        <v>7.6</v>
      </c>
      <c r="G46" s="4">
        <v>3.8</v>
      </c>
      <c r="H46" s="4">
        <v>98</v>
      </c>
      <c r="I46" s="13">
        <v>3730</v>
      </c>
      <c r="J46" s="4">
        <v>61.4</v>
      </c>
      <c r="K46" s="4">
        <v>17.600000000000001</v>
      </c>
      <c r="L46" s="4">
        <v>11.4</v>
      </c>
      <c r="M46" s="4">
        <v>4.7</v>
      </c>
      <c r="N46" s="4">
        <v>3.4</v>
      </c>
      <c r="O46" s="4">
        <v>98.5</v>
      </c>
      <c r="P46" s="13">
        <v>1462</v>
      </c>
      <c r="Q46" s="4">
        <v>59</v>
      </c>
      <c r="R46" s="4">
        <v>17.7</v>
      </c>
      <c r="S46" s="4">
        <v>11</v>
      </c>
      <c r="T46" s="4">
        <v>6.8</v>
      </c>
      <c r="U46" s="4">
        <v>3.7</v>
      </c>
      <c r="V46" s="4">
        <v>98.1</v>
      </c>
      <c r="W46" s="13">
        <v>5192</v>
      </c>
      <c r="X46" s="14"/>
      <c r="Y46" s="14"/>
      <c r="AB46" s="74"/>
      <c r="AC46" s="93"/>
      <c r="AD46" s="93"/>
      <c r="AE46" s="93"/>
      <c r="AF46" s="93"/>
      <c r="AG46" s="93"/>
      <c r="AH46" s="93"/>
      <c r="AI46" s="96"/>
      <c r="AJ46" s="93"/>
      <c r="AK46" s="93"/>
      <c r="AL46" s="93"/>
      <c r="AM46" s="93"/>
      <c r="AN46" s="93"/>
      <c r="AO46" s="93"/>
      <c r="AP46" s="96"/>
      <c r="AQ46" s="93"/>
      <c r="AR46" s="93"/>
      <c r="AS46" s="93"/>
      <c r="AT46" s="93"/>
      <c r="AU46" s="93"/>
      <c r="AV46" s="93"/>
      <c r="AW46" s="96"/>
      <c r="AY46" s="77"/>
      <c r="AZ46" s="80"/>
      <c r="BA46" s="80"/>
      <c r="BB46" s="80"/>
      <c r="BC46" s="80"/>
      <c r="BD46" s="80"/>
      <c r="BE46" s="80"/>
      <c r="BF46" s="80"/>
      <c r="BG46" s="80"/>
      <c r="BH46" s="80"/>
      <c r="BI46" s="80"/>
      <c r="BJ46" s="80"/>
      <c r="BK46" s="80"/>
      <c r="BL46" s="80"/>
      <c r="BM46" s="80"/>
      <c r="BN46" s="80"/>
      <c r="BO46" s="80"/>
      <c r="BP46" s="80"/>
      <c r="BQ46" s="80"/>
      <c r="BR46" s="80"/>
      <c r="BS46" s="80"/>
      <c r="BT46" s="80"/>
    </row>
    <row r="47" spans="1:72" x14ac:dyDescent="0.2">
      <c r="A47" s="14"/>
      <c r="B47" s="10" t="s">
        <v>6</v>
      </c>
      <c r="C47" s="4">
        <v>12.3</v>
      </c>
      <c r="D47" s="4">
        <v>20.7</v>
      </c>
      <c r="E47" s="4">
        <v>26</v>
      </c>
      <c r="F47" s="4">
        <v>23.4</v>
      </c>
      <c r="G47" s="4">
        <v>13.6</v>
      </c>
      <c r="H47" s="4">
        <v>96</v>
      </c>
      <c r="I47" s="13">
        <v>9601</v>
      </c>
      <c r="J47" s="4">
        <v>20.2</v>
      </c>
      <c r="K47" s="4">
        <v>26.6</v>
      </c>
      <c r="L47" s="4">
        <v>25.8</v>
      </c>
      <c r="M47" s="4">
        <v>18</v>
      </c>
      <c r="N47" s="4">
        <v>7.5</v>
      </c>
      <c r="O47" s="4">
        <v>98</v>
      </c>
      <c r="P47" s="13">
        <v>6476</v>
      </c>
      <c r="Q47" s="4">
        <v>15.5</v>
      </c>
      <c r="R47" s="4">
        <v>23</v>
      </c>
      <c r="S47" s="4">
        <v>25.9</v>
      </c>
      <c r="T47" s="4">
        <v>21.2</v>
      </c>
      <c r="U47" s="4">
        <v>11.1</v>
      </c>
      <c r="V47" s="4">
        <v>96.8</v>
      </c>
      <c r="W47" s="13">
        <v>16077</v>
      </c>
      <c r="X47" s="14"/>
      <c r="Y47" s="14"/>
      <c r="AB47" s="74"/>
      <c r="AC47" s="93"/>
      <c r="AD47" s="93"/>
      <c r="AE47" s="93"/>
      <c r="AF47" s="93"/>
      <c r="AG47" s="93"/>
      <c r="AH47" s="93"/>
      <c r="AI47" s="96"/>
      <c r="AJ47" s="93"/>
      <c r="AK47" s="93"/>
      <c r="AL47" s="93"/>
      <c r="AM47" s="93"/>
      <c r="AN47" s="93"/>
      <c r="AO47" s="93"/>
      <c r="AP47" s="96"/>
      <c r="AQ47" s="93"/>
      <c r="AR47" s="93"/>
      <c r="AS47" s="93"/>
      <c r="AT47" s="93"/>
      <c r="AU47" s="93"/>
      <c r="AV47" s="93"/>
      <c r="AW47" s="96"/>
      <c r="AY47" s="77"/>
      <c r="AZ47" s="80"/>
      <c r="BA47" s="80"/>
      <c r="BB47" s="80"/>
      <c r="BC47" s="80"/>
      <c r="BD47" s="80"/>
      <c r="BE47" s="80"/>
      <c r="BF47" s="80"/>
      <c r="BG47" s="80"/>
      <c r="BH47" s="80"/>
      <c r="BI47" s="80"/>
      <c r="BJ47" s="80"/>
      <c r="BK47" s="80"/>
      <c r="BL47" s="80"/>
      <c r="BM47" s="80"/>
      <c r="BN47" s="80"/>
      <c r="BO47" s="80"/>
      <c r="BP47" s="80"/>
      <c r="BQ47" s="80"/>
      <c r="BR47" s="80"/>
      <c r="BS47" s="80"/>
      <c r="BT47" s="80"/>
    </row>
    <row r="48" spans="1:72" x14ac:dyDescent="0.2">
      <c r="A48" s="14"/>
      <c r="B48" s="10" t="s">
        <v>168</v>
      </c>
      <c r="C48" s="4">
        <v>14.5</v>
      </c>
      <c r="D48" s="4">
        <v>18.3</v>
      </c>
      <c r="E48" s="4">
        <v>22.4</v>
      </c>
      <c r="F48" s="4">
        <v>22.1</v>
      </c>
      <c r="G48" s="4">
        <v>16.2</v>
      </c>
      <c r="H48" s="4">
        <v>93.5</v>
      </c>
      <c r="I48" s="13">
        <v>5319</v>
      </c>
      <c r="J48" s="4">
        <v>15.5</v>
      </c>
      <c r="K48" s="4">
        <v>22</v>
      </c>
      <c r="L48" s="4">
        <v>21</v>
      </c>
      <c r="M48" s="4">
        <v>22</v>
      </c>
      <c r="N48" s="4">
        <v>15.7</v>
      </c>
      <c r="O48" s="4">
        <v>96.1</v>
      </c>
      <c r="P48" s="13">
        <v>491</v>
      </c>
      <c r="Q48" s="4">
        <v>14.6</v>
      </c>
      <c r="R48" s="4">
        <v>18.600000000000001</v>
      </c>
      <c r="S48" s="4">
        <v>22.3</v>
      </c>
      <c r="T48" s="4">
        <v>22.1</v>
      </c>
      <c r="U48" s="4">
        <v>16.2</v>
      </c>
      <c r="V48" s="4">
        <v>93.8</v>
      </c>
      <c r="W48" s="13">
        <v>5810</v>
      </c>
      <c r="X48" s="14"/>
      <c r="Y48" s="14"/>
      <c r="AB48" s="74"/>
      <c r="AC48" s="93"/>
      <c r="AD48" s="93"/>
      <c r="AE48" s="93"/>
      <c r="AF48" s="93"/>
      <c r="AG48" s="93"/>
      <c r="AH48" s="93"/>
      <c r="AI48" s="96"/>
      <c r="AJ48" s="93"/>
      <c r="AK48" s="93"/>
      <c r="AL48" s="93"/>
      <c r="AM48" s="93"/>
      <c r="AN48" s="93"/>
      <c r="AO48" s="93"/>
      <c r="AP48" s="96"/>
      <c r="AQ48" s="93"/>
      <c r="AR48" s="93"/>
      <c r="AS48" s="93"/>
      <c r="AT48" s="93"/>
      <c r="AU48" s="93"/>
      <c r="AV48" s="93"/>
      <c r="AW48" s="96"/>
      <c r="AY48" s="77"/>
      <c r="AZ48" s="80"/>
      <c r="BA48" s="80"/>
      <c r="BB48" s="80"/>
      <c r="BC48" s="80"/>
      <c r="BD48" s="80"/>
      <c r="BE48" s="80"/>
      <c r="BF48" s="80"/>
      <c r="BG48" s="80"/>
      <c r="BH48" s="80"/>
      <c r="BI48" s="80"/>
      <c r="BJ48" s="80"/>
      <c r="BK48" s="80"/>
      <c r="BL48" s="80"/>
      <c r="BM48" s="80"/>
      <c r="BN48" s="80"/>
      <c r="BO48" s="80"/>
      <c r="BP48" s="80"/>
      <c r="BQ48" s="80"/>
      <c r="BR48" s="80"/>
      <c r="BS48" s="80"/>
      <c r="BT48" s="80"/>
    </row>
    <row r="49" spans="1:72" x14ac:dyDescent="0.2">
      <c r="A49" s="14"/>
      <c r="B49" s="10" t="s">
        <v>8</v>
      </c>
      <c r="C49" s="4">
        <v>6.2</v>
      </c>
      <c r="D49" s="4">
        <v>14.9</v>
      </c>
      <c r="E49" s="4">
        <v>23.3</v>
      </c>
      <c r="F49" s="4">
        <v>27.9</v>
      </c>
      <c r="G49" s="4">
        <v>20.3</v>
      </c>
      <c r="H49" s="4">
        <v>92.7</v>
      </c>
      <c r="I49" s="13">
        <v>8349</v>
      </c>
      <c r="J49" s="4">
        <v>9.3000000000000007</v>
      </c>
      <c r="K49" s="4">
        <v>17.899999999999999</v>
      </c>
      <c r="L49" s="4">
        <v>25.8</v>
      </c>
      <c r="M49" s="4">
        <v>25.6</v>
      </c>
      <c r="N49" s="4">
        <v>16.2</v>
      </c>
      <c r="O49" s="4">
        <v>94.6</v>
      </c>
      <c r="P49" s="13">
        <v>4504</v>
      </c>
      <c r="Q49" s="4">
        <v>7.3</v>
      </c>
      <c r="R49" s="4">
        <v>15.9</v>
      </c>
      <c r="S49" s="4">
        <v>24.2</v>
      </c>
      <c r="T49" s="4">
        <v>27.1</v>
      </c>
      <c r="U49" s="4">
        <v>18.899999999999999</v>
      </c>
      <c r="V49" s="4">
        <v>93.4</v>
      </c>
      <c r="W49" s="13">
        <v>12853</v>
      </c>
      <c r="X49" s="14"/>
      <c r="Y49" s="14"/>
      <c r="AB49" s="74"/>
      <c r="AC49" s="93"/>
      <c r="AD49" s="93"/>
      <c r="AE49" s="93"/>
      <c r="AF49" s="93"/>
      <c r="AG49" s="93"/>
      <c r="AH49" s="93"/>
      <c r="AI49" s="96"/>
      <c r="AJ49" s="93"/>
      <c r="AK49" s="93"/>
      <c r="AL49" s="93"/>
      <c r="AM49" s="93"/>
      <c r="AN49" s="93"/>
      <c r="AO49" s="93"/>
      <c r="AP49" s="96"/>
      <c r="AQ49" s="93"/>
      <c r="AR49" s="93"/>
      <c r="AS49" s="93"/>
      <c r="AT49" s="93"/>
      <c r="AU49" s="93"/>
      <c r="AV49" s="93"/>
      <c r="AW49" s="96"/>
      <c r="AY49" s="77"/>
      <c r="AZ49" s="80"/>
      <c r="BA49" s="80"/>
      <c r="BB49" s="80"/>
      <c r="BC49" s="80"/>
      <c r="BD49" s="80"/>
      <c r="BE49" s="80"/>
      <c r="BF49" s="80"/>
      <c r="BG49" s="80"/>
      <c r="BH49" s="80"/>
      <c r="BI49" s="80"/>
      <c r="BJ49" s="80"/>
      <c r="BK49" s="80"/>
      <c r="BL49" s="80"/>
      <c r="BM49" s="80"/>
      <c r="BN49" s="80"/>
      <c r="BO49" s="80"/>
      <c r="BP49" s="80"/>
      <c r="BQ49" s="80"/>
      <c r="BR49" s="80"/>
      <c r="BS49" s="80"/>
      <c r="BT49" s="80"/>
    </row>
    <row r="50" spans="1:72" x14ac:dyDescent="0.2">
      <c r="A50" s="14"/>
      <c r="B50" s="10" t="s">
        <v>9</v>
      </c>
      <c r="C50" s="4" t="s">
        <v>78</v>
      </c>
      <c r="D50" s="4" t="s">
        <v>78</v>
      </c>
      <c r="E50" s="4">
        <v>20</v>
      </c>
      <c r="F50" s="4">
        <v>28.6</v>
      </c>
      <c r="G50" s="4">
        <v>28.6</v>
      </c>
      <c r="H50" s="4">
        <v>85.7</v>
      </c>
      <c r="I50" s="13">
        <v>35</v>
      </c>
      <c r="J50" s="4">
        <v>17</v>
      </c>
      <c r="K50" s="4">
        <v>20</v>
      </c>
      <c r="L50" s="4">
        <v>25.5</v>
      </c>
      <c r="M50" s="4">
        <v>20.9</v>
      </c>
      <c r="N50" s="4">
        <v>14.3</v>
      </c>
      <c r="O50" s="4">
        <v>97.7</v>
      </c>
      <c r="P50" s="13">
        <v>440</v>
      </c>
      <c r="Q50" s="4">
        <v>16</v>
      </c>
      <c r="R50" s="4">
        <v>18.899999999999999</v>
      </c>
      <c r="S50" s="4">
        <v>25.1</v>
      </c>
      <c r="T50" s="4">
        <v>21.5</v>
      </c>
      <c r="U50" s="4">
        <v>15.4</v>
      </c>
      <c r="V50" s="4">
        <v>96.8</v>
      </c>
      <c r="W50" s="13">
        <v>475</v>
      </c>
      <c r="X50" s="14"/>
      <c r="Y50" s="14"/>
      <c r="AB50" s="74"/>
      <c r="AC50" s="93"/>
      <c r="AD50" s="93"/>
      <c r="AE50" s="93"/>
      <c r="AF50" s="93"/>
      <c r="AG50" s="93"/>
      <c r="AH50" s="93"/>
      <c r="AI50" s="96"/>
      <c r="AJ50" s="93"/>
      <c r="AK50" s="93"/>
      <c r="AL50" s="93"/>
      <c r="AM50" s="93"/>
      <c r="AN50" s="93"/>
      <c r="AO50" s="93"/>
      <c r="AP50" s="96"/>
      <c r="AQ50" s="93"/>
      <c r="AR50" s="93"/>
      <c r="AS50" s="93"/>
      <c r="AT50" s="93"/>
      <c r="AU50" s="93"/>
      <c r="AV50" s="93"/>
      <c r="AW50" s="96"/>
      <c r="AY50" s="77"/>
      <c r="AZ50" s="80"/>
      <c r="BA50" s="80"/>
      <c r="BB50" s="80"/>
      <c r="BC50" s="80"/>
      <c r="BD50" s="80"/>
      <c r="BE50" s="80"/>
      <c r="BF50" s="80"/>
      <c r="BG50" s="80"/>
      <c r="BH50" s="80"/>
      <c r="BI50" s="80"/>
      <c r="BJ50" s="80"/>
      <c r="BK50" s="80"/>
      <c r="BL50" s="80"/>
      <c r="BM50" s="80"/>
      <c r="BN50" s="80"/>
      <c r="BO50" s="80"/>
      <c r="BP50" s="80"/>
      <c r="BQ50" s="80"/>
      <c r="BR50" s="80"/>
      <c r="BS50" s="80"/>
      <c r="BT50" s="80"/>
    </row>
    <row r="51" spans="1:72" x14ac:dyDescent="0.2">
      <c r="A51" s="14"/>
      <c r="B51" s="10" t="s">
        <v>10</v>
      </c>
      <c r="C51" s="4">
        <v>10.4</v>
      </c>
      <c r="D51" s="4">
        <v>19.899999999999999</v>
      </c>
      <c r="E51" s="4">
        <v>22.5</v>
      </c>
      <c r="F51" s="4">
        <v>21.6</v>
      </c>
      <c r="G51" s="4">
        <v>17.100000000000001</v>
      </c>
      <c r="H51" s="4">
        <v>91.6</v>
      </c>
      <c r="I51" s="13">
        <v>1766</v>
      </c>
      <c r="J51" s="4">
        <v>13.7</v>
      </c>
      <c r="K51" s="4">
        <v>21.7</v>
      </c>
      <c r="L51" s="4">
        <v>20.7</v>
      </c>
      <c r="M51" s="4">
        <v>23.7</v>
      </c>
      <c r="N51" s="4">
        <v>13.3</v>
      </c>
      <c r="O51" s="4">
        <v>93.1</v>
      </c>
      <c r="P51" s="13">
        <v>1056</v>
      </c>
      <c r="Q51" s="4">
        <v>11.7</v>
      </c>
      <c r="R51" s="4">
        <v>20.6</v>
      </c>
      <c r="S51" s="4">
        <v>21.9</v>
      </c>
      <c r="T51" s="4">
        <v>22.4</v>
      </c>
      <c r="U51" s="4">
        <v>15.7</v>
      </c>
      <c r="V51" s="4">
        <v>92.1</v>
      </c>
      <c r="W51" s="13">
        <v>2822</v>
      </c>
      <c r="X51" s="14"/>
      <c r="Y51" s="14"/>
      <c r="AB51" s="74"/>
      <c r="AC51" s="93"/>
      <c r="AD51" s="93"/>
      <c r="AE51" s="93"/>
      <c r="AF51" s="93"/>
      <c r="AG51" s="93"/>
      <c r="AH51" s="93"/>
      <c r="AI51" s="96"/>
      <c r="AJ51" s="93"/>
      <c r="AK51" s="93"/>
      <c r="AL51" s="93"/>
      <c r="AM51" s="93"/>
      <c r="AN51" s="93"/>
      <c r="AO51" s="93"/>
      <c r="AP51" s="96"/>
      <c r="AQ51" s="93"/>
      <c r="AR51" s="93"/>
      <c r="AS51" s="93"/>
      <c r="AT51" s="93"/>
      <c r="AU51" s="93"/>
      <c r="AV51" s="93"/>
      <c r="AW51" s="96"/>
      <c r="AY51" s="77"/>
      <c r="AZ51" s="80"/>
      <c r="BA51" s="80"/>
      <c r="BB51" s="80"/>
      <c r="BC51" s="80"/>
      <c r="BD51" s="80"/>
      <c r="BE51" s="80"/>
      <c r="BF51" s="80"/>
      <c r="BG51" s="80"/>
      <c r="BH51" s="80"/>
      <c r="BI51" s="80"/>
      <c r="BJ51" s="80"/>
      <c r="BK51" s="80"/>
      <c r="BL51" s="80"/>
      <c r="BM51" s="80"/>
      <c r="BN51" s="80"/>
      <c r="BO51" s="80"/>
      <c r="BP51" s="80"/>
      <c r="BQ51" s="80"/>
      <c r="BR51" s="80"/>
      <c r="BS51" s="80"/>
      <c r="BT51" s="80"/>
    </row>
    <row r="52" spans="1:72" x14ac:dyDescent="0.2">
      <c r="A52" s="14"/>
      <c r="B52" s="10" t="s">
        <v>11</v>
      </c>
      <c r="C52" s="4">
        <v>14.7</v>
      </c>
      <c r="D52" s="4">
        <v>24.7</v>
      </c>
      <c r="E52" s="4">
        <v>28.2</v>
      </c>
      <c r="F52" s="4">
        <v>21.1</v>
      </c>
      <c r="G52" s="4">
        <v>9.1</v>
      </c>
      <c r="H52" s="4">
        <v>97.8</v>
      </c>
      <c r="I52" s="13">
        <v>17912</v>
      </c>
      <c r="J52" s="4">
        <v>16.899999999999999</v>
      </c>
      <c r="K52" s="4">
        <v>26.1</v>
      </c>
      <c r="L52" s="4">
        <v>27.2</v>
      </c>
      <c r="M52" s="4">
        <v>19.8</v>
      </c>
      <c r="N52" s="4">
        <v>8.1</v>
      </c>
      <c r="O52" s="4">
        <v>98.1</v>
      </c>
      <c r="P52" s="13">
        <v>12036</v>
      </c>
      <c r="Q52" s="4">
        <v>15.6</v>
      </c>
      <c r="R52" s="4">
        <v>25.3</v>
      </c>
      <c r="S52" s="4">
        <v>27.8</v>
      </c>
      <c r="T52" s="4">
        <v>20.6</v>
      </c>
      <c r="U52" s="4">
        <v>8.6999999999999993</v>
      </c>
      <c r="V52" s="4">
        <v>97.9</v>
      </c>
      <c r="W52" s="13">
        <v>29948</v>
      </c>
      <c r="X52" s="14"/>
      <c r="Y52" s="14"/>
      <c r="AB52" s="74"/>
      <c r="AC52" s="93"/>
      <c r="AD52" s="93"/>
      <c r="AE52" s="93"/>
      <c r="AF52" s="93"/>
      <c r="AG52" s="93"/>
      <c r="AH52" s="93"/>
      <c r="AI52" s="96"/>
      <c r="AJ52" s="93"/>
      <c r="AK52" s="93"/>
      <c r="AL52" s="93"/>
      <c r="AM52" s="93"/>
      <c r="AN52" s="93"/>
      <c r="AO52" s="93"/>
      <c r="AP52" s="96"/>
      <c r="AQ52" s="93"/>
      <c r="AR52" s="93"/>
      <c r="AS52" s="93"/>
      <c r="AT52" s="93"/>
      <c r="AU52" s="93"/>
      <c r="AV52" s="93"/>
      <c r="AW52" s="96"/>
      <c r="AY52" s="77"/>
      <c r="AZ52" s="80"/>
      <c r="BA52" s="80"/>
      <c r="BB52" s="80"/>
      <c r="BC52" s="80"/>
      <c r="BD52" s="80"/>
      <c r="BE52" s="80"/>
      <c r="BF52" s="80"/>
      <c r="BG52" s="80"/>
      <c r="BH52" s="80"/>
      <c r="BI52" s="80"/>
      <c r="BJ52" s="80"/>
      <c r="BK52" s="80"/>
      <c r="BL52" s="80"/>
      <c r="BM52" s="80"/>
      <c r="BN52" s="80"/>
      <c r="BO52" s="80"/>
      <c r="BP52" s="80"/>
      <c r="BQ52" s="80"/>
      <c r="BR52" s="80"/>
      <c r="BS52" s="80"/>
      <c r="BT52" s="80"/>
    </row>
    <row r="53" spans="1:72" x14ac:dyDescent="0.2">
      <c r="A53" s="14"/>
      <c r="B53" s="10" t="s">
        <v>12</v>
      </c>
      <c r="C53" s="4">
        <v>32.200000000000003</v>
      </c>
      <c r="D53" s="4">
        <v>27.4</v>
      </c>
      <c r="E53" s="4">
        <v>20.399999999999999</v>
      </c>
      <c r="F53" s="4">
        <v>13</v>
      </c>
      <c r="G53" s="4">
        <v>5.5</v>
      </c>
      <c r="H53" s="4">
        <v>98.5</v>
      </c>
      <c r="I53" s="13">
        <v>9466</v>
      </c>
      <c r="J53" s="4">
        <v>39.799999999999997</v>
      </c>
      <c r="K53" s="4">
        <v>27.6</v>
      </c>
      <c r="L53" s="4">
        <v>17.7</v>
      </c>
      <c r="M53" s="4">
        <v>10</v>
      </c>
      <c r="N53" s="4">
        <v>4</v>
      </c>
      <c r="O53" s="4">
        <v>99.1</v>
      </c>
      <c r="P53" s="13">
        <v>3953</v>
      </c>
      <c r="Q53" s="4">
        <v>34.4</v>
      </c>
      <c r="R53" s="4">
        <v>27.5</v>
      </c>
      <c r="S53" s="4">
        <v>19.600000000000001</v>
      </c>
      <c r="T53" s="4">
        <v>12.1</v>
      </c>
      <c r="U53" s="4">
        <v>5.0999999999999996</v>
      </c>
      <c r="V53" s="4">
        <v>98.7</v>
      </c>
      <c r="W53" s="13">
        <v>13419</v>
      </c>
      <c r="X53" s="14"/>
      <c r="Y53" s="14"/>
      <c r="AB53" s="74"/>
      <c r="AC53" s="93"/>
      <c r="AD53" s="93"/>
      <c r="AE53" s="93"/>
      <c r="AF53" s="93"/>
      <c r="AG53" s="93"/>
      <c r="AH53" s="93"/>
      <c r="AI53" s="96"/>
      <c r="AJ53" s="93"/>
      <c r="AK53" s="93"/>
      <c r="AL53" s="93"/>
      <c r="AM53" s="93"/>
      <c r="AN53" s="93"/>
      <c r="AO53" s="93"/>
      <c r="AP53" s="96"/>
      <c r="AQ53" s="93"/>
      <c r="AR53" s="93"/>
      <c r="AS53" s="93"/>
      <c r="AT53" s="93"/>
      <c r="AU53" s="93"/>
      <c r="AV53" s="93"/>
      <c r="AW53" s="96"/>
      <c r="AY53" s="77"/>
      <c r="AZ53" s="80"/>
      <c r="BA53" s="80"/>
      <c r="BB53" s="80"/>
      <c r="BC53" s="80"/>
      <c r="BD53" s="80"/>
      <c r="BE53" s="80"/>
      <c r="BF53" s="80"/>
      <c r="BG53" s="80"/>
      <c r="BH53" s="80"/>
      <c r="BI53" s="80"/>
      <c r="BJ53" s="80"/>
      <c r="BK53" s="80"/>
      <c r="BL53" s="80"/>
      <c r="BM53" s="80"/>
      <c r="BN53" s="80"/>
      <c r="BO53" s="80"/>
      <c r="BP53" s="80"/>
      <c r="BQ53" s="80"/>
      <c r="BR53" s="80"/>
      <c r="BS53" s="80"/>
      <c r="BT53" s="80"/>
    </row>
    <row r="54" spans="1:72" x14ac:dyDescent="0.2">
      <c r="A54" s="14"/>
      <c r="B54" s="10" t="s">
        <v>13</v>
      </c>
      <c r="C54" s="4">
        <v>20.6</v>
      </c>
      <c r="D54" s="4">
        <v>24.8</v>
      </c>
      <c r="E54" s="4">
        <v>25.5</v>
      </c>
      <c r="F54" s="4">
        <v>18.3</v>
      </c>
      <c r="G54" s="4">
        <v>8.9</v>
      </c>
      <c r="H54" s="4">
        <v>98.1</v>
      </c>
      <c r="I54" s="13">
        <v>15523</v>
      </c>
      <c r="J54" s="4">
        <v>29.4</v>
      </c>
      <c r="K54" s="4">
        <v>27.4</v>
      </c>
      <c r="L54" s="4">
        <v>22.6</v>
      </c>
      <c r="M54" s="4">
        <v>14.1</v>
      </c>
      <c r="N54" s="4">
        <v>5.4</v>
      </c>
      <c r="O54" s="4">
        <v>98.9</v>
      </c>
      <c r="P54" s="13">
        <v>12860</v>
      </c>
      <c r="Q54" s="4">
        <v>24.6</v>
      </c>
      <c r="R54" s="4">
        <v>26</v>
      </c>
      <c r="S54" s="4">
        <v>24.2</v>
      </c>
      <c r="T54" s="4">
        <v>16.399999999999999</v>
      </c>
      <c r="U54" s="4">
        <v>7.3</v>
      </c>
      <c r="V54" s="4">
        <v>98.5</v>
      </c>
      <c r="W54" s="13">
        <v>28383</v>
      </c>
      <c r="X54" s="14"/>
      <c r="Y54" s="14"/>
      <c r="AB54" s="74"/>
      <c r="AC54" s="93"/>
      <c r="AD54" s="93"/>
      <c r="AE54" s="93"/>
      <c r="AF54" s="93"/>
      <c r="AG54" s="93"/>
      <c r="AH54" s="93"/>
      <c r="AI54" s="96"/>
      <c r="AJ54" s="93"/>
      <c r="AK54" s="93"/>
      <c r="AL54" s="93"/>
      <c r="AM54" s="93"/>
      <c r="AN54" s="93"/>
      <c r="AO54" s="93"/>
      <c r="AP54" s="96"/>
      <c r="AQ54" s="93"/>
      <c r="AR54" s="93"/>
      <c r="AS54" s="93"/>
      <c r="AT54" s="93"/>
      <c r="AU54" s="93"/>
      <c r="AV54" s="93"/>
      <c r="AW54" s="96"/>
      <c r="AY54" s="77"/>
      <c r="AZ54" s="80"/>
      <c r="BA54" s="80"/>
      <c r="BB54" s="80"/>
      <c r="BC54" s="80"/>
      <c r="BD54" s="80"/>
      <c r="BE54" s="80"/>
      <c r="BF54" s="80"/>
      <c r="BG54" s="80"/>
      <c r="BH54" s="80"/>
      <c r="BI54" s="80"/>
      <c r="BJ54" s="80"/>
      <c r="BK54" s="80"/>
      <c r="BL54" s="80"/>
      <c r="BM54" s="80"/>
      <c r="BN54" s="80"/>
      <c r="BO54" s="80"/>
      <c r="BP54" s="80"/>
      <c r="BQ54" s="80"/>
      <c r="BR54" s="80"/>
      <c r="BS54" s="80"/>
      <c r="BT54" s="80"/>
    </row>
    <row r="55" spans="1:72" x14ac:dyDescent="0.2">
      <c r="A55" s="14"/>
      <c r="B55" s="10" t="s">
        <v>14</v>
      </c>
      <c r="C55" s="4">
        <v>26.7</v>
      </c>
      <c r="D55" s="4">
        <v>28.1</v>
      </c>
      <c r="E55" s="4">
        <v>23.2</v>
      </c>
      <c r="F55" s="4">
        <v>13.2</v>
      </c>
      <c r="G55" s="4">
        <v>6.6</v>
      </c>
      <c r="H55" s="4">
        <v>97.7</v>
      </c>
      <c r="I55" s="13">
        <v>5710</v>
      </c>
      <c r="J55" s="4">
        <v>32.6</v>
      </c>
      <c r="K55" s="4">
        <v>28</v>
      </c>
      <c r="L55" s="4">
        <v>20.100000000000001</v>
      </c>
      <c r="M55" s="4">
        <v>11.8</v>
      </c>
      <c r="N55" s="4">
        <v>5.4</v>
      </c>
      <c r="O55" s="4">
        <v>97.9</v>
      </c>
      <c r="P55" s="13">
        <v>3735</v>
      </c>
      <c r="Q55" s="4">
        <v>29.1</v>
      </c>
      <c r="R55" s="4">
        <v>28</v>
      </c>
      <c r="S55" s="4">
        <v>22</v>
      </c>
      <c r="T55" s="4">
        <v>12.6</v>
      </c>
      <c r="U55" s="4">
        <v>6.1</v>
      </c>
      <c r="V55" s="4">
        <v>97.8</v>
      </c>
      <c r="W55" s="13">
        <v>9445</v>
      </c>
      <c r="X55" s="14"/>
      <c r="Y55" s="14"/>
      <c r="AB55" s="74"/>
      <c r="AC55" s="93"/>
      <c r="AD55" s="93"/>
      <c r="AE55" s="93"/>
      <c r="AF55" s="93"/>
      <c r="AG55" s="93"/>
      <c r="AH55" s="93"/>
      <c r="AI55" s="96"/>
      <c r="AJ55" s="93"/>
      <c r="AK55" s="93"/>
      <c r="AL55" s="93"/>
      <c r="AM55" s="93"/>
      <c r="AN55" s="93"/>
      <c r="AO55" s="93"/>
      <c r="AP55" s="96"/>
      <c r="AQ55" s="93"/>
      <c r="AR55" s="93"/>
      <c r="AS55" s="93"/>
      <c r="AT55" s="93"/>
      <c r="AU55" s="93"/>
      <c r="AV55" s="93"/>
      <c r="AW55" s="96"/>
      <c r="AY55" s="77"/>
      <c r="AZ55" s="80"/>
      <c r="BA55" s="80"/>
      <c r="BB55" s="80"/>
      <c r="BC55" s="80"/>
      <c r="BD55" s="80"/>
      <c r="BE55" s="80"/>
      <c r="BF55" s="80"/>
      <c r="BG55" s="80"/>
      <c r="BH55" s="80"/>
      <c r="BI55" s="80"/>
      <c r="BJ55" s="80"/>
      <c r="BK55" s="80"/>
      <c r="BL55" s="80"/>
      <c r="BM55" s="80"/>
      <c r="BN55" s="80"/>
      <c r="BO55" s="80"/>
      <c r="BP55" s="80"/>
      <c r="BQ55" s="80"/>
      <c r="BR55" s="80"/>
      <c r="BS55" s="80"/>
      <c r="BT55" s="80"/>
    </row>
    <row r="56" spans="1:72" x14ac:dyDescent="0.2">
      <c r="A56" s="14"/>
      <c r="B56" s="10" t="s">
        <v>15</v>
      </c>
      <c r="C56" s="4">
        <v>21.9</v>
      </c>
      <c r="D56" s="4">
        <v>25.9</v>
      </c>
      <c r="E56" s="4">
        <v>25.2</v>
      </c>
      <c r="F56" s="4">
        <v>17.2</v>
      </c>
      <c r="G56" s="4">
        <v>7.8</v>
      </c>
      <c r="H56" s="4">
        <v>98</v>
      </c>
      <c r="I56" s="13">
        <v>19481</v>
      </c>
      <c r="J56" s="4">
        <v>24.8</v>
      </c>
      <c r="K56" s="4">
        <v>26.3</v>
      </c>
      <c r="L56" s="4">
        <v>24.4</v>
      </c>
      <c r="M56" s="4">
        <v>15.7</v>
      </c>
      <c r="N56" s="4">
        <v>7.1</v>
      </c>
      <c r="O56" s="4">
        <v>98.3</v>
      </c>
      <c r="P56" s="13">
        <v>19717</v>
      </c>
      <c r="Q56" s="4">
        <v>23.3</v>
      </c>
      <c r="R56" s="4">
        <v>26.1</v>
      </c>
      <c r="S56" s="4">
        <v>24.8</v>
      </c>
      <c r="T56" s="4">
        <v>16.5</v>
      </c>
      <c r="U56" s="4">
        <v>7.4</v>
      </c>
      <c r="V56" s="4">
        <v>98.2</v>
      </c>
      <c r="W56" s="13">
        <v>39198</v>
      </c>
      <c r="X56" s="14"/>
      <c r="Y56" s="14"/>
      <c r="AB56" s="74"/>
      <c r="AC56" s="93"/>
      <c r="AD56" s="93"/>
      <c r="AE56" s="93"/>
      <c r="AF56" s="93"/>
      <c r="AG56" s="93"/>
      <c r="AH56" s="93"/>
      <c r="AI56" s="96"/>
      <c r="AJ56" s="93"/>
      <c r="AK56" s="93"/>
      <c r="AL56" s="93"/>
      <c r="AM56" s="93"/>
      <c r="AN56" s="93"/>
      <c r="AO56" s="93"/>
      <c r="AP56" s="96"/>
      <c r="AQ56" s="93"/>
      <c r="AR56" s="93"/>
      <c r="AS56" s="93"/>
      <c r="AT56" s="93"/>
      <c r="AU56" s="93"/>
      <c r="AV56" s="93"/>
      <c r="AW56" s="96"/>
      <c r="AY56" s="77"/>
      <c r="AZ56" s="80"/>
      <c r="BA56" s="80"/>
      <c r="BB56" s="80"/>
      <c r="BC56" s="80"/>
      <c r="BD56" s="80"/>
      <c r="BE56" s="80"/>
      <c r="BF56" s="80"/>
      <c r="BG56" s="80"/>
      <c r="BH56" s="80"/>
      <c r="BI56" s="80"/>
      <c r="BJ56" s="80"/>
      <c r="BK56" s="80"/>
      <c r="BL56" s="80"/>
      <c r="BM56" s="80"/>
      <c r="BN56" s="80"/>
      <c r="BO56" s="80"/>
      <c r="BP56" s="80"/>
      <c r="BQ56" s="80"/>
      <c r="BR56" s="80"/>
      <c r="BS56" s="80"/>
      <c r="BT56" s="80"/>
    </row>
    <row r="57" spans="1:72" x14ac:dyDescent="0.2">
      <c r="A57" s="14"/>
      <c r="B57" s="10" t="s">
        <v>16</v>
      </c>
      <c r="C57" s="4">
        <v>14.8</v>
      </c>
      <c r="D57" s="4">
        <v>19.600000000000001</v>
      </c>
      <c r="E57" s="4">
        <v>24.2</v>
      </c>
      <c r="F57" s="4">
        <v>21.5</v>
      </c>
      <c r="G57" s="4">
        <v>13.6</v>
      </c>
      <c r="H57" s="4">
        <v>93.7</v>
      </c>
      <c r="I57" s="13">
        <v>5125</v>
      </c>
      <c r="J57" s="4">
        <v>19</v>
      </c>
      <c r="K57" s="4">
        <v>23.3</v>
      </c>
      <c r="L57" s="4">
        <v>24.4</v>
      </c>
      <c r="M57" s="4">
        <v>18.5</v>
      </c>
      <c r="N57" s="4">
        <v>10.199999999999999</v>
      </c>
      <c r="O57" s="4">
        <v>95.4</v>
      </c>
      <c r="P57" s="13">
        <v>7526</v>
      </c>
      <c r="Q57" s="4">
        <v>17.3</v>
      </c>
      <c r="R57" s="4">
        <v>21.8</v>
      </c>
      <c r="S57" s="4">
        <v>24.3</v>
      </c>
      <c r="T57" s="4">
        <v>19.7</v>
      </c>
      <c r="U57" s="4">
        <v>11.6</v>
      </c>
      <c r="V57" s="4">
        <v>94.7</v>
      </c>
      <c r="W57" s="13">
        <v>12651</v>
      </c>
      <c r="X57" s="14"/>
      <c r="Y57" s="14"/>
      <c r="AB57" s="74"/>
      <c r="AC57" s="93"/>
      <c r="AD57" s="93"/>
      <c r="AE57" s="93"/>
      <c r="AF57" s="93"/>
      <c r="AG57" s="93"/>
      <c r="AH57" s="93"/>
      <c r="AI57" s="96"/>
      <c r="AJ57" s="93"/>
      <c r="AK57" s="93"/>
      <c r="AL57" s="93"/>
      <c r="AM57" s="93"/>
      <c r="AN57" s="93"/>
      <c r="AO57" s="93"/>
      <c r="AP57" s="96"/>
      <c r="AQ57" s="93"/>
      <c r="AR57" s="93"/>
      <c r="AS57" s="93"/>
      <c r="AT57" s="93"/>
      <c r="AU57" s="93"/>
      <c r="AV57" s="93"/>
      <c r="AW57" s="96"/>
      <c r="AY57" s="77"/>
      <c r="AZ57" s="80"/>
      <c r="BA57" s="80"/>
      <c r="BB57" s="80"/>
      <c r="BC57" s="80"/>
      <c r="BD57" s="80"/>
      <c r="BE57" s="80"/>
      <c r="BF57" s="80"/>
      <c r="BG57" s="80"/>
      <c r="BH57" s="80"/>
      <c r="BI57" s="80"/>
      <c r="BJ57" s="80"/>
      <c r="BK57" s="80"/>
      <c r="BL57" s="80"/>
      <c r="BM57" s="80"/>
      <c r="BN57" s="80"/>
      <c r="BO57" s="80"/>
      <c r="BP57" s="80"/>
      <c r="BQ57" s="80"/>
      <c r="BR57" s="80"/>
      <c r="BS57" s="80"/>
      <c r="BT57" s="80"/>
    </row>
    <row r="58" spans="1:72" x14ac:dyDescent="0.2">
      <c r="A58" s="14"/>
      <c r="B58" s="10" t="s">
        <v>17</v>
      </c>
      <c r="C58" s="4">
        <v>11.8</v>
      </c>
      <c r="D58" s="4">
        <v>19</v>
      </c>
      <c r="E58" s="4">
        <v>23.4</v>
      </c>
      <c r="F58" s="4">
        <v>23.4</v>
      </c>
      <c r="G58" s="4">
        <v>15.9</v>
      </c>
      <c r="H58" s="4">
        <v>93.5</v>
      </c>
      <c r="I58" s="13">
        <v>11747</v>
      </c>
      <c r="J58" s="4">
        <v>20.5</v>
      </c>
      <c r="K58" s="4">
        <v>24.4</v>
      </c>
      <c r="L58" s="4">
        <v>24</v>
      </c>
      <c r="M58" s="4">
        <v>18</v>
      </c>
      <c r="N58" s="4">
        <v>10</v>
      </c>
      <c r="O58" s="4">
        <v>96.9</v>
      </c>
      <c r="P58" s="13">
        <v>34276</v>
      </c>
      <c r="Q58" s="4">
        <v>18.3</v>
      </c>
      <c r="R58" s="4">
        <v>23</v>
      </c>
      <c r="S58" s="4">
        <v>23.8</v>
      </c>
      <c r="T58" s="4">
        <v>19.399999999999999</v>
      </c>
      <c r="U58" s="4">
        <v>11.5</v>
      </c>
      <c r="V58" s="4">
        <v>96</v>
      </c>
      <c r="W58" s="13">
        <v>46023</v>
      </c>
      <c r="X58" s="14"/>
      <c r="Y58" s="14"/>
      <c r="AB58" s="74"/>
      <c r="AC58" s="93"/>
      <c r="AD58" s="93"/>
      <c r="AE58" s="93"/>
      <c r="AF58" s="93"/>
      <c r="AG58" s="93"/>
      <c r="AH58" s="93"/>
      <c r="AI58" s="96"/>
      <c r="AJ58" s="93"/>
      <c r="AK58" s="93"/>
      <c r="AL58" s="93"/>
      <c r="AM58" s="93"/>
      <c r="AN58" s="93"/>
      <c r="AO58" s="93"/>
      <c r="AP58" s="96"/>
      <c r="AQ58" s="93"/>
      <c r="AR58" s="93"/>
      <c r="AS58" s="93"/>
      <c r="AT58" s="93"/>
      <c r="AU58" s="93"/>
      <c r="AV58" s="93"/>
      <c r="AW58" s="96"/>
      <c r="AY58" s="77"/>
      <c r="AZ58" s="80"/>
      <c r="BA58" s="80"/>
      <c r="BB58" s="80"/>
      <c r="BC58" s="80"/>
      <c r="BD58" s="80"/>
      <c r="BE58" s="80"/>
      <c r="BF58" s="80"/>
      <c r="BG58" s="80"/>
      <c r="BH58" s="80"/>
      <c r="BI58" s="80"/>
      <c r="BJ58" s="80"/>
      <c r="BK58" s="80"/>
      <c r="BL58" s="80"/>
      <c r="BM58" s="80"/>
      <c r="BN58" s="80"/>
      <c r="BO58" s="80"/>
      <c r="BP58" s="80"/>
      <c r="BQ58" s="80"/>
      <c r="BR58" s="80"/>
      <c r="BS58" s="80"/>
      <c r="BT58" s="80"/>
    </row>
    <row r="59" spans="1:72" x14ac:dyDescent="0.2">
      <c r="A59" s="14"/>
      <c r="B59" s="10" t="s">
        <v>18</v>
      </c>
      <c r="C59" s="4">
        <v>15</v>
      </c>
      <c r="D59" s="4">
        <v>23</v>
      </c>
      <c r="E59" s="4">
        <v>27.4</v>
      </c>
      <c r="F59" s="4">
        <v>20.3</v>
      </c>
      <c r="G59" s="4">
        <v>11</v>
      </c>
      <c r="H59" s="4">
        <v>96.8</v>
      </c>
      <c r="I59" s="13">
        <v>5775</v>
      </c>
      <c r="J59" s="4">
        <v>20.5</v>
      </c>
      <c r="K59" s="4">
        <v>26.9</v>
      </c>
      <c r="L59" s="4">
        <v>25.5</v>
      </c>
      <c r="M59" s="4">
        <v>17.100000000000001</v>
      </c>
      <c r="N59" s="4">
        <v>7.8</v>
      </c>
      <c r="O59" s="4">
        <v>97.7</v>
      </c>
      <c r="P59" s="13">
        <v>17719</v>
      </c>
      <c r="Q59" s="4">
        <v>19.100000000000001</v>
      </c>
      <c r="R59" s="4">
        <v>26</v>
      </c>
      <c r="S59" s="4">
        <v>26</v>
      </c>
      <c r="T59" s="4">
        <v>17.899999999999999</v>
      </c>
      <c r="U59" s="4">
        <v>8.6</v>
      </c>
      <c r="V59" s="4">
        <v>97.5</v>
      </c>
      <c r="W59" s="13">
        <v>23494</v>
      </c>
      <c r="X59" s="14"/>
      <c r="Y59" s="14"/>
      <c r="AB59" s="74"/>
      <c r="AC59" s="93"/>
      <c r="AD59" s="93"/>
      <c r="AE59" s="93"/>
      <c r="AF59" s="93"/>
      <c r="AG59" s="93"/>
      <c r="AH59" s="93"/>
      <c r="AI59" s="96"/>
      <c r="AJ59" s="93"/>
      <c r="AK59" s="93"/>
      <c r="AL59" s="93"/>
      <c r="AM59" s="93"/>
      <c r="AN59" s="93"/>
      <c r="AO59" s="93"/>
      <c r="AP59" s="96"/>
      <c r="AQ59" s="93"/>
      <c r="AR59" s="93"/>
      <c r="AS59" s="93"/>
      <c r="AT59" s="93"/>
      <c r="AU59" s="93"/>
      <c r="AV59" s="93"/>
      <c r="AW59" s="96"/>
      <c r="AY59" s="77"/>
      <c r="AZ59" s="80"/>
      <c r="BA59" s="80"/>
      <c r="BB59" s="80"/>
      <c r="BC59" s="80"/>
      <c r="BD59" s="80"/>
      <c r="BE59" s="80"/>
      <c r="BF59" s="80"/>
      <c r="BG59" s="80"/>
      <c r="BH59" s="80"/>
      <c r="BI59" s="80"/>
      <c r="BJ59" s="80"/>
      <c r="BK59" s="80"/>
      <c r="BL59" s="80"/>
      <c r="BM59" s="80"/>
      <c r="BN59" s="80"/>
      <c r="BO59" s="80"/>
      <c r="BP59" s="80"/>
      <c r="BQ59" s="80"/>
      <c r="BR59" s="80"/>
      <c r="BS59" s="80"/>
      <c r="BT59" s="80"/>
    </row>
    <row r="60" spans="1:72" x14ac:dyDescent="0.2">
      <c r="A60" s="14"/>
      <c r="B60" s="10" t="s">
        <v>19</v>
      </c>
      <c r="C60" s="4">
        <v>17.5</v>
      </c>
      <c r="D60" s="4">
        <v>23.2</v>
      </c>
      <c r="E60" s="4">
        <v>25.2</v>
      </c>
      <c r="F60" s="4">
        <v>18.899999999999999</v>
      </c>
      <c r="G60" s="4">
        <v>10.9</v>
      </c>
      <c r="H60" s="4">
        <v>95.7</v>
      </c>
      <c r="I60" s="13">
        <v>1416</v>
      </c>
      <c r="J60" s="4">
        <v>18.100000000000001</v>
      </c>
      <c r="K60" s="4">
        <v>25.1</v>
      </c>
      <c r="L60" s="4">
        <v>24.2</v>
      </c>
      <c r="M60" s="4">
        <v>18.399999999999999</v>
      </c>
      <c r="N60" s="4">
        <v>10</v>
      </c>
      <c r="O60" s="4">
        <v>95.8</v>
      </c>
      <c r="P60" s="13">
        <v>1318</v>
      </c>
      <c r="Q60" s="4">
        <v>17.8</v>
      </c>
      <c r="R60" s="4">
        <v>24.1</v>
      </c>
      <c r="S60" s="4">
        <v>24.7</v>
      </c>
      <c r="T60" s="4">
        <v>18.600000000000001</v>
      </c>
      <c r="U60" s="4">
        <v>10.5</v>
      </c>
      <c r="V60" s="4">
        <v>95.7</v>
      </c>
      <c r="W60" s="13">
        <v>2734</v>
      </c>
      <c r="X60" s="14"/>
      <c r="Y60" s="14"/>
      <c r="AB60" s="74"/>
      <c r="AC60" s="93"/>
      <c r="AD60" s="93"/>
      <c r="AE60" s="93"/>
      <c r="AF60" s="93"/>
      <c r="AG60" s="93"/>
      <c r="AH60" s="93"/>
      <c r="AI60" s="96"/>
      <c r="AJ60" s="93"/>
      <c r="AK60" s="93"/>
      <c r="AL60" s="93"/>
      <c r="AM60" s="93"/>
      <c r="AN60" s="93"/>
      <c r="AO60" s="93"/>
      <c r="AP60" s="96"/>
      <c r="AQ60" s="93"/>
      <c r="AR60" s="93"/>
      <c r="AS60" s="93"/>
      <c r="AT60" s="93"/>
      <c r="AU60" s="93"/>
      <c r="AV60" s="93"/>
      <c r="AW60" s="96"/>
      <c r="AY60" s="77"/>
      <c r="AZ60" s="80"/>
      <c r="BA60" s="80"/>
      <c r="BB60" s="80"/>
      <c r="BC60" s="80"/>
      <c r="BD60" s="80"/>
      <c r="BE60" s="80"/>
      <c r="BF60" s="80"/>
      <c r="BG60" s="80"/>
      <c r="BH60" s="80"/>
      <c r="BI60" s="80"/>
      <c r="BJ60" s="80"/>
      <c r="BK60" s="80"/>
      <c r="BL60" s="80"/>
      <c r="BM60" s="80"/>
      <c r="BN60" s="80"/>
      <c r="BO60" s="80"/>
      <c r="BP60" s="80"/>
      <c r="BQ60" s="80"/>
      <c r="BR60" s="80"/>
      <c r="BS60" s="80"/>
      <c r="BT60" s="80"/>
    </row>
    <row r="61" spans="1:72" x14ac:dyDescent="0.2">
      <c r="A61" s="14"/>
      <c r="B61" s="10" t="s">
        <v>20</v>
      </c>
      <c r="C61" s="4">
        <v>23.4</v>
      </c>
      <c r="D61" s="4">
        <v>21.7</v>
      </c>
      <c r="E61" s="4">
        <v>24</v>
      </c>
      <c r="F61" s="4">
        <v>18.600000000000001</v>
      </c>
      <c r="G61" s="4">
        <v>9.1999999999999993</v>
      </c>
      <c r="H61" s="4">
        <v>96.8</v>
      </c>
      <c r="I61" s="13">
        <v>10924</v>
      </c>
      <c r="J61" s="4">
        <v>29.8</v>
      </c>
      <c r="K61" s="4">
        <v>25</v>
      </c>
      <c r="L61" s="4">
        <v>23.4</v>
      </c>
      <c r="M61" s="4">
        <v>14.2</v>
      </c>
      <c r="N61" s="4">
        <v>5.5</v>
      </c>
      <c r="O61" s="4">
        <v>97.9</v>
      </c>
      <c r="P61" s="13">
        <v>24670</v>
      </c>
      <c r="Q61" s="4">
        <v>27.8</v>
      </c>
      <c r="R61" s="4">
        <v>24</v>
      </c>
      <c r="S61" s="4">
        <v>23.6</v>
      </c>
      <c r="T61" s="4">
        <v>15.6</v>
      </c>
      <c r="U61" s="4">
        <v>6.6</v>
      </c>
      <c r="V61" s="4">
        <v>97.6</v>
      </c>
      <c r="W61" s="13">
        <v>35594</v>
      </c>
      <c r="X61" s="14"/>
      <c r="Y61" s="14"/>
      <c r="AB61" s="74"/>
      <c r="AC61" s="93"/>
      <c r="AD61" s="93"/>
      <c r="AE61" s="93"/>
      <c r="AF61" s="93"/>
      <c r="AG61" s="93"/>
      <c r="AH61" s="93"/>
      <c r="AI61" s="96"/>
      <c r="AJ61" s="93"/>
      <c r="AK61" s="93"/>
      <c r="AL61" s="93"/>
      <c r="AM61" s="93"/>
      <c r="AN61" s="93"/>
      <c r="AO61" s="93"/>
      <c r="AP61" s="96"/>
      <c r="AQ61" s="93"/>
      <c r="AR61" s="93"/>
      <c r="AS61" s="93"/>
      <c r="AT61" s="93"/>
      <c r="AU61" s="93"/>
      <c r="AV61" s="93"/>
      <c r="AW61" s="96"/>
      <c r="AY61" s="77"/>
      <c r="AZ61" s="80"/>
      <c r="BA61" s="80"/>
      <c r="BB61" s="80"/>
      <c r="BC61" s="80"/>
      <c r="BD61" s="80"/>
      <c r="BE61" s="80"/>
      <c r="BF61" s="80"/>
      <c r="BG61" s="80"/>
      <c r="BH61" s="80"/>
      <c r="BI61" s="80"/>
      <c r="BJ61" s="80"/>
      <c r="BK61" s="80"/>
      <c r="BL61" s="80"/>
      <c r="BM61" s="80"/>
      <c r="BN61" s="80"/>
      <c r="BO61" s="80"/>
      <c r="BP61" s="80"/>
      <c r="BQ61" s="80"/>
      <c r="BR61" s="80"/>
      <c r="BS61" s="80"/>
      <c r="BT61" s="80"/>
    </row>
    <row r="62" spans="1:72" x14ac:dyDescent="0.2">
      <c r="A62" s="14"/>
      <c r="B62" s="10" t="s">
        <v>21</v>
      </c>
      <c r="C62" s="4">
        <v>14.6</v>
      </c>
      <c r="D62" s="4">
        <v>27</v>
      </c>
      <c r="E62" s="4">
        <v>30.9</v>
      </c>
      <c r="F62" s="4">
        <v>19.100000000000001</v>
      </c>
      <c r="G62" s="4">
        <v>7.1</v>
      </c>
      <c r="H62" s="4">
        <v>98.8</v>
      </c>
      <c r="I62" s="13">
        <v>4194</v>
      </c>
      <c r="J62" s="4">
        <v>18.899999999999999</v>
      </c>
      <c r="K62" s="4">
        <v>31.8</v>
      </c>
      <c r="L62" s="4">
        <v>30.7</v>
      </c>
      <c r="M62" s="4">
        <v>13.8</v>
      </c>
      <c r="N62" s="4">
        <v>4.0999999999999996</v>
      </c>
      <c r="O62" s="4">
        <v>99.3</v>
      </c>
      <c r="P62" s="13">
        <v>10274</v>
      </c>
      <c r="Q62" s="4">
        <v>17.7</v>
      </c>
      <c r="R62" s="4">
        <v>30.4</v>
      </c>
      <c r="S62" s="4">
        <v>30.8</v>
      </c>
      <c r="T62" s="4">
        <v>15.4</v>
      </c>
      <c r="U62" s="4">
        <v>5</v>
      </c>
      <c r="V62" s="4">
        <v>99.2</v>
      </c>
      <c r="W62" s="13">
        <v>14468</v>
      </c>
      <c r="X62" s="14"/>
      <c r="Y62" s="14"/>
      <c r="AB62" s="74"/>
      <c r="AC62" s="93"/>
      <c r="AD62" s="93"/>
      <c r="AE62" s="93"/>
      <c r="AF62" s="93"/>
      <c r="AG62" s="93"/>
      <c r="AH62" s="93"/>
      <c r="AI62" s="96"/>
      <c r="AJ62" s="93"/>
      <c r="AK62" s="93"/>
      <c r="AL62" s="93"/>
      <c r="AM62" s="93"/>
      <c r="AN62" s="93"/>
      <c r="AO62" s="93"/>
      <c r="AP62" s="96"/>
      <c r="AQ62" s="93"/>
      <c r="AR62" s="93"/>
      <c r="AS62" s="93"/>
      <c r="AT62" s="93"/>
      <c r="AU62" s="93"/>
      <c r="AV62" s="93"/>
      <c r="AW62" s="96"/>
      <c r="AY62" s="77"/>
      <c r="AZ62" s="80"/>
      <c r="BA62" s="80"/>
      <c r="BB62" s="80"/>
      <c r="BC62" s="80"/>
      <c r="BD62" s="80"/>
      <c r="BE62" s="80"/>
      <c r="BF62" s="80"/>
      <c r="BG62" s="80"/>
      <c r="BH62" s="80"/>
      <c r="BI62" s="80"/>
      <c r="BJ62" s="80"/>
      <c r="BK62" s="80"/>
      <c r="BL62" s="80"/>
      <c r="BM62" s="80"/>
      <c r="BN62" s="80"/>
      <c r="BO62" s="80"/>
      <c r="BP62" s="80"/>
      <c r="BQ62" s="80"/>
      <c r="BR62" s="80"/>
      <c r="BS62" s="80"/>
      <c r="BT62" s="80"/>
    </row>
    <row r="63" spans="1:72" x14ac:dyDescent="0.2">
      <c r="A63" s="14"/>
      <c r="B63" s="10" t="s">
        <v>22</v>
      </c>
      <c r="C63" s="4">
        <v>20.399999999999999</v>
      </c>
      <c r="D63" s="4">
        <v>23.5</v>
      </c>
      <c r="E63" s="4">
        <v>26.4</v>
      </c>
      <c r="F63" s="4">
        <v>20.2</v>
      </c>
      <c r="G63" s="4">
        <v>8</v>
      </c>
      <c r="H63" s="4">
        <v>98.4</v>
      </c>
      <c r="I63" s="13">
        <v>23756</v>
      </c>
      <c r="J63" s="4">
        <v>20.6</v>
      </c>
      <c r="K63" s="4">
        <v>24.5</v>
      </c>
      <c r="L63" s="4">
        <v>27.7</v>
      </c>
      <c r="M63" s="4">
        <v>19.3</v>
      </c>
      <c r="N63" s="4">
        <v>6.7</v>
      </c>
      <c r="O63" s="4">
        <v>98.8</v>
      </c>
      <c r="P63" s="13">
        <v>53241</v>
      </c>
      <c r="Q63" s="4">
        <v>20.6</v>
      </c>
      <c r="R63" s="4">
        <v>24.2</v>
      </c>
      <c r="S63" s="4">
        <v>27.3</v>
      </c>
      <c r="T63" s="4">
        <v>19.5</v>
      </c>
      <c r="U63" s="4">
        <v>7.1</v>
      </c>
      <c r="V63" s="4">
        <v>98.7</v>
      </c>
      <c r="W63" s="13">
        <v>76997</v>
      </c>
      <c r="X63" s="14"/>
      <c r="Y63" s="14"/>
      <c r="AB63" s="74"/>
      <c r="AC63" s="93"/>
      <c r="AD63" s="93"/>
      <c r="AE63" s="93"/>
      <c r="AF63" s="93"/>
      <c r="AG63" s="93"/>
      <c r="AH63" s="93"/>
      <c r="AI63" s="96"/>
      <c r="AJ63" s="93"/>
      <c r="AK63" s="93"/>
      <c r="AL63" s="93"/>
      <c r="AM63" s="93"/>
      <c r="AN63" s="93"/>
      <c r="AO63" s="93"/>
      <c r="AP63" s="96"/>
      <c r="AQ63" s="93"/>
      <c r="AR63" s="93"/>
      <c r="AS63" s="93"/>
      <c r="AT63" s="93"/>
      <c r="AU63" s="93"/>
      <c r="AV63" s="93"/>
      <c r="AW63" s="96"/>
      <c r="AY63" s="77"/>
      <c r="AZ63" s="80"/>
      <c r="BA63" s="80"/>
      <c r="BB63" s="80"/>
      <c r="BC63" s="80"/>
      <c r="BD63" s="80"/>
      <c r="BE63" s="80"/>
      <c r="BF63" s="80"/>
      <c r="BG63" s="80"/>
      <c r="BH63" s="80"/>
      <c r="BI63" s="80"/>
      <c r="BJ63" s="80"/>
      <c r="BK63" s="80"/>
      <c r="BL63" s="80"/>
      <c r="BM63" s="80"/>
      <c r="BN63" s="80"/>
      <c r="BO63" s="80"/>
      <c r="BP63" s="80"/>
      <c r="BQ63" s="80"/>
      <c r="BR63" s="80"/>
      <c r="BS63" s="80"/>
      <c r="BT63" s="80"/>
    </row>
    <row r="64" spans="1:72" x14ac:dyDescent="0.2">
      <c r="A64" s="14"/>
      <c r="B64" s="10" t="s">
        <v>51</v>
      </c>
      <c r="C64" s="4">
        <v>9.9</v>
      </c>
      <c r="D64" s="4">
        <v>24.4</v>
      </c>
      <c r="E64" s="4">
        <v>33</v>
      </c>
      <c r="F64" s="4">
        <v>22.9</v>
      </c>
      <c r="G64" s="4">
        <v>7.7</v>
      </c>
      <c r="H64" s="4">
        <v>98</v>
      </c>
      <c r="I64" s="13">
        <v>9223</v>
      </c>
      <c r="J64" s="4">
        <v>14.4</v>
      </c>
      <c r="K64" s="4">
        <v>29.3</v>
      </c>
      <c r="L64" s="4">
        <v>33</v>
      </c>
      <c r="M64" s="4">
        <v>17.7</v>
      </c>
      <c r="N64" s="4">
        <v>4.5</v>
      </c>
      <c r="O64" s="4">
        <v>98.8</v>
      </c>
      <c r="P64" s="13">
        <v>12244</v>
      </c>
      <c r="Q64" s="4">
        <v>12.4</v>
      </c>
      <c r="R64" s="4">
        <v>27.2</v>
      </c>
      <c r="S64" s="4">
        <v>33</v>
      </c>
      <c r="T64" s="4">
        <v>19.899999999999999</v>
      </c>
      <c r="U64" s="4">
        <v>5.9</v>
      </c>
      <c r="V64" s="4">
        <v>98.4</v>
      </c>
      <c r="W64" s="13">
        <v>21467</v>
      </c>
      <c r="X64" s="14"/>
      <c r="Y64" s="14"/>
      <c r="AB64" s="74"/>
      <c r="AC64" s="93"/>
      <c r="AD64" s="93"/>
      <c r="AE64" s="93"/>
      <c r="AF64" s="93"/>
      <c r="AG64" s="93"/>
      <c r="AH64" s="93"/>
      <c r="AI64" s="96"/>
      <c r="AJ64" s="93"/>
      <c r="AK64" s="93"/>
      <c r="AL64" s="93"/>
      <c r="AM64" s="93"/>
      <c r="AN64" s="93"/>
      <c r="AO64" s="93"/>
      <c r="AP64" s="96"/>
      <c r="AQ64" s="93"/>
      <c r="AR64" s="93"/>
      <c r="AS64" s="93"/>
      <c r="AT64" s="93"/>
      <c r="AU64" s="93"/>
      <c r="AV64" s="93"/>
      <c r="AW64" s="96"/>
      <c r="AY64" s="77"/>
      <c r="AZ64" s="80"/>
      <c r="BA64" s="80"/>
      <c r="BB64" s="80"/>
      <c r="BC64" s="80"/>
      <c r="BD64" s="80"/>
      <c r="BE64" s="80"/>
      <c r="BF64" s="80"/>
      <c r="BG64" s="80"/>
      <c r="BH64" s="80"/>
      <c r="BI64" s="80"/>
      <c r="BJ64" s="80"/>
      <c r="BK64" s="80"/>
      <c r="BL64" s="80"/>
      <c r="BM64" s="80"/>
      <c r="BN64" s="80"/>
      <c r="BO64" s="80"/>
      <c r="BP64" s="80"/>
      <c r="BQ64" s="80"/>
      <c r="BR64" s="80"/>
      <c r="BS64" s="80"/>
      <c r="BT64" s="80"/>
    </row>
    <row r="65" spans="1:72" x14ac:dyDescent="0.2">
      <c r="A65" s="14"/>
      <c r="B65" s="10" t="s">
        <v>23</v>
      </c>
      <c r="C65" s="4">
        <v>15.2</v>
      </c>
      <c r="D65" s="4">
        <v>30.4</v>
      </c>
      <c r="E65" s="4">
        <v>34.1</v>
      </c>
      <c r="F65" s="4">
        <v>14.8</v>
      </c>
      <c r="G65" s="4">
        <v>4.3</v>
      </c>
      <c r="H65" s="4">
        <v>98.8</v>
      </c>
      <c r="I65" s="13">
        <v>3375</v>
      </c>
      <c r="J65" s="4">
        <v>16.399999999999999</v>
      </c>
      <c r="K65" s="4">
        <v>32.1</v>
      </c>
      <c r="L65" s="4">
        <v>31</v>
      </c>
      <c r="M65" s="4">
        <v>15.1</v>
      </c>
      <c r="N65" s="4">
        <v>4.4000000000000004</v>
      </c>
      <c r="O65" s="4">
        <v>99</v>
      </c>
      <c r="P65" s="13">
        <v>5356</v>
      </c>
      <c r="Q65" s="4">
        <v>16</v>
      </c>
      <c r="R65" s="4">
        <v>31.4</v>
      </c>
      <c r="S65" s="4">
        <v>32.200000000000003</v>
      </c>
      <c r="T65" s="4">
        <v>15</v>
      </c>
      <c r="U65" s="4">
        <v>4.4000000000000004</v>
      </c>
      <c r="V65" s="4">
        <v>98.9</v>
      </c>
      <c r="W65" s="13">
        <v>8731</v>
      </c>
      <c r="X65" s="14"/>
      <c r="Y65" s="14"/>
      <c r="AB65" s="74"/>
      <c r="AC65" s="93"/>
      <c r="AD65" s="93"/>
      <c r="AE65" s="93"/>
      <c r="AF65" s="93"/>
      <c r="AG65" s="93"/>
      <c r="AH65" s="93"/>
      <c r="AI65" s="96"/>
      <c r="AJ65" s="93"/>
      <c r="AK65" s="93"/>
      <c r="AL65" s="93"/>
      <c r="AM65" s="93"/>
      <c r="AN65" s="93"/>
      <c r="AO65" s="93"/>
      <c r="AP65" s="96"/>
      <c r="AQ65" s="93"/>
      <c r="AR65" s="93"/>
      <c r="AS65" s="93"/>
      <c r="AT65" s="93"/>
      <c r="AU65" s="93"/>
      <c r="AV65" s="93"/>
      <c r="AW65" s="96"/>
      <c r="AY65" s="77"/>
      <c r="AZ65" s="80"/>
      <c r="BA65" s="80"/>
      <c r="BB65" s="80"/>
      <c r="BC65" s="80"/>
      <c r="BD65" s="80"/>
      <c r="BE65" s="80"/>
      <c r="BF65" s="80"/>
      <c r="BG65" s="80"/>
      <c r="BH65" s="80"/>
      <c r="BI65" s="80"/>
      <c r="BJ65" s="80"/>
      <c r="BK65" s="80"/>
      <c r="BL65" s="80"/>
      <c r="BM65" s="80"/>
      <c r="BN65" s="80"/>
      <c r="BO65" s="80"/>
      <c r="BP65" s="80"/>
      <c r="BQ65" s="80"/>
      <c r="BR65" s="80"/>
      <c r="BS65" s="80"/>
      <c r="BT65" s="80"/>
    </row>
    <row r="66" spans="1:72" x14ac:dyDescent="0.2">
      <c r="A66" s="14"/>
      <c r="B66" s="10" t="s">
        <v>24</v>
      </c>
      <c r="C66" s="4">
        <v>34.9</v>
      </c>
      <c r="D66" s="4">
        <v>26.8</v>
      </c>
      <c r="E66" s="4">
        <v>19.3</v>
      </c>
      <c r="F66" s="4">
        <v>12.2</v>
      </c>
      <c r="G66" s="4">
        <v>5.5</v>
      </c>
      <c r="H66" s="4">
        <v>98.7</v>
      </c>
      <c r="I66" s="13">
        <v>3855</v>
      </c>
      <c r="J66" s="4">
        <v>31.8</v>
      </c>
      <c r="K66" s="4">
        <v>28.2</v>
      </c>
      <c r="L66" s="4">
        <v>20.5</v>
      </c>
      <c r="M66" s="4">
        <v>12.3</v>
      </c>
      <c r="N66" s="4">
        <v>5.9</v>
      </c>
      <c r="O66" s="4">
        <v>98.7</v>
      </c>
      <c r="P66" s="13">
        <v>8108</v>
      </c>
      <c r="Q66" s="4">
        <v>32.799999999999997</v>
      </c>
      <c r="R66" s="4">
        <v>27.7</v>
      </c>
      <c r="S66" s="4">
        <v>20.100000000000001</v>
      </c>
      <c r="T66" s="4">
        <v>12.3</v>
      </c>
      <c r="U66" s="4">
        <v>5.8</v>
      </c>
      <c r="V66" s="4">
        <v>98.7</v>
      </c>
      <c r="W66" s="13">
        <v>11963</v>
      </c>
      <c r="X66" s="14"/>
      <c r="Y66" s="14"/>
      <c r="AB66" s="74"/>
      <c r="AC66" s="93"/>
      <c r="AD66" s="93"/>
      <c r="AE66" s="93"/>
      <c r="AF66" s="93"/>
      <c r="AG66" s="93"/>
      <c r="AH66" s="93"/>
      <c r="AI66" s="96"/>
      <c r="AJ66" s="93"/>
      <c r="AK66" s="93"/>
      <c r="AL66" s="93"/>
      <c r="AM66" s="93"/>
      <c r="AN66" s="93"/>
      <c r="AO66" s="93"/>
      <c r="AP66" s="96"/>
      <c r="AQ66" s="93"/>
      <c r="AR66" s="93"/>
      <c r="AS66" s="93"/>
      <c r="AT66" s="93"/>
      <c r="AU66" s="93"/>
      <c r="AV66" s="93"/>
      <c r="AW66" s="96"/>
      <c r="AY66" s="77"/>
      <c r="AZ66" s="80"/>
      <c r="BA66" s="80"/>
      <c r="BB66" s="80"/>
      <c r="BC66" s="80"/>
      <c r="BD66" s="80"/>
      <c r="BE66" s="80"/>
      <c r="BF66" s="80"/>
      <c r="BG66" s="80"/>
      <c r="BH66" s="80"/>
      <c r="BI66" s="80"/>
      <c r="BJ66" s="80"/>
      <c r="BK66" s="80"/>
      <c r="BL66" s="80"/>
      <c r="BM66" s="80"/>
      <c r="BN66" s="80"/>
      <c r="BO66" s="80"/>
      <c r="BP66" s="80"/>
      <c r="BQ66" s="80"/>
      <c r="BR66" s="80"/>
      <c r="BS66" s="80"/>
      <c r="BT66" s="80"/>
    </row>
    <row r="67" spans="1:72" x14ac:dyDescent="0.2">
      <c r="A67" s="14"/>
      <c r="B67" s="10" t="s">
        <v>25</v>
      </c>
      <c r="C67" s="4">
        <v>36.299999999999997</v>
      </c>
      <c r="D67" s="4">
        <v>25.2</v>
      </c>
      <c r="E67" s="4">
        <v>18.600000000000001</v>
      </c>
      <c r="F67" s="4">
        <v>11.8</v>
      </c>
      <c r="G67" s="4">
        <v>6</v>
      </c>
      <c r="H67" s="4">
        <v>97.9</v>
      </c>
      <c r="I67" s="13">
        <v>1967</v>
      </c>
      <c r="J67" s="4">
        <v>34.299999999999997</v>
      </c>
      <c r="K67" s="4">
        <v>24.9</v>
      </c>
      <c r="L67" s="4">
        <v>19.899999999999999</v>
      </c>
      <c r="M67" s="4">
        <v>13.4</v>
      </c>
      <c r="N67" s="4">
        <v>5.7</v>
      </c>
      <c r="O67" s="4">
        <v>98.3</v>
      </c>
      <c r="P67" s="13">
        <v>3271</v>
      </c>
      <c r="Q67" s="4">
        <v>35.1</v>
      </c>
      <c r="R67" s="4">
        <v>25</v>
      </c>
      <c r="S67" s="4">
        <v>19.399999999999999</v>
      </c>
      <c r="T67" s="4">
        <v>12.8</v>
      </c>
      <c r="U67" s="4">
        <v>5.8</v>
      </c>
      <c r="V67" s="4">
        <v>98.1</v>
      </c>
      <c r="W67" s="13">
        <v>5238</v>
      </c>
      <c r="X67" s="14"/>
      <c r="Y67" s="14"/>
      <c r="AB67" s="74"/>
      <c r="AC67" s="93"/>
      <c r="AD67" s="93"/>
      <c r="AE67" s="93"/>
      <c r="AF67" s="93"/>
      <c r="AG67" s="93"/>
      <c r="AH67" s="93"/>
      <c r="AI67" s="96"/>
      <c r="AJ67" s="93"/>
      <c r="AK67" s="93"/>
      <c r="AL67" s="93"/>
      <c r="AM67" s="93"/>
      <c r="AN67" s="93"/>
      <c r="AO67" s="93"/>
      <c r="AP67" s="96"/>
      <c r="AQ67" s="93"/>
      <c r="AR67" s="93"/>
      <c r="AS67" s="93"/>
      <c r="AT67" s="93"/>
      <c r="AU67" s="93"/>
      <c r="AV67" s="93"/>
      <c r="AW67" s="96"/>
      <c r="AY67" s="77"/>
      <c r="AZ67" s="80"/>
      <c r="BA67" s="80"/>
      <c r="BB67" s="80"/>
      <c r="BC67" s="80"/>
      <c r="BD67" s="80"/>
      <c r="BE67" s="80"/>
      <c r="BF67" s="80"/>
      <c r="BG67" s="80"/>
      <c r="BH67" s="80"/>
      <c r="BI67" s="80"/>
      <c r="BJ67" s="80"/>
      <c r="BK67" s="80"/>
      <c r="BL67" s="80"/>
      <c r="BM67" s="80"/>
      <c r="BN67" s="80"/>
      <c r="BO67" s="80"/>
      <c r="BP67" s="80"/>
      <c r="BQ67" s="80"/>
      <c r="BR67" s="80"/>
      <c r="BS67" s="80"/>
      <c r="BT67" s="80"/>
    </row>
    <row r="68" spans="1:72" x14ac:dyDescent="0.2">
      <c r="A68" s="14"/>
      <c r="B68" s="10" t="s">
        <v>26</v>
      </c>
      <c r="C68" s="4">
        <v>39.799999999999997</v>
      </c>
      <c r="D68" s="4">
        <v>28.1</v>
      </c>
      <c r="E68" s="4">
        <v>18.899999999999999</v>
      </c>
      <c r="F68" s="4">
        <v>8.8000000000000007</v>
      </c>
      <c r="G68" s="4">
        <v>3.6</v>
      </c>
      <c r="H68" s="4">
        <v>99.1</v>
      </c>
      <c r="I68" s="13">
        <v>1564</v>
      </c>
      <c r="J68" s="4">
        <v>35.1</v>
      </c>
      <c r="K68" s="4">
        <v>27.9</v>
      </c>
      <c r="L68" s="4">
        <v>19.7</v>
      </c>
      <c r="M68" s="4">
        <v>12.1</v>
      </c>
      <c r="N68" s="4">
        <v>4.3</v>
      </c>
      <c r="O68" s="4">
        <v>99</v>
      </c>
      <c r="P68" s="13">
        <v>3366</v>
      </c>
      <c r="Q68" s="4">
        <v>36.6</v>
      </c>
      <c r="R68" s="4">
        <v>27.9</v>
      </c>
      <c r="S68" s="4">
        <v>19.399999999999999</v>
      </c>
      <c r="T68" s="4">
        <v>11</v>
      </c>
      <c r="U68" s="4">
        <v>4.0999999999999996</v>
      </c>
      <c r="V68" s="4">
        <v>99</v>
      </c>
      <c r="W68" s="13">
        <v>4930</v>
      </c>
      <c r="X68" s="14"/>
      <c r="Y68" s="14"/>
      <c r="AB68" s="74"/>
      <c r="AC68" s="93"/>
      <c r="AD68" s="93"/>
      <c r="AE68" s="93"/>
      <c r="AF68" s="93"/>
      <c r="AG68" s="93"/>
      <c r="AH68" s="93"/>
      <c r="AI68" s="96"/>
      <c r="AJ68" s="93"/>
      <c r="AK68" s="93"/>
      <c r="AL68" s="93"/>
      <c r="AM68" s="93"/>
      <c r="AN68" s="93"/>
      <c r="AO68" s="93"/>
      <c r="AP68" s="96"/>
      <c r="AQ68" s="93"/>
      <c r="AR68" s="93"/>
      <c r="AS68" s="93"/>
      <c r="AT68" s="93"/>
      <c r="AU68" s="93"/>
      <c r="AV68" s="93"/>
      <c r="AW68" s="96"/>
      <c r="AY68" s="77"/>
      <c r="AZ68" s="80"/>
      <c r="BA68" s="80"/>
      <c r="BB68" s="80"/>
      <c r="BC68" s="80"/>
      <c r="BD68" s="80"/>
      <c r="BE68" s="80"/>
      <c r="BF68" s="80"/>
      <c r="BG68" s="80"/>
      <c r="BH68" s="80"/>
      <c r="BI68" s="80"/>
      <c r="BJ68" s="80"/>
      <c r="BK68" s="80"/>
      <c r="BL68" s="80"/>
      <c r="BM68" s="80"/>
      <c r="BN68" s="80"/>
      <c r="BO68" s="80"/>
      <c r="BP68" s="80"/>
      <c r="BQ68" s="80"/>
      <c r="BR68" s="80"/>
      <c r="BS68" s="80"/>
      <c r="BT68" s="80"/>
    </row>
    <row r="69" spans="1:72" x14ac:dyDescent="0.2">
      <c r="A69" s="14"/>
      <c r="B69" s="10" t="s">
        <v>27</v>
      </c>
      <c r="C69" s="4">
        <v>41</v>
      </c>
      <c r="D69" s="4">
        <v>29</v>
      </c>
      <c r="E69" s="4">
        <v>17.3</v>
      </c>
      <c r="F69" s="4">
        <v>6.4</v>
      </c>
      <c r="G69" s="4">
        <v>3</v>
      </c>
      <c r="H69" s="4">
        <v>96.7</v>
      </c>
      <c r="I69" s="13">
        <v>1959</v>
      </c>
      <c r="J69" s="4">
        <v>46.2</v>
      </c>
      <c r="K69" s="4">
        <v>29.8</v>
      </c>
      <c r="L69" s="4">
        <v>13.7</v>
      </c>
      <c r="M69" s="4">
        <v>4.5999999999999996</v>
      </c>
      <c r="N69" s="4">
        <v>2.9</v>
      </c>
      <c r="O69" s="4">
        <v>97.2</v>
      </c>
      <c r="P69" s="13">
        <v>2575</v>
      </c>
      <c r="Q69" s="4">
        <v>43.9</v>
      </c>
      <c r="R69" s="4">
        <v>29.5</v>
      </c>
      <c r="S69" s="4">
        <v>15.2</v>
      </c>
      <c r="T69" s="4">
        <v>5.4</v>
      </c>
      <c r="U69" s="4">
        <v>2.9</v>
      </c>
      <c r="V69" s="4">
        <v>97</v>
      </c>
      <c r="W69" s="13">
        <v>4534</v>
      </c>
      <c r="X69" s="14"/>
      <c r="Y69" s="14"/>
      <c r="AB69" s="74"/>
      <c r="AC69" s="93"/>
      <c r="AD69" s="93"/>
      <c r="AE69" s="93"/>
      <c r="AF69" s="93"/>
      <c r="AG69" s="93"/>
      <c r="AH69" s="93"/>
      <c r="AI69" s="96"/>
      <c r="AJ69" s="93"/>
      <c r="AK69" s="93"/>
      <c r="AL69" s="93"/>
      <c r="AM69" s="93"/>
      <c r="AN69" s="93"/>
      <c r="AO69" s="93"/>
      <c r="AP69" s="96"/>
      <c r="AQ69" s="93"/>
      <c r="AR69" s="93"/>
      <c r="AS69" s="93"/>
      <c r="AT69" s="93"/>
      <c r="AU69" s="93"/>
      <c r="AV69" s="93"/>
      <c r="AW69" s="96"/>
      <c r="AY69" s="77"/>
      <c r="AZ69" s="80"/>
      <c r="BA69" s="80"/>
      <c r="BB69" s="80"/>
      <c r="BC69" s="80"/>
      <c r="BD69" s="80"/>
      <c r="BE69" s="80"/>
      <c r="BF69" s="80"/>
      <c r="BG69" s="80"/>
      <c r="BH69" s="80"/>
      <c r="BI69" s="80"/>
      <c r="BJ69" s="80"/>
      <c r="BK69" s="80"/>
      <c r="BL69" s="80"/>
      <c r="BM69" s="80"/>
      <c r="BN69" s="80"/>
      <c r="BO69" s="80"/>
      <c r="BP69" s="80"/>
      <c r="BQ69" s="80"/>
      <c r="BR69" s="80"/>
      <c r="BS69" s="80"/>
      <c r="BT69" s="80"/>
    </row>
    <row r="70" spans="1:72" x14ac:dyDescent="0.2">
      <c r="A70" s="14"/>
      <c r="B70" s="10" t="s">
        <v>28</v>
      </c>
      <c r="C70" s="4">
        <v>33.9</v>
      </c>
      <c r="D70" s="4">
        <v>29.6</v>
      </c>
      <c r="E70" s="4">
        <v>20</v>
      </c>
      <c r="F70" s="4">
        <v>11</v>
      </c>
      <c r="G70" s="4">
        <v>4.4000000000000004</v>
      </c>
      <c r="H70" s="4">
        <v>99</v>
      </c>
      <c r="I70" s="13">
        <v>2315</v>
      </c>
      <c r="J70" s="4">
        <v>39.1</v>
      </c>
      <c r="K70" s="4">
        <v>31.2</v>
      </c>
      <c r="L70" s="4">
        <v>18.100000000000001</v>
      </c>
      <c r="M70" s="4">
        <v>8.1999999999999993</v>
      </c>
      <c r="N70" s="4">
        <v>2.9</v>
      </c>
      <c r="O70" s="4">
        <v>99.4</v>
      </c>
      <c r="P70" s="13">
        <v>3146</v>
      </c>
      <c r="Q70" s="4">
        <v>36.9</v>
      </c>
      <c r="R70" s="4">
        <v>30.5</v>
      </c>
      <c r="S70" s="4">
        <v>18.899999999999999</v>
      </c>
      <c r="T70" s="4">
        <v>9.4</v>
      </c>
      <c r="U70" s="4">
        <v>3.5</v>
      </c>
      <c r="V70" s="4">
        <v>99.2</v>
      </c>
      <c r="W70" s="13">
        <v>5461</v>
      </c>
      <c r="X70" s="14"/>
      <c r="Y70" s="14"/>
      <c r="AB70" s="74"/>
      <c r="AC70" s="93"/>
      <c r="AD70" s="93"/>
      <c r="AE70" s="93"/>
      <c r="AF70" s="93"/>
      <c r="AG70" s="93"/>
      <c r="AH70" s="93"/>
      <c r="AI70" s="96"/>
      <c r="AJ70" s="93"/>
      <c r="AK70" s="93"/>
      <c r="AL70" s="93"/>
      <c r="AM70" s="93"/>
      <c r="AN70" s="93"/>
      <c r="AO70" s="93"/>
      <c r="AP70" s="96"/>
      <c r="AQ70" s="93"/>
      <c r="AR70" s="93"/>
      <c r="AS70" s="93"/>
      <c r="AT70" s="93"/>
      <c r="AU70" s="93"/>
      <c r="AV70" s="93"/>
      <c r="AW70" s="96"/>
      <c r="AY70" s="77"/>
      <c r="AZ70" s="80"/>
      <c r="BA70" s="80"/>
      <c r="BB70" s="80"/>
      <c r="BC70" s="80"/>
      <c r="BD70" s="80"/>
      <c r="BE70" s="80"/>
      <c r="BF70" s="80"/>
      <c r="BG70" s="80"/>
      <c r="BH70" s="80"/>
      <c r="BI70" s="80"/>
      <c r="BJ70" s="80"/>
      <c r="BK70" s="80"/>
      <c r="BL70" s="80"/>
      <c r="BM70" s="80"/>
      <c r="BN70" s="80"/>
      <c r="BO70" s="80"/>
      <c r="BP70" s="80"/>
      <c r="BQ70" s="80"/>
      <c r="BR70" s="80"/>
      <c r="BS70" s="80"/>
      <c r="BT70" s="80"/>
    </row>
    <row r="71" spans="1:72" x14ac:dyDescent="0.2">
      <c r="A71" s="14"/>
      <c r="B71" s="10" t="s">
        <v>29</v>
      </c>
      <c r="C71" s="4">
        <v>25.5</v>
      </c>
      <c r="D71" s="4">
        <v>29</v>
      </c>
      <c r="E71" s="4">
        <v>23.6</v>
      </c>
      <c r="F71" s="4">
        <v>13.7</v>
      </c>
      <c r="G71" s="4">
        <v>6.2</v>
      </c>
      <c r="H71" s="4">
        <v>98.1</v>
      </c>
      <c r="I71" s="13">
        <v>4314</v>
      </c>
      <c r="J71" s="4">
        <v>26.3</v>
      </c>
      <c r="K71" s="4">
        <v>30.5</v>
      </c>
      <c r="L71" s="4">
        <v>23.6</v>
      </c>
      <c r="M71" s="4">
        <v>13.3</v>
      </c>
      <c r="N71" s="4">
        <v>5.0999999999999996</v>
      </c>
      <c r="O71" s="4">
        <v>98.9</v>
      </c>
      <c r="P71" s="13">
        <v>9542</v>
      </c>
      <c r="Q71" s="4">
        <v>26.1</v>
      </c>
      <c r="R71" s="4">
        <v>30</v>
      </c>
      <c r="S71" s="4">
        <v>23.6</v>
      </c>
      <c r="T71" s="4">
        <v>13.4</v>
      </c>
      <c r="U71" s="4">
        <v>5.4</v>
      </c>
      <c r="V71" s="4">
        <v>98.6</v>
      </c>
      <c r="W71" s="13">
        <v>13856</v>
      </c>
      <c r="X71" s="14"/>
      <c r="Y71" s="14"/>
      <c r="AB71" s="74"/>
      <c r="AC71" s="93"/>
      <c r="AD71" s="93"/>
      <c r="AE71" s="93"/>
      <c r="AF71" s="93"/>
      <c r="AG71" s="93"/>
      <c r="AH71" s="93"/>
      <c r="AI71" s="96"/>
      <c r="AJ71" s="93"/>
      <c r="AK71" s="93"/>
      <c r="AL71" s="93"/>
      <c r="AM71" s="93"/>
      <c r="AN71" s="93"/>
      <c r="AO71" s="93"/>
      <c r="AP71" s="96"/>
      <c r="AQ71" s="93"/>
      <c r="AR71" s="93"/>
      <c r="AS71" s="93"/>
      <c r="AT71" s="93"/>
      <c r="AU71" s="93"/>
      <c r="AV71" s="93"/>
      <c r="AW71" s="96"/>
      <c r="AY71" s="77"/>
      <c r="AZ71" s="80"/>
      <c r="BA71" s="80"/>
      <c r="BB71" s="80"/>
      <c r="BC71" s="80"/>
      <c r="BD71" s="80"/>
      <c r="BE71" s="80"/>
      <c r="BF71" s="80"/>
      <c r="BG71" s="80"/>
      <c r="BH71" s="80"/>
      <c r="BI71" s="80"/>
      <c r="BJ71" s="80"/>
      <c r="BK71" s="80"/>
      <c r="BL71" s="80"/>
      <c r="BM71" s="80"/>
      <c r="BN71" s="80"/>
      <c r="BO71" s="80"/>
      <c r="BP71" s="80"/>
      <c r="BQ71" s="80"/>
      <c r="BR71" s="80"/>
      <c r="BS71" s="80"/>
      <c r="BT71" s="80"/>
    </row>
    <row r="72" spans="1:72" x14ac:dyDescent="0.2">
      <c r="A72" s="14"/>
      <c r="B72" s="10" t="s">
        <v>30</v>
      </c>
      <c r="C72" s="4">
        <v>16.2</v>
      </c>
      <c r="D72" s="4">
        <v>20</v>
      </c>
      <c r="E72" s="4">
        <v>24.9</v>
      </c>
      <c r="F72" s="4">
        <v>22.6</v>
      </c>
      <c r="G72" s="4">
        <v>12.8</v>
      </c>
      <c r="H72" s="4">
        <v>96.4</v>
      </c>
      <c r="I72" s="13">
        <v>4599</v>
      </c>
      <c r="J72" s="4">
        <v>21.5</v>
      </c>
      <c r="K72" s="4">
        <v>23.1</v>
      </c>
      <c r="L72" s="4">
        <v>24.7</v>
      </c>
      <c r="M72" s="4">
        <v>18.7</v>
      </c>
      <c r="N72" s="4">
        <v>9.8000000000000007</v>
      </c>
      <c r="O72" s="4">
        <v>97.8</v>
      </c>
      <c r="P72" s="13">
        <v>3843</v>
      </c>
      <c r="Q72" s="4">
        <v>18.600000000000001</v>
      </c>
      <c r="R72" s="4">
        <v>21.4</v>
      </c>
      <c r="S72" s="4">
        <v>24.8</v>
      </c>
      <c r="T72" s="4">
        <v>20.8</v>
      </c>
      <c r="U72" s="4">
        <v>11.4</v>
      </c>
      <c r="V72" s="4">
        <v>97.1</v>
      </c>
      <c r="W72" s="13">
        <v>8442</v>
      </c>
      <c r="X72" s="14"/>
      <c r="Y72" s="14"/>
      <c r="AB72" s="74"/>
      <c r="AC72" s="93"/>
      <c r="AD72" s="93"/>
      <c r="AE72" s="93"/>
      <c r="AF72" s="93"/>
      <c r="AG72" s="93"/>
      <c r="AH72" s="93"/>
      <c r="AI72" s="96"/>
      <c r="AJ72" s="93"/>
      <c r="AK72" s="93"/>
      <c r="AL72" s="93"/>
      <c r="AM72" s="93"/>
      <c r="AN72" s="93"/>
      <c r="AO72" s="93"/>
      <c r="AP72" s="96"/>
      <c r="AQ72" s="93"/>
      <c r="AR72" s="93"/>
      <c r="AS72" s="93"/>
      <c r="AT72" s="93"/>
      <c r="AU72" s="93"/>
      <c r="AV72" s="93"/>
      <c r="AW72" s="96"/>
      <c r="AY72" s="77"/>
      <c r="AZ72" s="80"/>
      <c r="BA72" s="80"/>
      <c r="BB72" s="80"/>
      <c r="BC72" s="80"/>
      <c r="BD72" s="80"/>
      <c r="BE72" s="80"/>
      <c r="BF72" s="80"/>
      <c r="BG72" s="80"/>
      <c r="BH72" s="80"/>
      <c r="BI72" s="80"/>
      <c r="BJ72" s="80"/>
      <c r="BK72" s="80"/>
      <c r="BL72" s="80"/>
      <c r="BM72" s="80"/>
      <c r="BN72" s="80"/>
      <c r="BO72" s="80"/>
      <c r="BP72" s="80"/>
      <c r="BQ72" s="80"/>
      <c r="BR72" s="80"/>
      <c r="BS72" s="80"/>
      <c r="BT72" s="80"/>
    </row>
    <row r="73" spans="1:72" x14ac:dyDescent="0.2">
      <c r="A73" s="14"/>
      <c r="B73" s="10" t="s">
        <v>31</v>
      </c>
      <c r="C73" s="4">
        <v>9.1</v>
      </c>
      <c r="D73" s="4">
        <v>18.600000000000001</v>
      </c>
      <c r="E73" s="4">
        <v>26.3</v>
      </c>
      <c r="F73" s="4">
        <v>24.9</v>
      </c>
      <c r="G73" s="4">
        <v>16.899999999999999</v>
      </c>
      <c r="H73" s="4">
        <v>95.7</v>
      </c>
      <c r="I73" s="13">
        <v>11481</v>
      </c>
      <c r="J73" s="4">
        <v>19</v>
      </c>
      <c r="K73" s="4">
        <v>23.3</v>
      </c>
      <c r="L73" s="4">
        <v>24.7</v>
      </c>
      <c r="M73" s="4">
        <v>19.600000000000001</v>
      </c>
      <c r="N73" s="4">
        <v>10.6</v>
      </c>
      <c r="O73" s="4">
        <v>97.2</v>
      </c>
      <c r="P73" s="13">
        <v>8278</v>
      </c>
      <c r="Q73" s="4">
        <v>13.3</v>
      </c>
      <c r="R73" s="4">
        <v>20.5</v>
      </c>
      <c r="S73" s="4">
        <v>25.6</v>
      </c>
      <c r="T73" s="4">
        <v>22.6</v>
      </c>
      <c r="U73" s="4">
        <v>14.3</v>
      </c>
      <c r="V73" s="4">
        <v>96.3</v>
      </c>
      <c r="W73" s="13">
        <v>19759</v>
      </c>
      <c r="X73" s="14"/>
      <c r="Y73" s="14"/>
      <c r="AB73" s="74"/>
      <c r="AC73" s="93"/>
      <c r="AD73" s="93"/>
      <c r="AE73" s="93"/>
      <c r="AF73" s="93"/>
      <c r="AG73" s="93"/>
      <c r="AH73" s="93"/>
      <c r="AI73" s="96"/>
      <c r="AJ73" s="93"/>
      <c r="AK73" s="93"/>
      <c r="AL73" s="93"/>
      <c r="AM73" s="93"/>
      <c r="AN73" s="93"/>
      <c r="AO73" s="93"/>
      <c r="AP73" s="96"/>
      <c r="AQ73" s="93"/>
      <c r="AR73" s="93"/>
      <c r="AS73" s="93"/>
      <c r="AT73" s="93"/>
      <c r="AU73" s="93"/>
      <c r="AV73" s="93"/>
      <c r="AW73" s="96"/>
      <c r="AY73" s="77"/>
      <c r="AZ73" s="80"/>
      <c r="BA73" s="80"/>
      <c r="BB73" s="80"/>
      <c r="BC73" s="80"/>
      <c r="BD73" s="80"/>
      <c r="BE73" s="80"/>
      <c r="BF73" s="80"/>
      <c r="BG73" s="80"/>
      <c r="BH73" s="80"/>
      <c r="BI73" s="80"/>
      <c r="BJ73" s="80"/>
      <c r="BK73" s="80"/>
      <c r="BL73" s="80"/>
      <c r="BM73" s="80"/>
      <c r="BN73" s="80"/>
      <c r="BO73" s="80"/>
      <c r="BP73" s="80"/>
      <c r="BQ73" s="80"/>
      <c r="BR73" s="80"/>
      <c r="BS73" s="80"/>
      <c r="BT73" s="80"/>
    </row>
    <row r="74" spans="1:72" x14ac:dyDescent="0.2">
      <c r="A74" s="14"/>
      <c r="B74" s="10" t="s">
        <v>32</v>
      </c>
      <c r="C74" s="4">
        <v>10.6</v>
      </c>
      <c r="D74" s="4">
        <v>16.2</v>
      </c>
      <c r="E74" s="4">
        <v>22.4</v>
      </c>
      <c r="F74" s="4">
        <v>23.8</v>
      </c>
      <c r="G74" s="4">
        <v>18.600000000000001</v>
      </c>
      <c r="H74" s="4">
        <v>91.5</v>
      </c>
      <c r="I74" s="13">
        <v>27459</v>
      </c>
      <c r="J74" s="4">
        <v>12.1</v>
      </c>
      <c r="K74" s="4">
        <v>18.100000000000001</v>
      </c>
      <c r="L74" s="4">
        <v>23.3</v>
      </c>
      <c r="M74" s="4">
        <v>23.2</v>
      </c>
      <c r="N74" s="4">
        <v>16.899999999999999</v>
      </c>
      <c r="O74" s="4">
        <v>93.7</v>
      </c>
      <c r="P74" s="13">
        <v>31215</v>
      </c>
      <c r="Q74" s="4">
        <v>11.4</v>
      </c>
      <c r="R74" s="4">
        <v>17.2</v>
      </c>
      <c r="S74" s="4">
        <v>22.9</v>
      </c>
      <c r="T74" s="4">
        <v>23.5</v>
      </c>
      <c r="U74" s="4">
        <v>17.7</v>
      </c>
      <c r="V74" s="4">
        <v>92.7</v>
      </c>
      <c r="W74" s="13">
        <v>58674</v>
      </c>
      <c r="X74" s="14"/>
      <c r="Y74" s="14"/>
      <c r="AB74" s="74"/>
      <c r="AC74" s="93"/>
      <c r="AD74" s="93"/>
      <c r="AE74" s="93"/>
      <c r="AF74" s="93"/>
      <c r="AG74" s="93"/>
      <c r="AH74" s="93"/>
      <c r="AI74" s="96"/>
      <c r="AJ74" s="93"/>
      <c r="AK74" s="93"/>
      <c r="AL74" s="93"/>
      <c r="AM74" s="93"/>
      <c r="AN74" s="93"/>
      <c r="AO74" s="93"/>
      <c r="AP74" s="96"/>
      <c r="AQ74" s="93"/>
      <c r="AR74" s="93"/>
      <c r="AS74" s="93"/>
      <c r="AT74" s="93"/>
      <c r="AU74" s="93"/>
      <c r="AV74" s="93"/>
      <c r="AW74" s="96"/>
      <c r="AY74" s="77"/>
      <c r="AZ74" s="80"/>
      <c r="BA74" s="80"/>
      <c r="BB74" s="80"/>
      <c r="BC74" s="80"/>
      <c r="BD74" s="80"/>
      <c r="BE74" s="80"/>
      <c r="BF74" s="80"/>
      <c r="BG74" s="80"/>
      <c r="BH74" s="80"/>
      <c r="BI74" s="80"/>
      <c r="BJ74" s="80"/>
      <c r="BK74" s="80"/>
      <c r="BL74" s="80"/>
      <c r="BM74" s="80"/>
      <c r="BN74" s="80"/>
      <c r="BO74" s="80"/>
      <c r="BP74" s="80"/>
      <c r="BQ74" s="80"/>
      <c r="BR74" s="80"/>
      <c r="BS74" s="80"/>
      <c r="BT74" s="80"/>
    </row>
    <row r="75" spans="1:72" x14ac:dyDescent="0.2">
      <c r="A75" s="14"/>
      <c r="B75" s="10" t="s">
        <v>46</v>
      </c>
      <c r="C75" s="4">
        <v>21.5</v>
      </c>
      <c r="D75" s="4">
        <v>22.1</v>
      </c>
      <c r="E75" s="4">
        <v>23.1</v>
      </c>
      <c r="F75" s="4">
        <v>18.600000000000001</v>
      </c>
      <c r="G75" s="4">
        <v>10.9</v>
      </c>
      <c r="H75" s="4">
        <v>96.1</v>
      </c>
      <c r="I75" s="13">
        <v>317678</v>
      </c>
      <c r="J75" s="4">
        <v>23.7</v>
      </c>
      <c r="K75" s="4">
        <v>24.9</v>
      </c>
      <c r="L75" s="4">
        <v>23.9</v>
      </c>
      <c r="M75" s="4">
        <v>16.7</v>
      </c>
      <c r="N75" s="4">
        <v>8.3000000000000007</v>
      </c>
      <c r="O75" s="4">
        <v>97.4</v>
      </c>
      <c r="P75" s="13">
        <v>373693</v>
      </c>
      <c r="Q75" s="4">
        <v>22.7</v>
      </c>
      <c r="R75" s="4">
        <v>23.6</v>
      </c>
      <c r="S75" s="4">
        <v>23.5</v>
      </c>
      <c r="T75" s="4">
        <v>17.600000000000001</v>
      </c>
      <c r="U75" s="4">
        <v>9.5</v>
      </c>
      <c r="V75" s="4">
        <v>96.8</v>
      </c>
      <c r="W75" s="13">
        <v>691371</v>
      </c>
      <c r="X75" s="14"/>
      <c r="Y75" s="14"/>
      <c r="AB75" s="74"/>
      <c r="AC75" s="93"/>
      <c r="AD75" s="93"/>
      <c r="AE75" s="93"/>
      <c r="AF75" s="93"/>
      <c r="AG75" s="93"/>
      <c r="AH75" s="93"/>
      <c r="AI75" s="96"/>
      <c r="AJ75" s="93"/>
      <c r="AK75" s="93"/>
      <c r="AL75" s="93"/>
      <c r="AM75" s="93"/>
      <c r="AN75" s="93"/>
      <c r="AO75" s="93"/>
      <c r="AP75" s="96"/>
      <c r="AQ75" s="93"/>
      <c r="AR75" s="93"/>
      <c r="AS75" s="93"/>
      <c r="AT75" s="93"/>
      <c r="AU75" s="93"/>
      <c r="AV75" s="93"/>
      <c r="AW75" s="96"/>
      <c r="AY75" s="77"/>
      <c r="AZ75" s="80"/>
      <c r="BA75" s="80"/>
      <c r="BB75" s="80"/>
      <c r="BC75" s="80"/>
      <c r="BD75" s="80"/>
      <c r="BE75" s="80"/>
      <c r="BF75" s="80"/>
      <c r="BG75" s="80"/>
      <c r="BH75" s="80"/>
      <c r="BI75" s="80"/>
      <c r="BJ75" s="80"/>
      <c r="BK75" s="80"/>
      <c r="BL75" s="80"/>
      <c r="BM75" s="80"/>
      <c r="BN75" s="80"/>
      <c r="BO75" s="80"/>
      <c r="BP75" s="80"/>
      <c r="BQ75" s="80"/>
      <c r="BR75" s="80"/>
      <c r="BS75" s="80"/>
      <c r="BT75" s="80"/>
    </row>
    <row r="76" spans="1:72" x14ac:dyDescent="0.2">
      <c r="A76" s="14"/>
      <c r="AZ76" s="80"/>
      <c r="BA76" s="80"/>
      <c r="BB76" s="80"/>
      <c r="BC76" s="80"/>
      <c r="BD76" s="80"/>
      <c r="BE76" s="80"/>
      <c r="BF76" s="80"/>
      <c r="BG76" s="80"/>
      <c r="BH76" s="80"/>
      <c r="BI76" s="80"/>
      <c r="BJ76" s="80"/>
      <c r="BK76" s="80"/>
      <c r="BL76" s="80"/>
      <c r="BM76" s="80"/>
      <c r="BN76" s="80"/>
      <c r="BO76" s="80"/>
      <c r="BP76" s="80"/>
      <c r="BQ76" s="80"/>
      <c r="BR76" s="80"/>
      <c r="BS76" s="80"/>
      <c r="BT76" s="80"/>
    </row>
    <row r="77" spans="1:72" x14ac:dyDescent="0.2">
      <c r="A77" s="14"/>
      <c r="B77" s="11" t="s">
        <v>0</v>
      </c>
      <c r="C77" s="14">
        <f>ROUND(C41,1)</f>
        <v>22.1</v>
      </c>
      <c r="D77" s="14">
        <f t="shared" ref="D77:V77" si="0">ROUND(D41,1)</f>
        <v>20.6</v>
      </c>
      <c r="E77" s="14">
        <f t="shared" si="0"/>
        <v>20.5</v>
      </c>
      <c r="F77" s="14">
        <f t="shared" si="0"/>
        <v>17.8</v>
      </c>
      <c r="G77" s="14">
        <f t="shared" si="0"/>
        <v>13.3</v>
      </c>
      <c r="H77" s="14">
        <f t="shared" si="0"/>
        <v>94.4</v>
      </c>
      <c r="I77" s="120">
        <f>ROUND(I41,0)</f>
        <v>18681</v>
      </c>
      <c r="J77" s="14">
        <f t="shared" si="0"/>
        <v>23.8</v>
      </c>
      <c r="K77" s="14">
        <f t="shared" si="0"/>
        <v>22.4</v>
      </c>
      <c r="L77" s="14">
        <f t="shared" si="0"/>
        <v>20.6</v>
      </c>
      <c r="M77" s="14">
        <f t="shared" si="0"/>
        <v>17</v>
      </c>
      <c r="N77" s="14">
        <f t="shared" si="0"/>
        <v>11.8</v>
      </c>
      <c r="O77" s="14">
        <f t="shared" si="0"/>
        <v>95.6</v>
      </c>
      <c r="P77" s="120">
        <f>ROUND(P41,0)</f>
        <v>26981</v>
      </c>
      <c r="Q77" s="14">
        <f t="shared" si="0"/>
        <v>23.1</v>
      </c>
      <c r="R77" s="14">
        <f t="shared" si="0"/>
        <v>21.7</v>
      </c>
      <c r="S77" s="14">
        <f t="shared" si="0"/>
        <v>20.5</v>
      </c>
      <c r="T77" s="14">
        <f t="shared" si="0"/>
        <v>17.3</v>
      </c>
      <c r="U77" s="14">
        <f t="shared" si="0"/>
        <v>12.4</v>
      </c>
      <c r="V77" s="14">
        <f t="shared" si="0"/>
        <v>95.1</v>
      </c>
      <c r="W77" s="120">
        <f>ROUND(W41,0)</f>
        <v>45662</v>
      </c>
      <c r="AZ77" s="80"/>
      <c r="BA77" s="80"/>
      <c r="BB77" s="80"/>
      <c r="BC77" s="80"/>
      <c r="BD77" s="80"/>
      <c r="BE77" s="80"/>
      <c r="BF77" s="80"/>
      <c r="BG77" s="80"/>
      <c r="BH77" s="80"/>
      <c r="BI77" s="80"/>
      <c r="BJ77" s="80"/>
      <c r="BK77" s="80"/>
      <c r="BL77" s="80"/>
      <c r="BM77" s="80"/>
      <c r="BN77" s="80"/>
      <c r="BO77" s="80"/>
      <c r="BP77" s="80"/>
      <c r="BQ77" s="80"/>
      <c r="BR77" s="80"/>
      <c r="BS77" s="80"/>
      <c r="BT77" s="80"/>
    </row>
    <row r="78" spans="1:72" x14ac:dyDescent="0.2">
      <c r="A78" s="14"/>
      <c r="B78" s="11" t="s">
        <v>1</v>
      </c>
      <c r="C78" s="14">
        <f t="shared" ref="C78:H78" si="1">ROUND(C42,1)</f>
        <v>28.9</v>
      </c>
      <c r="D78" s="14">
        <f t="shared" si="1"/>
        <v>24</v>
      </c>
      <c r="E78" s="14">
        <f t="shared" si="1"/>
        <v>19.100000000000001</v>
      </c>
      <c r="F78" s="14">
        <f t="shared" si="1"/>
        <v>14.7</v>
      </c>
      <c r="G78" s="14">
        <f t="shared" si="1"/>
        <v>9.6</v>
      </c>
      <c r="H78" s="14">
        <f t="shared" si="1"/>
        <v>96.2</v>
      </c>
      <c r="I78" s="120">
        <f t="shared" ref="I78:I111" si="2">ROUND(I42,0)</f>
        <v>16784</v>
      </c>
      <c r="J78" s="14">
        <f t="shared" ref="J78:O78" si="3">ROUND(J42,1)</f>
        <v>30.9</v>
      </c>
      <c r="K78" s="14">
        <f t="shared" si="3"/>
        <v>25.8</v>
      </c>
      <c r="L78" s="14">
        <f t="shared" si="3"/>
        <v>19.2</v>
      </c>
      <c r="M78" s="14">
        <f t="shared" si="3"/>
        <v>13.2</v>
      </c>
      <c r="N78" s="14">
        <f t="shared" si="3"/>
        <v>7.9</v>
      </c>
      <c r="O78" s="14">
        <f t="shared" si="3"/>
        <v>97</v>
      </c>
      <c r="P78" s="120">
        <f t="shared" ref="P78:P111" si="4">ROUND(P42,0)</f>
        <v>16380</v>
      </c>
      <c r="Q78" s="14">
        <f t="shared" ref="Q78:V78" si="5">ROUND(Q42,1)</f>
        <v>29.9</v>
      </c>
      <c r="R78" s="14">
        <f t="shared" si="5"/>
        <v>24.9</v>
      </c>
      <c r="S78" s="14">
        <f t="shared" si="5"/>
        <v>19.100000000000001</v>
      </c>
      <c r="T78" s="14">
        <f t="shared" si="5"/>
        <v>13.9</v>
      </c>
      <c r="U78" s="14">
        <f t="shared" si="5"/>
        <v>8.8000000000000007</v>
      </c>
      <c r="V78" s="14">
        <f t="shared" si="5"/>
        <v>96.6</v>
      </c>
      <c r="W78" s="120">
        <f t="shared" ref="W78:W111" si="6">ROUND(W42,0)</f>
        <v>33164</v>
      </c>
      <c r="AZ78" s="80"/>
      <c r="BA78" s="80"/>
      <c r="BB78" s="80"/>
      <c r="BC78" s="80"/>
      <c r="BD78" s="80"/>
      <c r="BE78" s="80"/>
      <c r="BF78" s="80"/>
      <c r="BG78" s="80"/>
      <c r="BH78" s="80"/>
      <c r="BI78" s="80"/>
      <c r="BJ78" s="80"/>
      <c r="BK78" s="80"/>
      <c r="BL78" s="80"/>
      <c r="BM78" s="80"/>
      <c r="BN78" s="80"/>
      <c r="BO78" s="80"/>
      <c r="BP78" s="80"/>
      <c r="BQ78" s="80"/>
      <c r="BR78" s="80"/>
      <c r="BS78" s="80"/>
      <c r="BT78" s="80"/>
    </row>
    <row r="79" spans="1:72" x14ac:dyDescent="0.2">
      <c r="A79" s="14"/>
      <c r="B79" s="11" t="s">
        <v>2</v>
      </c>
      <c r="C79" s="14">
        <f t="shared" ref="C79:H79" si="7">ROUND(C43,1)</f>
        <v>27.3</v>
      </c>
      <c r="D79" s="14">
        <f t="shared" si="7"/>
        <v>20.8</v>
      </c>
      <c r="E79" s="14">
        <f t="shared" si="7"/>
        <v>18.600000000000001</v>
      </c>
      <c r="F79" s="14">
        <f t="shared" si="7"/>
        <v>16.2</v>
      </c>
      <c r="G79" s="14">
        <f t="shared" si="7"/>
        <v>12</v>
      </c>
      <c r="H79" s="14">
        <f t="shared" si="7"/>
        <v>94.9</v>
      </c>
      <c r="I79" s="120">
        <f t="shared" si="2"/>
        <v>18920</v>
      </c>
      <c r="J79" s="14">
        <f t="shared" ref="J79:O79" si="8">ROUND(J43,1)</f>
        <v>34.200000000000003</v>
      </c>
      <c r="K79" s="14">
        <f t="shared" si="8"/>
        <v>22.9</v>
      </c>
      <c r="L79" s="14">
        <f t="shared" si="8"/>
        <v>18.100000000000001</v>
      </c>
      <c r="M79" s="14">
        <f t="shared" si="8"/>
        <v>12.7</v>
      </c>
      <c r="N79" s="14">
        <f t="shared" si="8"/>
        <v>8.6</v>
      </c>
      <c r="O79" s="14">
        <f t="shared" si="8"/>
        <v>96.5</v>
      </c>
      <c r="P79" s="120">
        <f t="shared" si="4"/>
        <v>5174</v>
      </c>
      <c r="Q79" s="14">
        <f t="shared" ref="Q79:V79" si="9">ROUND(Q43,1)</f>
        <v>28.8</v>
      </c>
      <c r="R79" s="14">
        <f t="shared" si="9"/>
        <v>21.3</v>
      </c>
      <c r="S79" s="14">
        <f t="shared" si="9"/>
        <v>18.5</v>
      </c>
      <c r="T79" s="14">
        <f t="shared" si="9"/>
        <v>15.5</v>
      </c>
      <c r="U79" s="14">
        <f t="shared" si="9"/>
        <v>11.2</v>
      </c>
      <c r="V79" s="14">
        <f t="shared" si="9"/>
        <v>95.3</v>
      </c>
      <c r="W79" s="120">
        <f t="shared" si="6"/>
        <v>24094</v>
      </c>
      <c r="AZ79" s="80"/>
      <c r="BA79" s="80"/>
      <c r="BB79" s="80"/>
      <c r="BC79" s="80"/>
      <c r="BD79" s="80"/>
      <c r="BE79" s="80"/>
      <c r="BF79" s="80"/>
      <c r="BG79" s="80"/>
      <c r="BH79" s="80"/>
      <c r="BI79" s="80"/>
      <c r="BJ79" s="80"/>
      <c r="BK79" s="80"/>
      <c r="BL79" s="80"/>
      <c r="BM79" s="80"/>
      <c r="BN79" s="80"/>
      <c r="BO79" s="80"/>
      <c r="BP79" s="80"/>
      <c r="BQ79" s="80"/>
      <c r="BR79" s="80"/>
      <c r="BS79" s="80"/>
      <c r="BT79" s="80"/>
    </row>
    <row r="80" spans="1:72" x14ac:dyDescent="0.2">
      <c r="A80" s="14"/>
      <c r="B80" s="11" t="s">
        <v>3</v>
      </c>
      <c r="C80" s="14">
        <f t="shared" ref="C80:H80" si="10">ROUND(C44,1)</f>
        <v>21.2</v>
      </c>
      <c r="D80" s="14">
        <f t="shared" si="10"/>
        <v>21.3</v>
      </c>
      <c r="E80" s="14">
        <f t="shared" si="10"/>
        <v>20.6</v>
      </c>
      <c r="F80" s="14">
        <f t="shared" si="10"/>
        <v>19.7</v>
      </c>
      <c r="G80" s="14">
        <f t="shared" si="10"/>
        <v>12.8</v>
      </c>
      <c r="H80" s="14">
        <f t="shared" si="10"/>
        <v>95.7</v>
      </c>
      <c r="I80" s="120">
        <f t="shared" si="2"/>
        <v>2742</v>
      </c>
      <c r="J80" s="14">
        <f t="shared" ref="J80:O80" si="11">ROUND(J44,1)</f>
        <v>19.5</v>
      </c>
      <c r="K80" s="14">
        <f t="shared" si="11"/>
        <v>22.9</v>
      </c>
      <c r="L80" s="14">
        <f t="shared" si="11"/>
        <v>21.7</v>
      </c>
      <c r="M80" s="14">
        <f t="shared" si="11"/>
        <v>19.399999999999999</v>
      </c>
      <c r="N80" s="14">
        <f t="shared" si="11"/>
        <v>13.4</v>
      </c>
      <c r="O80" s="14">
        <f t="shared" si="11"/>
        <v>96.8</v>
      </c>
      <c r="P80" s="120">
        <f t="shared" si="4"/>
        <v>1037</v>
      </c>
      <c r="Q80" s="14">
        <f t="shared" ref="Q80:V80" si="12">ROUND(Q44,1)</f>
        <v>20.7</v>
      </c>
      <c r="R80" s="14">
        <f t="shared" si="12"/>
        <v>21.7</v>
      </c>
      <c r="S80" s="14">
        <f t="shared" si="12"/>
        <v>20.9</v>
      </c>
      <c r="T80" s="14">
        <f t="shared" si="12"/>
        <v>19.600000000000001</v>
      </c>
      <c r="U80" s="14">
        <f t="shared" si="12"/>
        <v>13</v>
      </c>
      <c r="V80" s="14">
        <f t="shared" si="12"/>
        <v>96</v>
      </c>
      <c r="W80" s="120">
        <f t="shared" si="6"/>
        <v>3779</v>
      </c>
      <c r="AZ80" s="80"/>
      <c r="BA80" s="80"/>
      <c r="BB80" s="80"/>
      <c r="BC80" s="80"/>
      <c r="BD80" s="80"/>
      <c r="BE80" s="80"/>
      <c r="BF80" s="80"/>
      <c r="BG80" s="80"/>
      <c r="BH80" s="80"/>
      <c r="BI80" s="80"/>
      <c r="BJ80" s="80"/>
      <c r="BK80" s="80"/>
      <c r="BL80" s="80"/>
      <c r="BM80" s="80"/>
      <c r="BN80" s="80"/>
      <c r="BO80" s="80"/>
      <c r="BP80" s="80"/>
      <c r="BQ80" s="80"/>
      <c r="BR80" s="80"/>
      <c r="BS80" s="80"/>
      <c r="BT80" s="80"/>
    </row>
    <row r="81" spans="1:72" x14ac:dyDescent="0.2">
      <c r="A81" s="14"/>
      <c r="B81" s="11" t="s">
        <v>4</v>
      </c>
      <c r="C81" s="14">
        <f t="shared" ref="C81:H81" si="13">ROUND(C45,1)</f>
        <v>39.200000000000003</v>
      </c>
      <c r="D81" s="14">
        <f t="shared" si="13"/>
        <v>20.9</v>
      </c>
      <c r="E81" s="14">
        <f t="shared" si="13"/>
        <v>16.3</v>
      </c>
      <c r="F81" s="14">
        <f t="shared" si="13"/>
        <v>12.1</v>
      </c>
      <c r="G81" s="14">
        <f t="shared" si="13"/>
        <v>7.8</v>
      </c>
      <c r="H81" s="14">
        <f t="shared" si="13"/>
        <v>96.2</v>
      </c>
      <c r="I81" s="120">
        <f t="shared" si="2"/>
        <v>28611</v>
      </c>
      <c r="J81" s="14">
        <f t="shared" ref="J81:O81" si="14">ROUND(J45,1)</f>
        <v>43</v>
      </c>
      <c r="K81" s="14">
        <f t="shared" si="14"/>
        <v>22.6</v>
      </c>
      <c r="L81" s="14">
        <f t="shared" si="14"/>
        <v>15.6</v>
      </c>
      <c r="M81" s="14">
        <f t="shared" si="14"/>
        <v>10.7</v>
      </c>
      <c r="N81" s="14">
        <f t="shared" si="14"/>
        <v>5.9</v>
      </c>
      <c r="O81" s="14">
        <f t="shared" si="14"/>
        <v>97.7</v>
      </c>
      <c r="P81" s="120">
        <f t="shared" si="4"/>
        <v>17423</v>
      </c>
      <c r="Q81" s="14">
        <f t="shared" ref="Q81:V81" si="15">ROUND(Q45,1)</f>
        <v>40.6</v>
      </c>
      <c r="R81" s="14">
        <f t="shared" si="15"/>
        <v>21.6</v>
      </c>
      <c r="S81" s="14">
        <f t="shared" si="15"/>
        <v>16</v>
      </c>
      <c r="T81" s="14">
        <f t="shared" si="15"/>
        <v>11.5</v>
      </c>
      <c r="U81" s="14">
        <f t="shared" si="15"/>
        <v>7.1</v>
      </c>
      <c r="V81" s="14">
        <f t="shared" si="15"/>
        <v>96.8</v>
      </c>
      <c r="W81" s="120">
        <f t="shared" si="6"/>
        <v>46034</v>
      </c>
      <c r="AZ81" s="80"/>
      <c r="BA81" s="80"/>
      <c r="BB81" s="80"/>
      <c r="BC81" s="80"/>
      <c r="BD81" s="80"/>
      <c r="BE81" s="80"/>
      <c r="BF81" s="80"/>
      <c r="BG81" s="80"/>
      <c r="BH81" s="80"/>
      <c r="BI81" s="80"/>
      <c r="BJ81" s="80"/>
      <c r="BK81" s="80"/>
      <c r="BL81" s="80"/>
      <c r="BM81" s="80"/>
      <c r="BN81" s="80"/>
      <c r="BO81" s="80"/>
      <c r="BP81" s="80"/>
      <c r="BQ81" s="80"/>
      <c r="BR81" s="80"/>
      <c r="BS81" s="80"/>
      <c r="BT81" s="80"/>
    </row>
    <row r="82" spans="1:72" x14ac:dyDescent="0.2">
      <c r="A82" s="14"/>
      <c r="B82" s="11" t="s">
        <v>5</v>
      </c>
      <c r="C82" s="14">
        <f t="shared" ref="C82:H82" si="16">ROUND(C46,1)</f>
        <v>58</v>
      </c>
      <c r="D82" s="14">
        <f t="shared" si="16"/>
        <v>17.7</v>
      </c>
      <c r="E82" s="14">
        <f t="shared" si="16"/>
        <v>10.8</v>
      </c>
      <c r="F82" s="14">
        <f t="shared" si="16"/>
        <v>7.6</v>
      </c>
      <c r="G82" s="14">
        <f t="shared" si="16"/>
        <v>3.8</v>
      </c>
      <c r="H82" s="14">
        <f t="shared" si="16"/>
        <v>98</v>
      </c>
      <c r="I82" s="120">
        <f t="shared" si="2"/>
        <v>3730</v>
      </c>
      <c r="J82" s="14">
        <f t="shared" ref="J82:O82" si="17">ROUND(J46,1)</f>
        <v>61.4</v>
      </c>
      <c r="K82" s="14">
        <f t="shared" si="17"/>
        <v>17.600000000000001</v>
      </c>
      <c r="L82" s="14">
        <f t="shared" si="17"/>
        <v>11.4</v>
      </c>
      <c r="M82" s="14">
        <f t="shared" si="17"/>
        <v>4.7</v>
      </c>
      <c r="N82" s="14">
        <f t="shared" si="17"/>
        <v>3.4</v>
      </c>
      <c r="O82" s="14">
        <f t="shared" si="17"/>
        <v>98.5</v>
      </c>
      <c r="P82" s="120">
        <f t="shared" si="4"/>
        <v>1462</v>
      </c>
      <c r="Q82" s="14">
        <f t="shared" ref="Q82:V82" si="18">ROUND(Q46,1)</f>
        <v>59</v>
      </c>
      <c r="R82" s="14">
        <f t="shared" si="18"/>
        <v>17.7</v>
      </c>
      <c r="S82" s="14">
        <f t="shared" si="18"/>
        <v>11</v>
      </c>
      <c r="T82" s="14">
        <f t="shared" si="18"/>
        <v>6.8</v>
      </c>
      <c r="U82" s="14">
        <f t="shared" si="18"/>
        <v>3.7</v>
      </c>
      <c r="V82" s="14">
        <f t="shared" si="18"/>
        <v>98.1</v>
      </c>
      <c r="W82" s="120">
        <f t="shared" si="6"/>
        <v>5192</v>
      </c>
      <c r="AZ82" s="80"/>
      <c r="BA82" s="80"/>
      <c r="BB82" s="80"/>
      <c r="BC82" s="80"/>
      <c r="BD82" s="80"/>
      <c r="BE82" s="80"/>
      <c r="BF82" s="80"/>
      <c r="BG82" s="80"/>
      <c r="BH82" s="80"/>
      <c r="BI82" s="80"/>
      <c r="BJ82" s="80"/>
      <c r="BK82" s="80"/>
      <c r="BL82" s="80"/>
      <c r="BM82" s="80"/>
      <c r="BN82" s="80"/>
      <c r="BO82" s="80"/>
      <c r="BP82" s="80"/>
      <c r="BQ82" s="80"/>
      <c r="BR82" s="80"/>
      <c r="BS82" s="80"/>
      <c r="BT82" s="80"/>
    </row>
    <row r="83" spans="1:72" x14ac:dyDescent="0.2">
      <c r="B83" s="11" t="s">
        <v>6</v>
      </c>
      <c r="C83" s="14">
        <f t="shared" ref="C83:H83" si="19">ROUND(C47,1)</f>
        <v>12.3</v>
      </c>
      <c r="D83" s="14">
        <f t="shared" si="19"/>
        <v>20.7</v>
      </c>
      <c r="E83" s="14">
        <f t="shared" si="19"/>
        <v>26</v>
      </c>
      <c r="F83" s="14">
        <f t="shared" si="19"/>
        <v>23.4</v>
      </c>
      <c r="G83" s="14">
        <f t="shared" si="19"/>
        <v>13.6</v>
      </c>
      <c r="H83" s="14">
        <f t="shared" si="19"/>
        <v>96</v>
      </c>
      <c r="I83" s="120">
        <f t="shared" si="2"/>
        <v>9601</v>
      </c>
      <c r="J83" s="14">
        <f t="shared" ref="J83:O83" si="20">ROUND(J47,1)</f>
        <v>20.2</v>
      </c>
      <c r="K83" s="14">
        <f t="shared" si="20"/>
        <v>26.6</v>
      </c>
      <c r="L83" s="14">
        <f t="shared" si="20"/>
        <v>25.8</v>
      </c>
      <c r="M83" s="14">
        <f t="shared" si="20"/>
        <v>18</v>
      </c>
      <c r="N83" s="14">
        <f t="shared" si="20"/>
        <v>7.5</v>
      </c>
      <c r="O83" s="14">
        <f t="shared" si="20"/>
        <v>98</v>
      </c>
      <c r="P83" s="120">
        <f t="shared" si="4"/>
        <v>6476</v>
      </c>
      <c r="Q83" s="14">
        <f t="shared" ref="Q83:V83" si="21">ROUND(Q47,1)</f>
        <v>15.5</v>
      </c>
      <c r="R83" s="14">
        <f t="shared" si="21"/>
        <v>23</v>
      </c>
      <c r="S83" s="14">
        <f t="shared" si="21"/>
        <v>25.9</v>
      </c>
      <c r="T83" s="14">
        <f t="shared" si="21"/>
        <v>21.2</v>
      </c>
      <c r="U83" s="14">
        <f t="shared" si="21"/>
        <v>11.1</v>
      </c>
      <c r="V83" s="14">
        <f t="shared" si="21"/>
        <v>96.8</v>
      </c>
      <c r="W83" s="120">
        <f t="shared" si="6"/>
        <v>16077</v>
      </c>
      <c r="AZ83" s="80"/>
      <c r="BA83" s="80"/>
      <c r="BB83" s="80"/>
      <c r="BC83" s="80"/>
      <c r="BD83" s="80"/>
      <c r="BE83" s="80"/>
      <c r="BF83" s="80"/>
      <c r="BG83" s="80"/>
      <c r="BH83" s="80"/>
      <c r="BI83" s="80"/>
      <c r="BJ83" s="80"/>
      <c r="BK83" s="80"/>
      <c r="BL83" s="80"/>
      <c r="BM83" s="80"/>
      <c r="BN83" s="80"/>
      <c r="BO83" s="80"/>
      <c r="BP83" s="80"/>
      <c r="BQ83" s="80"/>
      <c r="BR83" s="80"/>
      <c r="BS83" s="80"/>
      <c r="BT83" s="80"/>
    </row>
    <row r="84" spans="1:72" x14ac:dyDescent="0.2">
      <c r="B84" s="11" t="s">
        <v>7</v>
      </c>
      <c r="C84" s="14">
        <f t="shared" ref="C84:H84" si="22">ROUND(C48,1)</f>
        <v>14.5</v>
      </c>
      <c r="D84" s="14">
        <f t="shared" si="22"/>
        <v>18.3</v>
      </c>
      <c r="E84" s="14">
        <f t="shared" si="22"/>
        <v>22.4</v>
      </c>
      <c r="F84" s="14">
        <f t="shared" si="22"/>
        <v>22.1</v>
      </c>
      <c r="G84" s="14">
        <f t="shared" si="22"/>
        <v>16.2</v>
      </c>
      <c r="H84" s="14">
        <f t="shared" si="22"/>
        <v>93.5</v>
      </c>
      <c r="I84" s="120">
        <f t="shared" si="2"/>
        <v>5319</v>
      </c>
      <c r="J84" s="14">
        <f t="shared" ref="J84:O84" si="23">ROUND(J48,1)</f>
        <v>15.5</v>
      </c>
      <c r="K84" s="14">
        <f t="shared" si="23"/>
        <v>22</v>
      </c>
      <c r="L84" s="14">
        <f t="shared" si="23"/>
        <v>21</v>
      </c>
      <c r="M84" s="14">
        <f t="shared" si="23"/>
        <v>22</v>
      </c>
      <c r="N84" s="14">
        <f t="shared" si="23"/>
        <v>15.7</v>
      </c>
      <c r="O84" s="14">
        <f t="shared" si="23"/>
        <v>96.1</v>
      </c>
      <c r="P84" s="120">
        <f t="shared" si="4"/>
        <v>491</v>
      </c>
      <c r="Q84" s="14">
        <f t="shared" ref="Q84:V84" si="24">ROUND(Q48,1)</f>
        <v>14.6</v>
      </c>
      <c r="R84" s="14">
        <f t="shared" si="24"/>
        <v>18.600000000000001</v>
      </c>
      <c r="S84" s="14">
        <f t="shared" si="24"/>
        <v>22.3</v>
      </c>
      <c r="T84" s="14">
        <f t="shared" si="24"/>
        <v>22.1</v>
      </c>
      <c r="U84" s="14">
        <f t="shared" si="24"/>
        <v>16.2</v>
      </c>
      <c r="V84" s="14">
        <f t="shared" si="24"/>
        <v>93.8</v>
      </c>
      <c r="W84" s="120">
        <f t="shared" si="6"/>
        <v>5810</v>
      </c>
      <c r="AZ84" s="80"/>
      <c r="BA84" s="80"/>
      <c r="BB84" s="80"/>
      <c r="BC84" s="80"/>
      <c r="BD84" s="80"/>
      <c r="BE84" s="80"/>
      <c r="BF84" s="80"/>
      <c r="BG84" s="80"/>
      <c r="BH84" s="80"/>
      <c r="BI84" s="80"/>
      <c r="BJ84" s="80"/>
      <c r="BK84" s="80"/>
      <c r="BL84" s="80"/>
      <c r="BM84" s="80"/>
      <c r="BN84" s="80"/>
      <c r="BO84" s="80"/>
      <c r="BP84" s="80"/>
      <c r="BQ84" s="80"/>
      <c r="BR84" s="80"/>
      <c r="BS84" s="80"/>
      <c r="BT84" s="80"/>
    </row>
    <row r="85" spans="1:72" x14ac:dyDescent="0.2">
      <c r="B85" s="11" t="s">
        <v>8</v>
      </c>
      <c r="C85" s="14">
        <f t="shared" ref="C85:H85" si="25">ROUND(C49,1)</f>
        <v>6.2</v>
      </c>
      <c r="D85" s="14">
        <f t="shared" si="25"/>
        <v>14.9</v>
      </c>
      <c r="E85" s="14">
        <f t="shared" si="25"/>
        <v>23.3</v>
      </c>
      <c r="F85" s="14">
        <f t="shared" si="25"/>
        <v>27.9</v>
      </c>
      <c r="G85" s="14">
        <f t="shared" si="25"/>
        <v>20.3</v>
      </c>
      <c r="H85" s="14">
        <f t="shared" si="25"/>
        <v>92.7</v>
      </c>
      <c r="I85" s="120">
        <f t="shared" si="2"/>
        <v>8349</v>
      </c>
      <c r="J85" s="14">
        <f t="shared" ref="J85:O85" si="26">ROUND(J49,1)</f>
        <v>9.3000000000000007</v>
      </c>
      <c r="K85" s="14">
        <f t="shared" si="26"/>
        <v>17.899999999999999</v>
      </c>
      <c r="L85" s="14">
        <f t="shared" si="26"/>
        <v>25.8</v>
      </c>
      <c r="M85" s="14">
        <f t="shared" si="26"/>
        <v>25.6</v>
      </c>
      <c r="N85" s="14">
        <f t="shared" si="26"/>
        <v>16.2</v>
      </c>
      <c r="O85" s="14">
        <f t="shared" si="26"/>
        <v>94.6</v>
      </c>
      <c r="P85" s="120">
        <f t="shared" si="4"/>
        <v>4504</v>
      </c>
      <c r="Q85" s="14">
        <f t="shared" ref="Q85:V85" si="27">ROUND(Q49,1)</f>
        <v>7.3</v>
      </c>
      <c r="R85" s="14">
        <f t="shared" si="27"/>
        <v>15.9</v>
      </c>
      <c r="S85" s="14">
        <f t="shared" si="27"/>
        <v>24.2</v>
      </c>
      <c r="T85" s="14">
        <f t="shared" si="27"/>
        <v>27.1</v>
      </c>
      <c r="U85" s="14">
        <f t="shared" si="27"/>
        <v>18.899999999999999</v>
      </c>
      <c r="V85" s="14">
        <f t="shared" si="27"/>
        <v>93.4</v>
      </c>
      <c r="W85" s="120">
        <f t="shared" si="6"/>
        <v>12853</v>
      </c>
      <c r="AZ85" s="80"/>
      <c r="BA85" s="80"/>
      <c r="BB85" s="80"/>
      <c r="BC85" s="80"/>
      <c r="BD85" s="80"/>
      <c r="BE85" s="80"/>
      <c r="BF85" s="80"/>
      <c r="BG85" s="80"/>
      <c r="BH85" s="80"/>
      <c r="BI85" s="80"/>
      <c r="BJ85" s="80"/>
      <c r="BK85" s="80"/>
      <c r="BL85" s="80"/>
      <c r="BM85" s="80"/>
      <c r="BN85" s="80"/>
      <c r="BO85" s="80"/>
      <c r="BP85" s="80"/>
      <c r="BQ85" s="80"/>
      <c r="BR85" s="80"/>
      <c r="BS85" s="80"/>
      <c r="BT85" s="80"/>
    </row>
    <row r="86" spans="1:72" x14ac:dyDescent="0.2">
      <c r="B86" s="11" t="s">
        <v>9</v>
      </c>
      <c r="C86" s="14" t="e">
        <f t="shared" ref="C86:H86" si="28">ROUND(C50,1)</f>
        <v>#VALUE!</v>
      </c>
      <c r="D86" s="14" t="e">
        <f t="shared" si="28"/>
        <v>#VALUE!</v>
      </c>
      <c r="E86" s="14">
        <f t="shared" si="28"/>
        <v>20</v>
      </c>
      <c r="F86" s="14">
        <f t="shared" si="28"/>
        <v>28.6</v>
      </c>
      <c r="G86" s="14">
        <f t="shared" si="28"/>
        <v>28.6</v>
      </c>
      <c r="H86" s="14">
        <f t="shared" si="28"/>
        <v>85.7</v>
      </c>
      <c r="I86" s="120">
        <f t="shared" si="2"/>
        <v>35</v>
      </c>
      <c r="J86" s="14">
        <f t="shared" ref="J86:O86" si="29">ROUND(J50,1)</f>
        <v>17</v>
      </c>
      <c r="K86" s="14">
        <f t="shared" si="29"/>
        <v>20</v>
      </c>
      <c r="L86" s="14">
        <f t="shared" si="29"/>
        <v>25.5</v>
      </c>
      <c r="M86" s="14">
        <f t="shared" si="29"/>
        <v>20.9</v>
      </c>
      <c r="N86" s="14">
        <f t="shared" si="29"/>
        <v>14.3</v>
      </c>
      <c r="O86" s="14">
        <f t="shared" si="29"/>
        <v>97.7</v>
      </c>
      <c r="P86" s="120">
        <f t="shared" si="4"/>
        <v>440</v>
      </c>
      <c r="Q86" s="14">
        <f t="shared" ref="Q86:V86" si="30">ROUND(Q50,1)</f>
        <v>16</v>
      </c>
      <c r="R86" s="14">
        <f t="shared" si="30"/>
        <v>18.899999999999999</v>
      </c>
      <c r="S86" s="14">
        <f t="shared" si="30"/>
        <v>25.1</v>
      </c>
      <c r="T86" s="14">
        <f t="shared" si="30"/>
        <v>21.5</v>
      </c>
      <c r="U86" s="14">
        <f t="shared" si="30"/>
        <v>15.4</v>
      </c>
      <c r="V86" s="14">
        <f t="shared" si="30"/>
        <v>96.8</v>
      </c>
      <c r="W86" s="120">
        <f t="shared" si="6"/>
        <v>475</v>
      </c>
      <c r="AZ86" s="80"/>
      <c r="BA86" s="80"/>
      <c r="BB86" s="80"/>
      <c r="BC86" s="80"/>
      <c r="BD86" s="80"/>
      <c r="BE86" s="80"/>
      <c r="BF86" s="80"/>
      <c r="BG86" s="80"/>
      <c r="BH86" s="80"/>
      <c r="BI86" s="80"/>
      <c r="BJ86" s="80"/>
      <c r="BK86" s="80"/>
      <c r="BL86" s="80"/>
      <c r="BM86" s="80"/>
      <c r="BN86" s="80"/>
      <c r="BO86" s="80"/>
      <c r="BP86" s="80"/>
      <c r="BQ86" s="80"/>
      <c r="BR86" s="80"/>
      <c r="BS86" s="80"/>
      <c r="BT86" s="80"/>
    </row>
    <row r="87" spans="1:72" x14ac:dyDescent="0.2">
      <c r="B87" s="11" t="s">
        <v>10</v>
      </c>
      <c r="C87" s="14">
        <f t="shared" ref="C87:H87" si="31">ROUND(C51,1)</f>
        <v>10.4</v>
      </c>
      <c r="D87" s="14">
        <f t="shared" si="31"/>
        <v>19.899999999999999</v>
      </c>
      <c r="E87" s="14">
        <f t="shared" si="31"/>
        <v>22.5</v>
      </c>
      <c r="F87" s="14">
        <f t="shared" si="31"/>
        <v>21.6</v>
      </c>
      <c r="G87" s="14">
        <f t="shared" si="31"/>
        <v>17.100000000000001</v>
      </c>
      <c r="H87" s="14">
        <f t="shared" si="31"/>
        <v>91.6</v>
      </c>
      <c r="I87" s="120">
        <f t="shared" si="2"/>
        <v>1766</v>
      </c>
      <c r="J87" s="14">
        <f t="shared" ref="J87:O87" si="32">ROUND(J51,1)</f>
        <v>13.7</v>
      </c>
      <c r="K87" s="14">
        <f t="shared" si="32"/>
        <v>21.7</v>
      </c>
      <c r="L87" s="14">
        <f t="shared" si="32"/>
        <v>20.7</v>
      </c>
      <c r="M87" s="14">
        <f t="shared" si="32"/>
        <v>23.7</v>
      </c>
      <c r="N87" s="14">
        <f t="shared" si="32"/>
        <v>13.3</v>
      </c>
      <c r="O87" s="14">
        <f t="shared" si="32"/>
        <v>93.1</v>
      </c>
      <c r="P87" s="120">
        <f t="shared" si="4"/>
        <v>1056</v>
      </c>
      <c r="Q87" s="14">
        <f t="shared" ref="Q87:V87" si="33">ROUND(Q51,1)</f>
        <v>11.7</v>
      </c>
      <c r="R87" s="14">
        <f t="shared" si="33"/>
        <v>20.6</v>
      </c>
      <c r="S87" s="14">
        <f t="shared" si="33"/>
        <v>21.9</v>
      </c>
      <c r="T87" s="14">
        <f t="shared" si="33"/>
        <v>22.4</v>
      </c>
      <c r="U87" s="14">
        <f t="shared" si="33"/>
        <v>15.7</v>
      </c>
      <c r="V87" s="14">
        <f t="shared" si="33"/>
        <v>92.1</v>
      </c>
      <c r="W87" s="120">
        <f t="shared" si="6"/>
        <v>2822</v>
      </c>
      <c r="AZ87" s="80"/>
      <c r="BA87" s="80"/>
      <c r="BB87" s="80"/>
      <c r="BC87" s="80"/>
      <c r="BD87" s="80"/>
      <c r="BE87" s="80"/>
      <c r="BF87" s="80"/>
      <c r="BG87" s="80"/>
      <c r="BH87" s="80"/>
      <c r="BI87" s="80"/>
      <c r="BJ87" s="80"/>
      <c r="BK87" s="80"/>
      <c r="BL87" s="80"/>
      <c r="BM87" s="80"/>
      <c r="BN87" s="80"/>
      <c r="BO87" s="80"/>
      <c r="BP87" s="80"/>
      <c r="BQ87" s="80"/>
      <c r="BR87" s="80"/>
      <c r="BS87" s="80"/>
      <c r="BT87" s="80"/>
    </row>
    <row r="88" spans="1:72" x14ac:dyDescent="0.2">
      <c r="B88" s="11" t="s">
        <v>11</v>
      </c>
      <c r="C88" s="14">
        <f t="shared" ref="C88:H88" si="34">ROUND(C52,1)</f>
        <v>14.7</v>
      </c>
      <c r="D88" s="14">
        <f t="shared" si="34"/>
        <v>24.7</v>
      </c>
      <c r="E88" s="14">
        <f t="shared" si="34"/>
        <v>28.2</v>
      </c>
      <c r="F88" s="14">
        <f t="shared" si="34"/>
        <v>21.1</v>
      </c>
      <c r="G88" s="14">
        <f t="shared" si="34"/>
        <v>9.1</v>
      </c>
      <c r="H88" s="14">
        <f t="shared" si="34"/>
        <v>97.8</v>
      </c>
      <c r="I88" s="120">
        <f t="shared" si="2"/>
        <v>17912</v>
      </c>
      <c r="J88" s="14">
        <f t="shared" ref="J88:O88" si="35">ROUND(J52,1)</f>
        <v>16.899999999999999</v>
      </c>
      <c r="K88" s="14">
        <f t="shared" si="35"/>
        <v>26.1</v>
      </c>
      <c r="L88" s="14">
        <f t="shared" si="35"/>
        <v>27.2</v>
      </c>
      <c r="M88" s="14">
        <f t="shared" si="35"/>
        <v>19.8</v>
      </c>
      <c r="N88" s="14">
        <f t="shared" si="35"/>
        <v>8.1</v>
      </c>
      <c r="O88" s="14">
        <f t="shared" si="35"/>
        <v>98.1</v>
      </c>
      <c r="P88" s="120">
        <f t="shared" si="4"/>
        <v>12036</v>
      </c>
      <c r="Q88" s="14">
        <f t="shared" ref="Q88:V88" si="36">ROUND(Q52,1)</f>
        <v>15.6</v>
      </c>
      <c r="R88" s="14">
        <f t="shared" si="36"/>
        <v>25.3</v>
      </c>
      <c r="S88" s="14">
        <f t="shared" si="36"/>
        <v>27.8</v>
      </c>
      <c r="T88" s="14">
        <f t="shared" si="36"/>
        <v>20.6</v>
      </c>
      <c r="U88" s="14">
        <f t="shared" si="36"/>
        <v>8.6999999999999993</v>
      </c>
      <c r="V88" s="14">
        <f t="shared" si="36"/>
        <v>97.9</v>
      </c>
      <c r="W88" s="120">
        <f t="shared" si="6"/>
        <v>29948</v>
      </c>
      <c r="AZ88" s="80"/>
      <c r="BA88" s="80"/>
      <c r="BB88" s="80"/>
      <c r="BC88" s="80"/>
      <c r="BD88" s="80"/>
      <c r="BE88" s="80"/>
      <c r="BF88" s="80"/>
      <c r="BG88" s="80"/>
      <c r="BH88" s="80"/>
      <c r="BI88" s="80"/>
      <c r="BJ88" s="80"/>
      <c r="BK88" s="80"/>
      <c r="BL88" s="80"/>
      <c r="BM88" s="80"/>
      <c r="BN88" s="80"/>
      <c r="BO88" s="80"/>
      <c r="BP88" s="80"/>
      <c r="BQ88" s="80"/>
      <c r="BR88" s="80"/>
      <c r="BS88" s="80"/>
      <c r="BT88" s="80"/>
    </row>
    <row r="89" spans="1:72" x14ac:dyDescent="0.2">
      <c r="B89" s="11" t="s">
        <v>12</v>
      </c>
      <c r="C89" s="14">
        <f t="shared" ref="C89:H89" si="37">ROUND(C53,1)</f>
        <v>32.200000000000003</v>
      </c>
      <c r="D89" s="14">
        <f t="shared" si="37"/>
        <v>27.4</v>
      </c>
      <c r="E89" s="14">
        <f t="shared" si="37"/>
        <v>20.399999999999999</v>
      </c>
      <c r="F89" s="14">
        <f t="shared" si="37"/>
        <v>13</v>
      </c>
      <c r="G89" s="14">
        <f t="shared" si="37"/>
        <v>5.5</v>
      </c>
      <c r="H89" s="14">
        <f t="shared" si="37"/>
        <v>98.5</v>
      </c>
      <c r="I89" s="120">
        <f t="shared" si="2"/>
        <v>9466</v>
      </c>
      <c r="J89" s="14">
        <f t="shared" ref="J89:O89" si="38">ROUND(J53,1)</f>
        <v>39.799999999999997</v>
      </c>
      <c r="K89" s="14">
        <f t="shared" si="38"/>
        <v>27.6</v>
      </c>
      <c r="L89" s="14">
        <f t="shared" si="38"/>
        <v>17.7</v>
      </c>
      <c r="M89" s="14">
        <f t="shared" si="38"/>
        <v>10</v>
      </c>
      <c r="N89" s="14">
        <f t="shared" si="38"/>
        <v>4</v>
      </c>
      <c r="O89" s="14">
        <f t="shared" si="38"/>
        <v>99.1</v>
      </c>
      <c r="P89" s="120">
        <f t="shared" si="4"/>
        <v>3953</v>
      </c>
      <c r="Q89" s="14">
        <f t="shared" ref="Q89:V89" si="39">ROUND(Q53,1)</f>
        <v>34.4</v>
      </c>
      <c r="R89" s="14">
        <f t="shared" si="39"/>
        <v>27.5</v>
      </c>
      <c r="S89" s="14">
        <f t="shared" si="39"/>
        <v>19.600000000000001</v>
      </c>
      <c r="T89" s="14">
        <f t="shared" si="39"/>
        <v>12.1</v>
      </c>
      <c r="U89" s="14">
        <f t="shared" si="39"/>
        <v>5.0999999999999996</v>
      </c>
      <c r="V89" s="14">
        <f t="shared" si="39"/>
        <v>98.7</v>
      </c>
      <c r="W89" s="120">
        <f t="shared" si="6"/>
        <v>13419</v>
      </c>
      <c r="AZ89" s="80"/>
      <c r="BA89" s="80"/>
      <c r="BB89" s="80"/>
      <c r="BC89" s="80"/>
      <c r="BD89" s="80"/>
      <c r="BE89" s="80"/>
      <c r="BF89" s="80"/>
      <c r="BG89" s="80"/>
      <c r="BH89" s="80"/>
      <c r="BI89" s="80"/>
      <c r="BJ89" s="80"/>
      <c r="BK89" s="80"/>
      <c r="BL89" s="80"/>
      <c r="BM89" s="80"/>
      <c r="BN89" s="80"/>
      <c r="BO89" s="80"/>
      <c r="BP89" s="80"/>
      <c r="BQ89" s="80"/>
      <c r="BR89" s="80"/>
      <c r="BS89" s="80"/>
      <c r="BT89" s="80"/>
    </row>
    <row r="90" spans="1:72" x14ac:dyDescent="0.2">
      <c r="B90" s="11" t="s">
        <v>13</v>
      </c>
      <c r="C90" s="14">
        <f t="shared" ref="C90:H90" si="40">ROUND(C54,1)</f>
        <v>20.6</v>
      </c>
      <c r="D90" s="14">
        <f t="shared" si="40"/>
        <v>24.8</v>
      </c>
      <c r="E90" s="14">
        <f t="shared" si="40"/>
        <v>25.5</v>
      </c>
      <c r="F90" s="14">
        <f t="shared" si="40"/>
        <v>18.3</v>
      </c>
      <c r="G90" s="14">
        <f t="shared" si="40"/>
        <v>8.9</v>
      </c>
      <c r="H90" s="14">
        <f t="shared" si="40"/>
        <v>98.1</v>
      </c>
      <c r="I90" s="120">
        <f t="shared" si="2"/>
        <v>15523</v>
      </c>
      <c r="J90" s="14">
        <f t="shared" ref="J90:O90" si="41">ROUND(J54,1)</f>
        <v>29.4</v>
      </c>
      <c r="K90" s="14">
        <f t="shared" si="41"/>
        <v>27.4</v>
      </c>
      <c r="L90" s="14">
        <f t="shared" si="41"/>
        <v>22.6</v>
      </c>
      <c r="M90" s="14">
        <f t="shared" si="41"/>
        <v>14.1</v>
      </c>
      <c r="N90" s="14">
        <f t="shared" si="41"/>
        <v>5.4</v>
      </c>
      <c r="O90" s="14">
        <f t="shared" si="41"/>
        <v>98.9</v>
      </c>
      <c r="P90" s="120">
        <f t="shared" si="4"/>
        <v>12860</v>
      </c>
      <c r="Q90" s="14">
        <f t="shared" ref="Q90:V90" si="42">ROUND(Q54,1)</f>
        <v>24.6</v>
      </c>
      <c r="R90" s="14">
        <f t="shared" si="42"/>
        <v>26</v>
      </c>
      <c r="S90" s="14">
        <f t="shared" si="42"/>
        <v>24.2</v>
      </c>
      <c r="T90" s="14">
        <f t="shared" si="42"/>
        <v>16.399999999999999</v>
      </c>
      <c r="U90" s="14">
        <f t="shared" si="42"/>
        <v>7.3</v>
      </c>
      <c r="V90" s="14">
        <f t="shared" si="42"/>
        <v>98.5</v>
      </c>
      <c r="W90" s="120">
        <f t="shared" si="6"/>
        <v>28383</v>
      </c>
      <c r="AZ90" s="80"/>
      <c r="BA90" s="80"/>
      <c r="BB90" s="80"/>
      <c r="BC90" s="80"/>
      <c r="BD90" s="80"/>
      <c r="BE90" s="80"/>
      <c r="BF90" s="80"/>
      <c r="BG90" s="80"/>
      <c r="BH90" s="80"/>
      <c r="BI90" s="80"/>
      <c r="BJ90" s="80"/>
      <c r="BK90" s="80"/>
      <c r="BL90" s="80"/>
      <c r="BM90" s="80"/>
      <c r="BN90" s="80"/>
      <c r="BO90" s="80"/>
      <c r="BP90" s="80"/>
      <c r="BQ90" s="80"/>
      <c r="BR90" s="80"/>
      <c r="BS90" s="80"/>
      <c r="BT90" s="80"/>
    </row>
    <row r="91" spans="1:72" x14ac:dyDescent="0.2">
      <c r="B91" s="11" t="s">
        <v>14</v>
      </c>
      <c r="C91" s="14">
        <f t="shared" ref="C91:H91" si="43">ROUND(C55,1)</f>
        <v>26.7</v>
      </c>
      <c r="D91" s="14">
        <f t="shared" si="43"/>
        <v>28.1</v>
      </c>
      <c r="E91" s="14">
        <f t="shared" si="43"/>
        <v>23.2</v>
      </c>
      <c r="F91" s="14">
        <f t="shared" si="43"/>
        <v>13.2</v>
      </c>
      <c r="G91" s="14">
        <f t="shared" si="43"/>
        <v>6.6</v>
      </c>
      <c r="H91" s="14">
        <f t="shared" si="43"/>
        <v>97.7</v>
      </c>
      <c r="I91" s="120">
        <f t="shared" si="2"/>
        <v>5710</v>
      </c>
      <c r="J91" s="14">
        <f t="shared" ref="J91:O91" si="44">ROUND(J55,1)</f>
        <v>32.6</v>
      </c>
      <c r="K91" s="14">
        <f t="shared" si="44"/>
        <v>28</v>
      </c>
      <c r="L91" s="14">
        <f t="shared" si="44"/>
        <v>20.100000000000001</v>
      </c>
      <c r="M91" s="14">
        <f t="shared" si="44"/>
        <v>11.8</v>
      </c>
      <c r="N91" s="14">
        <f t="shared" si="44"/>
        <v>5.4</v>
      </c>
      <c r="O91" s="14">
        <f t="shared" si="44"/>
        <v>97.9</v>
      </c>
      <c r="P91" s="120">
        <f t="shared" si="4"/>
        <v>3735</v>
      </c>
      <c r="Q91" s="14">
        <f t="shared" ref="Q91:V91" si="45">ROUND(Q55,1)</f>
        <v>29.1</v>
      </c>
      <c r="R91" s="14">
        <f t="shared" si="45"/>
        <v>28</v>
      </c>
      <c r="S91" s="14">
        <f t="shared" si="45"/>
        <v>22</v>
      </c>
      <c r="T91" s="14">
        <f t="shared" si="45"/>
        <v>12.6</v>
      </c>
      <c r="U91" s="14">
        <f t="shared" si="45"/>
        <v>6.1</v>
      </c>
      <c r="V91" s="14">
        <f t="shared" si="45"/>
        <v>97.8</v>
      </c>
      <c r="W91" s="120">
        <f t="shared" si="6"/>
        <v>9445</v>
      </c>
      <c r="AZ91" s="80"/>
      <c r="BA91" s="80"/>
      <c r="BB91" s="80"/>
      <c r="BC91" s="80"/>
      <c r="BD91" s="80"/>
      <c r="BE91" s="80"/>
      <c r="BF91" s="80"/>
      <c r="BG91" s="80"/>
      <c r="BH91" s="80"/>
      <c r="BI91" s="80"/>
      <c r="BJ91" s="80"/>
      <c r="BK91" s="80"/>
      <c r="BL91" s="80"/>
      <c r="BM91" s="80"/>
      <c r="BN91" s="80"/>
      <c r="BO91" s="80"/>
      <c r="BP91" s="80"/>
      <c r="BQ91" s="80"/>
      <c r="BR91" s="80"/>
      <c r="BS91" s="80"/>
      <c r="BT91" s="80"/>
    </row>
    <row r="92" spans="1:72" x14ac:dyDescent="0.2">
      <c r="B92" s="11" t="s">
        <v>15</v>
      </c>
      <c r="C92" s="14">
        <f t="shared" ref="C92:H92" si="46">ROUND(C56,1)</f>
        <v>21.9</v>
      </c>
      <c r="D92" s="14">
        <f t="shared" si="46"/>
        <v>25.9</v>
      </c>
      <c r="E92" s="14">
        <f t="shared" si="46"/>
        <v>25.2</v>
      </c>
      <c r="F92" s="14">
        <f t="shared" si="46"/>
        <v>17.2</v>
      </c>
      <c r="G92" s="14">
        <f t="shared" si="46"/>
        <v>7.8</v>
      </c>
      <c r="H92" s="14">
        <f t="shared" si="46"/>
        <v>98</v>
      </c>
      <c r="I92" s="120">
        <f t="shared" si="2"/>
        <v>19481</v>
      </c>
      <c r="J92" s="14">
        <f t="shared" ref="J92:O92" si="47">ROUND(J56,1)</f>
        <v>24.8</v>
      </c>
      <c r="K92" s="14">
        <f t="shared" si="47"/>
        <v>26.3</v>
      </c>
      <c r="L92" s="14">
        <f t="shared" si="47"/>
        <v>24.4</v>
      </c>
      <c r="M92" s="14">
        <f t="shared" si="47"/>
        <v>15.7</v>
      </c>
      <c r="N92" s="14">
        <f t="shared" si="47"/>
        <v>7.1</v>
      </c>
      <c r="O92" s="14">
        <f t="shared" si="47"/>
        <v>98.3</v>
      </c>
      <c r="P92" s="120">
        <f t="shared" si="4"/>
        <v>19717</v>
      </c>
      <c r="Q92" s="14">
        <f t="shared" ref="Q92:V92" si="48">ROUND(Q56,1)</f>
        <v>23.3</v>
      </c>
      <c r="R92" s="14">
        <f t="shared" si="48"/>
        <v>26.1</v>
      </c>
      <c r="S92" s="14">
        <f t="shared" si="48"/>
        <v>24.8</v>
      </c>
      <c r="T92" s="14">
        <f t="shared" si="48"/>
        <v>16.5</v>
      </c>
      <c r="U92" s="14">
        <f t="shared" si="48"/>
        <v>7.4</v>
      </c>
      <c r="V92" s="14">
        <f t="shared" si="48"/>
        <v>98.2</v>
      </c>
      <c r="W92" s="120">
        <f t="shared" si="6"/>
        <v>39198</v>
      </c>
      <c r="AZ92" s="80"/>
      <c r="BA92" s="80"/>
      <c r="BB92" s="80"/>
      <c r="BC92" s="80"/>
      <c r="BD92" s="80"/>
      <c r="BE92" s="80"/>
      <c r="BF92" s="80"/>
      <c r="BG92" s="80"/>
      <c r="BH92" s="80"/>
      <c r="BI92" s="80"/>
      <c r="BJ92" s="80"/>
      <c r="BK92" s="80"/>
      <c r="BL92" s="80"/>
      <c r="BM92" s="80"/>
      <c r="BN92" s="80"/>
      <c r="BO92" s="80"/>
      <c r="BP92" s="80"/>
      <c r="BQ92" s="80"/>
      <c r="BR92" s="80"/>
      <c r="BS92" s="80"/>
      <c r="BT92" s="80"/>
    </row>
    <row r="93" spans="1:72" x14ac:dyDescent="0.2">
      <c r="B93" s="11" t="s">
        <v>16</v>
      </c>
      <c r="C93" s="14">
        <f t="shared" ref="C93:H93" si="49">ROUND(C57,1)</f>
        <v>14.8</v>
      </c>
      <c r="D93" s="14">
        <f t="shared" si="49"/>
        <v>19.600000000000001</v>
      </c>
      <c r="E93" s="14">
        <f t="shared" si="49"/>
        <v>24.2</v>
      </c>
      <c r="F93" s="14">
        <f t="shared" si="49"/>
        <v>21.5</v>
      </c>
      <c r="G93" s="14">
        <f t="shared" si="49"/>
        <v>13.6</v>
      </c>
      <c r="H93" s="14">
        <f t="shared" si="49"/>
        <v>93.7</v>
      </c>
      <c r="I93" s="120">
        <f t="shared" si="2"/>
        <v>5125</v>
      </c>
      <c r="J93" s="14">
        <f t="shared" ref="J93:O93" si="50">ROUND(J57,1)</f>
        <v>19</v>
      </c>
      <c r="K93" s="14">
        <f t="shared" si="50"/>
        <v>23.3</v>
      </c>
      <c r="L93" s="14">
        <f t="shared" si="50"/>
        <v>24.4</v>
      </c>
      <c r="M93" s="14">
        <f t="shared" si="50"/>
        <v>18.5</v>
      </c>
      <c r="N93" s="14">
        <f t="shared" si="50"/>
        <v>10.199999999999999</v>
      </c>
      <c r="O93" s="14">
        <f t="shared" si="50"/>
        <v>95.4</v>
      </c>
      <c r="P93" s="120">
        <f t="shared" si="4"/>
        <v>7526</v>
      </c>
      <c r="Q93" s="14">
        <f t="shared" ref="Q93:V93" si="51">ROUND(Q57,1)</f>
        <v>17.3</v>
      </c>
      <c r="R93" s="14">
        <f t="shared" si="51"/>
        <v>21.8</v>
      </c>
      <c r="S93" s="14">
        <f t="shared" si="51"/>
        <v>24.3</v>
      </c>
      <c r="T93" s="14">
        <f t="shared" si="51"/>
        <v>19.7</v>
      </c>
      <c r="U93" s="14">
        <f t="shared" si="51"/>
        <v>11.6</v>
      </c>
      <c r="V93" s="14">
        <f t="shared" si="51"/>
        <v>94.7</v>
      </c>
      <c r="W93" s="120">
        <f t="shared" si="6"/>
        <v>12651</v>
      </c>
      <c r="AZ93" s="80"/>
      <c r="BA93" s="80"/>
      <c r="BB93" s="80"/>
      <c r="BC93" s="80"/>
      <c r="BD93" s="80"/>
      <c r="BE93" s="80"/>
      <c r="BF93" s="80"/>
      <c r="BG93" s="80"/>
      <c r="BH93" s="80"/>
      <c r="BI93" s="80"/>
      <c r="BJ93" s="80"/>
      <c r="BK93" s="80"/>
      <c r="BL93" s="80"/>
      <c r="BM93" s="80"/>
      <c r="BN93" s="80"/>
      <c r="BO93" s="80"/>
      <c r="BP93" s="80"/>
      <c r="BQ93" s="80"/>
      <c r="BR93" s="80"/>
      <c r="BS93" s="80"/>
      <c r="BT93" s="80"/>
    </row>
    <row r="94" spans="1:72" x14ac:dyDescent="0.2">
      <c r="B94" s="11" t="s">
        <v>17</v>
      </c>
      <c r="C94" s="14">
        <f t="shared" ref="C94:H94" si="52">ROUND(C58,1)</f>
        <v>11.8</v>
      </c>
      <c r="D94" s="14">
        <f t="shared" si="52"/>
        <v>19</v>
      </c>
      <c r="E94" s="14">
        <f t="shared" si="52"/>
        <v>23.4</v>
      </c>
      <c r="F94" s="14">
        <f t="shared" si="52"/>
        <v>23.4</v>
      </c>
      <c r="G94" s="14">
        <f t="shared" si="52"/>
        <v>15.9</v>
      </c>
      <c r="H94" s="14">
        <f t="shared" si="52"/>
        <v>93.5</v>
      </c>
      <c r="I94" s="120">
        <f t="shared" si="2"/>
        <v>11747</v>
      </c>
      <c r="J94" s="14">
        <f t="shared" ref="J94:O94" si="53">ROUND(J58,1)</f>
        <v>20.5</v>
      </c>
      <c r="K94" s="14">
        <f t="shared" si="53"/>
        <v>24.4</v>
      </c>
      <c r="L94" s="14">
        <f t="shared" si="53"/>
        <v>24</v>
      </c>
      <c r="M94" s="14">
        <f t="shared" si="53"/>
        <v>18</v>
      </c>
      <c r="N94" s="14">
        <f t="shared" si="53"/>
        <v>10</v>
      </c>
      <c r="O94" s="14">
        <f t="shared" si="53"/>
        <v>96.9</v>
      </c>
      <c r="P94" s="120">
        <f t="shared" si="4"/>
        <v>34276</v>
      </c>
      <c r="Q94" s="14">
        <f t="shared" ref="Q94:V94" si="54">ROUND(Q58,1)</f>
        <v>18.3</v>
      </c>
      <c r="R94" s="14">
        <f t="shared" si="54"/>
        <v>23</v>
      </c>
      <c r="S94" s="14">
        <f t="shared" si="54"/>
        <v>23.8</v>
      </c>
      <c r="T94" s="14">
        <f t="shared" si="54"/>
        <v>19.399999999999999</v>
      </c>
      <c r="U94" s="14">
        <f t="shared" si="54"/>
        <v>11.5</v>
      </c>
      <c r="V94" s="14">
        <f t="shared" si="54"/>
        <v>96</v>
      </c>
      <c r="W94" s="120">
        <f t="shared" si="6"/>
        <v>46023</v>
      </c>
      <c r="AZ94" s="80"/>
      <c r="BA94" s="80"/>
      <c r="BB94" s="80"/>
      <c r="BC94" s="80"/>
      <c r="BD94" s="80"/>
      <c r="BE94" s="80"/>
      <c r="BF94" s="80"/>
      <c r="BG94" s="80"/>
      <c r="BH94" s="80"/>
      <c r="BI94" s="80"/>
      <c r="BJ94" s="80"/>
      <c r="BK94" s="80"/>
      <c r="BL94" s="80"/>
      <c r="BM94" s="80"/>
      <c r="BN94" s="80"/>
      <c r="BO94" s="80"/>
      <c r="BP94" s="80"/>
      <c r="BQ94" s="80"/>
      <c r="BR94" s="80"/>
      <c r="BS94" s="80"/>
      <c r="BT94" s="80"/>
    </row>
    <row r="95" spans="1:72" x14ac:dyDescent="0.2">
      <c r="B95" s="11" t="s">
        <v>18</v>
      </c>
      <c r="C95" s="14">
        <f t="shared" ref="C95:H95" si="55">ROUND(C59,1)</f>
        <v>15</v>
      </c>
      <c r="D95" s="14">
        <f t="shared" si="55"/>
        <v>23</v>
      </c>
      <c r="E95" s="14">
        <f t="shared" si="55"/>
        <v>27.4</v>
      </c>
      <c r="F95" s="14">
        <f t="shared" si="55"/>
        <v>20.3</v>
      </c>
      <c r="G95" s="14">
        <f t="shared" si="55"/>
        <v>11</v>
      </c>
      <c r="H95" s="14">
        <f t="shared" si="55"/>
        <v>96.8</v>
      </c>
      <c r="I95" s="120">
        <f t="shared" si="2"/>
        <v>5775</v>
      </c>
      <c r="J95" s="14">
        <f t="shared" ref="J95:O95" si="56">ROUND(J59,1)</f>
        <v>20.5</v>
      </c>
      <c r="K95" s="14">
        <f t="shared" si="56"/>
        <v>26.9</v>
      </c>
      <c r="L95" s="14">
        <f t="shared" si="56"/>
        <v>25.5</v>
      </c>
      <c r="M95" s="14">
        <f t="shared" si="56"/>
        <v>17.100000000000001</v>
      </c>
      <c r="N95" s="14">
        <f t="shared" si="56"/>
        <v>7.8</v>
      </c>
      <c r="O95" s="14">
        <f t="shared" si="56"/>
        <v>97.7</v>
      </c>
      <c r="P95" s="120">
        <f t="shared" si="4"/>
        <v>17719</v>
      </c>
      <c r="Q95" s="14">
        <f t="shared" ref="Q95:V95" si="57">ROUND(Q59,1)</f>
        <v>19.100000000000001</v>
      </c>
      <c r="R95" s="14">
        <f t="shared" si="57"/>
        <v>26</v>
      </c>
      <c r="S95" s="14">
        <f t="shared" si="57"/>
        <v>26</v>
      </c>
      <c r="T95" s="14">
        <f t="shared" si="57"/>
        <v>17.899999999999999</v>
      </c>
      <c r="U95" s="14">
        <f t="shared" si="57"/>
        <v>8.6</v>
      </c>
      <c r="V95" s="14">
        <f t="shared" si="57"/>
        <v>97.5</v>
      </c>
      <c r="W95" s="120">
        <f t="shared" si="6"/>
        <v>23494</v>
      </c>
      <c r="AZ95" s="80"/>
      <c r="BA95" s="80"/>
      <c r="BB95" s="80"/>
      <c r="BC95" s="80"/>
      <c r="BD95" s="80"/>
      <c r="BE95" s="80"/>
      <c r="BF95" s="80"/>
      <c r="BG95" s="80"/>
      <c r="BH95" s="80"/>
      <c r="BI95" s="80"/>
      <c r="BJ95" s="80"/>
      <c r="BK95" s="80"/>
      <c r="BL95" s="80"/>
      <c r="BM95" s="80"/>
      <c r="BN95" s="80"/>
      <c r="BO95" s="80"/>
      <c r="BP95" s="80"/>
      <c r="BQ95" s="80"/>
      <c r="BR95" s="80"/>
      <c r="BS95" s="80"/>
      <c r="BT95" s="80"/>
    </row>
    <row r="96" spans="1:72" x14ac:dyDescent="0.2">
      <c r="B96" s="11" t="s">
        <v>19</v>
      </c>
      <c r="C96" s="14">
        <f t="shared" ref="C96:H96" si="58">ROUND(C60,1)</f>
        <v>17.5</v>
      </c>
      <c r="D96" s="14">
        <f t="shared" si="58"/>
        <v>23.2</v>
      </c>
      <c r="E96" s="14">
        <f t="shared" si="58"/>
        <v>25.2</v>
      </c>
      <c r="F96" s="14">
        <f t="shared" si="58"/>
        <v>18.899999999999999</v>
      </c>
      <c r="G96" s="14">
        <f t="shared" si="58"/>
        <v>10.9</v>
      </c>
      <c r="H96" s="14">
        <f t="shared" si="58"/>
        <v>95.7</v>
      </c>
      <c r="I96" s="120">
        <f t="shared" si="2"/>
        <v>1416</v>
      </c>
      <c r="J96" s="14">
        <f t="shared" ref="J96:O96" si="59">ROUND(J60,1)</f>
        <v>18.100000000000001</v>
      </c>
      <c r="K96" s="14">
        <f t="shared" si="59"/>
        <v>25.1</v>
      </c>
      <c r="L96" s="14">
        <f t="shared" si="59"/>
        <v>24.2</v>
      </c>
      <c r="M96" s="14">
        <f t="shared" si="59"/>
        <v>18.399999999999999</v>
      </c>
      <c r="N96" s="14">
        <f t="shared" si="59"/>
        <v>10</v>
      </c>
      <c r="O96" s="14">
        <f t="shared" si="59"/>
        <v>95.8</v>
      </c>
      <c r="P96" s="120">
        <f t="shared" si="4"/>
        <v>1318</v>
      </c>
      <c r="Q96" s="14">
        <f t="shared" ref="Q96:V96" si="60">ROUND(Q60,1)</f>
        <v>17.8</v>
      </c>
      <c r="R96" s="14">
        <f t="shared" si="60"/>
        <v>24.1</v>
      </c>
      <c r="S96" s="14">
        <f t="shared" si="60"/>
        <v>24.7</v>
      </c>
      <c r="T96" s="14">
        <f t="shared" si="60"/>
        <v>18.600000000000001</v>
      </c>
      <c r="U96" s="14">
        <f t="shared" si="60"/>
        <v>10.5</v>
      </c>
      <c r="V96" s="14">
        <f t="shared" si="60"/>
        <v>95.7</v>
      </c>
      <c r="W96" s="120">
        <f t="shared" si="6"/>
        <v>2734</v>
      </c>
      <c r="AZ96" s="80"/>
      <c r="BA96" s="80"/>
      <c r="BB96" s="80"/>
      <c r="BC96" s="80"/>
      <c r="BD96" s="80"/>
      <c r="BE96" s="80"/>
      <c r="BF96" s="80"/>
      <c r="BG96" s="80"/>
      <c r="BH96" s="80"/>
      <c r="BI96" s="80"/>
      <c r="BJ96" s="80"/>
      <c r="BK96" s="80"/>
      <c r="BL96" s="80"/>
      <c r="BM96" s="80"/>
      <c r="BN96" s="80"/>
      <c r="BO96" s="80"/>
      <c r="BP96" s="80"/>
      <c r="BQ96" s="80"/>
      <c r="BR96" s="80"/>
      <c r="BS96" s="80"/>
      <c r="BT96" s="80"/>
    </row>
    <row r="97" spans="2:72" x14ac:dyDescent="0.2">
      <c r="B97" s="11" t="s">
        <v>20</v>
      </c>
      <c r="C97" s="14">
        <f t="shared" ref="C97:H97" si="61">ROUND(C61,1)</f>
        <v>23.4</v>
      </c>
      <c r="D97" s="14">
        <f t="shared" si="61"/>
        <v>21.7</v>
      </c>
      <c r="E97" s="14">
        <f t="shared" si="61"/>
        <v>24</v>
      </c>
      <c r="F97" s="14">
        <f t="shared" si="61"/>
        <v>18.600000000000001</v>
      </c>
      <c r="G97" s="14">
        <f t="shared" si="61"/>
        <v>9.1999999999999993</v>
      </c>
      <c r="H97" s="14">
        <f t="shared" si="61"/>
        <v>96.8</v>
      </c>
      <c r="I97" s="120">
        <f t="shared" si="2"/>
        <v>10924</v>
      </c>
      <c r="J97" s="14">
        <f t="shared" ref="J97:O97" si="62">ROUND(J61,1)</f>
        <v>29.8</v>
      </c>
      <c r="K97" s="14">
        <f t="shared" si="62"/>
        <v>25</v>
      </c>
      <c r="L97" s="14">
        <f t="shared" si="62"/>
        <v>23.4</v>
      </c>
      <c r="M97" s="14">
        <f t="shared" si="62"/>
        <v>14.2</v>
      </c>
      <c r="N97" s="14">
        <f t="shared" si="62"/>
        <v>5.5</v>
      </c>
      <c r="O97" s="14">
        <f t="shared" si="62"/>
        <v>97.9</v>
      </c>
      <c r="P97" s="120">
        <f t="shared" si="4"/>
        <v>24670</v>
      </c>
      <c r="Q97" s="14">
        <f t="shared" ref="Q97:V97" si="63">ROUND(Q61,1)</f>
        <v>27.8</v>
      </c>
      <c r="R97" s="14">
        <f t="shared" si="63"/>
        <v>24</v>
      </c>
      <c r="S97" s="14">
        <f t="shared" si="63"/>
        <v>23.6</v>
      </c>
      <c r="T97" s="14">
        <f t="shared" si="63"/>
        <v>15.6</v>
      </c>
      <c r="U97" s="14">
        <f t="shared" si="63"/>
        <v>6.6</v>
      </c>
      <c r="V97" s="14">
        <f t="shared" si="63"/>
        <v>97.6</v>
      </c>
      <c r="W97" s="120">
        <f t="shared" si="6"/>
        <v>35594</v>
      </c>
      <c r="AZ97" s="80"/>
      <c r="BA97" s="80"/>
      <c r="BB97" s="80"/>
      <c r="BC97" s="80"/>
      <c r="BD97" s="80"/>
      <c r="BE97" s="80"/>
      <c r="BF97" s="80"/>
      <c r="BG97" s="80"/>
      <c r="BH97" s="80"/>
      <c r="BI97" s="80"/>
      <c r="BJ97" s="80"/>
      <c r="BK97" s="80"/>
      <c r="BL97" s="80"/>
      <c r="BM97" s="80"/>
      <c r="BN97" s="80"/>
      <c r="BO97" s="80"/>
      <c r="BP97" s="80"/>
      <c r="BQ97" s="80"/>
      <c r="BR97" s="80"/>
      <c r="BS97" s="80"/>
      <c r="BT97" s="80"/>
    </row>
    <row r="98" spans="2:72" x14ac:dyDescent="0.2">
      <c r="B98" s="11" t="s">
        <v>21</v>
      </c>
      <c r="C98" s="14">
        <f t="shared" ref="C98:H98" si="64">ROUND(C62,1)</f>
        <v>14.6</v>
      </c>
      <c r="D98" s="14">
        <f t="shared" si="64"/>
        <v>27</v>
      </c>
      <c r="E98" s="14">
        <f t="shared" si="64"/>
        <v>30.9</v>
      </c>
      <c r="F98" s="14">
        <f t="shared" si="64"/>
        <v>19.100000000000001</v>
      </c>
      <c r="G98" s="14">
        <f t="shared" si="64"/>
        <v>7.1</v>
      </c>
      <c r="H98" s="14">
        <f t="shared" si="64"/>
        <v>98.8</v>
      </c>
      <c r="I98" s="120">
        <f t="shared" si="2"/>
        <v>4194</v>
      </c>
      <c r="J98" s="14">
        <f t="shared" ref="J98:O98" si="65">ROUND(J62,1)</f>
        <v>18.899999999999999</v>
      </c>
      <c r="K98" s="14">
        <f t="shared" si="65"/>
        <v>31.8</v>
      </c>
      <c r="L98" s="14">
        <f t="shared" si="65"/>
        <v>30.7</v>
      </c>
      <c r="M98" s="14">
        <f t="shared" si="65"/>
        <v>13.8</v>
      </c>
      <c r="N98" s="14">
        <f t="shared" si="65"/>
        <v>4.0999999999999996</v>
      </c>
      <c r="O98" s="14">
        <f t="shared" si="65"/>
        <v>99.3</v>
      </c>
      <c r="P98" s="120">
        <f t="shared" si="4"/>
        <v>10274</v>
      </c>
      <c r="Q98" s="14">
        <f t="shared" ref="Q98:V98" si="66">ROUND(Q62,1)</f>
        <v>17.7</v>
      </c>
      <c r="R98" s="14">
        <f t="shared" si="66"/>
        <v>30.4</v>
      </c>
      <c r="S98" s="14">
        <f t="shared" si="66"/>
        <v>30.8</v>
      </c>
      <c r="T98" s="14">
        <f t="shared" si="66"/>
        <v>15.4</v>
      </c>
      <c r="U98" s="14">
        <f t="shared" si="66"/>
        <v>5</v>
      </c>
      <c r="V98" s="14">
        <f t="shared" si="66"/>
        <v>99.2</v>
      </c>
      <c r="W98" s="120">
        <f t="shared" si="6"/>
        <v>14468</v>
      </c>
      <c r="AZ98" s="80"/>
      <c r="BA98" s="80"/>
      <c r="BB98" s="80"/>
      <c r="BC98" s="80"/>
      <c r="BD98" s="80"/>
      <c r="BE98" s="80"/>
      <c r="BF98" s="80"/>
      <c r="BG98" s="80"/>
      <c r="BH98" s="80"/>
      <c r="BI98" s="80"/>
      <c r="BJ98" s="80"/>
      <c r="BK98" s="80"/>
      <c r="BL98" s="80"/>
      <c r="BM98" s="80"/>
      <c r="BN98" s="80"/>
      <c r="BO98" s="80"/>
      <c r="BP98" s="80"/>
      <c r="BQ98" s="80"/>
      <c r="BR98" s="80"/>
      <c r="BS98" s="80"/>
      <c r="BT98" s="80"/>
    </row>
    <row r="99" spans="2:72" x14ac:dyDescent="0.2">
      <c r="B99" s="11" t="s">
        <v>22</v>
      </c>
      <c r="C99" s="14">
        <f t="shared" ref="C99:H99" si="67">ROUND(C63,1)</f>
        <v>20.399999999999999</v>
      </c>
      <c r="D99" s="14">
        <f t="shared" si="67"/>
        <v>23.5</v>
      </c>
      <c r="E99" s="14">
        <f t="shared" si="67"/>
        <v>26.4</v>
      </c>
      <c r="F99" s="14">
        <f t="shared" si="67"/>
        <v>20.2</v>
      </c>
      <c r="G99" s="14">
        <f t="shared" si="67"/>
        <v>8</v>
      </c>
      <c r="H99" s="14">
        <f t="shared" si="67"/>
        <v>98.4</v>
      </c>
      <c r="I99" s="120">
        <f t="shared" si="2"/>
        <v>23756</v>
      </c>
      <c r="J99" s="14">
        <f t="shared" ref="J99:O99" si="68">ROUND(J63,1)</f>
        <v>20.6</v>
      </c>
      <c r="K99" s="14">
        <f t="shared" si="68"/>
        <v>24.5</v>
      </c>
      <c r="L99" s="14">
        <f t="shared" si="68"/>
        <v>27.7</v>
      </c>
      <c r="M99" s="14">
        <f t="shared" si="68"/>
        <v>19.3</v>
      </c>
      <c r="N99" s="14">
        <f t="shared" si="68"/>
        <v>6.7</v>
      </c>
      <c r="O99" s="14">
        <f t="shared" si="68"/>
        <v>98.8</v>
      </c>
      <c r="P99" s="120">
        <f t="shared" si="4"/>
        <v>53241</v>
      </c>
      <c r="Q99" s="14">
        <f t="shared" ref="Q99:V99" si="69">ROUND(Q63,1)</f>
        <v>20.6</v>
      </c>
      <c r="R99" s="14">
        <f t="shared" si="69"/>
        <v>24.2</v>
      </c>
      <c r="S99" s="14">
        <f t="shared" si="69"/>
        <v>27.3</v>
      </c>
      <c r="T99" s="14">
        <f t="shared" si="69"/>
        <v>19.5</v>
      </c>
      <c r="U99" s="14">
        <f t="shared" si="69"/>
        <v>7.1</v>
      </c>
      <c r="V99" s="14">
        <f t="shared" si="69"/>
        <v>98.7</v>
      </c>
      <c r="W99" s="120">
        <f t="shared" si="6"/>
        <v>76997</v>
      </c>
      <c r="AZ99" s="80"/>
      <c r="BA99" s="80"/>
      <c r="BB99" s="80"/>
      <c r="BC99" s="80"/>
      <c r="BD99" s="80"/>
      <c r="BE99" s="80"/>
      <c r="BF99" s="80"/>
      <c r="BG99" s="80"/>
      <c r="BH99" s="80"/>
      <c r="BI99" s="80"/>
      <c r="BJ99" s="80"/>
      <c r="BK99" s="80"/>
      <c r="BL99" s="80"/>
      <c r="BM99" s="80"/>
      <c r="BN99" s="80"/>
      <c r="BO99" s="80"/>
      <c r="BP99" s="80"/>
      <c r="BQ99" s="80"/>
      <c r="BR99" s="80"/>
      <c r="BS99" s="80"/>
      <c r="BT99" s="80"/>
    </row>
    <row r="100" spans="2:72" x14ac:dyDescent="0.2">
      <c r="B100" s="11" t="s">
        <v>51</v>
      </c>
      <c r="C100" s="14">
        <f t="shared" ref="C100:H100" si="70">ROUND(C64,1)</f>
        <v>9.9</v>
      </c>
      <c r="D100" s="14">
        <f t="shared" si="70"/>
        <v>24.4</v>
      </c>
      <c r="E100" s="14">
        <f t="shared" si="70"/>
        <v>33</v>
      </c>
      <c r="F100" s="14">
        <f t="shared" si="70"/>
        <v>22.9</v>
      </c>
      <c r="G100" s="14">
        <f t="shared" si="70"/>
        <v>7.7</v>
      </c>
      <c r="H100" s="14">
        <f t="shared" si="70"/>
        <v>98</v>
      </c>
      <c r="I100" s="120">
        <f t="shared" si="2"/>
        <v>9223</v>
      </c>
      <c r="J100" s="14">
        <f t="shared" ref="J100:O100" si="71">ROUND(J64,1)</f>
        <v>14.4</v>
      </c>
      <c r="K100" s="14">
        <f t="shared" si="71"/>
        <v>29.3</v>
      </c>
      <c r="L100" s="14">
        <f t="shared" si="71"/>
        <v>33</v>
      </c>
      <c r="M100" s="14">
        <f t="shared" si="71"/>
        <v>17.7</v>
      </c>
      <c r="N100" s="14">
        <f t="shared" si="71"/>
        <v>4.5</v>
      </c>
      <c r="O100" s="14">
        <f t="shared" si="71"/>
        <v>98.8</v>
      </c>
      <c r="P100" s="120">
        <f t="shared" si="4"/>
        <v>12244</v>
      </c>
      <c r="Q100" s="14">
        <f t="shared" ref="Q100:V100" si="72">ROUND(Q64,1)</f>
        <v>12.4</v>
      </c>
      <c r="R100" s="14">
        <f t="shared" si="72"/>
        <v>27.2</v>
      </c>
      <c r="S100" s="14">
        <f t="shared" si="72"/>
        <v>33</v>
      </c>
      <c r="T100" s="14">
        <f t="shared" si="72"/>
        <v>19.899999999999999</v>
      </c>
      <c r="U100" s="14">
        <f t="shared" si="72"/>
        <v>5.9</v>
      </c>
      <c r="V100" s="14">
        <f t="shared" si="72"/>
        <v>98.4</v>
      </c>
      <c r="W100" s="120">
        <f t="shared" si="6"/>
        <v>21467</v>
      </c>
      <c r="AZ100" s="80"/>
      <c r="BA100" s="80"/>
      <c r="BB100" s="80"/>
      <c r="BC100" s="80"/>
      <c r="BD100" s="80"/>
      <c r="BE100" s="80"/>
      <c r="BF100" s="80"/>
      <c r="BG100" s="80"/>
      <c r="BH100" s="80"/>
      <c r="BI100" s="80"/>
      <c r="BJ100" s="80"/>
      <c r="BK100" s="80"/>
      <c r="BL100" s="80"/>
      <c r="BM100" s="80"/>
      <c r="BN100" s="80"/>
      <c r="BO100" s="80"/>
      <c r="BP100" s="80"/>
      <c r="BQ100" s="80"/>
      <c r="BR100" s="80"/>
      <c r="BS100" s="80"/>
      <c r="BT100" s="80"/>
    </row>
    <row r="101" spans="2:72" x14ac:dyDescent="0.2">
      <c r="B101" s="11" t="s">
        <v>23</v>
      </c>
      <c r="C101" s="14">
        <f t="shared" ref="C101:H101" si="73">ROUND(C65,1)</f>
        <v>15.2</v>
      </c>
      <c r="D101" s="14">
        <f t="shared" si="73"/>
        <v>30.4</v>
      </c>
      <c r="E101" s="14">
        <f t="shared" si="73"/>
        <v>34.1</v>
      </c>
      <c r="F101" s="14">
        <f t="shared" si="73"/>
        <v>14.8</v>
      </c>
      <c r="G101" s="14">
        <f t="shared" si="73"/>
        <v>4.3</v>
      </c>
      <c r="H101" s="14">
        <f t="shared" si="73"/>
        <v>98.8</v>
      </c>
      <c r="I101" s="120">
        <f t="shared" si="2"/>
        <v>3375</v>
      </c>
      <c r="J101" s="14">
        <f t="shared" ref="J101:O101" si="74">ROUND(J65,1)</f>
        <v>16.399999999999999</v>
      </c>
      <c r="K101" s="14">
        <f t="shared" si="74"/>
        <v>32.1</v>
      </c>
      <c r="L101" s="14">
        <f t="shared" si="74"/>
        <v>31</v>
      </c>
      <c r="M101" s="14">
        <f t="shared" si="74"/>
        <v>15.1</v>
      </c>
      <c r="N101" s="14">
        <f t="shared" si="74"/>
        <v>4.4000000000000004</v>
      </c>
      <c r="O101" s="14">
        <f t="shared" si="74"/>
        <v>99</v>
      </c>
      <c r="P101" s="120">
        <f t="shared" si="4"/>
        <v>5356</v>
      </c>
      <c r="Q101" s="14">
        <f t="shared" ref="Q101:V101" si="75">ROUND(Q65,1)</f>
        <v>16</v>
      </c>
      <c r="R101" s="14">
        <f t="shared" si="75"/>
        <v>31.4</v>
      </c>
      <c r="S101" s="14">
        <f t="shared" si="75"/>
        <v>32.200000000000003</v>
      </c>
      <c r="T101" s="14">
        <f t="shared" si="75"/>
        <v>15</v>
      </c>
      <c r="U101" s="14">
        <f t="shared" si="75"/>
        <v>4.4000000000000004</v>
      </c>
      <c r="V101" s="14">
        <f t="shared" si="75"/>
        <v>98.9</v>
      </c>
      <c r="W101" s="120">
        <f t="shared" si="6"/>
        <v>8731</v>
      </c>
    </row>
    <row r="102" spans="2:72" x14ac:dyDescent="0.2">
      <c r="B102" s="11" t="s">
        <v>24</v>
      </c>
      <c r="C102" s="14">
        <f t="shared" ref="C102:H102" si="76">ROUND(C66,1)</f>
        <v>34.9</v>
      </c>
      <c r="D102" s="14">
        <f t="shared" si="76"/>
        <v>26.8</v>
      </c>
      <c r="E102" s="14">
        <f t="shared" si="76"/>
        <v>19.3</v>
      </c>
      <c r="F102" s="14">
        <f t="shared" si="76"/>
        <v>12.2</v>
      </c>
      <c r="G102" s="14">
        <f t="shared" si="76"/>
        <v>5.5</v>
      </c>
      <c r="H102" s="14">
        <f t="shared" si="76"/>
        <v>98.7</v>
      </c>
      <c r="I102" s="120">
        <f t="shared" si="2"/>
        <v>3855</v>
      </c>
      <c r="J102" s="14">
        <f t="shared" ref="J102:O102" si="77">ROUND(J66,1)</f>
        <v>31.8</v>
      </c>
      <c r="K102" s="14">
        <f t="shared" si="77"/>
        <v>28.2</v>
      </c>
      <c r="L102" s="14">
        <f t="shared" si="77"/>
        <v>20.5</v>
      </c>
      <c r="M102" s="14">
        <f t="shared" si="77"/>
        <v>12.3</v>
      </c>
      <c r="N102" s="14">
        <f t="shared" si="77"/>
        <v>5.9</v>
      </c>
      <c r="O102" s="14">
        <f t="shared" si="77"/>
        <v>98.7</v>
      </c>
      <c r="P102" s="120">
        <f t="shared" si="4"/>
        <v>8108</v>
      </c>
      <c r="Q102" s="14">
        <f t="shared" ref="Q102:V102" si="78">ROUND(Q66,1)</f>
        <v>32.799999999999997</v>
      </c>
      <c r="R102" s="14">
        <f t="shared" si="78"/>
        <v>27.7</v>
      </c>
      <c r="S102" s="14">
        <f t="shared" si="78"/>
        <v>20.100000000000001</v>
      </c>
      <c r="T102" s="14">
        <f t="shared" si="78"/>
        <v>12.3</v>
      </c>
      <c r="U102" s="14">
        <f t="shared" si="78"/>
        <v>5.8</v>
      </c>
      <c r="V102" s="14">
        <f t="shared" si="78"/>
        <v>98.7</v>
      </c>
      <c r="W102" s="120">
        <f t="shared" si="6"/>
        <v>11963</v>
      </c>
    </row>
    <row r="103" spans="2:72" x14ac:dyDescent="0.2">
      <c r="B103" s="11" t="s">
        <v>25</v>
      </c>
      <c r="C103" s="14">
        <f t="shared" ref="C103:H103" si="79">ROUND(C67,1)</f>
        <v>36.299999999999997</v>
      </c>
      <c r="D103" s="14">
        <f t="shared" si="79"/>
        <v>25.2</v>
      </c>
      <c r="E103" s="14">
        <f t="shared" si="79"/>
        <v>18.600000000000001</v>
      </c>
      <c r="F103" s="14">
        <f t="shared" si="79"/>
        <v>11.8</v>
      </c>
      <c r="G103" s="14">
        <f t="shared" si="79"/>
        <v>6</v>
      </c>
      <c r="H103" s="14">
        <f t="shared" si="79"/>
        <v>97.9</v>
      </c>
      <c r="I103" s="120">
        <f t="shared" si="2"/>
        <v>1967</v>
      </c>
      <c r="J103" s="14">
        <f t="shared" ref="J103:O103" si="80">ROUND(J67,1)</f>
        <v>34.299999999999997</v>
      </c>
      <c r="K103" s="14">
        <f t="shared" si="80"/>
        <v>24.9</v>
      </c>
      <c r="L103" s="14">
        <f t="shared" si="80"/>
        <v>19.899999999999999</v>
      </c>
      <c r="M103" s="14">
        <f t="shared" si="80"/>
        <v>13.4</v>
      </c>
      <c r="N103" s="14">
        <f t="shared" si="80"/>
        <v>5.7</v>
      </c>
      <c r="O103" s="14">
        <f t="shared" si="80"/>
        <v>98.3</v>
      </c>
      <c r="P103" s="120">
        <f t="shared" si="4"/>
        <v>3271</v>
      </c>
      <c r="Q103" s="14">
        <f t="shared" ref="Q103:V103" si="81">ROUND(Q67,1)</f>
        <v>35.1</v>
      </c>
      <c r="R103" s="14">
        <f t="shared" si="81"/>
        <v>25</v>
      </c>
      <c r="S103" s="14">
        <f t="shared" si="81"/>
        <v>19.399999999999999</v>
      </c>
      <c r="T103" s="14">
        <f t="shared" si="81"/>
        <v>12.8</v>
      </c>
      <c r="U103" s="14">
        <f t="shared" si="81"/>
        <v>5.8</v>
      </c>
      <c r="V103" s="14">
        <f t="shared" si="81"/>
        <v>98.1</v>
      </c>
      <c r="W103" s="120">
        <f t="shared" si="6"/>
        <v>5238</v>
      </c>
    </row>
    <row r="104" spans="2:72" x14ac:dyDescent="0.2">
      <c r="B104" s="11" t="s">
        <v>26</v>
      </c>
      <c r="C104" s="14">
        <f t="shared" ref="C104:H104" si="82">ROUND(C68,1)</f>
        <v>39.799999999999997</v>
      </c>
      <c r="D104" s="14">
        <f t="shared" si="82"/>
        <v>28.1</v>
      </c>
      <c r="E104" s="14">
        <f t="shared" si="82"/>
        <v>18.899999999999999</v>
      </c>
      <c r="F104" s="14">
        <f t="shared" si="82"/>
        <v>8.8000000000000007</v>
      </c>
      <c r="G104" s="14">
        <f t="shared" si="82"/>
        <v>3.6</v>
      </c>
      <c r="H104" s="14">
        <f t="shared" si="82"/>
        <v>99.1</v>
      </c>
      <c r="I104" s="120">
        <f t="shared" si="2"/>
        <v>1564</v>
      </c>
      <c r="J104" s="14">
        <f t="shared" ref="J104:O104" si="83">ROUND(J68,1)</f>
        <v>35.1</v>
      </c>
      <c r="K104" s="14">
        <f t="shared" si="83"/>
        <v>27.9</v>
      </c>
      <c r="L104" s="14">
        <f t="shared" si="83"/>
        <v>19.7</v>
      </c>
      <c r="M104" s="14">
        <f t="shared" si="83"/>
        <v>12.1</v>
      </c>
      <c r="N104" s="14">
        <f t="shared" si="83"/>
        <v>4.3</v>
      </c>
      <c r="O104" s="14">
        <f t="shared" si="83"/>
        <v>99</v>
      </c>
      <c r="P104" s="120">
        <f t="shared" si="4"/>
        <v>3366</v>
      </c>
      <c r="Q104" s="14">
        <f t="shared" ref="Q104:V104" si="84">ROUND(Q68,1)</f>
        <v>36.6</v>
      </c>
      <c r="R104" s="14">
        <f t="shared" si="84"/>
        <v>27.9</v>
      </c>
      <c r="S104" s="14">
        <f t="shared" si="84"/>
        <v>19.399999999999999</v>
      </c>
      <c r="T104" s="14">
        <f t="shared" si="84"/>
        <v>11</v>
      </c>
      <c r="U104" s="14">
        <f t="shared" si="84"/>
        <v>4.0999999999999996</v>
      </c>
      <c r="V104" s="14">
        <f t="shared" si="84"/>
        <v>99</v>
      </c>
      <c r="W104" s="120">
        <f t="shared" si="6"/>
        <v>4930</v>
      </c>
    </row>
    <row r="105" spans="2:72" x14ac:dyDescent="0.2">
      <c r="B105" s="11" t="s">
        <v>27</v>
      </c>
      <c r="C105" s="14">
        <f t="shared" ref="C105:H105" si="85">ROUND(C69,1)</f>
        <v>41</v>
      </c>
      <c r="D105" s="14">
        <f t="shared" si="85"/>
        <v>29</v>
      </c>
      <c r="E105" s="14">
        <f t="shared" si="85"/>
        <v>17.3</v>
      </c>
      <c r="F105" s="14">
        <f t="shared" si="85"/>
        <v>6.4</v>
      </c>
      <c r="G105" s="14">
        <f t="shared" si="85"/>
        <v>3</v>
      </c>
      <c r="H105" s="14">
        <f t="shared" si="85"/>
        <v>96.7</v>
      </c>
      <c r="I105" s="120">
        <f t="shared" si="2"/>
        <v>1959</v>
      </c>
      <c r="J105" s="14">
        <f t="shared" ref="J105:O105" si="86">ROUND(J69,1)</f>
        <v>46.2</v>
      </c>
      <c r="K105" s="14">
        <f t="shared" si="86"/>
        <v>29.8</v>
      </c>
      <c r="L105" s="14">
        <f t="shared" si="86"/>
        <v>13.7</v>
      </c>
      <c r="M105" s="14">
        <f t="shared" si="86"/>
        <v>4.5999999999999996</v>
      </c>
      <c r="N105" s="14">
        <f t="shared" si="86"/>
        <v>2.9</v>
      </c>
      <c r="O105" s="14">
        <f t="shared" si="86"/>
        <v>97.2</v>
      </c>
      <c r="P105" s="120">
        <f t="shared" si="4"/>
        <v>2575</v>
      </c>
      <c r="Q105" s="14">
        <f t="shared" ref="Q105:V105" si="87">ROUND(Q69,1)</f>
        <v>43.9</v>
      </c>
      <c r="R105" s="14">
        <f t="shared" si="87"/>
        <v>29.5</v>
      </c>
      <c r="S105" s="14">
        <f t="shared" si="87"/>
        <v>15.2</v>
      </c>
      <c r="T105" s="14">
        <f t="shared" si="87"/>
        <v>5.4</v>
      </c>
      <c r="U105" s="14">
        <f t="shared" si="87"/>
        <v>2.9</v>
      </c>
      <c r="V105" s="14">
        <f t="shared" si="87"/>
        <v>97</v>
      </c>
      <c r="W105" s="120">
        <f t="shared" si="6"/>
        <v>4534</v>
      </c>
    </row>
    <row r="106" spans="2:72" x14ac:dyDescent="0.2">
      <c r="B106" s="11" t="s">
        <v>28</v>
      </c>
      <c r="C106" s="14">
        <f t="shared" ref="C106:H106" si="88">ROUND(C70,1)</f>
        <v>33.9</v>
      </c>
      <c r="D106" s="14">
        <f t="shared" si="88"/>
        <v>29.6</v>
      </c>
      <c r="E106" s="14">
        <f t="shared" si="88"/>
        <v>20</v>
      </c>
      <c r="F106" s="14">
        <f t="shared" si="88"/>
        <v>11</v>
      </c>
      <c r="G106" s="14">
        <f t="shared" si="88"/>
        <v>4.4000000000000004</v>
      </c>
      <c r="H106" s="14">
        <f t="shared" si="88"/>
        <v>99</v>
      </c>
      <c r="I106" s="120">
        <f t="shared" si="2"/>
        <v>2315</v>
      </c>
      <c r="J106" s="14">
        <f t="shared" ref="J106:O106" si="89">ROUND(J70,1)</f>
        <v>39.1</v>
      </c>
      <c r="K106" s="14">
        <f t="shared" si="89"/>
        <v>31.2</v>
      </c>
      <c r="L106" s="14">
        <f t="shared" si="89"/>
        <v>18.100000000000001</v>
      </c>
      <c r="M106" s="14">
        <f t="shared" si="89"/>
        <v>8.1999999999999993</v>
      </c>
      <c r="N106" s="14">
        <f t="shared" si="89"/>
        <v>2.9</v>
      </c>
      <c r="O106" s="14">
        <f t="shared" si="89"/>
        <v>99.4</v>
      </c>
      <c r="P106" s="120">
        <f t="shared" si="4"/>
        <v>3146</v>
      </c>
      <c r="Q106" s="14">
        <f t="shared" ref="Q106:V106" si="90">ROUND(Q70,1)</f>
        <v>36.9</v>
      </c>
      <c r="R106" s="14">
        <f t="shared" si="90"/>
        <v>30.5</v>
      </c>
      <c r="S106" s="14">
        <f t="shared" si="90"/>
        <v>18.899999999999999</v>
      </c>
      <c r="T106" s="14">
        <f t="shared" si="90"/>
        <v>9.4</v>
      </c>
      <c r="U106" s="14">
        <f t="shared" si="90"/>
        <v>3.5</v>
      </c>
      <c r="V106" s="14">
        <f t="shared" si="90"/>
        <v>99.2</v>
      </c>
      <c r="W106" s="120">
        <f t="shared" si="6"/>
        <v>5461</v>
      </c>
    </row>
    <row r="107" spans="2:72" x14ac:dyDescent="0.2">
      <c r="B107" s="11" t="s">
        <v>29</v>
      </c>
      <c r="C107" s="14">
        <f t="shared" ref="C107:H107" si="91">ROUND(C71,1)</f>
        <v>25.5</v>
      </c>
      <c r="D107" s="14">
        <f t="shared" si="91"/>
        <v>29</v>
      </c>
      <c r="E107" s="14">
        <f t="shared" si="91"/>
        <v>23.6</v>
      </c>
      <c r="F107" s="14">
        <f t="shared" si="91"/>
        <v>13.7</v>
      </c>
      <c r="G107" s="14">
        <f t="shared" si="91"/>
        <v>6.2</v>
      </c>
      <c r="H107" s="14">
        <f t="shared" si="91"/>
        <v>98.1</v>
      </c>
      <c r="I107" s="120">
        <f t="shared" si="2"/>
        <v>4314</v>
      </c>
      <c r="J107" s="14">
        <f t="shared" ref="J107:O107" si="92">ROUND(J71,1)</f>
        <v>26.3</v>
      </c>
      <c r="K107" s="14">
        <f t="shared" si="92"/>
        <v>30.5</v>
      </c>
      <c r="L107" s="14">
        <f t="shared" si="92"/>
        <v>23.6</v>
      </c>
      <c r="M107" s="14">
        <f t="shared" si="92"/>
        <v>13.3</v>
      </c>
      <c r="N107" s="14">
        <f t="shared" si="92"/>
        <v>5.0999999999999996</v>
      </c>
      <c r="O107" s="14">
        <f t="shared" si="92"/>
        <v>98.9</v>
      </c>
      <c r="P107" s="120">
        <f t="shared" si="4"/>
        <v>9542</v>
      </c>
      <c r="Q107" s="14">
        <f t="shared" ref="Q107:V107" si="93">ROUND(Q71,1)</f>
        <v>26.1</v>
      </c>
      <c r="R107" s="14">
        <f t="shared" si="93"/>
        <v>30</v>
      </c>
      <c r="S107" s="14">
        <f t="shared" si="93"/>
        <v>23.6</v>
      </c>
      <c r="T107" s="14">
        <f t="shared" si="93"/>
        <v>13.4</v>
      </c>
      <c r="U107" s="14">
        <f t="shared" si="93"/>
        <v>5.4</v>
      </c>
      <c r="V107" s="14">
        <f t="shared" si="93"/>
        <v>98.6</v>
      </c>
      <c r="W107" s="120">
        <f t="shared" si="6"/>
        <v>13856</v>
      </c>
    </row>
    <row r="108" spans="2:72" x14ac:dyDescent="0.2">
      <c r="B108" s="11" t="s">
        <v>30</v>
      </c>
      <c r="C108" s="14">
        <f t="shared" ref="C108:H108" si="94">ROUND(C72,1)</f>
        <v>16.2</v>
      </c>
      <c r="D108" s="14">
        <f t="shared" si="94"/>
        <v>20</v>
      </c>
      <c r="E108" s="14">
        <f t="shared" si="94"/>
        <v>24.9</v>
      </c>
      <c r="F108" s="14">
        <f t="shared" si="94"/>
        <v>22.6</v>
      </c>
      <c r="G108" s="14">
        <f t="shared" si="94"/>
        <v>12.8</v>
      </c>
      <c r="H108" s="14">
        <f t="shared" si="94"/>
        <v>96.4</v>
      </c>
      <c r="I108" s="120">
        <f t="shared" si="2"/>
        <v>4599</v>
      </c>
      <c r="J108" s="14">
        <f t="shared" ref="J108:O108" si="95">ROUND(J72,1)</f>
        <v>21.5</v>
      </c>
      <c r="K108" s="14">
        <f t="shared" si="95"/>
        <v>23.1</v>
      </c>
      <c r="L108" s="14">
        <f t="shared" si="95"/>
        <v>24.7</v>
      </c>
      <c r="M108" s="14">
        <f t="shared" si="95"/>
        <v>18.7</v>
      </c>
      <c r="N108" s="14">
        <f t="shared" si="95"/>
        <v>9.8000000000000007</v>
      </c>
      <c r="O108" s="14">
        <f t="shared" si="95"/>
        <v>97.8</v>
      </c>
      <c r="P108" s="120">
        <f t="shared" si="4"/>
        <v>3843</v>
      </c>
      <c r="Q108" s="14">
        <f t="shared" ref="Q108:V108" si="96">ROUND(Q72,1)</f>
        <v>18.600000000000001</v>
      </c>
      <c r="R108" s="14">
        <f t="shared" si="96"/>
        <v>21.4</v>
      </c>
      <c r="S108" s="14">
        <f t="shared" si="96"/>
        <v>24.8</v>
      </c>
      <c r="T108" s="14">
        <f t="shared" si="96"/>
        <v>20.8</v>
      </c>
      <c r="U108" s="14">
        <f t="shared" si="96"/>
        <v>11.4</v>
      </c>
      <c r="V108" s="14">
        <f t="shared" si="96"/>
        <v>97.1</v>
      </c>
      <c r="W108" s="120">
        <f t="shared" si="6"/>
        <v>8442</v>
      </c>
    </row>
    <row r="109" spans="2:72" x14ac:dyDescent="0.2">
      <c r="B109" s="11" t="s">
        <v>31</v>
      </c>
      <c r="C109" s="14">
        <f t="shared" ref="C109:H109" si="97">ROUND(C73,1)</f>
        <v>9.1</v>
      </c>
      <c r="D109" s="14">
        <f t="shared" si="97"/>
        <v>18.600000000000001</v>
      </c>
      <c r="E109" s="14">
        <f t="shared" si="97"/>
        <v>26.3</v>
      </c>
      <c r="F109" s="14">
        <f t="shared" si="97"/>
        <v>24.9</v>
      </c>
      <c r="G109" s="14">
        <f t="shared" si="97"/>
        <v>16.899999999999999</v>
      </c>
      <c r="H109" s="14">
        <f t="shared" si="97"/>
        <v>95.7</v>
      </c>
      <c r="I109" s="120">
        <f t="shared" si="2"/>
        <v>11481</v>
      </c>
      <c r="J109" s="14">
        <f t="shared" ref="J109:O109" si="98">ROUND(J73,1)</f>
        <v>19</v>
      </c>
      <c r="K109" s="14">
        <f t="shared" si="98"/>
        <v>23.3</v>
      </c>
      <c r="L109" s="14">
        <f t="shared" si="98"/>
        <v>24.7</v>
      </c>
      <c r="M109" s="14">
        <f t="shared" si="98"/>
        <v>19.600000000000001</v>
      </c>
      <c r="N109" s="14">
        <f t="shared" si="98"/>
        <v>10.6</v>
      </c>
      <c r="O109" s="14">
        <f t="shared" si="98"/>
        <v>97.2</v>
      </c>
      <c r="P109" s="120">
        <f t="shared" si="4"/>
        <v>8278</v>
      </c>
      <c r="Q109" s="14">
        <f t="shared" ref="Q109:V109" si="99">ROUND(Q73,1)</f>
        <v>13.3</v>
      </c>
      <c r="R109" s="14">
        <f t="shared" si="99"/>
        <v>20.5</v>
      </c>
      <c r="S109" s="14">
        <f t="shared" si="99"/>
        <v>25.6</v>
      </c>
      <c r="T109" s="14">
        <f t="shared" si="99"/>
        <v>22.6</v>
      </c>
      <c r="U109" s="14">
        <f t="shared" si="99"/>
        <v>14.3</v>
      </c>
      <c r="V109" s="14">
        <f t="shared" si="99"/>
        <v>96.3</v>
      </c>
      <c r="W109" s="120">
        <f t="shared" si="6"/>
        <v>19759</v>
      </c>
    </row>
    <row r="110" spans="2:72" x14ac:dyDescent="0.2">
      <c r="B110" s="11" t="s">
        <v>32</v>
      </c>
      <c r="C110" s="14">
        <f t="shared" ref="C110:H110" si="100">ROUND(C74,1)</f>
        <v>10.6</v>
      </c>
      <c r="D110" s="14">
        <f t="shared" si="100"/>
        <v>16.2</v>
      </c>
      <c r="E110" s="14">
        <f t="shared" si="100"/>
        <v>22.4</v>
      </c>
      <c r="F110" s="14">
        <f t="shared" si="100"/>
        <v>23.8</v>
      </c>
      <c r="G110" s="14">
        <f t="shared" si="100"/>
        <v>18.600000000000001</v>
      </c>
      <c r="H110" s="14">
        <f t="shared" si="100"/>
        <v>91.5</v>
      </c>
      <c r="I110" s="120">
        <f t="shared" si="2"/>
        <v>27459</v>
      </c>
      <c r="J110" s="14">
        <f t="shared" ref="J110:O110" si="101">ROUND(J74,1)</f>
        <v>12.1</v>
      </c>
      <c r="K110" s="14">
        <f t="shared" si="101"/>
        <v>18.100000000000001</v>
      </c>
      <c r="L110" s="14">
        <f t="shared" si="101"/>
        <v>23.3</v>
      </c>
      <c r="M110" s="14">
        <f t="shared" si="101"/>
        <v>23.2</v>
      </c>
      <c r="N110" s="14">
        <f t="shared" si="101"/>
        <v>16.899999999999999</v>
      </c>
      <c r="O110" s="14">
        <f t="shared" si="101"/>
        <v>93.7</v>
      </c>
      <c r="P110" s="120">
        <f t="shared" si="4"/>
        <v>31215</v>
      </c>
      <c r="Q110" s="14">
        <f t="shared" ref="Q110:V110" si="102">ROUND(Q74,1)</f>
        <v>11.4</v>
      </c>
      <c r="R110" s="14">
        <f t="shared" si="102"/>
        <v>17.2</v>
      </c>
      <c r="S110" s="14">
        <f t="shared" si="102"/>
        <v>22.9</v>
      </c>
      <c r="T110" s="14">
        <f t="shared" si="102"/>
        <v>23.5</v>
      </c>
      <c r="U110" s="14">
        <f t="shared" si="102"/>
        <v>17.7</v>
      </c>
      <c r="V110" s="14">
        <f t="shared" si="102"/>
        <v>92.7</v>
      </c>
      <c r="W110" s="120">
        <f t="shared" si="6"/>
        <v>58674</v>
      </c>
    </row>
    <row r="111" spans="2:72" x14ac:dyDescent="0.2">
      <c r="B111" s="11" t="s">
        <v>46</v>
      </c>
      <c r="C111" s="14">
        <f t="shared" ref="C111:H111" si="103">ROUND(C75,1)</f>
        <v>21.5</v>
      </c>
      <c r="D111" s="14">
        <f t="shared" si="103"/>
        <v>22.1</v>
      </c>
      <c r="E111" s="14">
        <f t="shared" si="103"/>
        <v>23.1</v>
      </c>
      <c r="F111" s="14">
        <f t="shared" si="103"/>
        <v>18.600000000000001</v>
      </c>
      <c r="G111" s="14">
        <f t="shared" si="103"/>
        <v>10.9</v>
      </c>
      <c r="H111" s="14">
        <f t="shared" si="103"/>
        <v>96.1</v>
      </c>
      <c r="I111" s="120">
        <f t="shared" si="2"/>
        <v>317678</v>
      </c>
      <c r="J111" s="14">
        <f t="shared" ref="J111:O111" si="104">ROUND(J75,1)</f>
        <v>23.7</v>
      </c>
      <c r="K111" s="14">
        <f t="shared" si="104"/>
        <v>24.9</v>
      </c>
      <c r="L111" s="14">
        <f t="shared" si="104"/>
        <v>23.9</v>
      </c>
      <c r="M111" s="14">
        <f t="shared" si="104"/>
        <v>16.7</v>
      </c>
      <c r="N111" s="14">
        <f t="shared" si="104"/>
        <v>8.3000000000000007</v>
      </c>
      <c r="O111" s="14">
        <f t="shared" si="104"/>
        <v>97.4</v>
      </c>
      <c r="P111" s="120">
        <f t="shared" si="4"/>
        <v>373693</v>
      </c>
      <c r="Q111" s="14">
        <f t="shared" ref="Q111:V111" si="105">ROUND(Q75,1)</f>
        <v>22.7</v>
      </c>
      <c r="R111" s="14">
        <f t="shared" si="105"/>
        <v>23.6</v>
      </c>
      <c r="S111" s="14">
        <f t="shared" si="105"/>
        <v>23.5</v>
      </c>
      <c r="T111" s="14">
        <f t="shared" si="105"/>
        <v>17.600000000000001</v>
      </c>
      <c r="U111" s="14">
        <f t="shared" si="105"/>
        <v>9.5</v>
      </c>
      <c r="V111" s="14">
        <f t="shared" si="105"/>
        <v>96.8</v>
      </c>
      <c r="W111" s="120">
        <f t="shared" si="6"/>
        <v>691371</v>
      </c>
    </row>
  </sheetData>
  <phoneticPr fontId="3" type="noConversion"/>
  <conditionalFormatting sqref="C5:Z39">
    <cfRule type="cellIs" dxfId="5" priority="1" operator="between">
      <formula>1</formula>
      <formula>2</formula>
    </cfRule>
  </conditionalFormatting>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BS112"/>
  <sheetViews>
    <sheetView topLeftCell="A19" workbookViewId="0">
      <selection activeCell="A2" sqref="A2"/>
    </sheetView>
  </sheetViews>
  <sheetFormatPr defaultColWidth="9.140625" defaultRowHeight="11.25" x14ac:dyDescent="0.2"/>
  <cols>
    <col min="1" max="1" width="9.140625" style="11"/>
    <col min="2" max="2" width="26.5703125" style="11" bestFit="1" customWidth="1"/>
    <col min="3" max="22" width="9.140625" style="11"/>
    <col min="23" max="23" width="15.42578125" style="11" bestFit="1" customWidth="1"/>
    <col min="24" max="25" width="9.140625" style="11"/>
    <col min="26" max="26" width="15.42578125" style="11" bestFit="1" customWidth="1"/>
    <col min="27" max="16384" width="9.140625" style="11"/>
  </cols>
  <sheetData>
    <row r="1" spans="1:26" x14ac:dyDescent="0.2">
      <c r="C1" s="12"/>
    </row>
    <row r="2" spans="1:26" x14ac:dyDescent="0.2">
      <c r="C2" s="12"/>
    </row>
    <row r="3" spans="1:26" x14ac:dyDescent="0.2">
      <c r="C3" s="11" t="s">
        <v>39</v>
      </c>
      <c r="I3" s="11" t="s">
        <v>43</v>
      </c>
      <c r="O3" s="29" t="s">
        <v>54</v>
      </c>
      <c r="U3" s="11" t="s">
        <v>56</v>
      </c>
      <c r="X3" s="11" t="s">
        <v>57</v>
      </c>
    </row>
    <row r="4" spans="1:26" x14ac:dyDescent="0.2">
      <c r="C4" s="11" t="s">
        <v>33</v>
      </c>
      <c r="D4" s="11" t="s">
        <v>34</v>
      </c>
      <c r="E4" s="11" t="s">
        <v>35</v>
      </c>
      <c r="F4" s="11" t="s">
        <v>36</v>
      </c>
      <c r="G4" s="11" t="s">
        <v>37</v>
      </c>
      <c r="H4" s="11" t="s">
        <v>55</v>
      </c>
      <c r="I4" s="11" t="s">
        <v>33</v>
      </c>
      <c r="J4" s="11" t="s">
        <v>34</v>
      </c>
      <c r="K4" s="11" t="s">
        <v>35</v>
      </c>
      <c r="L4" s="11" t="s">
        <v>36</v>
      </c>
      <c r="M4" s="11" t="s">
        <v>37</v>
      </c>
      <c r="N4" s="11" t="s">
        <v>55</v>
      </c>
      <c r="O4" s="11" t="s">
        <v>33</v>
      </c>
      <c r="P4" s="11" t="s">
        <v>34</v>
      </c>
      <c r="Q4" s="11" t="s">
        <v>35</v>
      </c>
      <c r="R4" s="11" t="s">
        <v>36</v>
      </c>
      <c r="S4" s="11" t="s">
        <v>37</v>
      </c>
      <c r="T4" s="11" t="s">
        <v>55</v>
      </c>
      <c r="U4" s="11" t="s">
        <v>42</v>
      </c>
      <c r="V4" s="11" t="s">
        <v>43</v>
      </c>
      <c r="W4" s="11" t="s">
        <v>44</v>
      </c>
      <c r="X4" s="11" t="s">
        <v>42</v>
      </c>
      <c r="Y4" s="11" t="s">
        <v>43</v>
      </c>
      <c r="Z4" s="11" t="s">
        <v>44</v>
      </c>
    </row>
    <row r="5" spans="1:26" x14ac:dyDescent="0.2">
      <c r="B5" s="10" t="s">
        <v>0</v>
      </c>
      <c r="C5" s="12">
        <v>4503</v>
      </c>
      <c r="D5" s="12">
        <v>4073</v>
      </c>
      <c r="E5" s="12">
        <v>3958</v>
      </c>
      <c r="F5" s="12">
        <v>3341</v>
      </c>
      <c r="G5" s="12">
        <v>2493</v>
      </c>
      <c r="H5" s="12">
        <v>932</v>
      </c>
      <c r="I5" s="12">
        <v>7008</v>
      </c>
      <c r="J5" s="12">
        <v>5974</v>
      </c>
      <c r="K5" s="12">
        <v>5666</v>
      </c>
      <c r="L5" s="12">
        <v>4505</v>
      </c>
      <c r="M5" s="12">
        <v>3091</v>
      </c>
      <c r="N5" s="12">
        <v>1080</v>
      </c>
      <c r="O5" s="12">
        <v>11511</v>
      </c>
      <c r="P5" s="12">
        <v>10047</v>
      </c>
      <c r="Q5" s="12">
        <v>9624</v>
      </c>
      <c r="R5" s="12">
        <v>7846</v>
      </c>
      <c r="S5" s="12">
        <v>5584</v>
      </c>
      <c r="T5" s="12">
        <v>2012</v>
      </c>
      <c r="U5" s="12">
        <v>19300</v>
      </c>
      <c r="V5" s="12">
        <v>27324</v>
      </c>
      <c r="W5" s="12">
        <v>46624</v>
      </c>
      <c r="X5" s="12">
        <v>18368</v>
      </c>
      <c r="Y5" s="12">
        <v>26244</v>
      </c>
      <c r="Z5" s="12">
        <v>44612</v>
      </c>
    </row>
    <row r="6" spans="1:26" x14ac:dyDescent="0.2">
      <c r="B6" s="10" t="s">
        <v>1</v>
      </c>
      <c r="C6" s="12">
        <v>5429</v>
      </c>
      <c r="D6" s="12">
        <v>4171</v>
      </c>
      <c r="E6" s="12">
        <v>3317</v>
      </c>
      <c r="F6" s="12">
        <v>2498</v>
      </c>
      <c r="G6" s="12">
        <v>1676</v>
      </c>
      <c r="H6" s="12">
        <v>629</v>
      </c>
      <c r="I6" s="12">
        <v>5502</v>
      </c>
      <c r="J6" s="12">
        <v>4238</v>
      </c>
      <c r="K6" s="12">
        <v>3193</v>
      </c>
      <c r="L6" s="12">
        <v>2167</v>
      </c>
      <c r="M6" s="12">
        <v>1300</v>
      </c>
      <c r="N6" s="12">
        <v>414</v>
      </c>
      <c r="O6" s="12">
        <v>10931</v>
      </c>
      <c r="P6" s="12">
        <v>8409</v>
      </c>
      <c r="Q6" s="12">
        <v>6510</v>
      </c>
      <c r="R6" s="12">
        <v>4665</v>
      </c>
      <c r="S6" s="12">
        <v>2976</v>
      </c>
      <c r="T6" s="12">
        <v>1043</v>
      </c>
      <c r="U6" s="12">
        <v>17720</v>
      </c>
      <c r="V6" s="12">
        <v>16814</v>
      </c>
      <c r="W6" s="12">
        <v>34534</v>
      </c>
      <c r="X6" s="12">
        <v>17091</v>
      </c>
      <c r="Y6" s="12">
        <v>16400</v>
      </c>
      <c r="Z6" s="12">
        <v>33491</v>
      </c>
    </row>
    <row r="7" spans="1:26" x14ac:dyDescent="0.2">
      <c r="B7" s="10" t="s">
        <v>2</v>
      </c>
      <c r="C7" s="12">
        <v>5271</v>
      </c>
      <c r="D7" s="12">
        <v>3942</v>
      </c>
      <c r="E7" s="12">
        <v>3487</v>
      </c>
      <c r="F7" s="12">
        <v>2885</v>
      </c>
      <c r="G7" s="12">
        <v>2232</v>
      </c>
      <c r="H7" s="12">
        <v>870</v>
      </c>
      <c r="I7" s="12">
        <v>1788</v>
      </c>
      <c r="J7" s="12">
        <v>1124</v>
      </c>
      <c r="K7" s="12">
        <v>866</v>
      </c>
      <c r="L7" s="12">
        <v>618</v>
      </c>
      <c r="M7" s="12">
        <v>438</v>
      </c>
      <c r="N7" s="12">
        <v>136</v>
      </c>
      <c r="O7" s="12">
        <v>7059</v>
      </c>
      <c r="P7" s="12">
        <v>5066</v>
      </c>
      <c r="Q7" s="12">
        <v>4353</v>
      </c>
      <c r="R7" s="12">
        <v>3503</v>
      </c>
      <c r="S7" s="12">
        <v>2670</v>
      </c>
      <c r="T7" s="12">
        <v>1006</v>
      </c>
      <c r="U7" s="12">
        <v>18687</v>
      </c>
      <c r="V7" s="12">
        <v>4970</v>
      </c>
      <c r="W7" s="12">
        <v>23657</v>
      </c>
      <c r="X7" s="12">
        <v>17817</v>
      </c>
      <c r="Y7" s="12">
        <v>4834</v>
      </c>
      <c r="Z7" s="12">
        <v>22651</v>
      </c>
    </row>
    <row r="8" spans="1:26" x14ac:dyDescent="0.2">
      <c r="B8" s="10" t="s">
        <v>3</v>
      </c>
      <c r="C8" s="12">
        <v>619</v>
      </c>
      <c r="D8" s="12">
        <v>544</v>
      </c>
      <c r="E8" s="12">
        <v>528</v>
      </c>
      <c r="F8" s="12">
        <v>468</v>
      </c>
      <c r="G8" s="12">
        <v>360</v>
      </c>
      <c r="H8" s="12">
        <v>97</v>
      </c>
      <c r="I8" s="12">
        <v>207</v>
      </c>
      <c r="J8" s="12">
        <v>219</v>
      </c>
      <c r="K8" s="12">
        <v>233</v>
      </c>
      <c r="L8" s="12">
        <v>178</v>
      </c>
      <c r="M8" s="12">
        <v>122</v>
      </c>
      <c r="N8" s="12">
        <v>24</v>
      </c>
      <c r="O8" s="12">
        <v>826</v>
      </c>
      <c r="P8" s="12">
        <v>763</v>
      </c>
      <c r="Q8" s="12">
        <v>761</v>
      </c>
      <c r="R8" s="12">
        <v>646</v>
      </c>
      <c r="S8" s="12">
        <v>482</v>
      </c>
      <c r="T8" s="12">
        <v>121</v>
      </c>
      <c r="U8" s="12">
        <v>2616</v>
      </c>
      <c r="V8" s="12">
        <v>983</v>
      </c>
      <c r="W8" s="12">
        <v>3599</v>
      </c>
      <c r="X8" s="12">
        <v>2519</v>
      </c>
      <c r="Y8" s="12">
        <v>959</v>
      </c>
      <c r="Z8" s="12">
        <v>3478</v>
      </c>
    </row>
    <row r="9" spans="1:26" x14ac:dyDescent="0.2">
      <c r="B9" s="10" t="s">
        <v>4</v>
      </c>
      <c r="C9" s="12">
        <v>12803</v>
      </c>
      <c r="D9" s="12">
        <v>6323</v>
      </c>
      <c r="E9" s="12">
        <v>4808</v>
      </c>
      <c r="F9" s="12">
        <v>3552</v>
      </c>
      <c r="G9" s="12">
        <v>2323</v>
      </c>
      <c r="H9" s="12">
        <v>828</v>
      </c>
      <c r="I9" s="12">
        <v>8768</v>
      </c>
      <c r="J9" s="12">
        <v>4247</v>
      </c>
      <c r="K9" s="12">
        <v>2938</v>
      </c>
      <c r="L9" s="12">
        <v>1821</v>
      </c>
      <c r="M9" s="12">
        <v>1033</v>
      </c>
      <c r="N9" s="12">
        <v>361</v>
      </c>
      <c r="O9" s="12">
        <v>21571</v>
      </c>
      <c r="P9" s="12">
        <v>10570</v>
      </c>
      <c r="Q9" s="12">
        <v>7746</v>
      </c>
      <c r="R9" s="12">
        <v>5373</v>
      </c>
      <c r="S9" s="12">
        <v>3356</v>
      </c>
      <c r="T9" s="12">
        <v>1189</v>
      </c>
      <c r="U9" s="12">
        <v>30637</v>
      </c>
      <c r="V9" s="12">
        <v>19168</v>
      </c>
      <c r="W9" s="12">
        <v>49805</v>
      </c>
      <c r="X9" s="12">
        <v>29809</v>
      </c>
      <c r="Y9" s="12">
        <v>18807</v>
      </c>
      <c r="Z9" s="12">
        <v>48616</v>
      </c>
    </row>
    <row r="10" spans="1:26" x14ac:dyDescent="0.2">
      <c r="B10" s="10" t="s">
        <v>5</v>
      </c>
      <c r="C10" s="12">
        <v>2643</v>
      </c>
      <c r="D10" s="12">
        <v>880</v>
      </c>
      <c r="E10" s="12">
        <v>536</v>
      </c>
      <c r="F10" s="12">
        <v>319</v>
      </c>
      <c r="G10" s="12">
        <v>159</v>
      </c>
      <c r="H10" s="12">
        <v>58</v>
      </c>
      <c r="I10" s="12">
        <v>1120</v>
      </c>
      <c r="J10" s="12">
        <v>386</v>
      </c>
      <c r="K10" s="12">
        <v>228</v>
      </c>
      <c r="L10" s="12">
        <v>105</v>
      </c>
      <c r="M10" s="12">
        <v>69</v>
      </c>
      <c r="N10" s="12">
        <v>13</v>
      </c>
      <c r="O10" s="12">
        <v>3763</v>
      </c>
      <c r="P10" s="12">
        <v>1266</v>
      </c>
      <c r="Q10" s="12">
        <v>764</v>
      </c>
      <c r="R10" s="12">
        <v>424</v>
      </c>
      <c r="S10" s="12">
        <v>228</v>
      </c>
      <c r="T10" s="12">
        <v>71</v>
      </c>
      <c r="U10" s="12">
        <v>4595</v>
      </c>
      <c r="V10" s="12">
        <v>1921</v>
      </c>
      <c r="W10" s="12">
        <v>6516</v>
      </c>
      <c r="X10" s="12">
        <v>4537</v>
      </c>
      <c r="Y10" s="12">
        <v>1908</v>
      </c>
      <c r="Z10" s="12">
        <v>6445</v>
      </c>
    </row>
    <row r="11" spans="1:26" x14ac:dyDescent="0.2">
      <c r="B11" s="10" t="s">
        <v>6</v>
      </c>
      <c r="C11" s="12">
        <v>1359</v>
      </c>
      <c r="D11" s="12">
        <v>2116</v>
      </c>
      <c r="E11" s="12">
        <v>2608</v>
      </c>
      <c r="F11" s="12">
        <v>2162</v>
      </c>
      <c r="G11" s="12">
        <v>1129</v>
      </c>
      <c r="H11" s="12">
        <v>322</v>
      </c>
      <c r="I11" s="12">
        <v>1482</v>
      </c>
      <c r="J11" s="12">
        <v>1849</v>
      </c>
      <c r="K11" s="12">
        <v>1880</v>
      </c>
      <c r="L11" s="12">
        <v>1188</v>
      </c>
      <c r="M11" s="12">
        <v>506</v>
      </c>
      <c r="N11" s="12">
        <v>107</v>
      </c>
      <c r="O11" s="12">
        <v>2841</v>
      </c>
      <c r="P11" s="12">
        <v>3965</v>
      </c>
      <c r="Q11" s="12">
        <v>4488</v>
      </c>
      <c r="R11" s="12">
        <v>3350</v>
      </c>
      <c r="S11" s="12">
        <v>1635</v>
      </c>
      <c r="T11" s="12">
        <v>429</v>
      </c>
      <c r="U11" s="12">
        <v>9696</v>
      </c>
      <c r="V11" s="12">
        <v>7012</v>
      </c>
      <c r="W11" s="12">
        <v>16708</v>
      </c>
      <c r="X11" s="12">
        <v>9374</v>
      </c>
      <c r="Y11" s="12">
        <v>6905</v>
      </c>
      <c r="Z11" s="12">
        <v>16279</v>
      </c>
    </row>
    <row r="12" spans="1:26" x14ac:dyDescent="0.2">
      <c r="B12" s="10" t="s">
        <v>168</v>
      </c>
      <c r="C12" s="12">
        <v>724</v>
      </c>
      <c r="D12" s="12">
        <v>850</v>
      </c>
      <c r="E12" s="12">
        <v>1034</v>
      </c>
      <c r="F12" s="12">
        <v>1045</v>
      </c>
      <c r="G12" s="12">
        <v>723</v>
      </c>
      <c r="H12" s="12">
        <v>263</v>
      </c>
      <c r="I12" s="12">
        <v>65</v>
      </c>
      <c r="J12" s="12">
        <v>92</v>
      </c>
      <c r="K12" s="12">
        <v>95</v>
      </c>
      <c r="L12" s="12">
        <v>66</v>
      </c>
      <c r="M12" s="12">
        <v>41</v>
      </c>
      <c r="N12" s="12">
        <v>19</v>
      </c>
      <c r="O12" s="12">
        <v>789</v>
      </c>
      <c r="P12" s="12">
        <v>942</v>
      </c>
      <c r="Q12" s="12">
        <v>1129</v>
      </c>
      <c r="R12" s="12">
        <v>1111</v>
      </c>
      <c r="S12" s="12">
        <v>764</v>
      </c>
      <c r="T12" s="12">
        <v>282</v>
      </c>
      <c r="U12" s="12">
        <v>4639</v>
      </c>
      <c r="V12" s="12">
        <v>378</v>
      </c>
      <c r="W12" s="12">
        <v>5017</v>
      </c>
      <c r="X12" s="12">
        <v>4376</v>
      </c>
      <c r="Y12" s="12">
        <v>359</v>
      </c>
      <c r="Z12" s="12">
        <v>4735</v>
      </c>
    </row>
    <row r="13" spans="1:26" x14ac:dyDescent="0.2">
      <c r="B13" s="10" t="s">
        <v>8</v>
      </c>
      <c r="C13" s="12">
        <v>495</v>
      </c>
      <c r="D13" s="12">
        <v>1119</v>
      </c>
      <c r="E13" s="12">
        <v>1859</v>
      </c>
      <c r="F13" s="12">
        <v>2221</v>
      </c>
      <c r="G13" s="12">
        <v>1625</v>
      </c>
      <c r="H13" s="12">
        <v>530</v>
      </c>
      <c r="I13" s="12">
        <v>433</v>
      </c>
      <c r="J13" s="12">
        <v>840</v>
      </c>
      <c r="K13" s="12">
        <v>1165</v>
      </c>
      <c r="L13" s="12">
        <v>1095</v>
      </c>
      <c r="M13" s="12">
        <v>629</v>
      </c>
      <c r="N13" s="12">
        <v>170</v>
      </c>
      <c r="O13" s="12">
        <v>928</v>
      </c>
      <c r="P13" s="12">
        <v>1959</v>
      </c>
      <c r="Q13" s="12">
        <v>3024</v>
      </c>
      <c r="R13" s="12">
        <v>3316</v>
      </c>
      <c r="S13" s="12">
        <v>2254</v>
      </c>
      <c r="T13" s="12">
        <v>700</v>
      </c>
      <c r="U13" s="12">
        <v>7849</v>
      </c>
      <c r="V13" s="12">
        <v>4332</v>
      </c>
      <c r="W13" s="12">
        <v>12181</v>
      </c>
      <c r="X13" s="12">
        <v>7319</v>
      </c>
      <c r="Y13" s="12">
        <v>4162</v>
      </c>
      <c r="Z13" s="12">
        <v>11481</v>
      </c>
    </row>
    <row r="14" spans="1:26" x14ac:dyDescent="0.2">
      <c r="A14" s="12"/>
      <c r="B14" s="10" t="s">
        <v>9</v>
      </c>
      <c r="C14" s="12">
        <v>1</v>
      </c>
      <c r="D14" s="12">
        <v>11</v>
      </c>
      <c r="E14" s="12">
        <v>16</v>
      </c>
      <c r="F14" s="12">
        <v>16</v>
      </c>
      <c r="G14" s="12">
        <v>17</v>
      </c>
      <c r="H14" s="12">
        <v>0</v>
      </c>
      <c r="I14" s="12">
        <v>69</v>
      </c>
      <c r="J14" s="12">
        <v>98</v>
      </c>
      <c r="K14" s="12">
        <v>96</v>
      </c>
      <c r="L14" s="12">
        <v>73</v>
      </c>
      <c r="M14" s="12">
        <v>53</v>
      </c>
      <c r="N14" s="12">
        <v>6</v>
      </c>
      <c r="O14" s="12">
        <v>70</v>
      </c>
      <c r="P14" s="12">
        <v>109</v>
      </c>
      <c r="Q14" s="12">
        <v>112</v>
      </c>
      <c r="R14" s="12">
        <v>89</v>
      </c>
      <c r="S14" s="12">
        <v>70</v>
      </c>
      <c r="T14" s="12">
        <v>6</v>
      </c>
      <c r="U14" s="12">
        <v>61</v>
      </c>
      <c r="V14" s="12">
        <v>395</v>
      </c>
      <c r="W14" s="12">
        <v>456</v>
      </c>
      <c r="X14" s="12">
        <v>61</v>
      </c>
      <c r="Y14" s="12">
        <v>389</v>
      </c>
      <c r="Z14" s="12">
        <v>450</v>
      </c>
    </row>
    <row r="15" spans="1:26" x14ac:dyDescent="0.2">
      <c r="B15" s="10" t="s">
        <v>10</v>
      </c>
      <c r="C15" s="12">
        <v>201</v>
      </c>
      <c r="D15" s="12">
        <v>350</v>
      </c>
      <c r="E15" s="12">
        <v>474</v>
      </c>
      <c r="F15" s="12">
        <v>432</v>
      </c>
      <c r="G15" s="12">
        <v>326</v>
      </c>
      <c r="H15" s="12">
        <v>141</v>
      </c>
      <c r="I15" s="12">
        <v>157</v>
      </c>
      <c r="J15" s="12">
        <v>199</v>
      </c>
      <c r="K15" s="12">
        <v>267</v>
      </c>
      <c r="L15" s="12">
        <v>260</v>
      </c>
      <c r="M15" s="12">
        <v>186</v>
      </c>
      <c r="N15" s="12">
        <v>65</v>
      </c>
      <c r="O15" s="12">
        <v>358</v>
      </c>
      <c r="P15" s="12">
        <v>549</v>
      </c>
      <c r="Q15" s="12">
        <v>741</v>
      </c>
      <c r="R15" s="12">
        <v>692</v>
      </c>
      <c r="S15" s="12">
        <v>512</v>
      </c>
      <c r="T15" s="12">
        <v>206</v>
      </c>
      <c r="U15" s="12">
        <v>1924</v>
      </c>
      <c r="V15" s="12">
        <v>1134</v>
      </c>
      <c r="W15" s="12">
        <v>3058</v>
      </c>
      <c r="X15" s="12">
        <v>1783</v>
      </c>
      <c r="Y15" s="12">
        <v>1069</v>
      </c>
      <c r="Z15" s="12">
        <v>2852</v>
      </c>
    </row>
    <row r="16" spans="1:26" x14ac:dyDescent="0.2">
      <c r="B16" s="10" t="s">
        <v>11</v>
      </c>
      <c r="C16" s="12">
        <v>2773</v>
      </c>
      <c r="D16" s="12">
        <v>4484</v>
      </c>
      <c r="E16" s="12">
        <v>5019</v>
      </c>
      <c r="F16" s="12">
        <v>3598</v>
      </c>
      <c r="G16" s="12">
        <v>1581</v>
      </c>
      <c r="H16" s="12">
        <v>346</v>
      </c>
      <c r="I16" s="12">
        <v>2301</v>
      </c>
      <c r="J16" s="12">
        <v>3098</v>
      </c>
      <c r="K16" s="12">
        <v>3388</v>
      </c>
      <c r="L16" s="12">
        <v>2164</v>
      </c>
      <c r="M16" s="12">
        <v>971</v>
      </c>
      <c r="N16" s="12">
        <v>213</v>
      </c>
      <c r="O16" s="12">
        <v>5074</v>
      </c>
      <c r="P16" s="12">
        <v>7582</v>
      </c>
      <c r="Q16" s="12">
        <v>8407</v>
      </c>
      <c r="R16" s="12">
        <v>5762</v>
      </c>
      <c r="S16" s="12">
        <v>2552</v>
      </c>
      <c r="T16" s="12">
        <v>559</v>
      </c>
      <c r="U16" s="12">
        <v>17801</v>
      </c>
      <c r="V16" s="12">
        <v>12135</v>
      </c>
      <c r="W16" s="12">
        <v>29936</v>
      </c>
      <c r="X16" s="12">
        <v>17455</v>
      </c>
      <c r="Y16" s="12">
        <v>11922</v>
      </c>
      <c r="Z16" s="12">
        <v>29377</v>
      </c>
    </row>
    <row r="17" spans="2:26" x14ac:dyDescent="0.2">
      <c r="B17" s="10" t="s">
        <v>12</v>
      </c>
      <c r="C17" s="12">
        <v>3237</v>
      </c>
      <c r="D17" s="12">
        <v>2566</v>
      </c>
      <c r="E17" s="12">
        <v>1912</v>
      </c>
      <c r="F17" s="12">
        <v>1153</v>
      </c>
      <c r="G17" s="12">
        <v>526</v>
      </c>
      <c r="H17" s="12">
        <v>116</v>
      </c>
      <c r="I17" s="12">
        <v>1602</v>
      </c>
      <c r="J17" s="12">
        <v>1103</v>
      </c>
      <c r="K17" s="12">
        <v>761</v>
      </c>
      <c r="L17" s="12">
        <v>429</v>
      </c>
      <c r="M17" s="12">
        <v>146</v>
      </c>
      <c r="N17" s="12">
        <v>27</v>
      </c>
      <c r="O17" s="12">
        <v>4839</v>
      </c>
      <c r="P17" s="12">
        <v>3669</v>
      </c>
      <c r="Q17" s="12">
        <v>2673</v>
      </c>
      <c r="R17" s="12">
        <v>1582</v>
      </c>
      <c r="S17" s="12">
        <v>672</v>
      </c>
      <c r="T17" s="12">
        <v>143</v>
      </c>
      <c r="U17" s="12">
        <v>9510</v>
      </c>
      <c r="V17" s="12">
        <v>4068</v>
      </c>
      <c r="W17" s="12">
        <v>13578</v>
      </c>
      <c r="X17" s="12">
        <v>9394</v>
      </c>
      <c r="Y17" s="12">
        <v>4041</v>
      </c>
      <c r="Z17" s="12">
        <v>13435</v>
      </c>
    </row>
    <row r="18" spans="2:26" x14ac:dyDescent="0.2">
      <c r="B18" s="10" t="s">
        <v>13</v>
      </c>
      <c r="C18" s="12">
        <v>3384</v>
      </c>
      <c r="D18" s="12">
        <v>3943</v>
      </c>
      <c r="E18" s="12">
        <v>3952</v>
      </c>
      <c r="F18" s="12">
        <v>2772</v>
      </c>
      <c r="G18" s="12">
        <v>1237</v>
      </c>
      <c r="H18" s="12">
        <v>237</v>
      </c>
      <c r="I18" s="12">
        <v>3983</v>
      </c>
      <c r="J18" s="12">
        <v>3521</v>
      </c>
      <c r="K18" s="12">
        <v>2856</v>
      </c>
      <c r="L18" s="12">
        <v>1653</v>
      </c>
      <c r="M18" s="12">
        <v>637</v>
      </c>
      <c r="N18" s="12">
        <v>108</v>
      </c>
      <c r="O18" s="12">
        <v>7367</v>
      </c>
      <c r="P18" s="12">
        <v>7464</v>
      </c>
      <c r="Q18" s="12">
        <v>6808</v>
      </c>
      <c r="R18" s="12">
        <v>4425</v>
      </c>
      <c r="S18" s="12">
        <v>1874</v>
      </c>
      <c r="T18" s="12">
        <v>345</v>
      </c>
      <c r="U18" s="12">
        <v>15525</v>
      </c>
      <c r="V18" s="12">
        <v>12758</v>
      </c>
      <c r="W18" s="12">
        <v>28283</v>
      </c>
      <c r="X18" s="12">
        <v>15288</v>
      </c>
      <c r="Y18" s="12">
        <v>12650</v>
      </c>
      <c r="Z18" s="12">
        <v>27938</v>
      </c>
    </row>
    <row r="19" spans="2:26" x14ac:dyDescent="0.2">
      <c r="B19" s="10" t="s">
        <v>14</v>
      </c>
      <c r="C19" s="12">
        <v>1653</v>
      </c>
      <c r="D19" s="12">
        <v>1605</v>
      </c>
      <c r="E19" s="12">
        <v>1293</v>
      </c>
      <c r="F19" s="12">
        <v>762</v>
      </c>
      <c r="G19" s="12">
        <v>335</v>
      </c>
      <c r="H19" s="12">
        <v>96</v>
      </c>
      <c r="I19" s="12">
        <v>1385</v>
      </c>
      <c r="J19" s="12">
        <v>1026</v>
      </c>
      <c r="K19" s="12">
        <v>719</v>
      </c>
      <c r="L19" s="12">
        <v>463</v>
      </c>
      <c r="M19" s="12">
        <v>194</v>
      </c>
      <c r="N19" s="12">
        <v>62</v>
      </c>
      <c r="O19" s="12">
        <v>3038</v>
      </c>
      <c r="P19" s="12">
        <v>2631</v>
      </c>
      <c r="Q19" s="12">
        <v>2012</v>
      </c>
      <c r="R19" s="12">
        <v>1225</v>
      </c>
      <c r="S19" s="12">
        <v>529</v>
      </c>
      <c r="T19" s="12">
        <v>158</v>
      </c>
      <c r="U19" s="12">
        <v>5744</v>
      </c>
      <c r="V19" s="12">
        <v>3849</v>
      </c>
      <c r="W19" s="12">
        <v>9593</v>
      </c>
      <c r="X19" s="12">
        <v>5648</v>
      </c>
      <c r="Y19" s="12">
        <v>3787</v>
      </c>
      <c r="Z19" s="12">
        <v>9435</v>
      </c>
    </row>
    <row r="20" spans="2:26" x14ac:dyDescent="0.2">
      <c r="B20" s="10" t="s">
        <v>15</v>
      </c>
      <c r="C20" s="12">
        <v>4597</v>
      </c>
      <c r="D20" s="12">
        <v>5319</v>
      </c>
      <c r="E20" s="12">
        <v>4988</v>
      </c>
      <c r="F20" s="12">
        <v>3628</v>
      </c>
      <c r="G20" s="12">
        <v>1595</v>
      </c>
      <c r="H20" s="12">
        <v>419</v>
      </c>
      <c r="I20" s="12">
        <v>5312</v>
      </c>
      <c r="J20" s="12">
        <v>5339</v>
      </c>
      <c r="K20" s="12">
        <v>4851</v>
      </c>
      <c r="L20" s="12">
        <v>3022</v>
      </c>
      <c r="M20" s="12">
        <v>1301</v>
      </c>
      <c r="N20" s="12">
        <v>302</v>
      </c>
      <c r="O20" s="12">
        <v>9909</v>
      </c>
      <c r="P20" s="12">
        <v>10658</v>
      </c>
      <c r="Q20" s="12">
        <v>9839</v>
      </c>
      <c r="R20" s="12">
        <v>6650</v>
      </c>
      <c r="S20" s="12">
        <v>2896</v>
      </c>
      <c r="T20" s="12">
        <v>721</v>
      </c>
      <c r="U20" s="12">
        <v>20546</v>
      </c>
      <c r="V20" s="12">
        <v>20127</v>
      </c>
      <c r="W20" s="12">
        <v>40673</v>
      </c>
      <c r="X20" s="12">
        <v>20127</v>
      </c>
      <c r="Y20" s="12">
        <v>19825</v>
      </c>
      <c r="Z20" s="12">
        <v>39952</v>
      </c>
    </row>
    <row r="21" spans="2:26" x14ac:dyDescent="0.2">
      <c r="B21" s="10" t="s">
        <v>16</v>
      </c>
      <c r="C21" s="12">
        <v>930</v>
      </c>
      <c r="D21" s="12">
        <v>1123</v>
      </c>
      <c r="E21" s="12">
        <v>1303</v>
      </c>
      <c r="F21" s="12">
        <v>1068</v>
      </c>
      <c r="G21" s="12">
        <v>686</v>
      </c>
      <c r="H21" s="12">
        <v>264</v>
      </c>
      <c r="I21" s="12">
        <v>1775</v>
      </c>
      <c r="J21" s="12">
        <v>1864</v>
      </c>
      <c r="K21" s="12">
        <v>1964</v>
      </c>
      <c r="L21" s="12">
        <v>1445</v>
      </c>
      <c r="M21" s="12">
        <v>762</v>
      </c>
      <c r="N21" s="12">
        <v>327</v>
      </c>
      <c r="O21" s="12">
        <v>2705</v>
      </c>
      <c r="P21" s="12">
        <v>2987</v>
      </c>
      <c r="Q21" s="12">
        <v>3267</v>
      </c>
      <c r="R21" s="12">
        <v>2513</v>
      </c>
      <c r="S21" s="12">
        <v>1448</v>
      </c>
      <c r="T21" s="12">
        <v>591</v>
      </c>
      <c r="U21" s="12">
        <v>5374</v>
      </c>
      <c r="V21" s="12">
        <v>8137</v>
      </c>
      <c r="W21" s="12">
        <v>13511</v>
      </c>
      <c r="X21" s="12">
        <v>5110</v>
      </c>
      <c r="Y21" s="12">
        <v>7810</v>
      </c>
      <c r="Z21" s="12">
        <v>12920</v>
      </c>
    </row>
    <row r="22" spans="2:26" x14ac:dyDescent="0.2">
      <c r="B22" s="10" t="s">
        <v>17</v>
      </c>
      <c r="C22" s="12">
        <v>1452</v>
      </c>
      <c r="D22" s="12">
        <v>2379</v>
      </c>
      <c r="E22" s="12">
        <v>3160</v>
      </c>
      <c r="F22" s="12">
        <v>2798</v>
      </c>
      <c r="G22" s="12">
        <v>1896</v>
      </c>
      <c r="H22" s="12">
        <v>707</v>
      </c>
      <c r="I22" s="12">
        <v>7427</v>
      </c>
      <c r="J22" s="12">
        <v>8864</v>
      </c>
      <c r="K22" s="12">
        <v>8868</v>
      </c>
      <c r="L22" s="12">
        <v>6447</v>
      </c>
      <c r="M22" s="12">
        <v>3459</v>
      </c>
      <c r="N22" s="12">
        <v>1114</v>
      </c>
      <c r="O22" s="12">
        <v>8879</v>
      </c>
      <c r="P22" s="12">
        <v>11243</v>
      </c>
      <c r="Q22" s="12">
        <v>12028</v>
      </c>
      <c r="R22" s="12">
        <v>9245</v>
      </c>
      <c r="S22" s="12">
        <v>5355</v>
      </c>
      <c r="T22" s="12">
        <v>1821</v>
      </c>
      <c r="U22" s="12">
        <v>12392</v>
      </c>
      <c r="V22" s="12">
        <v>36179</v>
      </c>
      <c r="W22" s="12">
        <v>48571</v>
      </c>
      <c r="X22" s="12">
        <v>11685</v>
      </c>
      <c r="Y22" s="12">
        <v>35065</v>
      </c>
      <c r="Z22" s="12">
        <v>46750</v>
      </c>
    </row>
    <row r="23" spans="2:26" x14ac:dyDescent="0.2">
      <c r="B23" s="10" t="s">
        <v>18</v>
      </c>
      <c r="C23" s="12">
        <v>950</v>
      </c>
      <c r="D23" s="12">
        <v>1312</v>
      </c>
      <c r="E23" s="12">
        <v>1559</v>
      </c>
      <c r="F23" s="12">
        <v>1116</v>
      </c>
      <c r="G23" s="12">
        <v>569</v>
      </c>
      <c r="H23" s="12">
        <v>168</v>
      </c>
      <c r="I23" s="12">
        <v>4085</v>
      </c>
      <c r="J23" s="12">
        <v>5159</v>
      </c>
      <c r="K23" s="12">
        <v>4720</v>
      </c>
      <c r="L23" s="12">
        <v>3001</v>
      </c>
      <c r="M23" s="12">
        <v>1221</v>
      </c>
      <c r="N23" s="12">
        <v>380</v>
      </c>
      <c r="O23" s="12">
        <v>5035</v>
      </c>
      <c r="P23" s="12">
        <v>6471</v>
      </c>
      <c r="Q23" s="12">
        <v>6279</v>
      </c>
      <c r="R23" s="12">
        <v>4117</v>
      </c>
      <c r="S23" s="12">
        <v>1790</v>
      </c>
      <c r="T23" s="12">
        <v>548</v>
      </c>
      <c r="U23" s="12">
        <v>5674</v>
      </c>
      <c r="V23" s="12">
        <v>18566</v>
      </c>
      <c r="W23" s="12">
        <v>24240</v>
      </c>
      <c r="X23" s="12">
        <v>5506</v>
      </c>
      <c r="Y23" s="12">
        <v>18186</v>
      </c>
      <c r="Z23" s="12">
        <v>23692</v>
      </c>
    </row>
    <row r="24" spans="2:26" x14ac:dyDescent="0.2">
      <c r="B24" s="10" t="s">
        <v>19</v>
      </c>
      <c r="C24" s="12">
        <v>301</v>
      </c>
      <c r="D24" s="12">
        <v>384</v>
      </c>
      <c r="E24" s="12">
        <v>411</v>
      </c>
      <c r="F24" s="12">
        <v>247</v>
      </c>
      <c r="G24" s="12">
        <v>139</v>
      </c>
      <c r="H24" s="12">
        <v>41</v>
      </c>
      <c r="I24" s="12">
        <v>317</v>
      </c>
      <c r="J24" s="12">
        <v>352</v>
      </c>
      <c r="K24" s="12">
        <v>326</v>
      </c>
      <c r="L24" s="12">
        <v>228</v>
      </c>
      <c r="M24" s="12">
        <v>111</v>
      </c>
      <c r="N24" s="12">
        <v>52</v>
      </c>
      <c r="O24" s="12">
        <v>618</v>
      </c>
      <c r="P24" s="12">
        <v>736</v>
      </c>
      <c r="Q24" s="12">
        <v>737</v>
      </c>
      <c r="R24" s="12">
        <v>475</v>
      </c>
      <c r="S24" s="12">
        <v>250</v>
      </c>
      <c r="T24" s="12">
        <v>93</v>
      </c>
      <c r="U24" s="12">
        <v>1523</v>
      </c>
      <c r="V24" s="12">
        <v>1386</v>
      </c>
      <c r="W24" s="12">
        <v>2909</v>
      </c>
      <c r="X24" s="12">
        <v>1482</v>
      </c>
      <c r="Y24" s="12">
        <v>1334</v>
      </c>
      <c r="Z24" s="12">
        <v>2816</v>
      </c>
    </row>
    <row r="25" spans="2:26" x14ac:dyDescent="0.2">
      <c r="B25" s="10" t="s">
        <v>20</v>
      </c>
      <c r="C25" s="12">
        <v>2849</v>
      </c>
      <c r="D25" s="12">
        <v>2624</v>
      </c>
      <c r="E25" s="12">
        <v>2735</v>
      </c>
      <c r="F25" s="12">
        <v>2022</v>
      </c>
      <c r="G25" s="12">
        <v>1004</v>
      </c>
      <c r="H25" s="12">
        <v>324</v>
      </c>
      <c r="I25" s="12">
        <v>7964</v>
      </c>
      <c r="J25" s="12">
        <v>6643</v>
      </c>
      <c r="K25" s="12">
        <v>5965</v>
      </c>
      <c r="L25" s="12">
        <v>3436</v>
      </c>
      <c r="M25" s="12">
        <v>1314</v>
      </c>
      <c r="N25" s="12">
        <v>456</v>
      </c>
      <c r="O25" s="12">
        <v>10813</v>
      </c>
      <c r="P25" s="12">
        <v>9267</v>
      </c>
      <c r="Q25" s="12">
        <v>8700</v>
      </c>
      <c r="R25" s="12">
        <v>5458</v>
      </c>
      <c r="S25" s="12">
        <v>2318</v>
      </c>
      <c r="T25" s="12">
        <v>780</v>
      </c>
      <c r="U25" s="12">
        <v>11558</v>
      </c>
      <c r="V25" s="12">
        <v>25778</v>
      </c>
      <c r="W25" s="12">
        <v>37336</v>
      </c>
      <c r="X25" s="12">
        <v>11234</v>
      </c>
      <c r="Y25" s="12">
        <v>25322</v>
      </c>
      <c r="Z25" s="12">
        <v>36556</v>
      </c>
    </row>
    <row r="26" spans="2:26" x14ac:dyDescent="0.2">
      <c r="B26" s="10" t="s">
        <v>21</v>
      </c>
      <c r="C26" s="12">
        <v>637</v>
      </c>
      <c r="D26" s="12">
        <v>1299</v>
      </c>
      <c r="E26" s="12">
        <v>1428</v>
      </c>
      <c r="F26" s="12">
        <v>795</v>
      </c>
      <c r="G26" s="12">
        <v>273</v>
      </c>
      <c r="H26" s="12">
        <v>60</v>
      </c>
      <c r="I26" s="12">
        <v>2231</v>
      </c>
      <c r="J26" s="12">
        <v>3331</v>
      </c>
      <c r="K26" s="12">
        <v>3062</v>
      </c>
      <c r="L26" s="12">
        <v>1454</v>
      </c>
      <c r="M26" s="12">
        <v>317</v>
      </c>
      <c r="N26" s="12">
        <v>64</v>
      </c>
      <c r="O26" s="12">
        <v>2868</v>
      </c>
      <c r="P26" s="12">
        <v>4630</v>
      </c>
      <c r="Q26" s="12">
        <v>4490</v>
      </c>
      <c r="R26" s="12">
        <v>2249</v>
      </c>
      <c r="S26" s="12">
        <v>590</v>
      </c>
      <c r="T26" s="12">
        <v>124</v>
      </c>
      <c r="U26" s="12">
        <v>4492</v>
      </c>
      <c r="V26" s="12">
        <v>10459</v>
      </c>
      <c r="W26" s="12">
        <v>14951</v>
      </c>
      <c r="X26" s="12">
        <v>4432</v>
      </c>
      <c r="Y26" s="12">
        <v>10395</v>
      </c>
      <c r="Z26" s="12">
        <v>14827</v>
      </c>
    </row>
    <row r="27" spans="2:26" x14ac:dyDescent="0.2">
      <c r="B27" s="10" t="s">
        <v>22</v>
      </c>
      <c r="C27" s="12">
        <v>5260</v>
      </c>
      <c r="D27" s="12">
        <v>5933</v>
      </c>
      <c r="E27" s="12">
        <v>6576</v>
      </c>
      <c r="F27" s="12">
        <v>4531</v>
      </c>
      <c r="G27" s="12">
        <v>1633</v>
      </c>
      <c r="H27" s="12">
        <v>290</v>
      </c>
      <c r="I27" s="12">
        <v>11782</v>
      </c>
      <c r="J27" s="12">
        <v>13742</v>
      </c>
      <c r="K27" s="12">
        <v>14789</v>
      </c>
      <c r="L27" s="12">
        <v>9958</v>
      </c>
      <c r="M27" s="12">
        <v>3150</v>
      </c>
      <c r="N27" s="12">
        <v>503</v>
      </c>
      <c r="O27" s="12">
        <v>17042</v>
      </c>
      <c r="P27" s="12">
        <v>19675</v>
      </c>
      <c r="Q27" s="12">
        <v>21365</v>
      </c>
      <c r="R27" s="12">
        <v>14489</v>
      </c>
      <c r="S27" s="12">
        <v>4783</v>
      </c>
      <c r="T27" s="12">
        <v>793</v>
      </c>
      <c r="U27" s="12">
        <v>24223</v>
      </c>
      <c r="V27" s="12">
        <v>53924</v>
      </c>
      <c r="W27" s="12">
        <v>78147</v>
      </c>
      <c r="X27" s="12">
        <v>23933</v>
      </c>
      <c r="Y27" s="12">
        <v>53421</v>
      </c>
      <c r="Z27" s="12">
        <v>77354</v>
      </c>
    </row>
    <row r="28" spans="2:26" x14ac:dyDescent="0.2">
      <c r="B28" s="10" t="s">
        <v>51</v>
      </c>
      <c r="C28" s="12">
        <v>1030</v>
      </c>
      <c r="D28" s="12">
        <v>2436</v>
      </c>
      <c r="E28" s="12">
        <v>3366</v>
      </c>
      <c r="F28" s="12">
        <v>2249</v>
      </c>
      <c r="G28" s="12">
        <v>767</v>
      </c>
      <c r="H28" s="12">
        <v>159</v>
      </c>
      <c r="I28" s="12">
        <v>1955</v>
      </c>
      <c r="J28" s="12">
        <v>3939</v>
      </c>
      <c r="K28" s="12">
        <v>4238</v>
      </c>
      <c r="L28" s="12">
        <v>2144</v>
      </c>
      <c r="M28" s="12">
        <v>607</v>
      </c>
      <c r="N28" s="12">
        <v>96</v>
      </c>
      <c r="O28" s="12">
        <v>2985</v>
      </c>
      <c r="P28" s="12">
        <v>6375</v>
      </c>
      <c r="Q28" s="12">
        <v>7604</v>
      </c>
      <c r="R28" s="12">
        <v>4393</v>
      </c>
      <c r="S28" s="12">
        <v>1374</v>
      </c>
      <c r="T28" s="12">
        <v>255</v>
      </c>
      <c r="U28" s="12">
        <v>10007</v>
      </c>
      <c r="V28" s="12">
        <v>12979</v>
      </c>
      <c r="W28" s="12">
        <v>22986</v>
      </c>
      <c r="X28" s="12">
        <v>9848</v>
      </c>
      <c r="Y28" s="12">
        <v>12883</v>
      </c>
      <c r="Z28" s="12">
        <v>22731</v>
      </c>
    </row>
    <row r="29" spans="2:26" x14ac:dyDescent="0.2">
      <c r="B29" s="10" t="s">
        <v>23</v>
      </c>
      <c r="C29" s="12">
        <v>518</v>
      </c>
      <c r="D29" s="12">
        <v>1272</v>
      </c>
      <c r="E29" s="12">
        <v>1312</v>
      </c>
      <c r="F29" s="12">
        <v>589</v>
      </c>
      <c r="G29" s="12">
        <v>160</v>
      </c>
      <c r="H29" s="12">
        <v>46</v>
      </c>
      <c r="I29" s="12">
        <v>953</v>
      </c>
      <c r="J29" s="12">
        <v>1793</v>
      </c>
      <c r="K29" s="12">
        <v>1761</v>
      </c>
      <c r="L29" s="12">
        <v>869</v>
      </c>
      <c r="M29" s="12">
        <v>262</v>
      </c>
      <c r="N29" s="12">
        <v>52</v>
      </c>
      <c r="O29" s="12">
        <v>1471</v>
      </c>
      <c r="P29" s="12">
        <v>3065</v>
      </c>
      <c r="Q29" s="12">
        <v>3073</v>
      </c>
      <c r="R29" s="12">
        <v>1458</v>
      </c>
      <c r="S29" s="12">
        <v>422</v>
      </c>
      <c r="T29" s="12">
        <v>98</v>
      </c>
      <c r="U29" s="12">
        <v>3897</v>
      </c>
      <c r="V29" s="12">
        <v>5690</v>
      </c>
      <c r="W29" s="12">
        <v>9587</v>
      </c>
      <c r="X29" s="12">
        <v>3851</v>
      </c>
      <c r="Y29" s="12">
        <v>5638</v>
      </c>
      <c r="Z29" s="12">
        <v>9489</v>
      </c>
    </row>
    <row r="30" spans="2:26" x14ac:dyDescent="0.2">
      <c r="B30" s="10" t="s">
        <v>24</v>
      </c>
      <c r="C30" s="12">
        <v>1433</v>
      </c>
      <c r="D30" s="12">
        <v>1081</v>
      </c>
      <c r="E30" s="12">
        <v>698</v>
      </c>
      <c r="F30" s="12">
        <v>443</v>
      </c>
      <c r="G30" s="12">
        <v>201</v>
      </c>
      <c r="H30" s="12">
        <v>41</v>
      </c>
      <c r="I30" s="12">
        <v>2796</v>
      </c>
      <c r="J30" s="12">
        <v>2282</v>
      </c>
      <c r="K30" s="12">
        <v>1670</v>
      </c>
      <c r="L30" s="12">
        <v>988</v>
      </c>
      <c r="M30" s="12">
        <v>471</v>
      </c>
      <c r="N30" s="12">
        <v>86</v>
      </c>
      <c r="O30" s="12">
        <v>4229</v>
      </c>
      <c r="P30" s="12">
        <v>3363</v>
      </c>
      <c r="Q30" s="12">
        <v>2368</v>
      </c>
      <c r="R30" s="12">
        <v>1431</v>
      </c>
      <c r="S30" s="12">
        <v>672</v>
      </c>
      <c r="T30" s="12">
        <v>127</v>
      </c>
      <c r="U30" s="12">
        <v>3897</v>
      </c>
      <c r="V30" s="12">
        <v>8293</v>
      </c>
      <c r="W30" s="12">
        <v>12190</v>
      </c>
      <c r="X30" s="12">
        <v>3856</v>
      </c>
      <c r="Y30" s="12">
        <v>8207</v>
      </c>
      <c r="Z30" s="12">
        <v>12063</v>
      </c>
    </row>
    <row r="31" spans="2:26" x14ac:dyDescent="0.2">
      <c r="B31" s="10" t="s">
        <v>25</v>
      </c>
      <c r="C31" s="12">
        <v>856</v>
      </c>
      <c r="D31" s="12">
        <v>519</v>
      </c>
      <c r="E31" s="12">
        <v>356</v>
      </c>
      <c r="F31" s="12">
        <v>217</v>
      </c>
      <c r="G31" s="12">
        <v>98</v>
      </c>
      <c r="H31" s="12">
        <v>30</v>
      </c>
      <c r="I31" s="12">
        <v>1214</v>
      </c>
      <c r="J31" s="12">
        <v>909</v>
      </c>
      <c r="K31" s="12">
        <v>670</v>
      </c>
      <c r="L31" s="12">
        <v>422</v>
      </c>
      <c r="M31" s="12">
        <v>195</v>
      </c>
      <c r="N31" s="12">
        <v>48</v>
      </c>
      <c r="O31" s="12">
        <v>2070</v>
      </c>
      <c r="P31" s="12">
        <v>1428</v>
      </c>
      <c r="Q31" s="12">
        <v>1026</v>
      </c>
      <c r="R31" s="12">
        <v>639</v>
      </c>
      <c r="S31" s="12">
        <v>293</v>
      </c>
      <c r="T31" s="12">
        <v>78</v>
      </c>
      <c r="U31" s="12">
        <v>2076</v>
      </c>
      <c r="V31" s="12">
        <v>3458</v>
      </c>
      <c r="W31" s="12">
        <v>5534</v>
      </c>
      <c r="X31" s="12">
        <v>2046</v>
      </c>
      <c r="Y31" s="12">
        <v>3410</v>
      </c>
      <c r="Z31" s="12">
        <v>5456</v>
      </c>
    </row>
    <row r="32" spans="2:26" x14ac:dyDescent="0.2">
      <c r="B32" s="10" t="s">
        <v>26</v>
      </c>
      <c r="C32" s="12">
        <v>713</v>
      </c>
      <c r="D32" s="12">
        <v>479</v>
      </c>
      <c r="E32" s="12">
        <v>284</v>
      </c>
      <c r="F32" s="12">
        <v>157</v>
      </c>
      <c r="G32" s="12">
        <v>53</v>
      </c>
      <c r="H32" s="12">
        <v>21</v>
      </c>
      <c r="I32" s="12">
        <v>1223</v>
      </c>
      <c r="J32" s="12">
        <v>990</v>
      </c>
      <c r="K32" s="12">
        <v>692</v>
      </c>
      <c r="L32" s="12">
        <v>402</v>
      </c>
      <c r="M32" s="12">
        <v>155</v>
      </c>
      <c r="N32" s="12">
        <v>33</v>
      </c>
      <c r="O32" s="12">
        <v>1936</v>
      </c>
      <c r="P32" s="12">
        <v>1469</v>
      </c>
      <c r="Q32" s="12">
        <v>976</v>
      </c>
      <c r="R32" s="12">
        <v>559</v>
      </c>
      <c r="S32" s="12">
        <v>208</v>
      </c>
      <c r="T32" s="12">
        <v>54</v>
      </c>
      <c r="U32" s="12">
        <v>1707</v>
      </c>
      <c r="V32" s="12">
        <v>3495</v>
      </c>
      <c r="W32" s="12">
        <v>5202</v>
      </c>
      <c r="X32" s="12">
        <v>1686</v>
      </c>
      <c r="Y32" s="12">
        <v>3462</v>
      </c>
      <c r="Z32" s="12">
        <v>5148</v>
      </c>
    </row>
    <row r="33" spans="1:71" x14ac:dyDescent="0.2">
      <c r="B33" s="10" t="s">
        <v>27</v>
      </c>
      <c r="C33" s="12">
        <v>896</v>
      </c>
      <c r="D33" s="12">
        <v>720</v>
      </c>
      <c r="E33" s="12">
        <v>341</v>
      </c>
      <c r="F33" s="12">
        <v>119</v>
      </c>
      <c r="G33" s="12">
        <v>55</v>
      </c>
      <c r="H33" s="12">
        <v>78</v>
      </c>
      <c r="I33" s="12">
        <v>1430</v>
      </c>
      <c r="J33" s="12">
        <v>804</v>
      </c>
      <c r="K33" s="12">
        <v>330</v>
      </c>
      <c r="L33" s="12">
        <v>141</v>
      </c>
      <c r="M33" s="12">
        <v>78</v>
      </c>
      <c r="N33" s="12">
        <v>92</v>
      </c>
      <c r="O33" s="12">
        <v>2326</v>
      </c>
      <c r="P33" s="12">
        <v>1524</v>
      </c>
      <c r="Q33" s="12">
        <v>671</v>
      </c>
      <c r="R33" s="12">
        <v>260</v>
      </c>
      <c r="S33" s="12">
        <v>133</v>
      </c>
      <c r="T33" s="12">
        <v>170</v>
      </c>
      <c r="U33" s="12">
        <v>2209</v>
      </c>
      <c r="V33" s="12">
        <v>2875</v>
      </c>
      <c r="W33" s="12">
        <v>5084</v>
      </c>
      <c r="X33" s="12">
        <v>2131</v>
      </c>
      <c r="Y33" s="12">
        <v>2783</v>
      </c>
      <c r="Z33" s="12">
        <v>4914</v>
      </c>
    </row>
    <row r="34" spans="1:71" x14ac:dyDescent="0.2">
      <c r="B34" s="10" t="s">
        <v>28</v>
      </c>
      <c r="C34" s="12">
        <v>873</v>
      </c>
      <c r="D34" s="12">
        <v>657</v>
      </c>
      <c r="E34" s="12">
        <v>512</v>
      </c>
      <c r="F34" s="12">
        <v>277</v>
      </c>
      <c r="G34" s="12">
        <v>96</v>
      </c>
      <c r="H34" s="12">
        <v>23</v>
      </c>
      <c r="I34" s="12">
        <v>1299</v>
      </c>
      <c r="J34" s="12">
        <v>976</v>
      </c>
      <c r="K34" s="12">
        <v>563</v>
      </c>
      <c r="L34" s="12">
        <v>276</v>
      </c>
      <c r="M34" s="12">
        <v>64</v>
      </c>
      <c r="N34" s="12">
        <v>25</v>
      </c>
      <c r="O34" s="12">
        <v>2172</v>
      </c>
      <c r="P34" s="12">
        <v>1633</v>
      </c>
      <c r="Q34" s="12">
        <v>1075</v>
      </c>
      <c r="R34" s="12">
        <v>553</v>
      </c>
      <c r="S34" s="12">
        <v>160</v>
      </c>
      <c r="T34" s="12">
        <v>48</v>
      </c>
      <c r="U34" s="12">
        <v>2438</v>
      </c>
      <c r="V34" s="12">
        <v>3203</v>
      </c>
      <c r="W34" s="12">
        <v>5641</v>
      </c>
      <c r="X34" s="12">
        <v>2415</v>
      </c>
      <c r="Y34" s="12">
        <v>3178</v>
      </c>
      <c r="Z34" s="12">
        <v>5593</v>
      </c>
    </row>
    <row r="35" spans="1:71" x14ac:dyDescent="0.2">
      <c r="B35" s="10" t="s">
        <v>29</v>
      </c>
      <c r="C35" s="12">
        <v>1212</v>
      </c>
      <c r="D35" s="12">
        <v>1341</v>
      </c>
      <c r="E35" s="12">
        <v>1153</v>
      </c>
      <c r="F35" s="12">
        <v>662</v>
      </c>
      <c r="G35" s="12">
        <v>305</v>
      </c>
      <c r="H35" s="12">
        <v>70</v>
      </c>
      <c r="I35" s="12">
        <v>2814</v>
      </c>
      <c r="J35" s="12">
        <v>3015</v>
      </c>
      <c r="K35" s="12">
        <v>2467</v>
      </c>
      <c r="L35" s="12">
        <v>1253</v>
      </c>
      <c r="M35" s="12">
        <v>494</v>
      </c>
      <c r="N35" s="12">
        <v>114</v>
      </c>
      <c r="O35" s="12">
        <v>4026</v>
      </c>
      <c r="P35" s="12">
        <v>4356</v>
      </c>
      <c r="Q35" s="12">
        <v>3620</v>
      </c>
      <c r="R35" s="12">
        <v>1915</v>
      </c>
      <c r="S35" s="12">
        <v>799</v>
      </c>
      <c r="T35" s="12">
        <v>184</v>
      </c>
      <c r="U35" s="12">
        <v>4743</v>
      </c>
      <c r="V35" s="12">
        <v>10157</v>
      </c>
      <c r="W35" s="12">
        <v>14900</v>
      </c>
      <c r="X35" s="12">
        <v>4673</v>
      </c>
      <c r="Y35" s="12">
        <v>10043</v>
      </c>
      <c r="Z35" s="12">
        <v>14716</v>
      </c>
    </row>
    <row r="36" spans="1:71" x14ac:dyDescent="0.2">
      <c r="B36" s="10" t="s">
        <v>30</v>
      </c>
      <c r="C36" s="12">
        <v>758</v>
      </c>
      <c r="D36" s="12">
        <v>987</v>
      </c>
      <c r="E36" s="12">
        <v>1282</v>
      </c>
      <c r="F36" s="12">
        <v>1139</v>
      </c>
      <c r="G36" s="12">
        <v>667</v>
      </c>
      <c r="H36" s="12">
        <v>198</v>
      </c>
      <c r="I36" s="12">
        <v>826</v>
      </c>
      <c r="J36" s="12">
        <v>984</v>
      </c>
      <c r="K36" s="12">
        <v>955</v>
      </c>
      <c r="L36" s="12">
        <v>773</v>
      </c>
      <c r="M36" s="12">
        <v>369</v>
      </c>
      <c r="N36" s="12">
        <v>72</v>
      </c>
      <c r="O36" s="12">
        <v>1584</v>
      </c>
      <c r="P36" s="12">
        <v>1971</v>
      </c>
      <c r="Q36" s="12">
        <v>2237</v>
      </c>
      <c r="R36" s="12">
        <v>1912</v>
      </c>
      <c r="S36" s="12">
        <v>1036</v>
      </c>
      <c r="T36" s="12">
        <v>270</v>
      </c>
      <c r="U36" s="12">
        <v>5031</v>
      </c>
      <c r="V36" s="12">
        <v>3979</v>
      </c>
      <c r="W36" s="12">
        <v>9010</v>
      </c>
      <c r="X36" s="12">
        <v>4833</v>
      </c>
      <c r="Y36" s="12">
        <v>3907</v>
      </c>
      <c r="Z36" s="12">
        <v>8740</v>
      </c>
    </row>
    <row r="37" spans="1:71" x14ac:dyDescent="0.2">
      <c r="B37" s="10" t="s">
        <v>31</v>
      </c>
      <c r="C37" s="12">
        <v>1291</v>
      </c>
      <c r="D37" s="12">
        <v>2354</v>
      </c>
      <c r="E37" s="12">
        <v>3261</v>
      </c>
      <c r="F37" s="12">
        <v>3165</v>
      </c>
      <c r="G37" s="12">
        <v>1985</v>
      </c>
      <c r="H37" s="12">
        <v>477</v>
      </c>
      <c r="I37" s="12">
        <v>1852</v>
      </c>
      <c r="J37" s="12">
        <v>2136</v>
      </c>
      <c r="K37" s="12">
        <v>2253</v>
      </c>
      <c r="L37" s="12">
        <v>1701</v>
      </c>
      <c r="M37" s="12">
        <v>860</v>
      </c>
      <c r="N37" s="12">
        <v>198</v>
      </c>
      <c r="O37" s="12">
        <v>3143</v>
      </c>
      <c r="P37" s="12">
        <v>4490</v>
      </c>
      <c r="Q37" s="12">
        <v>5514</v>
      </c>
      <c r="R37" s="12">
        <v>4866</v>
      </c>
      <c r="S37" s="12">
        <v>2845</v>
      </c>
      <c r="T37" s="12">
        <v>675</v>
      </c>
      <c r="U37" s="12">
        <v>12533</v>
      </c>
      <c r="V37" s="12">
        <v>9000</v>
      </c>
      <c r="W37" s="12">
        <v>21533</v>
      </c>
      <c r="X37" s="12">
        <v>12056</v>
      </c>
      <c r="Y37" s="12">
        <v>8802</v>
      </c>
      <c r="Z37" s="12">
        <v>20858</v>
      </c>
    </row>
    <row r="38" spans="1:71" x14ac:dyDescent="0.2">
      <c r="B38" s="10" t="s">
        <v>32</v>
      </c>
      <c r="C38" s="12">
        <v>3259</v>
      </c>
      <c r="D38" s="12">
        <v>4316</v>
      </c>
      <c r="E38" s="12">
        <v>6082</v>
      </c>
      <c r="F38" s="12">
        <v>6472</v>
      </c>
      <c r="G38" s="12">
        <v>5138</v>
      </c>
      <c r="H38" s="12">
        <v>2336</v>
      </c>
      <c r="I38" s="12">
        <v>3890</v>
      </c>
      <c r="J38" s="12">
        <v>5619</v>
      </c>
      <c r="K38" s="12">
        <v>7525</v>
      </c>
      <c r="L38" s="12">
        <v>7596</v>
      </c>
      <c r="M38" s="12">
        <v>5426</v>
      </c>
      <c r="N38" s="12">
        <v>1994</v>
      </c>
      <c r="O38" s="12">
        <v>7149</v>
      </c>
      <c r="P38" s="12">
        <v>9935</v>
      </c>
      <c r="Q38" s="12">
        <v>13607</v>
      </c>
      <c r="R38" s="12">
        <v>14068</v>
      </c>
      <c r="S38" s="12">
        <v>10564</v>
      </c>
      <c r="T38" s="12">
        <v>4330</v>
      </c>
      <c r="U38" s="12">
        <v>27603</v>
      </c>
      <c r="V38" s="12">
        <v>32050</v>
      </c>
      <c r="W38" s="12">
        <v>59653</v>
      </c>
      <c r="X38" s="12">
        <v>25267</v>
      </c>
      <c r="Y38" s="12">
        <v>30056</v>
      </c>
      <c r="Z38" s="12">
        <v>55323</v>
      </c>
    </row>
    <row r="39" spans="1:71" x14ac:dyDescent="0.2">
      <c r="B39" s="10" t="s">
        <v>46</v>
      </c>
      <c r="C39" s="12">
        <v>74910</v>
      </c>
      <c r="D39" s="12">
        <v>73512</v>
      </c>
      <c r="E39" s="12">
        <v>75608</v>
      </c>
      <c r="F39" s="12">
        <v>58918</v>
      </c>
      <c r="G39" s="12">
        <v>34062</v>
      </c>
      <c r="H39" s="12">
        <v>11217</v>
      </c>
      <c r="I39" s="12">
        <v>97015</v>
      </c>
      <c r="J39" s="12">
        <v>96755</v>
      </c>
      <c r="K39" s="12">
        <v>92020</v>
      </c>
      <c r="L39" s="12">
        <v>62341</v>
      </c>
      <c r="M39" s="12">
        <v>30032</v>
      </c>
      <c r="N39" s="12">
        <v>8813</v>
      </c>
      <c r="O39" s="12">
        <v>171925</v>
      </c>
      <c r="P39" s="12">
        <v>170267</v>
      </c>
      <c r="Q39" s="12">
        <v>167628</v>
      </c>
      <c r="R39" s="12">
        <v>121259</v>
      </c>
      <c r="S39" s="12">
        <v>64094</v>
      </c>
      <c r="T39" s="12">
        <v>20030</v>
      </c>
      <c r="U39" s="12">
        <v>328227</v>
      </c>
      <c r="V39" s="12">
        <v>386976</v>
      </c>
      <c r="W39" s="12">
        <v>715203</v>
      </c>
      <c r="X39" s="12">
        <v>317010</v>
      </c>
      <c r="Y39" s="12">
        <v>378163</v>
      </c>
      <c r="Z39" s="12">
        <v>695173</v>
      </c>
      <c r="AB39" s="74"/>
      <c r="AC39" s="74"/>
      <c r="AD39" s="74"/>
      <c r="AE39" s="74"/>
      <c r="AF39" s="74"/>
      <c r="AG39" s="74"/>
      <c r="AH39" s="74"/>
      <c r="AI39" s="74"/>
      <c r="AJ39" s="74"/>
      <c r="AK39" s="74"/>
      <c r="AL39" s="74"/>
      <c r="AM39" s="74"/>
      <c r="AN39" s="118"/>
      <c r="AO39" s="74"/>
      <c r="AP39" s="74"/>
      <c r="AQ39" s="74"/>
      <c r="AR39" s="74"/>
      <c r="AS39" s="74"/>
      <c r="AT39" s="74"/>
      <c r="AU39" s="74"/>
      <c r="AV39" s="74"/>
      <c r="AW39" s="74"/>
      <c r="AX39" s="74"/>
      <c r="AY39" s="77"/>
      <c r="AZ39" s="77"/>
      <c r="BA39" s="77"/>
      <c r="BB39" s="77"/>
      <c r="BC39" s="77"/>
      <c r="BD39" s="77"/>
      <c r="BE39" s="77"/>
      <c r="BF39" s="77"/>
      <c r="BG39" s="77"/>
      <c r="BH39" s="77"/>
      <c r="BI39" s="77"/>
      <c r="BJ39" s="77"/>
      <c r="BK39" s="119"/>
      <c r="BL39" s="77"/>
      <c r="BM39" s="77"/>
      <c r="BN39" s="77"/>
      <c r="BO39" s="77"/>
      <c r="BP39" s="77"/>
      <c r="BQ39" s="77"/>
      <c r="BR39" s="77"/>
      <c r="BS39" s="77"/>
    </row>
    <row r="40" spans="1:71" x14ac:dyDescent="0.2">
      <c r="AB40" s="74"/>
      <c r="AC40" s="74"/>
      <c r="AD40" s="74"/>
      <c r="AE40" s="74"/>
      <c r="AF40" s="74"/>
      <c r="AG40" s="74"/>
      <c r="AH40" s="74"/>
      <c r="AI40" s="74"/>
      <c r="AJ40" s="74"/>
      <c r="AK40" s="74"/>
      <c r="AL40" s="74"/>
      <c r="AM40" s="74"/>
      <c r="AN40" s="74"/>
      <c r="AO40" s="74"/>
      <c r="AP40" s="74"/>
      <c r="AQ40" s="74"/>
      <c r="AR40" s="74"/>
      <c r="AS40" s="74"/>
      <c r="AT40" s="74"/>
      <c r="AU40" s="74"/>
      <c r="AV40" s="74"/>
      <c r="AW40" s="74"/>
      <c r="AX40" s="74"/>
      <c r="AY40" s="77"/>
      <c r="AZ40" s="77"/>
      <c r="BA40" s="77"/>
      <c r="BB40" s="77"/>
      <c r="BC40" s="77"/>
      <c r="BD40" s="77"/>
      <c r="BE40" s="77"/>
      <c r="BF40" s="77"/>
      <c r="BG40" s="77"/>
      <c r="BH40" s="77"/>
      <c r="BI40" s="77"/>
      <c r="BJ40" s="77"/>
      <c r="BK40" s="77"/>
      <c r="BL40" s="77"/>
      <c r="BM40" s="77"/>
      <c r="BN40" s="77"/>
      <c r="BO40" s="77"/>
      <c r="BP40" s="77"/>
      <c r="BQ40" s="77"/>
      <c r="BR40" s="77"/>
      <c r="BS40" s="77"/>
    </row>
    <row r="41" spans="1:71" x14ac:dyDescent="0.2">
      <c r="A41" s="14"/>
      <c r="B41" s="10" t="s">
        <v>0</v>
      </c>
      <c r="C41" s="4">
        <v>23.3</v>
      </c>
      <c r="D41" s="4">
        <v>21.1</v>
      </c>
      <c r="E41" s="4">
        <v>20.5</v>
      </c>
      <c r="F41" s="4">
        <v>17.3</v>
      </c>
      <c r="G41" s="4">
        <v>12.9</v>
      </c>
      <c r="H41" s="4">
        <v>95.2</v>
      </c>
      <c r="I41" s="13">
        <v>19300</v>
      </c>
      <c r="J41" s="4">
        <v>25.6</v>
      </c>
      <c r="K41" s="4">
        <v>21.9</v>
      </c>
      <c r="L41" s="4">
        <v>20.7</v>
      </c>
      <c r="M41" s="4">
        <v>16.5</v>
      </c>
      <c r="N41" s="4">
        <v>11.3</v>
      </c>
      <c r="O41" s="4">
        <v>96</v>
      </c>
      <c r="P41" s="13">
        <v>27324</v>
      </c>
      <c r="Q41" s="4">
        <v>24.7</v>
      </c>
      <c r="R41" s="4">
        <v>21.5</v>
      </c>
      <c r="S41" s="4">
        <v>20.6</v>
      </c>
      <c r="T41" s="4">
        <v>16.8</v>
      </c>
      <c r="U41" s="4">
        <v>12</v>
      </c>
      <c r="V41" s="4">
        <v>95.7</v>
      </c>
      <c r="W41" s="13">
        <v>46624</v>
      </c>
      <c r="AA41" s="74"/>
      <c r="AB41" s="93"/>
      <c r="AC41" s="93"/>
      <c r="AD41" s="93"/>
      <c r="AE41" s="93"/>
      <c r="AF41" s="93"/>
      <c r="AG41" s="93"/>
      <c r="AH41" s="96"/>
      <c r="AI41" s="93"/>
      <c r="AJ41" s="93"/>
      <c r="AK41" s="93"/>
      <c r="AL41" s="93"/>
      <c r="AM41" s="93"/>
      <c r="AN41" s="93"/>
      <c r="AO41" s="96"/>
      <c r="AP41" s="93"/>
      <c r="AQ41" s="93"/>
      <c r="AR41" s="93"/>
      <c r="AS41" s="93"/>
      <c r="AT41" s="93"/>
      <c r="AU41" s="93"/>
      <c r="AV41" s="96"/>
      <c r="AX41" s="77"/>
      <c r="AY41" s="80"/>
      <c r="AZ41" s="80"/>
      <c r="BA41" s="80"/>
      <c r="BB41" s="80"/>
      <c r="BC41" s="80"/>
      <c r="BD41" s="80"/>
      <c r="BE41" s="80"/>
      <c r="BF41" s="80"/>
      <c r="BG41" s="80"/>
      <c r="BH41" s="80"/>
      <c r="BI41" s="80"/>
      <c r="BJ41" s="80"/>
      <c r="BK41" s="80"/>
      <c r="BL41" s="80"/>
      <c r="BM41" s="80"/>
      <c r="BN41" s="80"/>
      <c r="BO41" s="80"/>
      <c r="BP41" s="80"/>
      <c r="BQ41" s="80"/>
      <c r="BR41" s="80"/>
      <c r="BS41" s="80"/>
    </row>
    <row r="42" spans="1:71" x14ac:dyDescent="0.2">
      <c r="A42" s="14"/>
      <c r="B42" s="10" t="s">
        <v>1</v>
      </c>
      <c r="C42" s="4">
        <v>30.6</v>
      </c>
      <c r="D42" s="4">
        <v>23.5</v>
      </c>
      <c r="E42" s="4">
        <v>18.7</v>
      </c>
      <c r="F42" s="4">
        <v>14.1</v>
      </c>
      <c r="G42" s="4">
        <v>9.5</v>
      </c>
      <c r="H42" s="4">
        <v>96.5</v>
      </c>
      <c r="I42" s="13">
        <v>17720</v>
      </c>
      <c r="J42" s="4">
        <v>32.700000000000003</v>
      </c>
      <c r="K42" s="4">
        <v>25.2</v>
      </c>
      <c r="L42" s="4">
        <v>19</v>
      </c>
      <c r="M42" s="4">
        <v>12.9</v>
      </c>
      <c r="N42" s="4">
        <v>7.7</v>
      </c>
      <c r="O42" s="4">
        <v>97.5</v>
      </c>
      <c r="P42" s="13">
        <v>16814</v>
      </c>
      <c r="Q42" s="4">
        <v>31.7</v>
      </c>
      <c r="R42" s="4">
        <v>24.3</v>
      </c>
      <c r="S42" s="4">
        <v>18.899999999999999</v>
      </c>
      <c r="T42" s="4">
        <v>13.5</v>
      </c>
      <c r="U42" s="4">
        <v>8.6</v>
      </c>
      <c r="V42" s="4">
        <v>97</v>
      </c>
      <c r="W42" s="13">
        <v>34534</v>
      </c>
      <c r="AA42" s="74"/>
      <c r="AB42" s="93"/>
      <c r="AC42" s="93"/>
      <c r="AD42" s="93"/>
      <c r="AE42" s="93"/>
      <c r="AF42" s="93"/>
      <c r="AG42" s="93"/>
      <c r="AH42" s="96"/>
      <c r="AI42" s="93"/>
      <c r="AJ42" s="93"/>
      <c r="AK42" s="93"/>
      <c r="AL42" s="93"/>
      <c r="AM42" s="93"/>
      <c r="AN42" s="93"/>
      <c r="AO42" s="96"/>
      <c r="AP42" s="93"/>
      <c r="AQ42" s="93"/>
      <c r="AR42" s="93"/>
      <c r="AS42" s="93"/>
      <c r="AT42" s="93"/>
      <c r="AU42" s="93"/>
      <c r="AV42" s="96"/>
      <c r="AX42" s="77"/>
      <c r="AY42" s="80"/>
      <c r="AZ42" s="80"/>
      <c r="BA42" s="80"/>
      <c r="BB42" s="80"/>
      <c r="BC42" s="80"/>
      <c r="BD42" s="80"/>
      <c r="BE42" s="80"/>
      <c r="BF42" s="80"/>
      <c r="BG42" s="80"/>
      <c r="BH42" s="80"/>
      <c r="BI42" s="80"/>
      <c r="BJ42" s="80"/>
      <c r="BK42" s="80"/>
      <c r="BL42" s="80"/>
      <c r="BM42" s="80"/>
      <c r="BN42" s="80"/>
      <c r="BO42" s="80"/>
      <c r="BP42" s="80"/>
      <c r="BQ42" s="80"/>
      <c r="BR42" s="80"/>
      <c r="BS42" s="80"/>
    </row>
    <row r="43" spans="1:71" x14ac:dyDescent="0.2">
      <c r="A43" s="14"/>
      <c r="B43" s="10" t="s">
        <v>2</v>
      </c>
      <c r="C43" s="4">
        <v>28.2</v>
      </c>
      <c r="D43" s="4">
        <v>21.1</v>
      </c>
      <c r="E43" s="4">
        <v>18.7</v>
      </c>
      <c r="F43" s="4">
        <v>15.4</v>
      </c>
      <c r="G43" s="4">
        <v>11.9</v>
      </c>
      <c r="H43" s="4">
        <v>95.3</v>
      </c>
      <c r="I43" s="13">
        <v>18687</v>
      </c>
      <c r="J43" s="4">
        <v>36</v>
      </c>
      <c r="K43" s="4">
        <v>22.6</v>
      </c>
      <c r="L43" s="4">
        <v>17.399999999999999</v>
      </c>
      <c r="M43" s="4">
        <v>12.4</v>
      </c>
      <c r="N43" s="4">
        <v>8.8000000000000007</v>
      </c>
      <c r="O43" s="4">
        <v>97.3</v>
      </c>
      <c r="P43" s="13">
        <v>4970</v>
      </c>
      <c r="Q43" s="4">
        <v>29.8</v>
      </c>
      <c r="R43" s="4">
        <v>21.4</v>
      </c>
      <c r="S43" s="4">
        <v>18.399999999999999</v>
      </c>
      <c r="T43" s="4">
        <v>14.8</v>
      </c>
      <c r="U43" s="4">
        <v>11.3</v>
      </c>
      <c r="V43" s="4">
        <v>95.7</v>
      </c>
      <c r="W43" s="13">
        <v>23657</v>
      </c>
      <c r="AA43" s="74"/>
      <c r="AB43" s="93"/>
      <c r="AC43" s="93"/>
      <c r="AD43" s="93"/>
      <c r="AE43" s="93"/>
      <c r="AF43" s="93"/>
      <c r="AG43" s="93"/>
      <c r="AH43" s="96"/>
      <c r="AI43" s="93"/>
      <c r="AJ43" s="93"/>
      <c r="AK43" s="93"/>
      <c r="AL43" s="93"/>
      <c r="AM43" s="93"/>
      <c r="AN43" s="93"/>
      <c r="AO43" s="96"/>
      <c r="AP43" s="93"/>
      <c r="AQ43" s="93"/>
      <c r="AR43" s="93"/>
      <c r="AS43" s="93"/>
      <c r="AT43" s="93"/>
      <c r="AU43" s="93"/>
      <c r="AV43" s="96"/>
      <c r="AX43" s="77"/>
      <c r="AY43" s="80"/>
      <c r="AZ43" s="80"/>
      <c r="BA43" s="80"/>
      <c r="BB43" s="80"/>
      <c r="BC43" s="80"/>
      <c r="BD43" s="80"/>
      <c r="BE43" s="80"/>
      <c r="BF43" s="80"/>
      <c r="BG43" s="80"/>
      <c r="BH43" s="80"/>
      <c r="BI43" s="80"/>
      <c r="BJ43" s="80"/>
      <c r="BK43" s="80"/>
      <c r="BL43" s="80"/>
      <c r="BM43" s="80"/>
      <c r="BN43" s="80"/>
      <c r="BO43" s="80"/>
      <c r="BP43" s="80"/>
      <c r="BQ43" s="80"/>
      <c r="BR43" s="80"/>
      <c r="BS43" s="80"/>
    </row>
    <row r="44" spans="1:71" x14ac:dyDescent="0.2">
      <c r="A44" s="14"/>
      <c r="B44" s="10" t="s">
        <v>3</v>
      </c>
      <c r="C44" s="4">
        <v>23.7</v>
      </c>
      <c r="D44" s="4">
        <v>20.8</v>
      </c>
      <c r="E44" s="4">
        <v>20.2</v>
      </c>
      <c r="F44" s="4">
        <v>17.899999999999999</v>
      </c>
      <c r="G44" s="4">
        <v>13.8</v>
      </c>
      <c r="H44" s="4">
        <v>96.3</v>
      </c>
      <c r="I44" s="13">
        <v>2616</v>
      </c>
      <c r="J44" s="4">
        <v>21.1</v>
      </c>
      <c r="K44" s="4">
        <v>22.3</v>
      </c>
      <c r="L44" s="4">
        <v>23.7</v>
      </c>
      <c r="M44" s="4">
        <v>18.100000000000001</v>
      </c>
      <c r="N44" s="4">
        <v>12.4</v>
      </c>
      <c r="O44" s="4">
        <v>97.6</v>
      </c>
      <c r="P44" s="13">
        <v>983</v>
      </c>
      <c r="Q44" s="4">
        <v>23</v>
      </c>
      <c r="R44" s="4">
        <v>21.2</v>
      </c>
      <c r="S44" s="4">
        <v>21.1</v>
      </c>
      <c r="T44" s="4">
        <v>17.899999999999999</v>
      </c>
      <c r="U44" s="4">
        <v>13.4</v>
      </c>
      <c r="V44" s="4">
        <v>96.6</v>
      </c>
      <c r="W44" s="13">
        <v>3599</v>
      </c>
      <c r="AA44" s="74"/>
      <c r="AB44" s="93"/>
      <c r="AC44" s="93"/>
      <c r="AD44" s="93"/>
      <c r="AE44" s="93"/>
      <c r="AF44" s="93"/>
      <c r="AG44" s="93"/>
      <c r="AH44" s="96"/>
      <c r="AI44" s="93"/>
      <c r="AJ44" s="93"/>
      <c r="AK44" s="93"/>
      <c r="AL44" s="93"/>
      <c r="AM44" s="93"/>
      <c r="AN44" s="93"/>
      <c r="AO44" s="96"/>
      <c r="AP44" s="93"/>
      <c r="AQ44" s="93"/>
      <c r="AR44" s="93"/>
      <c r="AS44" s="93"/>
      <c r="AT44" s="93"/>
      <c r="AU44" s="93"/>
      <c r="AV44" s="96"/>
      <c r="AX44" s="77"/>
      <c r="AY44" s="80"/>
      <c r="AZ44" s="80"/>
      <c r="BA44" s="80"/>
      <c r="BB44" s="80"/>
      <c r="BC44" s="80"/>
      <c r="BD44" s="80"/>
      <c r="BE44" s="80"/>
      <c r="BF44" s="80"/>
      <c r="BG44" s="80"/>
      <c r="BH44" s="80"/>
      <c r="BI44" s="80"/>
      <c r="BJ44" s="80"/>
      <c r="BK44" s="80"/>
      <c r="BL44" s="80"/>
      <c r="BM44" s="80"/>
      <c r="BN44" s="80"/>
      <c r="BO44" s="80"/>
      <c r="BP44" s="80"/>
      <c r="BQ44" s="80"/>
      <c r="BR44" s="80"/>
      <c r="BS44" s="80"/>
    </row>
    <row r="45" spans="1:71" x14ac:dyDescent="0.2">
      <c r="A45" s="14"/>
      <c r="B45" s="10" t="s">
        <v>4</v>
      </c>
      <c r="C45" s="4">
        <v>41.8</v>
      </c>
      <c r="D45" s="4">
        <v>20.6</v>
      </c>
      <c r="E45" s="4">
        <v>15.7</v>
      </c>
      <c r="F45" s="4">
        <v>11.6</v>
      </c>
      <c r="G45" s="4">
        <v>7.6</v>
      </c>
      <c r="H45" s="4">
        <v>97.3</v>
      </c>
      <c r="I45" s="13">
        <v>30637</v>
      </c>
      <c r="J45" s="4">
        <v>45.7</v>
      </c>
      <c r="K45" s="4">
        <v>22.2</v>
      </c>
      <c r="L45" s="4">
        <v>15.3</v>
      </c>
      <c r="M45" s="4">
        <v>9.5</v>
      </c>
      <c r="N45" s="4">
        <v>5.4</v>
      </c>
      <c r="O45" s="4">
        <v>98.1</v>
      </c>
      <c r="P45" s="13">
        <v>19168</v>
      </c>
      <c r="Q45" s="4">
        <v>43.3</v>
      </c>
      <c r="R45" s="4">
        <v>21.2</v>
      </c>
      <c r="S45" s="4">
        <v>15.6</v>
      </c>
      <c r="T45" s="4">
        <v>10.8</v>
      </c>
      <c r="U45" s="4">
        <v>6.7</v>
      </c>
      <c r="V45" s="4">
        <v>97.6</v>
      </c>
      <c r="W45" s="13">
        <v>49805</v>
      </c>
      <c r="AA45" s="74"/>
      <c r="AB45" s="93"/>
      <c r="AC45" s="93"/>
      <c r="AD45" s="93"/>
      <c r="AE45" s="93"/>
      <c r="AF45" s="93"/>
      <c r="AG45" s="93"/>
      <c r="AH45" s="96"/>
      <c r="AI45" s="93"/>
      <c r="AJ45" s="93"/>
      <c r="AK45" s="93"/>
      <c r="AL45" s="93"/>
      <c r="AM45" s="93"/>
      <c r="AN45" s="93"/>
      <c r="AO45" s="96"/>
      <c r="AP45" s="93"/>
      <c r="AQ45" s="93"/>
      <c r="AR45" s="93"/>
      <c r="AS45" s="93"/>
      <c r="AT45" s="93"/>
      <c r="AU45" s="93"/>
      <c r="AV45" s="96"/>
      <c r="AX45" s="77"/>
      <c r="AY45" s="80"/>
      <c r="AZ45" s="80"/>
      <c r="BA45" s="80"/>
      <c r="BB45" s="80"/>
      <c r="BC45" s="80"/>
      <c r="BD45" s="80"/>
      <c r="BE45" s="80"/>
      <c r="BF45" s="80"/>
      <c r="BG45" s="80"/>
      <c r="BH45" s="80"/>
      <c r="BI45" s="80"/>
      <c r="BJ45" s="80"/>
      <c r="BK45" s="80"/>
      <c r="BL45" s="80"/>
      <c r="BM45" s="80"/>
      <c r="BN45" s="80"/>
      <c r="BO45" s="80"/>
      <c r="BP45" s="80"/>
      <c r="BQ45" s="80"/>
      <c r="BR45" s="80"/>
      <c r="BS45" s="80"/>
    </row>
    <row r="46" spans="1:71" x14ac:dyDescent="0.2">
      <c r="A46" s="14"/>
      <c r="B46" s="10" t="s">
        <v>5</v>
      </c>
      <c r="C46" s="4">
        <v>57.5</v>
      </c>
      <c r="D46" s="4">
        <v>19.2</v>
      </c>
      <c r="E46" s="4">
        <v>11.7</v>
      </c>
      <c r="F46" s="4">
        <v>6.9</v>
      </c>
      <c r="G46" s="4">
        <v>3.5</v>
      </c>
      <c r="H46" s="4">
        <v>98.7</v>
      </c>
      <c r="I46" s="13">
        <v>4595</v>
      </c>
      <c r="J46" s="4">
        <v>58.3</v>
      </c>
      <c r="K46" s="4">
        <v>20.100000000000001</v>
      </c>
      <c r="L46" s="4">
        <v>11.9</v>
      </c>
      <c r="M46" s="4">
        <v>5.5</v>
      </c>
      <c r="N46" s="4">
        <v>3.6</v>
      </c>
      <c r="O46" s="4">
        <v>99.3</v>
      </c>
      <c r="P46" s="13">
        <v>1921</v>
      </c>
      <c r="Q46" s="4">
        <v>57.8</v>
      </c>
      <c r="R46" s="4">
        <v>19.399999999999999</v>
      </c>
      <c r="S46" s="4">
        <v>11.7</v>
      </c>
      <c r="T46" s="4">
        <v>6.5</v>
      </c>
      <c r="U46" s="4">
        <v>3.5</v>
      </c>
      <c r="V46" s="4">
        <v>98.9</v>
      </c>
      <c r="W46" s="13">
        <v>6516</v>
      </c>
      <c r="AA46" s="74"/>
      <c r="AB46" s="93"/>
      <c r="AC46" s="93"/>
      <c r="AD46" s="93"/>
      <c r="AE46" s="93"/>
      <c r="AF46" s="93"/>
      <c r="AG46" s="93"/>
      <c r="AH46" s="96"/>
      <c r="AI46" s="93"/>
      <c r="AJ46" s="93"/>
      <c r="AK46" s="93"/>
      <c r="AL46" s="93"/>
      <c r="AM46" s="93"/>
      <c r="AN46" s="93"/>
      <c r="AO46" s="96"/>
      <c r="AP46" s="93"/>
      <c r="AQ46" s="93"/>
      <c r="AR46" s="93"/>
      <c r="AS46" s="93"/>
      <c r="AT46" s="93"/>
      <c r="AU46" s="93"/>
      <c r="AV46" s="96"/>
      <c r="AX46" s="77"/>
      <c r="AY46" s="80"/>
      <c r="AZ46" s="80"/>
      <c r="BA46" s="80"/>
      <c r="BB46" s="80"/>
      <c r="BC46" s="80"/>
      <c r="BD46" s="80"/>
      <c r="BE46" s="80"/>
      <c r="BF46" s="80"/>
      <c r="BG46" s="80"/>
      <c r="BH46" s="80"/>
      <c r="BI46" s="80"/>
      <c r="BJ46" s="80"/>
      <c r="BK46" s="80"/>
      <c r="BL46" s="80"/>
      <c r="BM46" s="80"/>
      <c r="BN46" s="80"/>
      <c r="BO46" s="80"/>
      <c r="BP46" s="80"/>
      <c r="BQ46" s="80"/>
      <c r="BR46" s="80"/>
      <c r="BS46" s="80"/>
    </row>
    <row r="47" spans="1:71" x14ac:dyDescent="0.2">
      <c r="A47" s="14"/>
      <c r="B47" s="10" t="s">
        <v>6</v>
      </c>
      <c r="C47" s="4">
        <v>14</v>
      </c>
      <c r="D47" s="4">
        <v>21.8</v>
      </c>
      <c r="E47" s="4">
        <v>26.9</v>
      </c>
      <c r="F47" s="4">
        <v>22.3</v>
      </c>
      <c r="G47" s="4">
        <v>11.6</v>
      </c>
      <c r="H47" s="4">
        <v>96.7</v>
      </c>
      <c r="I47" s="13">
        <v>9696</v>
      </c>
      <c r="J47" s="4">
        <v>21.1</v>
      </c>
      <c r="K47" s="4">
        <v>26.4</v>
      </c>
      <c r="L47" s="4">
        <v>26.8</v>
      </c>
      <c r="M47" s="4">
        <v>16.899999999999999</v>
      </c>
      <c r="N47" s="4">
        <v>7.2</v>
      </c>
      <c r="O47" s="4">
        <v>98.5</v>
      </c>
      <c r="P47" s="13">
        <v>7012</v>
      </c>
      <c r="Q47" s="4">
        <v>17</v>
      </c>
      <c r="R47" s="4">
        <v>23.7</v>
      </c>
      <c r="S47" s="4">
        <v>26.9</v>
      </c>
      <c r="T47" s="4">
        <v>20.100000000000001</v>
      </c>
      <c r="U47" s="4">
        <v>9.8000000000000007</v>
      </c>
      <c r="V47" s="4">
        <v>97.4</v>
      </c>
      <c r="W47" s="13">
        <v>16708</v>
      </c>
      <c r="AA47" s="74"/>
      <c r="AB47" s="93"/>
      <c r="AC47" s="93"/>
      <c r="AD47" s="93"/>
      <c r="AE47" s="93"/>
      <c r="AF47" s="93"/>
      <c r="AG47" s="93"/>
      <c r="AH47" s="96"/>
      <c r="AI47" s="93"/>
      <c r="AJ47" s="93"/>
      <c r="AK47" s="93"/>
      <c r="AL47" s="93"/>
      <c r="AM47" s="93"/>
      <c r="AN47" s="93"/>
      <c r="AO47" s="96"/>
      <c r="AP47" s="93"/>
      <c r="AQ47" s="93"/>
      <c r="AR47" s="93"/>
      <c r="AS47" s="93"/>
      <c r="AT47" s="93"/>
      <c r="AU47" s="93"/>
      <c r="AV47" s="96"/>
      <c r="AX47" s="77"/>
      <c r="AY47" s="80"/>
      <c r="AZ47" s="80"/>
      <c r="BA47" s="80"/>
      <c r="BB47" s="80"/>
      <c r="BC47" s="80"/>
      <c r="BD47" s="80"/>
      <c r="BE47" s="80"/>
      <c r="BF47" s="80"/>
      <c r="BG47" s="80"/>
      <c r="BH47" s="80"/>
      <c r="BI47" s="80"/>
      <c r="BJ47" s="80"/>
      <c r="BK47" s="80"/>
      <c r="BL47" s="80"/>
      <c r="BM47" s="80"/>
      <c r="BN47" s="80"/>
      <c r="BO47" s="80"/>
      <c r="BP47" s="80"/>
      <c r="BQ47" s="80"/>
      <c r="BR47" s="80"/>
      <c r="BS47" s="80"/>
    </row>
    <row r="48" spans="1:71" x14ac:dyDescent="0.2">
      <c r="A48" s="14"/>
      <c r="B48" s="10" t="s">
        <v>168</v>
      </c>
      <c r="C48" s="4">
        <v>15.6</v>
      </c>
      <c r="D48" s="4">
        <v>18.3</v>
      </c>
      <c r="E48" s="4">
        <v>22.3</v>
      </c>
      <c r="F48" s="4">
        <v>22.5</v>
      </c>
      <c r="G48" s="4">
        <v>15.6</v>
      </c>
      <c r="H48" s="4">
        <v>94.3</v>
      </c>
      <c r="I48" s="13">
        <v>4639</v>
      </c>
      <c r="J48" s="4">
        <v>17.2</v>
      </c>
      <c r="K48" s="4">
        <v>24.3</v>
      </c>
      <c r="L48" s="4">
        <v>25.1</v>
      </c>
      <c r="M48" s="4">
        <v>17.5</v>
      </c>
      <c r="N48" s="4">
        <v>10.8</v>
      </c>
      <c r="O48" s="4">
        <v>95</v>
      </c>
      <c r="P48" s="13">
        <v>378</v>
      </c>
      <c r="Q48" s="4">
        <v>15.7</v>
      </c>
      <c r="R48" s="4">
        <v>18.8</v>
      </c>
      <c r="S48" s="4">
        <v>22.5</v>
      </c>
      <c r="T48" s="4">
        <v>22.1</v>
      </c>
      <c r="U48" s="4">
        <v>15.2</v>
      </c>
      <c r="V48" s="4">
        <v>94.4</v>
      </c>
      <c r="W48" s="13">
        <v>5017</v>
      </c>
      <c r="AA48" s="74"/>
      <c r="AB48" s="93"/>
      <c r="AC48" s="93"/>
      <c r="AD48" s="93"/>
      <c r="AE48" s="93"/>
      <c r="AF48" s="93"/>
      <c r="AG48" s="93"/>
      <c r="AH48" s="96"/>
      <c r="AI48" s="93"/>
      <c r="AJ48" s="93"/>
      <c r="AK48" s="93"/>
      <c r="AL48" s="93"/>
      <c r="AM48" s="93"/>
      <c r="AN48" s="93"/>
      <c r="AO48" s="96"/>
      <c r="AP48" s="93"/>
      <c r="AQ48" s="93"/>
      <c r="AR48" s="93"/>
      <c r="AS48" s="93"/>
      <c r="AT48" s="93"/>
      <c r="AU48" s="93"/>
      <c r="AV48" s="96"/>
      <c r="AX48" s="77"/>
      <c r="AY48" s="80"/>
      <c r="AZ48" s="80"/>
      <c r="BA48" s="80"/>
      <c r="BB48" s="80"/>
      <c r="BC48" s="80"/>
      <c r="BD48" s="80"/>
      <c r="BE48" s="80"/>
      <c r="BF48" s="80"/>
      <c r="BG48" s="80"/>
      <c r="BH48" s="80"/>
      <c r="BI48" s="80"/>
      <c r="BJ48" s="80"/>
      <c r="BK48" s="80"/>
      <c r="BL48" s="80"/>
      <c r="BM48" s="80"/>
      <c r="BN48" s="80"/>
      <c r="BO48" s="80"/>
      <c r="BP48" s="80"/>
      <c r="BQ48" s="80"/>
      <c r="BR48" s="80"/>
      <c r="BS48" s="80"/>
    </row>
    <row r="49" spans="1:71" x14ac:dyDescent="0.2">
      <c r="A49" s="14"/>
      <c r="B49" s="10" t="s">
        <v>8</v>
      </c>
      <c r="C49" s="4">
        <v>6.3</v>
      </c>
      <c r="D49" s="4">
        <v>14.3</v>
      </c>
      <c r="E49" s="4">
        <v>23.7</v>
      </c>
      <c r="F49" s="4">
        <v>28.3</v>
      </c>
      <c r="G49" s="4">
        <v>20.7</v>
      </c>
      <c r="H49" s="4">
        <v>93.2</v>
      </c>
      <c r="I49" s="13">
        <v>7849</v>
      </c>
      <c r="J49" s="4">
        <v>10</v>
      </c>
      <c r="K49" s="4">
        <v>19.399999999999999</v>
      </c>
      <c r="L49" s="4">
        <v>26.9</v>
      </c>
      <c r="M49" s="4">
        <v>25.3</v>
      </c>
      <c r="N49" s="4">
        <v>14.5</v>
      </c>
      <c r="O49" s="4">
        <v>96.1</v>
      </c>
      <c r="P49" s="13">
        <v>4332</v>
      </c>
      <c r="Q49" s="4">
        <v>7.6</v>
      </c>
      <c r="R49" s="4">
        <v>16.100000000000001</v>
      </c>
      <c r="S49" s="4">
        <v>24.8</v>
      </c>
      <c r="T49" s="4">
        <v>27.2</v>
      </c>
      <c r="U49" s="4">
        <v>18.5</v>
      </c>
      <c r="V49" s="4">
        <v>94.3</v>
      </c>
      <c r="W49" s="13">
        <v>12181</v>
      </c>
      <c r="AA49" s="74"/>
      <c r="AB49" s="93"/>
      <c r="AC49" s="93"/>
      <c r="AD49" s="93"/>
      <c r="AE49" s="93"/>
      <c r="AF49" s="93"/>
      <c r="AG49" s="93"/>
      <c r="AH49" s="96"/>
      <c r="AI49" s="93"/>
      <c r="AJ49" s="93"/>
      <c r="AK49" s="93"/>
      <c r="AL49" s="93"/>
      <c r="AM49" s="93"/>
      <c r="AN49" s="93"/>
      <c r="AO49" s="96"/>
      <c r="AP49" s="93"/>
      <c r="AQ49" s="93"/>
      <c r="AR49" s="93"/>
      <c r="AS49" s="93"/>
      <c r="AT49" s="93"/>
      <c r="AU49" s="93"/>
      <c r="AV49" s="96"/>
      <c r="AX49" s="77"/>
      <c r="AY49" s="80"/>
      <c r="AZ49" s="80"/>
      <c r="BA49" s="80"/>
      <c r="BB49" s="80"/>
      <c r="BC49" s="80"/>
      <c r="BD49" s="80"/>
      <c r="BE49" s="80"/>
      <c r="BF49" s="80"/>
      <c r="BG49" s="80"/>
      <c r="BH49" s="80"/>
      <c r="BI49" s="80"/>
      <c r="BJ49" s="80"/>
      <c r="BK49" s="80"/>
      <c r="BL49" s="80"/>
      <c r="BM49" s="80"/>
      <c r="BN49" s="80"/>
      <c r="BO49" s="80"/>
      <c r="BP49" s="80"/>
      <c r="BQ49" s="80"/>
      <c r="BR49" s="80"/>
      <c r="BS49" s="80"/>
    </row>
    <row r="50" spans="1:71" x14ac:dyDescent="0.2">
      <c r="A50" s="14"/>
      <c r="B50" s="10" t="s">
        <v>9</v>
      </c>
      <c r="C50" s="4" t="s">
        <v>78</v>
      </c>
      <c r="D50" s="4">
        <v>18</v>
      </c>
      <c r="E50" s="4">
        <v>26.2</v>
      </c>
      <c r="F50" s="4">
        <v>26.2</v>
      </c>
      <c r="G50" s="4">
        <v>27.9</v>
      </c>
      <c r="H50" s="4">
        <v>100</v>
      </c>
      <c r="I50" s="13">
        <v>61</v>
      </c>
      <c r="J50" s="4">
        <v>17.5</v>
      </c>
      <c r="K50" s="4">
        <v>24.8</v>
      </c>
      <c r="L50" s="4">
        <v>24.3</v>
      </c>
      <c r="M50" s="4">
        <v>18.5</v>
      </c>
      <c r="N50" s="4">
        <v>13.4</v>
      </c>
      <c r="O50" s="4">
        <v>98.5</v>
      </c>
      <c r="P50" s="13">
        <v>395</v>
      </c>
      <c r="Q50" s="4">
        <v>15.4</v>
      </c>
      <c r="R50" s="4">
        <v>23.9</v>
      </c>
      <c r="S50" s="4">
        <v>24.6</v>
      </c>
      <c r="T50" s="4">
        <v>19.5</v>
      </c>
      <c r="U50" s="4">
        <v>15.4</v>
      </c>
      <c r="V50" s="4">
        <v>98.7</v>
      </c>
      <c r="W50" s="13">
        <v>456</v>
      </c>
      <c r="AA50" s="74"/>
      <c r="AB50" s="93"/>
      <c r="AC50" s="93"/>
      <c r="AD50" s="93"/>
      <c r="AE50" s="93"/>
      <c r="AF50" s="93"/>
      <c r="AG50" s="93"/>
      <c r="AH50" s="96"/>
      <c r="AI50" s="93"/>
      <c r="AJ50" s="93"/>
      <c r="AK50" s="93"/>
      <c r="AL50" s="93"/>
      <c r="AM50" s="93"/>
      <c r="AN50" s="93"/>
      <c r="AO50" s="96"/>
      <c r="AP50" s="93"/>
      <c r="AQ50" s="93"/>
      <c r="AR50" s="93"/>
      <c r="AS50" s="93"/>
      <c r="AT50" s="93"/>
      <c r="AU50" s="93"/>
      <c r="AV50" s="96"/>
      <c r="AX50" s="77"/>
      <c r="AY50" s="80"/>
      <c r="AZ50" s="80"/>
      <c r="BA50" s="80"/>
      <c r="BB50" s="80"/>
      <c r="BC50" s="80"/>
      <c r="BD50" s="80"/>
      <c r="BE50" s="80"/>
      <c r="BF50" s="80"/>
      <c r="BG50" s="80"/>
      <c r="BH50" s="80"/>
      <c r="BI50" s="80"/>
      <c r="BJ50" s="80"/>
      <c r="BK50" s="80"/>
      <c r="BL50" s="80"/>
      <c r="BM50" s="80"/>
      <c r="BN50" s="80"/>
      <c r="BO50" s="80"/>
      <c r="BP50" s="80"/>
      <c r="BQ50" s="80"/>
      <c r="BR50" s="80"/>
      <c r="BS50" s="80"/>
    </row>
    <row r="51" spans="1:71" x14ac:dyDescent="0.2">
      <c r="A51" s="14"/>
      <c r="B51" s="10" t="s">
        <v>10</v>
      </c>
      <c r="C51" s="4">
        <v>10.4</v>
      </c>
      <c r="D51" s="4">
        <v>18.2</v>
      </c>
      <c r="E51" s="4">
        <v>24.6</v>
      </c>
      <c r="F51" s="4">
        <v>22.5</v>
      </c>
      <c r="G51" s="4">
        <v>16.899999999999999</v>
      </c>
      <c r="H51" s="4">
        <v>92.7</v>
      </c>
      <c r="I51" s="13">
        <v>1924</v>
      </c>
      <c r="J51" s="4">
        <v>13.8</v>
      </c>
      <c r="K51" s="4">
        <v>17.5</v>
      </c>
      <c r="L51" s="4">
        <v>23.5</v>
      </c>
      <c r="M51" s="4">
        <v>22.9</v>
      </c>
      <c r="N51" s="4">
        <v>16.399999999999999</v>
      </c>
      <c r="O51" s="4">
        <v>94.3</v>
      </c>
      <c r="P51" s="13">
        <v>1134</v>
      </c>
      <c r="Q51" s="4">
        <v>11.7</v>
      </c>
      <c r="R51" s="4">
        <v>18</v>
      </c>
      <c r="S51" s="4">
        <v>24.2</v>
      </c>
      <c r="T51" s="4">
        <v>22.6</v>
      </c>
      <c r="U51" s="4">
        <v>16.7</v>
      </c>
      <c r="V51" s="4">
        <v>93.3</v>
      </c>
      <c r="W51" s="13">
        <v>3058</v>
      </c>
      <c r="AA51" s="74"/>
      <c r="AB51" s="93"/>
      <c r="AC51" s="93"/>
      <c r="AD51" s="93"/>
      <c r="AE51" s="93"/>
      <c r="AF51" s="93"/>
      <c r="AG51" s="93"/>
      <c r="AH51" s="96"/>
      <c r="AI51" s="93"/>
      <c r="AJ51" s="93"/>
      <c r="AK51" s="93"/>
      <c r="AL51" s="93"/>
      <c r="AM51" s="93"/>
      <c r="AN51" s="93"/>
      <c r="AO51" s="96"/>
      <c r="AP51" s="93"/>
      <c r="AQ51" s="93"/>
      <c r="AR51" s="93"/>
      <c r="AS51" s="93"/>
      <c r="AT51" s="93"/>
      <c r="AU51" s="93"/>
      <c r="AV51" s="96"/>
      <c r="AX51" s="77"/>
      <c r="AY51" s="80"/>
      <c r="AZ51" s="80"/>
      <c r="BA51" s="80"/>
      <c r="BB51" s="80"/>
      <c r="BC51" s="80"/>
      <c r="BD51" s="80"/>
      <c r="BE51" s="80"/>
      <c r="BF51" s="80"/>
      <c r="BG51" s="80"/>
      <c r="BH51" s="80"/>
      <c r="BI51" s="80"/>
      <c r="BJ51" s="80"/>
      <c r="BK51" s="80"/>
      <c r="BL51" s="80"/>
      <c r="BM51" s="80"/>
      <c r="BN51" s="80"/>
      <c r="BO51" s="80"/>
      <c r="BP51" s="80"/>
      <c r="BQ51" s="80"/>
      <c r="BR51" s="80"/>
      <c r="BS51" s="80"/>
    </row>
    <row r="52" spans="1:71" x14ac:dyDescent="0.2">
      <c r="A52" s="14"/>
      <c r="B52" s="10" t="s">
        <v>11</v>
      </c>
      <c r="C52" s="4">
        <v>15.6</v>
      </c>
      <c r="D52" s="4">
        <v>25.2</v>
      </c>
      <c r="E52" s="4">
        <v>28.2</v>
      </c>
      <c r="F52" s="4">
        <v>20.2</v>
      </c>
      <c r="G52" s="4">
        <v>8.9</v>
      </c>
      <c r="H52" s="4">
        <v>98.1</v>
      </c>
      <c r="I52" s="13">
        <v>17801</v>
      </c>
      <c r="J52" s="4">
        <v>19</v>
      </c>
      <c r="K52" s="4">
        <v>25.5</v>
      </c>
      <c r="L52" s="4">
        <v>27.9</v>
      </c>
      <c r="M52" s="4">
        <v>17.8</v>
      </c>
      <c r="N52" s="4">
        <v>8</v>
      </c>
      <c r="O52" s="4">
        <v>98.2</v>
      </c>
      <c r="P52" s="13">
        <v>12135</v>
      </c>
      <c r="Q52" s="4">
        <v>16.899999999999999</v>
      </c>
      <c r="R52" s="4">
        <v>25.3</v>
      </c>
      <c r="S52" s="4">
        <v>28.1</v>
      </c>
      <c r="T52" s="4">
        <v>19.2</v>
      </c>
      <c r="U52" s="4">
        <v>8.5</v>
      </c>
      <c r="V52" s="4">
        <v>98.1</v>
      </c>
      <c r="W52" s="13">
        <v>29936</v>
      </c>
      <c r="AA52" s="74"/>
      <c r="AB52" s="93"/>
      <c r="AC52" s="93"/>
      <c r="AD52" s="93"/>
      <c r="AE52" s="93"/>
      <c r="AF52" s="93"/>
      <c r="AG52" s="93"/>
      <c r="AH52" s="96"/>
      <c r="AI52" s="93"/>
      <c r="AJ52" s="93"/>
      <c r="AK52" s="93"/>
      <c r="AL52" s="93"/>
      <c r="AM52" s="93"/>
      <c r="AN52" s="93"/>
      <c r="AO52" s="96"/>
      <c r="AP52" s="93"/>
      <c r="AQ52" s="93"/>
      <c r="AR52" s="93"/>
      <c r="AS52" s="93"/>
      <c r="AT52" s="93"/>
      <c r="AU52" s="93"/>
      <c r="AV52" s="96"/>
      <c r="AX52" s="77"/>
      <c r="AY52" s="80"/>
      <c r="AZ52" s="80"/>
      <c r="BA52" s="80"/>
      <c r="BB52" s="80"/>
      <c r="BC52" s="80"/>
      <c r="BD52" s="80"/>
      <c r="BE52" s="80"/>
      <c r="BF52" s="80"/>
      <c r="BG52" s="80"/>
      <c r="BH52" s="80"/>
      <c r="BI52" s="80"/>
      <c r="BJ52" s="80"/>
      <c r="BK52" s="80"/>
      <c r="BL52" s="80"/>
      <c r="BM52" s="80"/>
      <c r="BN52" s="80"/>
      <c r="BO52" s="80"/>
      <c r="BP52" s="80"/>
      <c r="BQ52" s="80"/>
      <c r="BR52" s="80"/>
      <c r="BS52" s="80"/>
    </row>
    <row r="53" spans="1:71" x14ac:dyDescent="0.2">
      <c r="A53" s="14"/>
      <c r="B53" s="10" t="s">
        <v>12</v>
      </c>
      <c r="C53" s="4">
        <v>34</v>
      </c>
      <c r="D53" s="4">
        <v>27</v>
      </c>
      <c r="E53" s="4">
        <v>20.100000000000001</v>
      </c>
      <c r="F53" s="4">
        <v>12.1</v>
      </c>
      <c r="G53" s="4">
        <v>5.5</v>
      </c>
      <c r="H53" s="4">
        <v>98.8</v>
      </c>
      <c r="I53" s="13">
        <v>9510</v>
      </c>
      <c r="J53" s="4">
        <v>39.4</v>
      </c>
      <c r="K53" s="4">
        <v>27.1</v>
      </c>
      <c r="L53" s="4">
        <v>18.7</v>
      </c>
      <c r="M53" s="4">
        <v>10.5</v>
      </c>
      <c r="N53" s="4">
        <v>3.6</v>
      </c>
      <c r="O53" s="4">
        <v>99.3</v>
      </c>
      <c r="P53" s="13">
        <v>4068</v>
      </c>
      <c r="Q53" s="4">
        <v>35.6</v>
      </c>
      <c r="R53" s="4">
        <v>27</v>
      </c>
      <c r="S53" s="4">
        <v>19.7</v>
      </c>
      <c r="T53" s="4">
        <v>11.7</v>
      </c>
      <c r="U53" s="4">
        <v>4.9000000000000004</v>
      </c>
      <c r="V53" s="4">
        <v>98.9</v>
      </c>
      <c r="W53" s="13">
        <v>13578</v>
      </c>
      <c r="AA53" s="74"/>
      <c r="AB53" s="93"/>
      <c r="AC53" s="93"/>
      <c r="AD53" s="93"/>
      <c r="AE53" s="93"/>
      <c r="AF53" s="93"/>
      <c r="AG53" s="93"/>
      <c r="AH53" s="96"/>
      <c r="AI53" s="93"/>
      <c r="AJ53" s="93"/>
      <c r="AK53" s="93"/>
      <c r="AL53" s="93"/>
      <c r="AM53" s="93"/>
      <c r="AN53" s="93"/>
      <c r="AO53" s="96"/>
      <c r="AP53" s="93"/>
      <c r="AQ53" s="93"/>
      <c r="AR53" s="93"/>
      <c r="AS53" s="93"/>
      <c r="AT53" s="93"/>
      <c r="AU53" s="93"/>
      <c r="AV53" s="96"/>
      <c r="AX53" s="77"/>
      <c r="AY53" s="80"/>
      <c r="AZ53" s="80"/>
      <c r="BA53" s="80"/>
      <c r="BB53" s="80"/>
      <c r="BC53" s="80"/>
      <c r="BD53" s="80"/>
      <c r="BE53" s="80"/>
      <c r="BF53" s="80"/>
      <c r="BG53" s="80"/>
      <c r="BH53" s="80"/>
      <c r="BI53" s="80"/>
      <c r="BJ53" s="80"/>
      <c r="BK53" s="80"/>
      <c r="BL53" s="80"/>
      <c r="BM53" s="80"/>
      <c r="BN53" s="80"/>
      <c r="BO53" s="80"/>
      <c r="BP53" s="80"/>
      <c r="BQ53" s="80"/>
      <c r="BR53" s="80"/>
      <c r="BS53" s="80"/>
    </row>
    <row r="54" spans="1:71" x14ac:dyDescent="0.2">
      <c r="A54" s="14"/>
      <c r="B54" s="10" t="s">
        <v>13</v>
      </c>
      <c r="C54" s="4">
        <v>21.8</v>
      </c>
      <c r="D54" s="4">
        <v>25.4</v>
      </c>
      <c r="E54" s="4">
        <v>25.5</v>
      </c>
      <c r="F54" s="4">
        <v>17.899999999999999</v>
      </c>
      <c r="G54" s="4">
        <v>8</v>
      </c>
      <c r="H54" s="4">
        <v>98.5</v>
      </c>
      <c r="I54" s="13">
        <v>15525</v>
      </c>
      <c r="J54" s="4">
        <v>31.2</v>
      </c>
      <c r="K54" s="4">
        <v>27.6</v>
      </c>
      <c r="L54" s="4">
        <v>22.4</v>
      </c>
      <c r="M54" s="4">
        <v>13</v>
      </c>
      <c r="N54" s="4">
        <v>5</v>
      </c>
      <c r="O54" s="4">
        <v>99.2</v>
      </c>
      <c r="P54" s="13">
        <v>12758</v>
      </c>
      <c r="Q54" s="4">
        <v>26</v>
      </c>
      <c r="R54" s="4">
        <v>26.4</v>
      </c>
      <c r="S54" s="4">
        <v>24.1</v>
      </c>
      <c r="T54" s="4">
        <v>15.6</v>
      </c>
      <c r="U54" s="4">
        <v>6.6</v>
      </c>
      <c r="V54" s="4">
        <v>98.8</v>
      </c>
      <c r="W54" s="13">
        <v>28283</v>
      </c>
      <c r="AA54" s="74"/>
      <c r="AB54" s="93"/>
      <c r="AC54" s="93"/>
      <c r="AD54" s="93"/>
      <c r="AE54" s="93"/>
      <c r="AF54" s="93"/>
      <c r="AG54" s="93"/>
      <c r="AH54" s="96"/>
      <c r="AI54" s="93"/>
      <c r="AJ54" s="93"/>
      <c r="AK54" s="93"/>
      <c r="AL54" s="93"/>
      <c r="AM54" s="93"/>
      <c r="AN54" s="93"/>
      <c r="AO54" s="96"/>
      <c r="AP54" s="93"/>
      <c r="AQ54" s="93"/>
      <c r="AR54" s="93"/>
      <c r="AS54" s="93"/>
      <c r="AT54" s="93"/>
      <c r="AU54" s="93"/>
      <c r="AV54" s="96"/>
      <c r="AX54" s="77"/>
      <c r="AY54" s="80"/>
      <c r="AZ54" s="80"/>
      <c r="BA54" s="80"/>
      <c r="BB54" s="80"/>
      <c r="BC54" s="80"/>
      <c r="BD54" s="80"/>
      <c r="BE54" s="80"/>
      <c r="BF54" s="80"/>
      <c r="BG54" s="80"/>
      <c r="BH54" s="80"/>
      <c r="BI54" s="80"/>
      <c r="BJ54" s="80"/>
      <c r="BK54" s="80"/>
      <c r="BL54" s="80"/>
      <c r="BM54" s="80"/>
      <c r="BN54" s="80"/>
      <c r="BO54" s="80"/>
      <c r="BP54" s="80"/>
      <c r="BQ54" s="80"/>
      <c r="BR54" s="80"/>
      <c r="BS54" s="80"/>
    </row>
    <row r="55" spans="1:71" x14ac:dyDescent="0.2">
      <c r="A55" s="14"/>
      <c r="B55" s="10" t="s">
        <v>14</v>
      </c>
      <c r="C55" s="4">
        <v>28.8</v>
      </c>
      <c r="D55" s="4">
        <v>27.9</v>
      </c>
      <c r="E55" s="4">
        <v>22.5</v>
      </c>
      <c r="F55" s="4">
        <v>13.3</v>
      </c>
      <c r="G55" s="4">
        <v>5.8</v>
      </c>
      <c r="H55" s="4">
        <v>98.3</v>
      </c>
      <c r="I55" s="13">
        <v>5744</v>
      </c>
      <c r="J55" s="4">
        <v>36</v>
      </c>
      <c r="K55" s="4">
        <v>26.7</v>
      </c>
      <c r="L55" s="4">
        <v>18.7</v>
      </c>
      <c r="M55" s="4">
        <v>12</v>
      </c>
      <c r="N55" s="4">
        <v>5</v>
      </c>
      <c r="O55" s="4">
        <v>98.4</v>
      </c>
      <c r="P55" s="13">
        <v>3849</v>
      </c>
      <c r="Q55" s="4">
        <v>31.7</v>
      </c>
      <c r="R55" s="4">
        <v>27.4</v>
      </c>
      <c r="S55" s="4">
        <v>21</v>
      </c>
      <c r="T55" s="4">
        <v>12.8</v>
      </c>
      <c r="U55" s="4">
        <v>5.5</v>
      </c>
      <c r="V55" s="4">
        <v>98.4</v>
      </c>
      <c r="W55" s="13">
        <v>9593</v>
      </c>
      <c r="AA55" s="74"/>
      <c r="AB55" s="93"/>
      <c r="AC55" s="93"/>
      <c r="AD55" s="93"/>
      <c r="AE55" s="93"/>
      <c r="AF55" s="93"/>
      <c r="AG55" s="93"/>
      <c r="AH55" s="96"/>
      <c r="AI55" s="93"/>
      <c r="AJ55" s="93"/>
      <c r="AK55" s="93"/>
      <c r="AL55" s="93"/>
      <c r="AM55" s="93"/>
      <c r="AN55" s="93"/>
      <c r="AO55" s="96"/>
      <c r="AP55" s="93"/>
      <c r="AQ55" s="93"/>
      <c r="AR55" s="93"/>
      <c r="AS55" s="93"/>
      <c r="AT55" s="93"/>
      <c r="AU55" s="93"/>
      <c r="AV55" s="96"/>
      <c r="AX55" s="77"/>
      <c r="AY55" s="80"/>
      <c r="AZ55" s="80"/>
      <c r="BA55" s="80"/>
      <c r="BB55" s="80"/>
      <c r="BC55" s="80"/>
      <c r="BD55" s="80"/>
      <c r="BE55" s="80"/>
      <c r="BF55" s="80"/>
      <c r="BG55" s="80"/>
      <c r="BH55" s="80"/>
      <c r="BI55" s="80"/>
      <c r="BJ55" s="80"/>
      <c r="BK55" s="80"/>
      <c r="BL55" s="80"/>
      <c r="BM55" s="80"/>
      <c r="BN55" s="80"/>
      <c r="BO55" s="80"/>
      <c r="BP55" s="80"/>
      <c r="BQ55" s="80"/>
      <c r="BR55" s="80"/>
      <c r="BS55" s="80"/>
    </row>
    <row r="56" spans="1:71" x14ac:dyDescent="0.2">
      <c r="A56" s="14"/>
      <c r="B56" s="10" t="s">
        <v>15</v>
      </c>
      <c r="C56" s="4">
        <v>22.4</v>
      </c>
      <c r="D56" s="4">
        <v>25.9</v>
      </c>
      <c r="E56" s="4">
        <v>24.3</v>
      </c>
      <c r="F56" s="4">
        <v>17.7</v>
      </c>
      <c r="G56" s="4">
        <v>7.8</v>
      </c>
      <c r="H56" s="4">
        <v>98</v>
      </c>
      <c r="I56" s="13">
        <v>20546</v>
      </c>
      <c r="J56" s="4">
        <v>26.4</v>
      </c>
      <c r="K56" s="4">
        <v>26.5</v>
      </c>
      <c r="L56" s="4">
        <v>24.1</v>
      </c>
      <c r="M56" s="4">
        <v>15</v>
      </c>
      <c r="N56" s="4">
        <v>6.5</v>
      </c>
      <c r="O56" s="4">
        <v>98.5</v>
      </c>
      <c r="P56" s="13">
        <v>20127</v>
      </c>
      <c r="Q56" s="4">
        <v>24.4</v>
      </c>
      <c r="R56" s="4">
        <v>26.2</v>
      </c>
      <c r="S56" s="4">
        <v>24.2</v>
      </c>
      <c r="T56" s="4">
        <v>16.3</v>
      </c>
      <c r="U56" s="4">
        <v>7.1</v>
      </c>
      <c r="V56" s="4">
        <v>98.2</v>
      </c>
      <c r="W56" s="13">
        <v>40673</v>
      </c>
      <c r="AA56" s="74"/>
      <c r="AB56" s="93"/>
      <c r="AC56" s="93"/>
      <c r="AD56" s="93"/>
      <c r="AE56" s="93"/>
      <c r="AF56" s="93"/>
      <c r="AG56" s="93"/>
      <c r="AH56" s="96"/>
      <c r="AI56" s="93"/>
      <c r="AJ56" s="93"/>
      <c r="AK56" s="93"/>
      <c r="AL56" s="93"/>
      <c r="AM56" s="93"/>
      <c r="AN56" s="93"/>
      <c r="AO56" s="96"/>
      <c r="AP56" s="93"/>
      <c r="AQ56" s="93"/>
      <c r="AR56" s="93"/>
      <c r="AS56" s="93"/>
      <c r="AT56" s="93"/>
      <c r="AU56" s="93"/>
      <c r="AV56" s="96"/>
      <c r="AX56" s="77"/>
      <c r="AY56" s="80"/>
      <c r="AZ56" s="80"/>
      <c r="BA56" s="80"/>
      <c r="BB56" s="80"/>
      <c r="BC56" s="80"/>
      <c r="BD56" s="80"/>
      <c r="BE56" s="80"/>
      <c r="BF56" s="80"/>
      <c r="BG56" s="80"/>
      <c r="BH56" s="80"/>
      <c r="BI56" s="80"/>
      <c r="BJ56" s="80"/>
      <c r="BK56" s="80"/>
      <c r="BL56" s="80"/>
      <c r="BM56" s="80"/>
      <c r="BN56" s="80"/>
      <c r="BO56" s="80"/>
      <c r="BP56" s="80"/>
      <c r="BQ56" s="80"/>
      <c r="BR56" s="80"/>
      <c r="BS56" s="80"/>
    </row>
    <row r="57" spans="1:71" x14ac:dyDescent="0.2">
      <c r="A57" s="14"/>
      <c r="B57" s="10" t="s">
        <v>16</v>
      </c>
      <c r="C57" s="4">
        <v>17.3</v>
      </c>
      <c r="D57" s="4">
        <v>20.9</v>
      </c>
      <c r="E57" s="4">
        <v>24.2</v>
      </c>
      <c r="F57" s="4">
        <v>19.899999999999999</v>
      </c>
      <c r="G57" s="4">
        <v>12.8</v>
      </c>
      <c r="H57" s="4">
        <v>95.1</v>
      </c>
      <c r="I57" s="13">
        <v>5374</v>
      </c>
      <c r="J57" s="4">
        <v>21.8</v>
      </c>
      <c r="K57" s="4">
        <v>22.9</v>
      </c>
      <c r="L57" s="4">
        <v>24.1</v>
      </c>
      <c r="M57" s="4">
        <v>17.8</v>
      </c>
      <c r="N57" s="4">
        <v>9.4</v>
      </c>
      <c r="O57" s="4">
        <v>96</v>
      </c>
      <c r="P57" s="13">
        <v>8137</v>
      </c>
      <c r="Q57" s="4">
        <v>20</v>
      </c>
      <c r="R57" s="4">
        <v>22.1</v>
      </c>
      <c r="S57" s="4">
        <v>24.2</v>
      </c>
      <c r="T57" s="4">
        <v>18.600000000000001</v>
      </c>
      <c r="U57" s="4">
        <v>10.7</v>
      </c>
      <c r="V57" s="4">
        <v>95.6</v>
      </c>
      <c r="W57" s="13">
        <v>13511</v>
      </c>
      <c r="AA57" s="74"/>
      <c r="AB57" s="93"/>
      <c r="AC57" s="93"/>
      <c r="AD57" s="93"/>
      <c r="AE57" s="93"/>
      <c r="AF57" s="93"/>
      <c r="AG57" s="93"/>
      <c r="AH57" s="96"/>
      <c r="AI57" s="93"/>
      <c r="AJ57" s="93"/>
      <c r="AK57" s="93"/>
      <c r="AL57" s="93"/>
      <c r="AM57" s="93"/>
      <c r="AN57" s="93"/>
      <c r="AO57" s="96"/>
      <c r="AP57" s="93"/>
      <c r="AQ57" s="93"/>
      <c r="AR57" s="93"/>
      <c r="AS57" s="93"/>
      <c r="AT57" s="93"/>
      <c r="AU57" s="93"/>
      <c r="AV57" s="96"/>
      <c r="AX57" s="77"/>
      <c r="AY57" s="80"/>
      <c r="AZ57" s="80"/>
      <c r="BA57" s="80"/>
      <c r="BB57" s="80"/>
      <c r="BC57" s="80"/>
      <c r="BD57" s="80"/>
      <c r="BE57" s="80"/>
      <c r="BF57" s="80"/>
      <c r="BG57" s="80"/>
      <c r="BH57" s="80"/>
      <c r="BI57" s="80"/>
      <c r="BJ57" s="80"/>
      <c r="BK57" s="80"/>
      <c r="BL57" s="80"/>
      <c r="BM57" s="80"/>
      <c r="BN57" s="80"/>
      <c r="BO57" s="80"/>
      <c r="BP57" s="80"/>
      <c r="BQ57" s="80"/>
      <c r="BR57" s="80"/>
      <c r="BS57" s="80"/>
    </row>
    <row r="58" spans="1:71" x14ac:dyDescent="0.2">
      <c r="A58" s="14"/>
      <c r="B58" s="10" t="s">
        <v>17</v>
      </c>
      <c r="C58" s="4">
        <v>11.7</v>
      </c>
      <c r="D58" s="4">
        <v>19.2</v>
      </c>
      <c r="E58" s="4">
        <v>25.5</v>
      </c>
      <c r="F58" s="4">
        <v>22.6</v>
      </c>
      <c r="G58" s="4">
        <v>15.3</v>
      </c>
      <c r="H58" s="4">
        <v>94.3</v>
      </c>
      <c r="I58" s="13">
        <v>12392</v>
      </c>
      <c r="J58" s="4">
        <v>20.5</v>
      </c>
      <c r="K58" s="4">
        <v>24.5</v>
      </c>
      <c r="L58" s="4">
        <v>24.5</v>
      </c>
      <c r="M58" s="4">
        <v>17.8</v>
      </c>
      <c r="N58" s="4">
        <v>9.6</v>
      </c>
      <c r="O58" s="4">
        <v>96.9</v>
      </c>
      <c r="P58" s="13">
        <v>36179</v>
      </c>
      <c r="Q58" s="4">
        <v>18.3</v>
      </c>
      <c r="R58" s="4">
        <v>23.1</v>
      </c>
      <c r="S58" s="4">
        <v>24.8</v>
      </c>
      <c r="T58" s="4">
        <v>19</v>
      </c>
      <c r="U58" s="4">
        <v>11</v>
      </c>
      <c r="V58" s="4">
        <v>96.3</v>
      </c>
      <c r="W58" s="13">
        <v>48571</v>
      </c>
      <c r="AA58" s="74"/>
      <c r="AB58" s="93"/>
      <c r="AC58" s="93"/>
      <c r="AD58" s="93"/>
      <c r="AE58" s="93"/>
      <c r="AF58" s="93"/>
      <c r="AG58" s="93"/>
      <c r="AH58" s="96"/>
      <c r="AI58" s="93"/>
      <c r="AJ58" s="93"/>
      <c r="AK58" s="93"/>
      <c r="AL58" s="93"/>
      <c r="AM58" s="93"/>
      <c r="AN58" s="93"/>
      <c r="AO58" s="96"/>
      <c r="AP58" s="93"/>
      <c r="AQ58" s="93"/>
      <c r="AR58" s="93"/>
      <c r="AS58" s="93"/>
      <c r="AT58" s="93"/>
      <c r="AU58" s="93"/>
      <c r="AV58" s="96"/>
      <c r="AX58" s="77"/>
      <c r="AY58" s="80"/>
      <c r="AZ58" s="80"/>
      <c r="BA58" s="80"/>
      <c r="BB58" s="80"/>
      <c r="BC58" s="80"/>
      <c r="BD58" s="80"/>
      <c r="BE58" s="80"/>
      <c r="BF58" s="80"/>
      <c r="BG58" s="80"/>
      <c r="BH58" s="80"/>
      <c r="BI58" s="80"/>
      <c r="BJ58" s="80"/>
      <c r="BK58" s="80"/>
      <c r="BL58" s="80"/>
      <c r="BM58" s="80"/>
      <c r="BN58" s="80"/>
      <c r="BO58" s="80"/>
      <c r="BP58" s="80"/>
      <c r="BQ58" s="80"/>
      <c r="BR58" s="80"/>
      <c r="BS58" s="80"/>
    </row>
    <row r="59" spans="1:71" x14ac:dyDescent="0.2">
      <c r="A59" s="14"/>
      <c r="B59" s="10" t="s">
        <v>18</v>
      </c>
      <c r="C59" s="4">
        <v>16.7</v>
      </c>
      <c r="D59" s="4">
        <v>23.1</v>
      </c>
      <c r="E59" s="4">
        <v>27.5</v>
      </c>
      <c r="F59" s="4">
        <v>19.7</v>
      </c>
      <c r="G59" s="4">
        <v>10</v>
      </c>
      <c r="H59" s="4">
        <v>97</v>
      </c>
      <c r="I59" s="13">
        <v>5674</v>
      </c>
      <c r="J59" s="4">
        <v>22</v>
      </c>
      <c r="K59" s="4">
        <v>27.8</v>
      </c>
      <c r="L59" s="4">
        <v>25.4</v>
      </c>
      <c r="M59" s="4">
        <v>16.2</v>
      </c>
      <c r="N59" s="4">
        <v>6.6</v>
      </c>
      <c r="O59" s="4">
        <v>98</v>
      </c>
      <c r="P59" s="13">
        <v>18566</v>
      </c>
      <c r="Q59" s="4">
        <v>20.8</v>
      </c>
      <c r="R59" s="4">
        <v>26.7</v>
      </c>
      <c r="S59" s="4">
        <v>25.9</v>
      </c>
      <c r="T59" s="4">
        <v>17</v>
      </c>
      <c r="U59" s="4">
        <v>7.4</v>
      </c>
      <c r="V59" s="4">
        <v>97.7</v>
      </c>
      <c r="W59" s="13">
        <v>24240</v>
      </c>
      <c r="AA59" s="74"/>
      <c r="AB59" s="93"/>
      <c r="AC59" s="93"/>
      <c r="AD59" s="93"/>
      <c r="AE59" s="93"/>
      <c r="AF59" s="93"/>
      <c r="AG59" s="93"/>
      <c r="AH59" s="96"/>
      <c r="AI59" s="93"/>
      <c r="AJ59" s="93"/>
      <c r="AK59" s="93"/>
      <c r="AL59" s="93"/>
      <c r="AM59" s="93"/>
      <c r="AN59" s="93"/>
      <c r="AO59" s="96"/>
      <c r="AP59" s="93"/>
      <c r="AQ59" s="93"/>
      <c r="AR59" s="93"/>
      <c r="AS59" s="93"/>
      <c r="AT59" s="93"/>
      <c r="AU59" s="93"/>
      <c r="AV59" s="96"/>
      <c r="AX59" s="77"/>
      <c r="AY59" s="80"/>
      <c r="AZ59" s="80"/>
      <c r="BA59" s="80"/>
      <c r="BB59" s="80"/>
      <c r="BC59" s="80"/>
      <c r="BD59" s="80"/>
      <c r="BE59" s="80"/>
      <c r="BF59" s="80"/>
      <c r="BG59" s="80"/>
      <c r="BH59" s="80"/>
      <c r="BI59" s="80"/>
      <c r="BJ59" s="80"/>
      <c r="BK59" s="80"/>
      <c r="BL59" s="80"/>
      <c r="BM59" s="80"/>
      <c r="BN59" s="80"/>
      <c r="BO59" s="80"/>
      <c r="BP59" s="80"/>
      <c r="BQ59" s="80"/>
      <c r="BR59" s="80"/>
      <c r="BS59" s="80"/>
    </row>
    <row r="60" spans="1:71" x14ac:dyDescent="0.2">
      <c r="A60" s="14"/>
      <c r="B60" s="10" t="s">
        <v>19</v>
      </c>
      <c r="C60" s="4">
        <v>19.8</v>
      </c>
      <c r="D60" s="4">
        <v>25.2</v>
      </c>
      <c r="E60" s="4">
        <v>27</v>
      </c>
      <c r="F60" s="4">
        <v>16.2</v>
      </c>
      <c r="G60" s="4">
        <v>9.1</v>
      </c>
      <c r="H60" s="4">
        <v>97.3</v>
      </c>
      <c r="I60" s="13">
        <v>1523</v>
      </c>
      <c r="J60" s="4">
        <v>22.9</v>
      </c>
      <c r="K60" s="4">
        <v>25.4</v>
      </c>
      <c r="L60" s="4">
        <v>23.5</v>
      </c>
      <c r="M60" s="4">
        <v>16.5</v>
      </c>
      <c r="N60" s="4">
        <v>8</v>
      </c>
      <c r="O60" s="4">
        <v>96.2</v>
      </c>
      <c r="P60" s="13">
        <v>1386</v>
      </c>
      <c r="Q60" s="4">
        <v>21.2</v>
      </c>
      <c r="R60" s="4">
        <v>25.3</v>
      </c>
      <c r="S60" s="4">
        <v>25.3</v>
      </c>
      <c r="T60" s="4">
        <v>16.3</v>
      </c>
      <c r="U60" s="4">
        <v>8.6</v>
      </c>
      <c r="V60" s="4">
        <v>96.8</v>
      </c>
      <c r="W60" s="13">
        <v>2909</v>
      </c>
      <c r="AA60" s="74"/>
      <c r="AB60" s="93"/>
      <c r="AC60" s="93"/>
      <c r="AD60" s="93"/>
      <c r="AE60" s="93"/>
      <c r="AF60" s="93"/>
      <c r="AG60" s="93"/>
      <c r="AH60" s="96"/>
      <c r="AI60" s="93"/>
      <c r="AJ60" s="93"/>
      <c r="AK60" s="93"/>
      <c r="AL60" s="93"/>
      <c r="AM60" s="93"/>
      <c r="AN60" s="93"/>
      <c r="AO60" s="96"/>
      <c r="AP60" s="93"/>
      <c r="AQ60" s="93"/>
      <c r="AR60" s="93"/>
      <c r="AS60" s="93"/>
      <c r="AT60" s="93"/>
      <c r="AU60" s="93"/>
      <c r="AV60" s="96"/>
      <c r="AX60" s="77"/>
      <c r="AY60" s="80"/>
      <c r="AZ60" s="80"/>
      <c r="BA60" s="80"/>
      <c r="BB60" s="80"/>
      <c r="BC60" s="80"/>
      <c r="BD60" s="80"/>
      <c r="BE60" s="80"/>
      <c r="BF60" s="80"/>
      <c r="BG60" s="80"/>
      <c r="BH60" s="80"/>
      <c r="BI60" s="80"/>
      <c r="BJ60" s="80"/>
      <c r="BK60" s="80"/>
      <c r="BL60" s="80"/>
      <c r="BM60" s="80"/>
      <c r="BN60" s="80"/>
      <c r="BO60" s="80"/>
      <c r="BP60" s="80"/>
      <c r="BQ60" s="80"/>
      <c r="BR60" s="80"/>
      <c r="BS60" s="80"/>
    </row>
    <row r="61" spans="1:71" x14ac:dyDescent="0.2">
      <c r="A61" s="14"/>
      <c r="B61" s="10" t="s">
        <v>20</v>
      </c>
      <c r="C61" s="4">
        <v>24.6</v>
      </c>
      <c r="D61" s="4">
        <v>22.7</v>
      </c>
      <c r="E61" s="4">
        <v>23.7</v>
      </c>
      <c r="F61" s="4">
        <v>17.5</v>
      </c>
      <c r="G61" s="4">
        <v>8.6999999999999993</v>
      </c>
      <c r="H61" s="4">
        <v>97.2</v>
      </c>
      <c r="I61" s="13">
        <v>11558</v>
      </c>
      <c r="J61" s="4">
        <v>30.9</v>
      </c>
      <c r="K61" s="4">
        <v>25.8</v>
      </c>
      <c r="L61" s="4">
        <v>23.1</v>
      </c>
      <c r="M61" s="4">
        <v>13.3</v>
      </c>
      <c r="N61" s="4">
        <v>5.0999999999999996</v>
      </c>
      <c r="O61" s="4">
        <v>98.2</v>
      </c>
      <c r="P61" s="13">
        <v>25778</v>
      </c>
      <c r="Q61" s="4">
        <v>29</v>
      </c>
      <c r="R61" s="4">
        <v>24.8</v>
      </c>
      <c r="S61" s="4">
        <v>23.3</v>
      </c>
      <c r="T61" s="4">
        <v>14.6</v>
      </c>
      <c r="U61" s="4">
        <v>6.2</v>
      </c>
      <c r="V61" s="4">
        <v>97.9</v>
      </c>
      <c r="W61" s="13">
        <v>37336</v>
      </c>
      <c r="AA61" s="74"/>
      <c r="AB61" s="93"/>
      <c r="AC61" s="93"/>
      <c r="AD61" s="93"/>
      <c r="AE61" s="93"/>
      <c r="AF61" s="93"/>
      <c r="AG61" s="93"/>
      <c r="AH61" s="96"/>
      <c r="AI61" s="93"/>
      <c r="AJ61" s="93"/>
      <c r="AK61" s="93"/>
      <c r="AL61" s="93"/>
      <c r="AM61" s="93"/>
      <c r="AN61" s="93"/>
      <c r="AO61" s="96"/>
      <c r="AP61" s="93"/>
      <c r="AQ61" s="93"/>
      <c r="AR61" s="93"/>
      <c r="AS61" s="93"/>
      <c r="AT61" s="93"/>
      <c r="AU61" s="93"/>
      <c r="AV61" s="96"/>
      <c r="AX61" s="77"/>
      <c r="AY61" s="80"/>
      <c r="AZ61" s="80"/>
      <c r="BA61" s="80"/>
      <c r="BB61" s="80"/>
      <c r="BC61" s="80"/>
      <c r="BD61" s="80"/>
      <c r="BE61" s="80"/>
      <c r="BF61" s="80"/>
      <c r="BG61" s="80"/>
      <c r="BH61" s="80"/>
      <c r="BI61" s="80"/>
      <c r="BJ61" s="80"/>
      <c r="BK61" s="80"/>
      <c r="BL61" s="80"/>
      <c r="BM61" s="80"/>
      <c r="BN61" s="80"/>
      <c r="BO61" s="80"/>
      <c r="BP61" s="80"/>
      <c r="BQ61" s="80"/>
      <c r="BR61" s="80"/>
      <c r="BS61" s="80"/>
    </row>
    <row r="62" spans="1:71" x14ac:dyDescent="0.2">
      <c r="A62" s="14"/>
      <c r="B62" s="10" t="s">
        <v>21</v>
      </c>
      <c r="C62" s="4">
        <v>14.2</v>
      </c>
      <c r="D62" s="4">
        <v>28.9</v>
      </c>
      <c r="E62" s="4">
        <v>31.8</v>
      </c>
      <c r="F62" s="4">
        <v>17.7</v>
      </c>
      <c r="G62" s="4">
        <v>6.1</v>
      </c>
      <c r="H62" s="4">
        <v>98.7</v>
      </c>
      <c r="I62" s="13">
        <v>4492</v>
      </c>
      <c r="J62" s="4">
        <v>21.3</v>
      </c>
      <c r="K62" s="4">
        <v>31.8</v>
      </c>
      <c r="L62" s="4">
        <v>29.3</v>
      </c>
      <c r="M62" s="4">
        <v>13.9</v>
      </c>
      <c r="N62" s="4">
        <v>3</v>
      </c>
      <c r="O62" s="4">
        <v>99.4</v>
      </c>
      <c r="P62" s="13">
        <v>10459</v>
      </c>
      <c r="Q62" s="4">
        <v>19.2</v>
      </c>
      <c r="R62" s="4">
        <v>31</v>
      </c>
      <c r="S62" s="4">
        <v>30</v>
      </c>
      <c r="T62" s="4">
        <v>15</v>
      </c>
      <c r="U62" s="4">
        <v>3.9</v>
      </c>
      <c r="V62" s="4">
        <v>99.2</v>
      </c>
      <c r="W62" s="13">
        <v>14951</v>
      </c>
      <c r="AA62" s="74"/>
      <c r="AB62" s="93"/>
      <c r="AC62" s="93"/>
      <c r="AD62" s="93"/>
      <c r="AE62" s="93"/>
      <c r="AF62" s="93"/>
      <c r="AG62" s="93"/>
      <c r="AH62" s="96"/>
      <c r="AI62" s="93"/>
      <c r="AJ62" s="93"/>
      <c r="AK62" s="93"/>
      <c r="AL62" s="93"/>
      <c r="AM62" s="93"/>
      <c r="AN62" s="93"/>
      <c r="AO62" s="96"/>
      <c r="AP62" s="93"/>
      <c r="AQ62" s="93"/>
      <c r="AR62" s="93"/>
      <c r="AS62" s="93"/>
      <c r="AT62" s="93"/>
      <c r="AU62" s="93"/>
      <c r="AV62" s="96"/>
      <c r="AX62" s="77"/>
      <c r="AY62" s="80"/>
      <c r="AZ62" s="80"/>
      <c r="BA62" s="80"/>
      <c r="BB62" s="80"/>
      <c r="BC62" s="80"/>
      <c r="BD62" s="80"/>
      <c r="BE62" s="80"/>
      <c r="BF62" s="80"/>
      <c r="BG62" s="80"/>
      <c r="BH62" s="80"/>
      <c r="BI62" s="80"/>
      <c r="BJ62" s="80"/>
      <c r="BK62" s="80"/>
      <c r="BL62" s="80"/>
      <c r="BM62" s="80"/>
      <c r="BN62" s="80"/>
      <c r="BO62" s="80"/>
      <c r="BP62" s="80"/>
      <c r="BQ62" s="80"/>
      <c r="BR62" s="80"/>
      <c r="BS62" s="80"/>
    </row>
    <row r="63" spans="1:71" x14ac:dyDescent="0.2">
      <c r="A63" s="14"/>
      <c r="B63" s="10" t="s">
        <v>22</v>
      </c>
      <c r="C63" s="4">
        <v>21.7</v>
      </c>
      <c r="D63" s="4">
        <v>24.5</v>
      </c>
      <c r="E63" s="4">
        <v>27.1</v>
      </c>
      <c r="F63" s="4">
        <v>18.7</v>
      </c>
      <c r="G63" s="4">
        <v>6.7</v>
      </c>
      <c r="H63" s="4">
        <v>98.8</v>
      </c>
      <c r="I63" s="13">
        <v>24223</v>
      </c>
      <c r="J63" s="4">
        <v>21.8</v>
      </c>
      <c r="K63" s="4">
        <v>25.5</v>
      </c>
      <c r="L63" s="4">
        <v>27.4</v>
      </c>
      <c r="M63" s="4">
        <v>18.5</v>
      </c>
      <c r="N63" s="4">
        <v>5.8</v>
      </c>
      <c r="O63" s="4">
        <v>99.1</v>
      </c>
      <c r="P63" s="13">
        <v>53924</v>
      </c>
      <c r="Q63" s="4">
        <v>21.8</v>
      </c>
      <c r="R63" s="4">
        <v>25.2</v>
      </c>
      <c r="S63" s="4">
        <v>27.3</v>
      </c>
      <c r="T63" s="4">
        <v>18.5</v>
      </c>
      <c r="U63" s="4">
        <v>6.1</v>
      </c>
      <c r="V63" s="4">
        <v>99</v>
      </c>
      <c r="W63" s="13">
        <v>78147</v>
      </c>
      <c r="AA63" s="74"/>
      <c r="AB63" s="93"/>
      <c r="AC63" s="93"/>
      <c r="AD63" s="93"/>
      <c r="AE63" s="93"/>
      <c r="AF63" s="93"/>
      <c r="AG63" s="93"/>
      <c r="AH63" s="96"/>
      <c r="AI63" s="93"/>
      <c r="AJ63" s="93"/>
      <c r="AK63" s="93"/>
      <c r="AL63" s="93"/>
      <c r="AM63" s="93"/>
      <c r="AN63" s="93"/>
      <c r="AO63" s="96"/>
      <c r="AP63" s="93"/>
      <c r="AQ63" s="93"/>
      <c r="AR63" s="93"/>
      <c r="AS63" s="93"/>
      <c r="AT63" s="93"/>
      <c r="AU63" s="93"/>
      <c r="AV63" s="96"/>
      <c r="AX63" s="77"/>
      <c r="AY63" s="80"/>
      <c r="AZ63" s="80"/>
      <c r="BA63" s="80"/>
      <c r="BB63" s="80"/>
      <c r="BC63" s="80"/>
      <c r="BD63" s="80"/>
      <c r="BE63" s="80"/>
      <c r="BF63" s="80"/>
      <c r="BG63" s="80"/>
      <c r="BH63" s="80"/>
      <c r="BI63" s="80"/>
      <c r="BJ63" s="80"/>
      <c r="BK63" s="80"/>
      <c r="BL63" s="80"/>
      <c r="BM63" s="80"/>
      <c r="BN63" s="80"/>
      <c r="BO63" s="80"/>
      <c r="BP63" s="80"/>
      <c r="BQ63" s="80"/>
      <c r="BR63" s="80"/>
      <c r="BS63" s="80"/>
    </row>
    <row r="64" spans="1:71" x14ac:dyDescent="0.2">
      <c r="A64" s="14"/>
      <c r="B64" s="10" t="s">
        <v>51</v>
      </c>
      <c r="C64" s="4">
        <v>10.3</v>
      </c>
      <c r="D64" s="4">
        <v>24.3</v>
      </c>
      <c r="E64" s="4">
        <v>33.6</v>
      </c>
      <c r="F64" s="4">
        <v>22.5</v>
      </c>
      <c r="G64" s="4">
        <v>7.7</v>
      </c>
      <c r="H64" s="4">
        <v>98.4</v>
      </c>
      <c r="I64" s="13">
        <v>10007</v>
      </c>
      <c r="J64" s="4">
        <v>15.1</v>
      </c>
      <c r="K64" s="4">
        <v>30.3</v>
      </c>
      <c r="L64" s="4">
        <v>32.700000000000003</v>
      </c>
      <c r="M64" s="4">
        <v>16.5</v>
      </c>
      <c r="N64" s="4">
        <v>4.7</v>
      </c>
      <c r="O64" s="4">
        <v>99.3</v>
      </c>
      <c r="P64" s="13">
        <v>12979</v>
      </c>
      <c r="Q64" s="4">
        <v>13</v>
      </c>
      <c r="R64" s="4">
        <v>27.7</v>
      </c>
      <c r="S64" s="4">
        <v>33.1</v>
      </c>
      <c r="T64" s="4">
        <v>19.100000000000001</v>
      </c>
      <c r="U64" s="4">
        <v>6</v>
      </c>
      <c r="V64" s="4">
        <v>98.9</v>
      </c>
      <c r="W64" s="13">
        <v>22986</v>
      </c>
      <c r="AA64" s="74"/>
      <c r="AB64" s="93"/>
      <c r="AC64" s="93"/>
      <c r="AD64" s="93"/>
      <c r="AE64" s="93"/>
      <c r="AF64" s="93"/>
      <c r="AG64" s="93"/>
      <c r="AH64" s="96"/>
      <c r="AI64" s="93"/>
      <c r="AJ64" s="93"/>
      <c r="AK64" s="93"/>
      <c r="AL64" s="93"/>
      <c r="AM64" s="93"/>
      <c r="AN64" s="93"/>
      <c r="AO64" s="96"/>
      <c r="AP64" s="93"/>
      <c r="AQ64" s="93"/>
      <c r="AR64" s="93"/>
      <c r="AS64" s="93"/>
      <c r="AT64" s="93"/>
      <c r="AU64" s="93"/>
      <c r="AV64" s="96"/>
      <c r="AX64" s="77"/>
      <c r="AY64" s="80"/>
      <c r="AZ64" s="80"/>
      <c r="BA64" s="80"/>
      <c r="BB64" s="80"/>
      <c r="BC64" s="80"/>
      <c r="BD64" s="80"/>
      <c r="BE64" s="80"/>
      <c r="BF64" s="80"/>
      <c r="BG64" s="80"/>
      <c r="BH64" s="80"/>
      <c r="BI64" s="80"/>
      <c r="BJ64" s="80"/>
      <c r="BK64" s="80"/>
      <c r="BL64" s="80"/>
      <c r="BM64" s="80"/>
      <c r="BN64" s="80"/>
      <c r="BO64" s="80"/>
      <c r="BP64" s="80"/>
      <c r="BQ64" s="80"/>
      <c r="BR64" s="80"/>
      <c r="BS64" s="80"/>
    </row>
    <row r="65" spans="1:71" x14ac:dyDescent="0.2">
      <c r="A65" s="14"/>
      <c r="B65" s="10" t="s">
        <v>23</v>
      </c>
      <c r="C65" s="4">
        <v>13.3</v>
      </c>
      <c r="D65" s="4">
        <v>32.6</v>
      </c>
      <c r="E65" s="4">
        <v>33.700000000000003</v>
      </c>
      <c r="F65" s="4">
        <v>15.1</v>
      </c>
      <c r="G65" s="4">
        <v>4.0999999999999996</v>
      </c>
      <c r="H65" s="4">
        <v>98.8</v>
      </c>
      <c r="I65" s="13">
        <v>3897</v>
      </c>
      <c r="J65" s="4">
        <v>16.7</v>
      </c>
      <c r="K65" s="4">
        <v>31.5</v>
      </c>
      <c r="L65" s="4">
        <v>30.9</v>
      </c>
      <c r="M65" s="4">
        <v>15.3</v>
      </c>
      <c r="N65" s="4">
        <v>4.5999999999999996</v>
      </c>
      <c r="O65" s="4">
        <v>99.1</v>
      </c>
      <c r="P65" s="13">
        <v>5690</v>
      </c>
      <c r="Q65" s="4">
        <v>15.3</v>
      </c>
      <c r="R65" s="4">
        <v>32</v>
      </c>
      <c r="S65" s="4">
        <v>32.1</v>
      </c>
      <c r="T65" s="4">
        <v>15.2</v>
      </c>
      <c r="U65" s="4">
        <v>4.4000000000000004</v>
      </c>
      <c r="V65" s="4">
        <v>99</v>
      </c>
      <c r="W65" s="13">
        <v>9587</v>
      </c>
      <c r="AA65" s="74"/>
      <c r="AB65" s="93"/>
      <c r="AC65" s="93"/>
      <c r="AD65" s="93"/>
      <c r="AE65" s="93"/>
      <c r="AF65" s="93"/>
      <c r="AG65" s="93"/>
      <c r="AH65" s="96"/>
      <c r="AI65" s="93"/>
      <c r="AJ65" s="93"/>
      <c r="AK65" s="93"/>
      <c r="AL65" s="93"/>
      <c r="AM65" s="93"/>
      <c r="AN65" s="93"/>
      <c r="AO65" s="96"/>
      <c r="AP65" s="93"/>
      <c r="AQ65" s="93"/>
      <c r="AR65" s="93"/>
      <c r="AS65" s="93"/>
      <c r="AT65" s="93"/>
      <c r="AU65" s="93"/>
      <c r="AV65" s="96"/>
      <c r="AX65" s="77"/>
      <c r="AY65" s="80"/>
      <c r="AZ65" s="80"/>
      <c r="BA65" s="80"/>
      <c r="BB65" s="80"/>
      <c r="BC65" s="80"/>
      <c r="BD65" s="80"/>
      <c r="BE65" s="80"/>
      <c r="BF65" s="80"/>
      <c r="BG65" s="80"/>
      <c r="BH65" s="80"/>
      <c r="BI65" s="80"/>
      <c r="BJ65" s="80"/>
      <c r="BK65" s="80"/>
      <c r="BL65" s="80"/>
      <c r="BM65" s="80"/>
      <c r="BN65" s="80"/>
      <c r="BO65" s="80"/>
      <c r="BP65" s="80"/>
      <c r="BQ65" s="80"/>
      <c r="BR65" s="80"/>
      <c r="BS65" s="80"/>
    </row>
    <row r="66" spans="1:71" x14ac:dyDescent="0.2">
      <c r="A66" s="14"/>
      <c r="B66" s="10" t="s">
        <v>24</v>
      </c>
      <c r="C66" s="4">
        <v>36.799999999999997</v>
      </c>
      <c r="D66" s="4">
        <v>27.7</v>
      </c>
      <c r="E66" s="4">
        <v>17.899999999999999</v>
      </c>
      <c r="F66" s="4">
        <v>11.4</v>
      </c>
      <c r="G66" s="4">
        <v>5.2</v>
      </c>
      <c r="H66" s="4">
        <v>98.9</v>
      </c>
      <c r="I66" s="13">
        <v>3897</v>
      </c>
      <c r="J66" s="4">
        <v>33.700000000000003</v>
      </c>
      <c r="K66" s="4">
        <v>27.5</v>
      </c>
      <c r="L66" s="4">
        <v>20.100000000000001</v>
      </c>
      <c r="M66" s="4">
        <v>11.9</v>
      </c>
      <c r="N66" s="4">
        <v>5.7</v>
      </c>
      <c r="O66" s="4">
        <v>99</v>
      </c>
      <c r="P66" s="13">
        <v>8293</v>
      </c>
      <c r="Q66" s="4">
        <v>34.700000000000003</v>
      </c>
      <c r="R66" s="4">
        <v>27.6</v>
      </c>
      <c r="S66" s="4">
        <v>19.399999999999999</v>
      </c>
      <c r="T66" s="4">
        <v>11.7</v>
      </c>
      <c r="U66" s="4">
        <v>5.5</v>
      </c>
      <c r="V66" s="4">
        <v>99</v>
      </c>
      <c r="W66" s="13">
        <v>12190</v>
      </c>
      <c r="AA66" s="74"/>
      <c r="AB66" s="93"/>
      <c r="AC66" s="93"/>
      <c r="AD66" s="93"/>
      <c r="AE66" s="93"/>
      <c r="AF66" s="93"/>
      <c r="AG66" s="93"/>
      <c r="AH66" s="96"/>
      <c r="AI66" s="93"/>
      <c r="AJ66" s="93"/>
      <c r="AK66" s="93"/>
      <c r="AL66" s="93"/>
      <c r="AM66" s="93"/>
      <c r="AN66" s="93"/>
      <c r="AO66" s="96"/>
      <c r="AP66" s="93"/>
      <c r="AQ66" s="93"/>
      <c r="AR66" s="93"/>
      <c r="AS66" s="93"/>
      <c r="AT66" s="93"/>
      <c r="AU66" s="93"/>
      <c r="AV66" s="96"/>
      <c r="AX66" s="77"/>
      <c r="AY66" s="80"/>
      <c r="AZ66" s="80"/>
      <c r="BA66" s="80"/>
      <c r="BB66" s="80"/>
      <c r="BC66" s="80"/>
      <c r="BD66" s="80"/>
      <c r="BE66" s="80"/>
      <c r="BF66" s="80"/>
      <c r="BG66" s="80"/>
      <c r="BH66" s="80"/>
      <c r="BI66" s="80"/>
      <c r="BJ66" s="80"/>
      <c r="BK66" s="80"/>
      <c r="BL66" s="80"/>
      <c r="BM66" s="80"/>
      <c r="BN66" s="80"/>
      <c r="BO66" s="80"/>
      <c r="BP66" s="80"/>
      <c r="BQ66" s="80"/>
      <c r="BR66" s="80"/>
      <c r="BS66" s="80"/>
    </row>
    <row r="67" spans="1:71" x14ac:dyDescent="0.2">
      <c r="A67" s="14"/>
      <c r="B67" s="10" t="s">
        <v>25</v>
      </c>
      <c r="C67" s="4">
        <v>41.2</v>
      </c>
      <c r="D67" s="4">
        <v>25</v>
      </c>
      <c r="E67" s="4">
        <v>17.100000000000001</v>
      </c>
      <c r="F67" s="4">
        <v>10.5</v>
      </c>
      <c r="G67" s="4">
        <v>4.7</v>
      </c>
      <c r="H67" s="4">
        <v>98.6</v>
      </c>
      <c r="I67" s="13">
        <v>2076</v>
      </c>
      <c r="J67" s="4">
        <v>35.1</v>
      </c>
      <c r="K67" s="4">
        <v>26.3</v>
      </c>
      <c r="L67" s="4">
        <v>19.399999999999999</v>
      </c>
      <c r="M67" s="4">
        <v>12.2</v>
      </c>
      <c r="N67" s="4">
        <v>5.6</v>
      </c>
      <c r="O67" s="4">
        <v>98.6</v>
      </c>
      <c r="P67" s="13">
        <v>3458</v>
      </c>
      <c r="Q67" s="4">
        <v>37.4</v>
      </c>
      <c r="R67" s="4">
        <v>25.8</v>
      </c>
      <c r="S67" s="4">
        <v>18.5</v>
      </c>
      <c r="T67" s="4">
        <v>11.5</v>
      </c>
      <c r="U67" s="4">
        <v>5.3</v>
      </c>
      <c r="V67" s="4">
        <v>98.6</v>
      </c>
      <c r="W67" s="13">
        <v>5534</v>
      </c>
      <c r="AA67" s="74"/>
      <c r="AB67" s="93"/>
      <c r="AC67" s="93"/>
      <c r="AD67" s="93"/>
      <c r="AE67" s="93"/>
      <c r="AF67" s="93"/>
      <c r="AG67" s="93"/>
      <c r="AH67" s="96"/>
      <c r="AI67" s="93"/>
      <c r="AJ67" s="93"/>
      <c r="AK67" s="93"/>
      <c r="AL67" s="93"/>
      <c r="AM67" s="93"/>
      <c r="AN67" s="93"/>
      <c r="AO67" s="96"/>
      <c r="AP67" s="93"/>
      <c r="AQ67" s="93"/>
      <c r="AR67" s="93"/>
      <c r="AS67" s="93"/>
      <c r="AT67" s="93"/>
      <c r="AU67" s="93"/>
      <c r="AV67" s="96"/>
      <c r="AX67" s="77"/>
      <c r="AY67" s="80"/>
      <c r="AZ67" s="80"/>
      <c r="BA67" s="80"/>
      <c r="BB67" s="80"/>
      <c r="BC67" s="80"/>
      <c r="BD67" s="80"/>
      <c r="BE67" s="80"/>
      <c r="BF67" s="80"/>
      <c r="BG67" s="80"/>
      <c r="BH67" s="80"/>
      <c r="BI67" s="80"/>
      <c r="BJ67" s="80"/>
      <c r="BK67" s="80"/>
      <c r="BL67" s="80"/>
      <c r="BM67" s="80"/>
      <c r="BN67" s="80"/>
      <c r="BO67" s="80"/>
      <c r="BP67" s="80"/>
      <c r="BQ67" s="80"/>
      <c r="BR67" s="80"/>
      <c r="BS67" s="80"/>
    </row>
    <row r="68" spans="1:71" x14ac:dyDescent="0.2">
      <c r="A68" s="14"/>
      <c r="B68" s="10" t="s">
        <v>26</v>
      </c>
      <c r="C68" s="4">
        <v>41.8</v>
      </c>
      <c r="D68" s="4">
        <v>28.1</v>
      </c>
      <c r="E68" s="4">
        <v>16.600000000000001</v>
      </c>
      <c r="F68" s="4">
        <v>9.1999999999999993</v>
      </c>
      <c r="G68" s="4">
        <v>3.1</v>
      </c>
      <c r="H68" s="4">
        <v>98.8</v>
      </c>
      <c r="I68" s="13">
        <v>1707</v>
      </c>
      <c r="J68" s="4">
        <v>35</v>
      </c>
      <c r="K68" s="4">
        <v>28.3</v>
      </c>
      <c r="L68" s="4">
        <v>19.8</v>
      </c>
      <c r="M68" s="4">
        <v>11.5</v>
      </c>
      <c r="N68" s="4">
        <v>4.4000000000000004</v>
      </c>
      <c r="O68" s="4">
        <v>99.1</v>
      </c>
      <c r="P68" s="13">
        <v>3495</v>
      </c>
      <c r="Q68" s="4">
        <v>37.200000000000003</v>
      </c>
      <c r="R68" s="4">
        <v>28.2</v>
      </c>
      <c r="S68" s="4">
        <v>18.8</v>
      </c>
      <c r="T68" s="4">
        <v>10.7</v>
      </c>
      <c r="U68" s="4">
        <v>4</v>
      </c>
      <c r="V68" s="4">
        <v>99</v>
      </c>
      <c r="W68" s="13">
        <v>5202</v>
      </c>
      <c r="AA68" s="74"/>
      <c r="AB68" s="93"/>
      <c r="AC68" s="93"/>
      <c r="AD68" s="93"/>
      <c r="AE68" s="93"/>
      <c r="AF68" s="93"/>
      <c r="AG68" s="93"/>
      <c r="AH68" s="96"/>
      <c r="AI68" s="93"/>
      <c r="AJ68" s="93"/>
      <c r="AK68" s="93"/>
      <c r="AL68" s="93"/>
      <c r="AM68" s="93"/>
      <c r="AN68" s="93"/>
      <c r="AO68" s="96"/>
      <c r="AP68" s="93"/>
      <c r="AQ68" s="93"/>
      <c r="AR68" s="93"/>
      <c r="AS68" s="93"/>
      <c r="AT68" s="93"/>
      <c r="AU68" s="93"/>
      <c r="AV68" s="96"/>
      <c r="AX68" s="77"/>
      <c r="AY68" s="80"/>
      <c r="AZ68" s="80"/>
      <c r="BA68" s="80"/>
      <c r="BB68" s="80"/>
      <c r="BC68" s="80"/>
      <c r="BD68" s="80"/>
      <c r="BE68" s="80"/>
      <c r="BF68" s="80"/>
      <c r="BG68" s="80"/>
      <c r="BH68" s="80"/>
      <c r="BI68" s="80"/>
      <c r="BJ68" s="80"/>
      <c r="BK68" s="80"/>
      <c r="BL68" s="80"/>
      <c r="BM68" s="80"/>
      <c r="BN68" s="80"/>
      <c r="BO68" s="80"/>
      <c r="BP68" s="80"/>
      <c r="BQ68" s="80"/>
      <c r="BR68" s="80"/>
      <c r="BS68" s="80"/>
    </row>
    <row r="69" spans="1:71" x14ac:dyDescent="0.2">
      <c r="A69" s="14"/>
      <c r="B69" s="10" t="s">
        <v>27</v>
      </c>
      <c r="C69" s="4">
        <v>40.6</v>
      </c>
      <c r="D69" s="4">
        <v>32.6</v>
      </c>
      <c r="E69" s="4">
        <v>15.4</v>
      </c>
      <c r="F69" s="4">
        <v>5.4</v>
      </c>
      <c r="G69" s="4">
        <v>2.5</v>
      </c>
      <c r="H69" s="4">
        <v>96.5</v>
      </c>
      <c r="I69" s="13">
        <v>2209</v>
      </c>
      <c r="J69" s="4">
        <v>49.7</v>
      </c>
      <c r="K69" s="4">
        <v>28</v>
      </c>
      <c r="L69" s="4">
        <v>11.5</v>
      </c>
      <c r="M69" s="4">
        <v>4.9000000000000004</v>
      </c>
      <c r="N69" s="4">
        <v>2.7</v>
      </c>
      <c r="O69" s="4">
        <v>96.8</v>
      </c>
      <c r="P69" s="13">
        <v>2875</v>
      </c>
      <c r="Q69" s="4">
        <v>45.8</v>
      </c>
      <c r="R69" s="4">
        <v>30</v>
      </c>
      <c r="S69" s="4">
        <v>13.2</v>
      </c>
      <c r="T69" s="4">
        <v>5.0999999999999996</v>
      </c>
      <c r="U69" s="4">
        <v>2.6</v>
      </c>
      <c r="V69" s="4">
        <v>96.7</v>
      </c>
      <c r="W69" s="13">
        <v>5084</v>
      </c>
      <c r="AA69" s="74"/>
      <c r="AB69" s="93"/>
      <c r="AC69" s="93"/>
      <c r="AD69" s="93"/>
      <c r="AE69" s="93"/>
      <c r="AF69" s="93"/>
      <c r="AG69" s="93"/>
      <c r="AH69" s="96"/>
      <c r="AI69" s="93"/>
      <c r="AJ69" s="93"/>
      <c r="AK69" s="93"/>
      <c r="AL69" s="93"/>
      <c r="AM69" s="93"/>
      <c r="AN69" s="93"/>
      <c r="AO69" s="96"/>
      <c r="AP69" s="93"/>
      <c r="AQ69" s="93"/>
      <c r="AR69" s="93"/>
      <c r="AS69" s="93"/>
      <c r="AT69" s="93"/>
      <c r="AU69" s="93"/>
      <c r="AV69" s="96"/>
      <c r="AX69" s="77"/>
      <c r="AY69" s="80"/>
      <c r="AZ69" s="80"/>
      <c r="BA69" s="80"/>
      <c r="BB69" s="80"/>
      <c r="BC69" s="80"/>
      <c r="BD69" s="80"/>
      <c r="BE69" s="80"/>
      <c r="BF69" s="80"/>
      <c r="BG69" s="80"/>
      <c r="BH69" s="80"/>
      <c r="BI69" s="80"/>
      <c r="BJ69" s="80"/>
      <c r="BK69" s="80"/>
      <c r="BL69" s="80"/>
      <c r="BM69" s="80"/>
      <c r="BN69" s="80"/>
      <c r="BO69" s="80"/>
      <c r="BP69" s="80"/>
      <c r="BQ69" s="80"/>
      <c r="BR69" s="80"/>
      <c r="BS69" s="80"/>
    </row>
    <row r="70" spans="1:71" x14ac:dyDescent="0.2">
      <c r="A70" s="14"/>
      <c r="B70" s="10" t="s">
        <v>28</v>
      </c>
      <c r="C70" s="4">
        <v>35.799999999999997</v>
      </c>
      <c r="D70" s="4">
        <v>26.9</v>
      </c>
      <c r="E70" s="4">
        <v>21</v>
      </c>
      <c r="F70" s="4">
        <v>11.4</v>
      </c>
      <c r="G70" s="4">
        <v>3.9</v>
      </c>
      <c r="H70" s="4">
        <v>99.1</v>
      </c>
      <c r="I70" s="13">
        <v>2438</v>
      </c>
      <c r="J70" s="4">
        <v>40.6</v>
      </c>
      <c r="K70" s="4">
        <v>30.5</v>
      </c>
      <c r="L70" s="4">
        <v>17.600000000000001</v>
      </c>
      <c r="M70" s="4">
        <v>8.6</v>
      </c>
      <c r="N70" s="4">
        <v>2</v>
      </c>
      <c r="O70" s="4">
        <v>99.2</v>
      </c>
      <c r="P70" s="13">
        <v>3203</v>
      </c>
      <c r="Q70" s="4">
        <v>38.5</v>
      </c>
      <c r="R70" s="4">
        <v>28.9</v>
      </c>
      <c r="S70" s="4">
        <v>19.100000000000001</v>
      </c>
      <c r="T70" s="4">
        <v>9.8000000000000007</v>
      </c>
      <c r="U70" s="4">
        <v>2.8</v>
      </c>
      <c r="V70" s="4">
        <v>99.1</v>
      </c>
      <c r="W70" s="13">
        <v>5641</v>
      </c>
      <c r="AA70" s="74"/>
      <c r="AB70" s="93"/>
      <c r="AC70" s="93"/>
      <c r="AD70" s="93"/>
      <c r="AE70" s="93"/>
      <c r="AF70" s="93"/>
      <c r="AG70" s="93"/>
      <c r="AH70" s="96"/>
      <c r="AI70" s="93"/>
      <c r="AJ70" s="93"/>
      <c r="AK70" s="93"/>
      <c r="AL70" s="93"/>
      <c r="AM70" s="93"/>
      <c r="AN70" s="93"/>
      <c r="AO70" s="96"/>
      <c r="AP70" s="93"/>
      <c r="AQ70" s="93"/>
      <c r="AR70" s="93"/>
      <c r="AS70" s="93"/>
      <c r="AT70" s="93"/>
      <c r="AU70" s="93"/>
      <c r="AV70" s="96"/>
      <c r="AX70" s="77"/>
      <c r="AY70" s="80"/>
      <c r="AZ70" s="80"/>
      <c r="BA70" s="80"/>
      <c r="BB70" s="80"/>
      <c r="BC70" s="80"/>
      <c r="BD70" s="80"/>
      <c r="BE70" s="80"/>
      <c r="BF70" s="80"/>
      <c r="BG70" s="80"/>
      <c r="BH70" s="80"/>
      <c r="BI70" s="80"/>
      <c r="BJ70" s="80"/>
      <c r="BK70" s="80"/>
      <c r="BL70" s="80"/>
      <c r="BM70" s="80"/>
      <c r="BN70" s="80"/>
      <c r="BO70" s="80"/>
      <c r="BP70" s="80"/>
      <c r="BQ70" s="80"/>
      <c r="BR70" s="80"/>
      <c r="BS70" s="80"/>
    </row>
    <row r="71" spans="1:71" x14ac:dyDescent="0.2">
      <c r="A71" s="14"/>
      <c r="B71" s="10" t="s">
        <v>29</v>
      </c>
      <c r="C71" s="4">
        <v>25.6</v>
      </c>
      <c r="D71" s="4">
        <v>28.3</v>
      </c>
      <c r="E71" s="4">
        <v>24.3</v>
      </c>
      <c r="F71" s="4">
        <v>14</v>
      </c>
      <c r="G71" s="4">
        <v>6.4</v>
      </c>
      <c r="H71" s="4">
        <v>98.5</v>
      </c>
      <c r="I71" s="13">
        <v>4743</v>
      </c>
      <c r="J71" s="4">
        <v>27.7</v>
      </c>
      <c r="K71" s="4">
        <v>29.7</v>
      </c>
      <c r="L71" s="4">
        <v>24.3</v>
      </c>
      <c r="M71" s="4">
        <v>12.3</v>
      </c>
      <c r="N71" s="4">
        <v>4.9000000000000004</v>
      </c>
      <c r="O71" s="4">
        <v>98.9</v>
      </c>
      <c r="P71" s="13">
        <v>10157</v>
      </c>
      <c r="Q71" s="4">
        <v>27</v>
      </c>
      <c r="R71" s="4">
        <v>29.2</v>
      </c>
      <c r="S71" s="4">
        <v>24.3</v>
      </c>
      <c r="T71" s="4">
        <v>12.9</v>
      </c>
      <c r="U71" s="4">
        <v>5.4</v>
      </c>
      <c r="V71" s="4">
        <v>98.8</v>
      </c>
      <c r="W71" s="13">
        <v>14900</v>
      </c>
      <c r="AA71" s="74"/>
      <c r="AB71" s="93"/>
      <c r="AC71" s="93"/>
      <c r="AD71" s="93"/>
      <c r="AE71" s="93"/>
      <c r="AF71" s="93"/>
      <c r="AG71" s="93"/>
      <c r="AH71" s="96"/>
      <c r="AI71" s="93"/>
      <c r="AJ71" s="93"/>
      <c r="AK71" s="93"/>
      <c r="AL71" s="93"/>
      <c r="AM71" s="93"/>
      <c r="AN71" s="93"/>
      <c r="AO71" s="96"/>
      <c r="AP71" s="93"/>
      <c r="AQ71" s="93"/>
      <c r="AR71" s="93"/>
      <c r="AS71" s="93"/>
      <c r="AT71" s="93"/>
      <c r="AU71" s="93"/>
      <c r="AV71" s="96"/>
      <c r="AX71" s="77"/>
      <c r="AY71" s="80"/>
      <c r="AZ71" s="80"/>
      <c r="BA71" s="80"/>
      <c r="BB71" s="80"/>
      <c r="BC71" s="80"/>
      <c r="BD71" s="80"/>
      <c r="BE71" s="80"/>
      <c r="BF71" s="80"/>
      <c r="BG71" s="80"/>
      <c r="BH71" s="80"/>
      <c r="BI71" s="80"/>
      <c r="BJ71" s="80"/>
      <c r="BK71" s="80"/>
      <c r="BL71" s="80"/>
      <c r="BM71" s="80"/>
      <c r="BN71" s="80"/>
      <c r="BO71" s="80"/>
      <c r="BP71" s="80"/>
      <c r="BQ71" s="80"/>
      <c r="BR71" s="80"/>
      <c r="BS71" s="80"/>
    </row>
    <row r="72" spans="1:71" x14ac:dyDescent="0.2">
      <c r="A72" s="14"/>
      <c r="B72" s="10" t="s">
        <v>30</v>
      </c>
      <c r="C72" s="4">
        <v>15.1</v>
      </c>
      <c r="D72" s="4">
        <v>19.600000000000001</v>
      </c>
      <c r="E72" s="4">
        <v>25.5</v>
      </c>
      <c r="F72" s="4">
        <v>22.6</v>
      </c>
      <c r="G72" s="4">
        <v>13.3</v>
      </c>
      <c r="H72" s="4">
        <v>96.1</v>
      </c>
      <c r="I72" s="13">
        <v>5031</v>
      </c>
      <c r="J72" s="4">
        <v>20.8</v>
      </c>
      <c r="K72" s="4">
        <v>24.7</v>
      </c>
      <c r="L72" s="4">
        <v>24</v>
      </c>
      <c r="M72" s="4">
        <v>19.399999999999999</v>
      </c>
      <c r="N72" s="4">
        <v>9.3000000000000007</v>
      </c>
      <c r="O72" s="4">
        <v>98.2</v>
      </c>
      <c r="P72" s="13">
        <v>3979</v>
      </c>
      <c r="Q72" s="4">
        <v>17.600000000000001</v>
      </c>
      <c r="R72" s="4">
        <v>21.9</v>
      </c>
      <c r="S72" s="4">
        <v>24.8</v>
      </c>
      <c r="T72" s="4">
        <v>21.2</v>
      </c>
      <c r="U72" s="4">
        <v>11.5</v>
      </c>
      <c r="V72" s="4">
        <v>97</v>
      </c>
      <c r="W72" s="13">
        <v>9010</v>
      </c>
      <c r="AA72" s="74"/>
      <c r="AB72" s="93"/>
      <c r="AC72" s="93"/>
      <c r="AD72" s="93"/>
      <c r="AE72" s="93"/>
      <c r="AF72" s="93"/>
      <c r="AG72" s="93"/>
      <c r="AH72" s="96"/>
      <c r="AI72" s="93"/>
      <c r="AJ72" s="93"/>
      <c r="AK72" s="93"/>
      <c r="AL72" s="93"/>
      <c r="AM72" s="93"/>
      <c r="AN72" s="93"/>
      <c r="AO72" s="96"/>
      <c r="AP72" s="93"/>
      <c r="AQ72" s="93"/>
      <c r="AR72" s="93"/>
      <c r="AS72" s="93"/>
      <c r="AT72" s="93"/>
      <c r="AU72" s="93"/>
      <c r="AV72" s="96"/>
      <c r="AX72" s="77"/>
      <c r="AY72" s="80"/>
      <c r="AZ72" s="80"/>
      <c r="BA72" s="80"/>
      <c r="BB72" s="80"/>
      <c r="BC72" s="80"/>
      <c r="BD72" s="80"/>
      <c r="BE72" s="80"/>
      <c r="BF72" s="80"/>
      <c r="BG72" s="80"/>
      <c r="BH72" s="80"/>
      <c r="BI72" s="80"/>
      <c r="BJ72" s="80"/>
      <c r="BK72" s="80"/>
      <c r="BL72" s="80"/>
      <c r="BM72" s="80"/>
      <c r="BN72" s="80"/>
      <c r="BO72" s="80"/>
      <c r="BP72" s="80"/>
      <c r="BQ72" s="80"/>
      <c r="BR72" s="80"/>
      <c r="BS72" s="80"/>
    </row>
    <row r="73" spans="1:71" x14ac:dyDescent="0.2">
      <c r="A73" s="14"/>
      <c r="B73" s="10" t="s">
        <v>31</v>
      </c>
      <c r="C73" s="4">
        <v>10.3</v>
      </c>
      <c r="D73" s="4">
        <v>18.8</v>
      </c>
      <c r="E73" s="4">
        <v>26</v>
      </c>
      <c r="F73" s="4">
        <v>25.3</v>
      </c>
      <c r="G73" s="4">
        <v>15.8</v>
      </c>
      <c r="H73" s="4">
        <v>96.2</v>
      </c>
      <c r="I73" s="13">
        <v>12533</v>
      </c>
      <c r="J73" s="4">
        <v>20.6</v>
      </c>
      <c r="K73" s="4">
        <v>23.7</v>
      </c>
      <c r="L73" s="4">
        <v>25</v>
      </c>
      <c r="M73" s="4">
        <v>18.899999999999999</v>
      </c>
      <c r="N73" s="4">
        <v>9.6</v>
      </c>
      <c r="O73" s="4">
        <v>97.8</v>
      </c>
      <c r="P73" s="13">
        <v>9000</v>
      </c>
      <c r="Q73" s="4">
        <v>14.6</v>
      </c>
      <c r="R73" s="4">
        <v>20.9</v>
      </c>
      <c r="S73" s="4">
        <v>25.6</v>
      </c>
      <c r="T73" s="4">
        <v>22.6</v>
      </c>
      <c r="U73" s="4">
        <v>13.2</v>
      </c>
      <c r="V73" s="4">
        <v>96.9</v>
      </c>
      <c r="W73" s="13">
        <v>21533</v>
      </c>
      <c r="AA73" s="74"/>
      <c r="AB73" s="93"/>
      <c r="AC73" s="93"/>
      <c r="AD73" s="93"/>
      <c r="AE73" s="93"/>
      <c r="AF73" s="93"/>
      <c r="AG73" s="93"/>
      <c r="AH73" s="96"/>
      <c r="AI73" s="93"/>
      <c r="AJ73" s="93"/>
      <c r="AK73" s="93"/>
      <c r="AL73" s="93"/>
      <c r="AM73" s="93"/>
      <c r="AN73" s="93"/>
      <c r="AO73" s="96"/>
      <c r="AP73" s="93"/>
      <c r="AQ73" s="93"/>
      <c r="AR73" s="93"/>
      <c r="AS73" s="93"/>
      <c r="AT73" s="93"/>
      <c r="AU73" s="93"/>
      <c r="AV73" s="96"/>
      <c r="AX73" s="77"/>
      <c r="AY73" s="80"/>
      <c r="AZ73" s="80"/>
      <c r="BA73" s="80"/>
      <c r="BB73" s="80"/>
      <c r="BC73" s="80"/>
      <c r="BD73" s="80"/>
      <c r="BE73" s="80"/>
      <c r="BF73" s="80"/>
      <c r="BG73" s="80"/>
      <c r="BH73" s="80"/>
      <c r="BI73" s="80"/>
      <c r="BJ73" s="80"/>
      <c r="BK73" s="80"/>
      <c r="BL73" s="80"/>
      <c r="BM73" s="80"/>
      <c r="BN73" s="80"/>
      <c r="BO73" s="80"/>
      <c r="BP73" s="80"/>
      <c r="BQ73" s="80"/>
      <c r="BR73" s="80"/>
      <c r="BS73" s="80"/>
    </row>
    <row r="74" spans="1:71" x14ac:dyDescent="0.2">
      <c r="A74" s="14"/>
      <c r="B74" s="10" t="s">
        <v>32</v>
      </c>
      <c r="C74" s="4">
        <v>11.8</v>
      </c>
      <c r="D74" s="4">
        <v>15.6</v>
      </c>
      <c r="E74" s="4">
        <v>22</v>
      </c>
      <c r="F74" s="4">
        <v>23.4</v>
      </c>
      <c r="G74" s="4">
        <v>18.600000000000001</v>
      </c>
      <c r="H74" s="4">
        <v>91.5</v>
      </c>
      <c r="I74" s="13">
        <v>27603</v>
      </c>
      <c r="J74" s="4">
        <v>12.1</v>
      </c>
      <c r="K74" s="4">
        <v>17.5</v>
      </c>
      <c r="L74" s="4">
        <v>23.5</v>
      </c>
      <c r="M74" s="4">
        <v>23.7</v>
      </c>
      <c r="N74" s="4">
        <v>16.899999999999999</v>
      </c>
      <c r="O74" s="4">
        <v>93.8</v>
      </c>
      <c r="P74" s="13">
        <v>32050</v>
      </c>
      <c r="Q74" s="4">
        <v>12</v>
      </c>
      <c r="R74" s="4">
        <v>16.7</v>
      </c>
      <c r="S74" s="4">
        <v>22.8</v>
      </c>
      <c r="T74" s="4">
        <v>23.6</v>
      </c>
      <c r="U74" s="4">
        <v>17.7</v>
      </c>
      <c r="V74" s="4">
        <v>92.7</v>
      </c>
      <c r="W74" s="13">
        <v>59653</v>
      </c>
      <c r="AA74" s="74"/>
      <c r="AB74" s="93"/>
      <c r="AC74" s="93"/>
      <c r="AD74" s="93"/>
      <c r="AE74" s="93"/>
      <c r="AF74" s="93"/>
      <c r="AG74" s="93"/>
      <c r="AH74" s="96"/>
      <c r="AI74" s="93"/>
      <c r="AJ74" s="93"/>
      <c r="AK74" s="93"/>
      <c r="AL74" s="93"/>
      <c r="AM74" s="93"/>
      <c r="AN74" s="93"/>
      <c r="AO74" s="96"/>
      <c r="AP74" s="93"/>
      <c r="AQ74" s="93"/>
      <c r="AR74" s="93"/>
      <c r="AS74" s="93"/>
      <c r="AT74" s="93"/>
      <c r="AU74" s="93"/>
      <c r="AV74" s="96"/>
      <c r="AX74" s="77"/>
      <c r="AY74" s="80"/>
      <c r="AZ74" s="80"/>
      <c r="BA74" s="80"/>
      <c r="BB74" s="80"/>
      <c r="BC74" s="80"/>
      <c r="BD74" s="80"/>
      <c r="BE74" s="80"/>
      <c r="BF74" s="80"/>
      <c r="BG74" s="80"/>
      <c r="BH74" s="80"/>
      <c r="BI74" s="80"/>
      <c r="BJ74" s="80"/>
      <c r="BK74" s="80"/>
      <c r="BL74" s="80"/>
      <c r="BM74" s="80"/>
      <c r="BN74" s="80"/>
      <c r="BO74" s="80"/>
      <c r="BP74" s="80"/>
      <c r="BQ74" s="80"/>
      <c r="BR74" s="80"/>
      <c r="BS74" s="80"/>
    </row>
    <row r="75" spans="1:71" x14ac:dyDescent="0.2">
      <c r="A75" s="14"/>
      <c r="B75" s="10" t="s">
        <v>46</v>
      </c>
      <c r="C75" s="4">
        <v>22.8</v>
      </c>
      <c r="D75" s="4">
        <v>22.4</v>
      </c>
      <c r="E75" s="4">
        <v>23</v>
      </c>
      <c r="F75" s="4">
        <v>18</v>
      </c>
      <c r="G75" s="4">
        <v>10.4</v>
      </c>
      <c r="H75" s="4">
        <v>96.6</v>
      </c>
      <c r="I75" s="13">
        <v>328227</v>
      </c>
      <c r="J75" s="4">
        <v>25.1</v>
      </c>
      <c r="K75" s="4">
        <v>25</v>
      </c>
      <c r="L75" s="4">
        <v>23.8</v>
      </c>
      <c r="M75" s="4">
        <v>16.100000000000001</v>
      </c>
      <c r="N75" s="4">
        <v>7.8</v>
      </c>
      <c r="O75" s="4">
        <v>97.7</v>
      </c>
      <c r="P75" s="13">
        <v>386976</v>
      </c>
      <c r="Q75" s="4">
        <v>24</v>
      </c>
      <c r="R75" s="4">
        <v>23.8</v>
      </c>
      <c r="S75" s="4">
        <v>23.4</v>
      </c>
      <c r="T75" s="4">
        <v>17</v>
      </c>
      <c r="U75" s="4">
        <v>9</v>
      </c>
      <c r="V75" s="4">
        <v>97.2</v>
      </c>
      <c r="W75" s="13">
        <v>715203</v>
      </c>
      <c r="AA75" s="74" t="s">
        <v>46</v>
      </c>
      <c r="AB75" s="93"/>
      <c r="AC75" s="93"/>
      <c r="AD75" s="93"/>
      <c r="AE75" s="93"/>
      <c r="AF75" s="93"/>
      <c r="AG75" s="93"/>
      <c r="AH75" s="96"/>
      <c r="AI75" s="93"/>
      <c r="AJ75" s="93"/>
      <c r="AK75" s="93"/>
      <c r="AL75" s="93"/>
      <c r="AM75" s="93"/>
      <c r="AN75" s="93"/>
      <c r="AO75" s="96"/>
      <c r="AP75" s="93"/>
      <c r="AQ75" s="93"/>
      <c r="AR75" s="93"/>
      <c r="AS75" s="93"/>
      <c r="AT75" s="93"/>
      <c r="AU75" s="93"/>
      <c r="AV75" s="96"/>
      <c r="AX75" s="77"/>
      <c r="AY75" s="80"/>
      <c r="AZ75" s="80"/>
      <c r="BA75" s="80"/>
      <c r="BB75" s="80"/>
      <c r="BC75" s="80"/>
      <c r="BD75" s="80"/>
      <c r="BE75" s="80"/>
      <c r="BF75" s="80"/>
      <c r="BG75" s="80"/>
      <c r="BH75" s="80"/>
      <c r="BI75" s="80"/>
      <c r="BJ75" s="80"/>
      <c r="BK75" s="80"/>
      <c r="BL75" s="80"/>
      <c r="BM75" s="80"/>
      <c r="BN75" s="80"/>
      <c r="BO75" s="80"/>
      <c r="BP75" s="80"/>
      <c r="BQ75" s="80"/>
      <c r="BR75" s="80"/>
      <c r="BS75" s="80"/>
    </row>
    <row r="76" spans="1:71" x14ac:dyDescent="0.2">
      <c r="A76" s="14"/>
      <c r="B76" s="34"/>
      <c r="C76" s="35"/>
      <c r="D76" s="36"/>
      <c r="E76" s="35"/>
      <c r="F76" s="37"/>
      <c r="G76" s="12"/>
      <c r="H76" s="37"/>
      <c r="I76" s="12"/>
      <c r="J76" s="37"/>
      <c r="K76" s="12"/>
      <c r="L76" s="37"/>
      <c r="M76" s="12"/>
      <c r="N76" s="12"/>
      <c r="O76" s="12"/>
      <c r="P76" s="12"/>
      <c r="Q76" s="37"/>
      <c r="R76" s="12"/>
      <c r="S76" s="37"/>
      <c r="T76" s="12"/>
      <c r="U76" s="37"/>
    </row>
    <row r="77" spans="1:71" x14ac:dyDescent="0.2">
      <c r="A77" s="14"/>
      <c r="B77" s="34"/>
      <c r="C77" s="35"/>
      <c r="D77" s="36"/>
      <c r="E77" s="35"/>
      <c r="F77" s="37"/>
      <c r="G77" s="12"/>
      <c r="H77" s="37"/>
      <c r="I77" s="12"/>
      <c r="J77" s="37"/>
      <c r="K77" s="12"/>
      <c r="L77" s="37"/>
      <c r="M77" s="12"/>
      <c r="N77" s="12"/>
      <c r="O77" s="12"/>
      <c r="P77" s="12"/>
      <c r="Q77" s="37"/>
      <c r="R77" s="12"/>
      <c r="S77" s="37"/>
      <c r="T77" s="12"/>
      <c r="U77" s="37"/>
    </row>
    <row r="78" spans="1:71" x14ac:dyDescent="0.2">
      <c r="A78" s="14"/>
      <c r="B78" s="10" t="s">
        <v>0</v>
      </c>
      <c r="C78" s="4">
        <f>ROUND(C41,1)</f>
        <v>23.3</v>
      </c>
      <c r="D78" s="4">
        <f t="shared" ref="D78:V78" si="0">ROUND(D41,1)</f>
        <v>21.1</v>
      </c>
      <c r="E78" s="4">
        <f t="shared" si="0"/>
        <v>20.5</v>
      </c>
      <c r="F78" s="4">
        <f t="shared" si="0"/>
        <v>17.3</v>
      </c>
      <c r="G78" s="4">
        <f t="shared" si="0"/>
        <v>12.9</v>
      </c>
      <c r="H78" s="4">
        <f t="shared" si="0"/>
        <v>95.2</v>
      </c>
      <c r="I78" s="13">
        <f>ROUND(I41,0)</f>
        <v>19300</v>
      </c>
      <c r="J78" s="4">
        <f t="shared" si="0"/>
        <v>25.6</v>
      </c>
      <c r="K78" s="4">
        <f t="shared" si="0"/>
        <v>21.9</v>
      </c>
      <c r="L78" s="4">
        <f t="shared" si="0"/>
        <v>20.7</v>
      </c>
      <c r="M78" s="4">
        <f t="shared" si="0"/>
        <v>16.5</v>
      </c>
      <c r="N78" s="4">
        <f t="shared" si="0"/>
        <v>11.3</v>
      </c>
      <c r="O78" s="4">
        <f t="shared" si="0"/>
        <v>96</v>
      </c>
      <c r="P78" s="13">
        <f>ROUND(P41,0)</f>
        <v>27324</v>
      </c>
      <c r="Q78" s="4">
        <f t="shared" si="0"/>
        <v>24.7</v>
      </c>
      <c r="R78" s="4">
        <f t="shared" si="0"/>
        <v>21.5</v>
      </c>
      <c r="S78" s="4">
        <f t="shared" si="0"/>
        <v>20.6</v>
      </c>
      <c r="T78" s="4">
        <f t="shared" si="0"/>
        <v>16.8</v>
      </c>
      <c r="U78" s="4">
        <f t="shared" si="0"/>
        <v>12</v>
      </c>
      <c r="V78" s="4">
        <f t="shared" si="0"/>
        <v>95.7</v>
      </c>
      <c r="W78" s="13">
        <f>ROUND(W41,0)</f>
        <v>46624</v>
      </c>
    </row>
    <row r="79" spans="1:71" x14ac:dyDescent="0.2">
      <c r="A79" s="14"/>
      <c r="B79" s="10" t="s">
        <v>1</v>
      </c>
      <c r="C79" s="4">
        <f t="shared" ref="C79:C112" si="1">ROUND(C42,1)</f>
        <v>30.6</v>
      </c>
      <c r="D79" s="4">
        <f t="shared" ref="D79:O79" si="2">ROUND(D42,1)</f>
        <v>23.5</v>
      </c>
      <c r="E79" s="4">
        <f t="shared" si="2"/>
        <v>18.7</v>
      </c>
      <c r="F79" s="4">
        <f t="shared" si="2"/>
        <v>14.1</v>
      </c>
      <c r="G79" s="4">
        <f t="shared" si="2"/>
        <v>9.5</v>
      </c>
      <c r="H79" s="4">
        <f t="shared" si="2"/>
        <v>96.5</v>
      </c>
      <c r="I79" s="13">
        <f t="shared" ref="I79:I112" si="3">ROUND(I42,0)</f>
        <v>17720</v>
      </c>
      <c r="J79" s="4">
        <f t="shared" si="2"/>
        <v>32.700000000000003</v>
      </c>
      <c r="K79" s="4">
        <f t="shared" si="2"/>
        <v>25.2</v>
      </c>
      <c r="L79" s="4">
        <f t="shared" si="2"/>
        <v>19</v>
      </c>
      <c r="M79" s="4">
        <f t="shared" si="2"/>
        <v>12.9</v>
      </c>
      <c r="N79" s="4">
        <f t="shared" si="2"/>
        <v>7.7</v>
      </c>
      <c r="O79" s="4">
        <f t="shared" si="2"/>
        <v>97.5</v>
      </c>
      <c r="P79" s="13">
        <f t="shared" ref="P79:P112" si="4">ROUND(P42,0)</f>
        <v>16814</v>
      </c>
      <c r="Q79" s="4">
        <f t="shared" ref="Q79:V79" si="5">ROUND(Q42,1)</f>
        <v>31.7</v>
      </c>
      <c r="R79" s="4">
        <f t="shared" si="5"/>
        <v>24.3</v>
      </c>
      <c r="S79" s="4">
        <f t="shared" si="5"/>
        <v>18.899999999999999</v>
      </c>
      <c r="T79" s="4">
        <f t="shared" si="5"/>
        <v>13.5</v>
      </c>
      <c r="U79" s="4">
        <f t="shared" si="5"/>
        <v>8.6</v>
      </c>
      <c r="V79" s="4">
        <f t="shared" si="5"/>
        <v>97</v>
      </c>
      <c r="W79" s="13">
        <f t="shared" ref="W79:W112" si="6">ROUND(W42,0)</f>
        <v>34534</v>
      </c>
    </row>
    <row r="80" spans="1:71" x14ac:dyDescent="0.2">
      <c r="A80" s="14"/>
      <c r="B80" s="10" t="s">
        <v>2</v>
      </c>
      <c r="C80" s="4">
        <f t="shared" si="1"/>
        <v>28.2</v>
      </c>
      <c r="D80" s="4">
        <f t="shared" ref="D80:O80" si="7">ROUND(D43,1)</f>
        <v>21.1</v>
      </c>
      <c r="E80" s="4">
        <f t="shared" si="7"/>
        <v>18.7</v>
      </c>
      <c r="F80" s="4">
        <f t="shared" si="7"/>
        <v>15.4</v>
      </c>
      <c r="G80" s="4">
        <f t="shared" si="7"/>
        <v>11.9</v>
      </c>
      <c r="H80" s="4">
        <f t="shared" si="7"/>
        <v>95.3</v>
      </c>
      <c r="I80" s="13">
        <f t="shared" si="3"/>
        <v>18687</v>
      </c>
      <c r="J80" s="4">
        <f t="shared" si="7"/>
        <v>36</v>
      </c>
      <c r="K80" s="4">
        <f t="shared" si="7"/>
        <v>22.6</v>
      </c>
      <c r="L80" s="4">
        <f t="shared" si="7"/>
        <v>17.399999999999999</v>
      </c>
      <c r="M80" s="4">
        <f t="shared" si="7"/>
        <v>12.4</v>
      </c>
      <c r="N80" s="4">
        <f t="shared" si="7"/>
        <v>8.8000000000000007</v>
      </c>
      <c r="O80" s="4">
        <f t="shared" si="7"/>
        <v>97.3</v>
      </c>
      <c r="P80" s="13">
        <f t="shared" si="4"/>
        <v>4970</v>
      </c>
      <c r="Q80" s="4">
        <f t="shared" ref="Q80:V80" si="8">ROUND(Q43,1)</f>
        <v>29.8</v>
      </c>
      <c r="R80" s="4">
        <f t="shared" si="8"/>
        <v>21.4</v>
      </c>
      <c r="S80" s="4">
        <f t="shared" si="8"/>
        <v>18.399999999999999</v>
      </c>
      <c r="T80" s="4">
        <f t="shared" si="8"/>
        <v>14.8</v>
      </c>
      <c r="U80" s="4">
        <f t="shared" si="8"/>
        <v>11.3</v>
      </c>
      <c r="V80" s="4">
        <f t="shared" si="8"/>
        <v>95.7</v>
      </c>
      <c r="W80" s="13">
        <f t="shared" si="6"/>
        <v>23657</v>
      </c>
    </row>
    <row r="81" spans="1:23" x14ac:dyDescent="0.2">
      <c r="A81" s="14"/>
      <c r="B81" s="10" t="s">
        <v>3</v>
      </c>
      <c r="C81" s="4">
        <f t="shared" si="1"/>
        <v>23.7</v>
      </c>
      <c r="D81" s="4">
        <f t="shared" ref="D81:O81" si="9">ROUND(D44,1)</f>
        <v>20.8</v>
      </c>
      <c r="E81" s="4">
        <f t="shared" si="9"/>
        <v>20.2</v>
      </c>
      <c r="F81" s="4">
        <f t="shared" si="9"/>
        <v>17.899999999999999</v>
      </c>
      <c r="G81" s="4">
        <f t="shared" si="9"/>
        <v>13.8</v>
      </c>
      <c r="H81" s="4">
        <f t="shared" si="9"/>
        <v>96.3</v>
      </c>
      <c r="I81" s="13">
        <f t="shared" si="3"/>
        <v>2616</v>
      </c>
      <c r="J81" s="4">
        <f t="shared" si="9"/>
        <v>21.1</v>
      </c>
      <c r="K81" s="4">
        <f t="shared" si="9"/>
        <v>22.3</v>
      </c>
      <c r="L81" s="4">
        <f t="shared" si="9"/>
        <v>23.7</v>
      </c>
      <c r="M81" s="4">
        <f t="shared" si="9"/>
        <v>18.100000000000001</v>
      </c>
      <c r="N81" s="4">
        <f t="shared" si="9"/>
        <v>12.4</v>
      </c>
      <c r="O81" s="4">
        <f t="shared" si="9"/>
        <v>97.6</v>
      </c>
      <c r="P81" s="13">
        <f t="shared" si="4"/>
        <v>983</v>
      </c>
      <c r="Q81" s="4">
        <f t="shared" ref="Q81:V81" si="10">ROUND(Q44,1)</f>
        <v>23</v>
      </c>
      <c r="R81" s="4">
        <f t="shared" si="10"/>
        <v>21.2</v>
      </c>
      <c r="S81" s="4">
        <f t="shared" si="10"/>
        <v>21.1</v>
      </c>
      <c r="T81" s="4">
        <f t="shared" si="10"/>
        <v>17.899999999999999</v>
      </c>
      <c r="U81" s="4">
        <f t="shared" si="10"/>
        <v>13.4</v>
      </c>
      <c r="V81" s="4">
        <f t="shared" si="10"/>
        <v>96.6</v>
      </c>
      <c r="W81" s="13">
        <f t="shared" si="6"/>
        <v>3599</v>
      </c>
    </row>
    <row r="82" spans="1:23" x14ac:dyDescent="0.2">
      <c r="A82" s="14"/>
      <c r="B82" s="10" t="s">
        <v>4</v>
      </c>
      <c r="C82" s="4">
        <f t="shared" si="1"/>
        <v>41.8</v>
      </c>
      <c r="D82" s="4">
        <f t="shared" ref="D82:O82" si="11">ROUND(D45,1)</f>
        <v>20.6</v>
      </c>
      <c r="E82" s="4">
        <f t="shared" si="11"/>
        <v>15.7</v>
      </c>
      <c r="F82" s="4">
        <f t="shared" si="11"/>
        <v>11.6</v>
      </c>
      <c r="G82" s="4">
        <f t="shared" si="11"/>
        <v>7.6</v>
      </c>
      <c r="H82" s="4">
        <f t="shared" si="11"/>
        <v>97.3</v>
      </c>
      <c r="I82" s="13">
        <f t="shared" si="3"/>
        <v>30637</v>
      </c>
      <c r="J82" s="4">
        <f t="shared" si="11"/>
        <v>45.7</v>
      </c>
      <c r="K82" s="4">
        <f t="shared" si="11"/>
        <v>22.2</v>
      </c>
      <c r="L82" s="4">
        <f t="shared" si="11"/>
        <v>15.3</v>
      </c>
      <c r="M82" s="4">
        <f t="shared" si="11"/>
        <v>9.5</v>
      </c>
      <c r="N82" s="4">
        <f t="shared" si="11"/>
        <v>5.4</v>
      </c>
      <c r="O82" s="4">
        <f t="shared" si="11"/>
        <v>98.1</v>
      </c>
      <c r="P82" s="13">
        <f t="shared" si="4"/>
        <v>19168</v>
      </c>
      <c r="Q82" s="4">
        <f t="shared" ref="Q82:V82" si="12">ROUND(Q45,1)</f>
        <v>43.3</v>
      </c>
      <c r="R82" s="4">
        <f t="shared" si="12"/>
        <v>21.2</v>
      </c>
      <c r="S82" s="4">
        <f t="shared" si="12"/>
        <v>15.6</v>
      </c>
      <c r="T82" s="4">
        <f t="shared" si="12"/>
        <v>10.8</v>
      </c>
      <c r="U82" s="4">
        <f t="shared" si="12"/>
        <v>6.7</v>
      </c>
      <c r="V82" s="4">
        <f t="shared" si="12"/>
        <v>97.6</v>
      </c>
      <c r="W82" s="13">
        <f t="shared" si="6"/>
        <v>49805</v>
      </c>
    </row>
    <row r="83" spans="1:23" x14ac:dyDescent="0.2">
      <c r="B83" s="10" t="s">
        <v>5</v>
      </c>
      <c r="C83" s="4">
        <f t="shared" si="1"/>
        <v>57.5</v>
      </c>
      <c r="D83" s="4">
        <f t="shared" ref="D83:O83" si="13">ROUND(D46,1)</f>
        <v>19.2</v>
      </c>
      <c r="E83" s="4">
        <f t="shared" si="13"/>
        <v>11.7</v>
      </c>
      <c r="F83" s="4">
        <f t="shared" si="13"/>
        <v>6.9</v>
      </c>
      <c r="G83" s="4">
        <f t="shared" si="13"/>
        <v>3.5</v>
      </c>
      <c r="H83" s="4">
        <f t="shared" si="13"/>
        <v>98.7</v>
      </c>
      <c r="I83" s="13">
        <f t="shared" si="3"/>
        <v>4595</v>
      </c>
      <c r="J83" s="4">
        <f t="shared" si="13"/>
        <v>58.3</v>
      </c>
      <c r="K83" s="4">
        <f t="shared" si="13"/>
        <v>20.100000000000001</v>
      </c>
      <c r="L83" s="4">
        <f t="shared" si="13"/>
        <v>11.9</v>
      </c>
      <c r="M83" s="4">
        <f t="shared" si="13"/>
        <v>5.5</v>
      </c>
      <c r="N83" s="4">
        <f t="shared" si="13"/>
        <v>3.6</v>
      </c>
      <c r="O83" s="4">
        <f t="shared" si="13"/>
        <v>99.3</v>
      </c>
      <c r="P83" s="13">
        <f t="shared" si="4"/>
        <v>1921</v>
      </c>
      <c r="Q83" s="4">
        <f t="shared" ref="Q83:V83" si="14">ROUND(Q46,1)</f>
        <v>57.8</v>
      </c>
      <c r="R83" s="4">
        <f t="shared" si="14"/>
        <v>19.399999999999999</v>
      </c>
      <c r="S83" s="4">
        <f t="shared" si="14"/>
        <v>11.7</v>
      </c>
      <c r="T83" s="4">
        <f t="shared" si="14"/>
        <v>6.5</v>
      </c>
      <c r="U83" s="4">
        <f t="shared" si="14"/>
        <v>3.5</v>
      </c>
      <c r="V83" s="4">
        <f t="shared" si="14"/>
        <v>98.9</v>
      </c>
      <c r="W83" s="13">
        <f t="shared" si="6"/>
        <v>6516</v>
      </c>
    </row>
    <row r="84" spans="1:23" x14ac:dyDescent="0.2">
      <c r="B84" s="10" t="s">
        <v>6</v>
      </c>
      <c r="C84" s="4">
        <f t="shared" si="1"/>
        <v>14</v>
      </c>
      <c r="D84" s="4">
        <f t="shared" ref="D84:O84" si="15">ROUND(D47,1)</f>
        <v>21.8</v>
      </c>
      <c r="E84" s="4">
        <f t="shared" si="15"/>
        <v>26.9</v>
      </c>
      <c r="F84" s="4">
        <f t="shared" si="15"/>
        <v>22.3</v>
      </c>
      <c r="G84" s="4">
        <f t="shared" si="15"/>
        <v>11.6</v>
      </c>
      <c r="H84" s="4">
        <f t="shared" si="15"/>
        <v>96.7</v>
      </c>
      <c r="I84" s="13">
        <f t="shared" si="3"/>
        <v>9696</v>
      </c>
      <c r="J84" s="4">
        <f t="shared" si="15"/>
        <v>21.1</v>
      </c>
      <c r="K84" s="4">
        <f t="shared" si="15"/>
        <v>26.4</v>
      </c>
      <c r="L84" s="4">
        <f t="shared" si="15"/>
        <v>26.8</v>
      </c>
      <c r="M84" s="4">
        <f t="shared" si="15"/>
        <v>16.899999999999999</v>
      </c>
      <c r="N84" s="4">
        <f t="shared" si="15"/>
        <v>7.2</v>
      </c>
      <c r="O84" s="4">
        <f t="shared" si="15"/>
        <v>98.5</v>
      </c>
      <c r="P84" s="13">
        <f t="shared" si="4"/>
        <v>7012</v>
      </c>
      <c r="Q84" s="4">
        <f t="shared" ref="Q84:V84" si="16">ROUND(Q47,1)</f>
        <v>17</v>
      </c>
      <c r="R84" s="4">
        <f t="shared" si="16"/>
        <v>23.7</v>
      </c>
      <c r="S84" s="4">
        <f t="shared" si="16"/>
        <v>26.9</v>
      </c>
      <c r="T84" s="4">
        <f t="shared" si="16"/>
        <v>20.100000000000001</v>
      </c>
      <c r="U84" s="4">
        <f t="shared" si="16"/>
        <v>9.8000000000000007</v>
      </c>
      <c r="V84" s="4">
        <f t="shared" si="16"/>
        <v>97.4</v>
      </c>
      <c r="W84" s="13">
        <f t="shared" si="6"/>
        <v>16708</v>
      </c>
    </row>
    <row r="85" spans="1:23" x14ac:dyDescent="0.2">
      <c r="B85" s="10" t="s">
        <v>7</v>
      </c>
      <c r="C85" s="4">
        <f t="shared" si="1"/>
        <v>15.6</v>
      </c>
      <c r="D85" s="4">
        <f t="shared" ref="D85:O85" si="17">ROUND(D48,1)</f>
        <v>18.3</v>
      </c>
      <c r="E85" s="4">
        <f t="shared" si="17"/>
        <v>22.3</v>
      </c>
      <c r="F85" s="4">
        <f t="shared" si="17"/>
        <v>22.5</v>
      </c>
      <c r="G85" s="4">
        <f t="shared" si="17"/>
        <v>15.6</v>
      </c>
      <c r="H85" s="4">
        <f t="shared" si="17"/>
        <v>94.3</v>
      </c>
      <c r="I85" s="13">
        <f t="shared" si="3"/>
        <v>4639</v>
      </c>
      <c r="J85" s="4">
        <f t="shared" si="17"/>
        <v>17.2</v>
      </c>
      <c r="K85" s="4">
        <f t="shared" si="17"/>
        <v>24.3</v>
      </c>
      <c r="L85" s="4">
        <f t="shared" si="17"/>
        <v>25.1</v>
      </c>
      <c r="M85" s="4">
        <f t="shared" si="17"/>
        <v>17.5</v>
      </c>
      <c r="N85" s="4">
        <f t="shared" si="17"/>
        <v>10.8</v>
      </c>
      <c r="O85" s="4">
        <f t="shared" si="17"/>
        <v>95</v>
      </c>
      <c r="P85" s="13">
        <f t="shared" si="4"/>
        <v>378</v>
      </c>
      <c r="Q85" s="4">
        <f t="shared" ref="Q85:V85" si="18">ROUND(Q48,1)</f>
        <v>15.7</v>
      </c>
      <c r="R85" s="4">
        <f t="shared" si="18"/>
        <v>18.8</v>
      </c>
      <c r="S85" s="4">
        <f t="shared" si="18"/>
        <v>22.5</v>
      </c>
      <c r="T85" s="4">
        <f t="shared" si="18"/>
        <v>22.1</v>
      </c>
      <c r="U85" s="4">
        <f t="shared" si="18"/>
        <v>15.2</v>
      </c>
      <c r="V85" s="4">
        <f t="shared" si="18"/>
        <v>94.4</v>
      </c>
      <c r="W85" s="13">
        <f t="shared" si="6"/>
        <v>5017</v>
      </c>
    </row>
    <row r="86" spans="1:23" x14ac:dyDescent="0.2">
      <c r="B86" s="10" t="s">
        <v>8</v>
      </c>
      <c r="C86" s="4">
        <f t="shared" si="1"/>
        <v>6.3</v>
      </c>
      <c r="D86" s="4">
        <f t="shared" ref="D86:O86" si="19">ROUND(D49,1)</f>
        <v>14.3</v>
      </c>
      <c r="E86" s="4">
        <f t="shared" si="19"/>
        <v>23.7</v>
      </c>
      <c r="F86" s="4">
        <f t="shared" si="19"/>
        <v>28.3</v>
      </c>
      <c r="G86" s="4">
        <f t="shared" si="19"/>
        <v>20.7</v>
      </c>
      <c r="H86" s="4">
        <f t="shared" si="19"/>
        <v>93.2</v>
      </c>
      <c r="I86" s="13">
        <f t="shared" si="3"/>
        <v>7849</v>
      </c>
      <c r="J86" s="4">
        <f t="shared" si="19"/>
        <v>10</v>
      </c>
      <c r="K86" s="4">
        <f t="shared" si="19"/>
        <v>19.399999999999999</v>
      </c>
      <c r="L86" s="4">
        <f t="shared" si="19"/>
        <v>26.9</v>
      </c>
      <c r="M86" s="4">
        <f t="shared" si="19"/>
        <v>25.3</v>
      </c>
      <c r="N86" s="4">
        <f t="shared" si="19"/>
        <v>14.5</v>
      </c>
      <c r="O86" s="4">
        <f t="shared" si="19"/>
        <v>96.1</v>
      </c>
      <c r="P86" s="13">
        <f t="shared" si="4"/>
        <v>4332</v>
      </c>
      <c r="Q86" s="4">
        <f t="shared" ref="Q86:V86" si="20">ROUND(Q49,1)</f>
        <v>7.6</v>
      </c>
      <c r="R86" s="4">
        <f t="shared" si="20"/>
        <v>16.100000000000001</v>
      </c>
      <c r="S86" s="4">
        <f t="shared" si="20"/>
        <v>24.8</v>
      </c>
      <c r="T86" s="4">
        <f t="shared" si="20"/>
        <v>27.2</v>
      </c>
      <c r="U86" s="4">
        <f t="shared" si="20"/>
        <v>18.5</v>
      </c>
      <c r="V86" s="4">
        <f t="shared" si="20"/>
        <v>94.3</v>
      </c>
      <c r="W86" s="13">
        <f t="shared" si="6"/>
        <v>12181</v>
      </c>
    </row>
    <row r="87" spans="1:23" x14ac:dyDescent="0.2">
      <c r="B87" s="10" t="s">
        <v>9</v>
      </c>
      <c r="C87" s="4" t="s">
        <v>78</v>
      </c>
      <c r="D87" s="4">
        <f t="shared" ref="D87:O87" si="21">ROUND(D50,1)</f>
        <v>18</v>
      </c>
      <c r="E87" s="4">
        <f t="shared" si="21"/>
        <v>26.2</v>
      </c>
      <c r="F87" s="4">
        <f t="shared" si="21"/>
        <v>26.2</v>
      </c>
      <c r="G87" s="4">
        <f t="shared" si="21"/>
        <v>27.9</v>
      </c>
      <c r="H87" s="4">
        <f t="shared" si="21"/>
        <v>100</v>
      </c>
      <c r="I87" s="13">
        <f t="shared" si="3"/>
        <v>61</v>
      </c>
      <c r="J87" s="4">
        <f t="shared" si="21"/>
        <v>17.5</v>
      </c>
      <c r="K87" s="4">
        <f t="shared" si="21"/>
        <v>24.8</v>
      </c>
      <c r="L87" s="4">
        <f t="shared" si="21"/>
        <v>24.3</v>
      </c>
      <c r="M87" s="4">
        <f t="shared" si="21"/>
        <v>18.5</v>
      </c>
      <c r="N87" s="4">
        <f t="shared" si="21"/>
        <v>13.4</v>
      </c>
      <c r="O87" s="4">
        <f t="shared" si="21"/>
        <v>98.5</v>
      </c>
      <c r="P87" s="13">
        <f t="shared" si="4"/>
        <v>395</v>
      </c>
      <c r="Q87" s="4">
        <f t="shared" ref="Q87:V87" si="22">ROUND(Q50,1)</f>
        <v>15.4</v>
      </c>
      <c r="R87" s="4">
        <f t="shared" si="22"/>
        <v>23.9</v>
      </c>
      <c r="S87" s="4">
        <f t="shared" si="22"/>
        <v>24.6</v>
      </c>
      <c r="T87" s="4">
        <f t="shared" si="22"/>
        <v>19.5</v>
      </c>
      <c r="U87" s="4">
        <f t="shared" si="22"/>
        <v>15.4</v>
      </c>
      <c r="V87" s="4">
        <f t="shared" si="22"/>
        <v>98.7</v>
      </c>
      <c r="W87" s="13">
        <f t="shared" si="6"/>
        <v>456</v>
      </c>
    </row>
    <row r="88" spans="1:23" x14ac:dyDescent="0.2">
      <c r="B88" s="10" t="s">
        <v>10</v>
      </c>
      <c r="C88" s="4">
        <f t="shared" si="1"/>
        <v>10.4</v>
      </c>
      <c r="D88" s="4">
        <f t="shared" ref="D88:O88" si="23">ROUND(D51,1)</f>
        <v>18.2</v>
      </c>
      <c r="E88" s="4">
        <f t="shared" si="23"/>
        <v>24.6</v>
      </c>
      <c r="F88" s="4">
        <f t="shared" si="23"/>
        <v>22.5</v>
      </c>
      <c r="G88" s="4">
        <f t="shared" si="23"/>
        <v>16.899999999999999</v>
      </c>
      <c r="H88" s="4">
        <f t="shared" si="23"/>
        <v>92.7</v>
      </c>
      <c r="I88" s="13">
        <f t="shared" si="3"/>
        <v>1924</v>
      </c>
      <c r="J88" s="4">
        <f t="shared" si="23"/>
        <v>13.8</v>
      </c>
      <c r="K88" s="4">
        <f t="shared" si="23"/>
        <v>17.5</v>
      </c>
      <c r="L88" s="4">
        <f t="shared" si="23"/>
        <v>23.5</v>
      </c>
      <c r="M88" s="4">
        <f t="shared" si="23"/>
        <v>22.9</v>
      </c>
      <c r="N88" s="4">
        <f t="shared" si="23"/>
        <v>16.399999999999999</v>
      </c>
      <c r="O88" s="4">
        <f t="shared" si="23"/>
        <v>94.3</v>
      </c>
      <c r="P88" s="13">
        <f t="shared" si="4"/>
        <v>1134</v>
      </c>
      <c r="Q88" s="4">
        <f t="shared" ref="Q88:V88" si="24">ROUND(Q51,1)</f>
        <v>11.7</v>
      </c>
      <c r="R88" s="4">
        <f t="shared" si="24"/>
        <v>18</v>
      </c>
      <c r="S88" s="4">
        <f t="shared" si="24"/>
        <v>24.2</v>
      </c>
      <c r="T88" s="4">
        <f t="shared" si="24"/>
        <v>22.6</v>
      </c>
      <c r="U88" s="4">
        <f t="shared" si="24"/>
        <v>16.7</v>
      </c>
      <c r="V88" s="4">
        <f t="shared" si="24"/>
        <v>93.3</v>
      </c>
      <c r="W88" s="13">
        <f t="shared" si="6"/>
        <v>3058</v>
      </c>
    </row>
    <row r="89" spans="1:23" x14ac:dyDescent="0.2">
      <c r="B89" s="10" t="s">
        <v>11</v>
      </c>
      <c r="C89" s="4">
        <f t="shared" si="1"/>
        <v>15.6</v>
      </c>
      <c r="D89" s="4">
        <f t="shared" ref="D89:O89" si="25">ROUND(D52,1)</f>
        <v>25.2</v>
      </c>
      <c r="E89" s="4">
        <f t="shared" si="25"/>
        <v>28.2</v>
      </c>
      <c r="F89" s="4">
        <f t="shared" si="25"/>
        <v>20.2</v>
      </c>
      <c r="G89" s="4">
        <f t="shared" si="25"/>
        <v>8.9</v>
      </c>
      <c r="H89" s="4">
        <f t="shared" si="25"/>
        <v>98.1</v>
      </c>
      <c r="I89" s="13">
        <f t="shared" si="3"/>
        <v>17801</v>
      </c>
      <c r="J89" s="4">
        <f t="shared" si="25"/>
        <v>19</v>
      </c>
      <c r="K89" s="4">
        <f t="shared" si="25"/>
        <v>25.5</v>
      </c>
      <c r="L89" s="4">
        <f t="shared" si="25"/>
        <v>27.9</v>
      </c>
      <c r="M89" s="4">
        <f t="shared" si="25"/>
        <v>17.8</v>
      </c>
      <c r="N89" s="4">
        <f t="shared" si="25"/>
        <v>8</v>
      </c>
      <c r="O89" s="4">
        <f t="shared" si="25"/>
        <v>98.2</v>
      </c>
      <c r="P89" s="13">
        <f t="shared" si="4"/>
        <v>12135</v>
      </c>
      <c r="Q89" s="4">
        <f t="shared" ref="Q89:V89" si="26">ROUND(Q52,1)</f>
        <v>16.899999999999999</v>
      </c>
      <c r="R89" s="4">
        <f t="shared" si="26"/>
        <v>25.3</v>
      </c>
      <c r="S89" s="4">
        <f t="shared" si="26"/>
        <v>28.1</v>
      </c>
      <c r="T89" s="4">
        <f t="shared" si="26"/>
        <v>19.2</v>
      </c>
      <c r="U89" s="4">
        <f t="shared" si="26"/>
        <v>8.5</v>
      </c>
      <c r="V89" s="4">
        <f t="shared" si="26"/>
        <v>98.1</v>
      </c>
      <c r="W89" s="13">
        <f t="shared" si="6"/>
        <v>29936</v>
      </c>
    </row>
    <row r="90" spans="1:23" x14ac:dyDescent="0.2">
      <c r="B90" s="10" t="s">
        <v>12</v>
      </c>
      <c r="C90" s="4">
        <f t="shared" si="1"/>
        <v>34</v>
      </c>
      <c r="D90" s="4">
        <f t="shared" ref="D90:O90" si="27">ROUND(D53,1)</f>
        <v>27</v>
      </c>
      <c r="E90" s="4">
        <f t="shared" si="27"/>
        <v>20.100000000000001</v>
      </c>
      <c r="F90" s="4">
        <f t="shared" si="27"/>
        <v>12.1</v>
      </c>
      <c r="G90" s="4">
        <f t="shared" si="27"/>
        <v>5.5</v>
      </c>
      <c r="H90" s="4">
        <f t="shared" si="27"/>
        <v>98.8</v>
      </c>
      <c r="I90" s="13">
        <f t="shared" si="3"/>
        <v>9510</v>
      </c>
      <c r="J90" s="4">
        <f t="shared" si="27"/>
        <v>39.4</v>
      </c>
      <c r="K90" s="4">
        <f t="shared" si="27"/>
        <v>27.1</v>
      </c>
      <c r="L90" s="4">
        <f t="shared" si="27"/>
        <v>18.7</v>
      </c>
      <c r="M90" s="4">
        <f t="shared" si="27"/>
        <v>10.5</v>
      </c>
      <c r="N90" s="4">
        <f t="shared" si="27"/>
        <v>3.6</v>
      </c>
      <c r="O90" s="4">
        <f t="shared" si="27"/>
        <v>99.3</v>
      </c>
      <c r="P90" s="13">
        <f t="shared" si="4"/>
        <v>4068</v>
      </c>
      <c r="Q90" s="4">
        <f t="shared" ref="Q90:V90" si="28">ROUND(Q53,1)</f>
        <v>35.6</v>
      </c>
      <c r="R90" s="4">
        <f t="shared" si="28"/>
        <v>27</v>
      </c>
      <c r="S90" s="4">
        <f t="shared" si="28"/>
        <v>19.7</v>
      </c>
      <c r="T90" s="4">
        <f t="shared" si="28"/>
        <v>11.7</v>
      </c>
      <c r="U90" s="4">
        <f t="shared" si="28"/>
        <v>4.9000000000000004</v>
      </c>
      <c r="V90" s="4">
        <f t="shared" si="28"/>
        <v>98.9</v>
      </c>
      <c r="W90" s="13">
        <f t="shared" si="6"/>
        <v>13578</v>
      </c>
    </row>
    <row r="91" spans="1:23" x14ac:dyDescent="0.2">
      <c r="B91" s="10" t="s">
        <v>13</v>
      </c>
      <c r="C91" s="4">
        <f t="shared" si="1"/>
        <v>21.8</v>
      </c>
      <c r="D91" s="4">
        <f t="shared" ref="D91:O91" si="29">ROUND(D54,1)</f>
        <v>25.4</v>
      </c>
      <c r="E91" s="4">
        <f t="shared" si="29"/>
        <v>25.5</v>
      </c>
      <c r="F91" s="4">
        <f t="shared" si="29"/>
        <v>17.899999999999999</v>
      </c>
      <c r="G91" s="4">
        <f t="shared" si="29"/>
        <v>8</v>
      </c>
      <c r="H91" s="4">
        <f t="shared" si="29"/>
        <v>98.5</v>
      </c>
      <c r="I91" s="13">
        <f t="shared" si="3"/>
        <v>15525</v>
      </c>
      <c r="J91" s="4">
        <f t="shared" si="29"/>
        <v>31.2</v>
      </c>
      <c r="K91" s="4">
        <f t="shared" si="29"/>
        <v>27.6</v>
      </c>
      <c r="L91" s="4">
        <f t="shared" si="29"/>
        <v>22.4</v>
      </c>
      <c r="M91" s="4">
        <f t="shared" si="29"/>
        <v>13</v>
      </c>
      <c r="N91" s="4">
        <f t="shared" si="29"/>
        <v>5</v>
      </c>
      <c r="O91" s="4">
        <f t="shared" si="29"/>
        <v>99.2</v>
      </c>
      <c r="P91" s="13">
        <f t="shared" si="4"/>
        <v>12758</v>
      </c>
      <c r="Q91" s="4">
        <f t="shared" ref="Q91:V91" si="30">ROUND(Q54,1)</f>
        <v>26</v>
      </c>
      <c r="R91" s="4">
        <f t="shared" si="30"/>
        <v>26.4</v>
      </c>
      <c r="S91" s="4">
        <f t="shared" si="30"/>
        <v>24.1</v>
      </c>
      <c r="T91" s="4">
        <f t="shared" si="30"/>
        <v>15.6</v>
      </c>
      <c r="U91" s="4">
        <f t="shared" si="30"/>
        <v>6.6</v>
      </c>
      <c r="V91" s="4">
        <f t="shared" si="30"/>
        <v>98.8</v>
      </c>
      <c r="W91" s="13">
        <f t="shared" si="6"/>
        <v>28283</v>
      </c>
    </row>
    <row r="92" spans="1:23" x14ac:dyDescent="0.2">
      <c r="B92" s="10" t="s">
        <v>14</v>
      </c>
      <c r="C92" s="4">
        <f t="shared" si="1"/>
        <v>28.8</v>
      </c>
      <c r="D92" s="4">
        <f t="shared" ref="D92:O92" si="31">ROUND(D55,1)</f>
        <v>27.9</v>
      </c>
      <c r="E92" s="4">
        <f t="shared" si="31"/>
        <v>22.5</v>
      </c>
      <c r="F92" s="4">
        <f t="shared" si="31"/>
        <v>13.3</v>
      </c>
      <c r="G92" s="4">
        <f t="shared" si="31"/>
        <v>5.8</v>
      </c>
      <c r="H92" s="4">
        <f t="shared" si="31"/>
        <v>98.3</v>
      </c>
      <c r="I92" s="13">
        <f t="shared" si="3"/>
        <v>5744</v>
      </c>
      <c r="J92" s="4">
        <f t="shared" si="31"/>
        <v>36</v>
      </c>
      <c r="K92" s="4">
        <f t="shared" si="31"/>
        <v>26.7</v>
      </c>
      <c r="L92" s="4">
        <f t="shared" si="31"/>
        <v>18.7</v>
      </c>
      <c r="M92" s="4">
        <f t="shared" si="31"/>
        <v>12</v>
      </c>
      <c r="N92" s="4">
        <f t="shared" si="31"/>
        <v>5</v>
      </c>
      <c r="O92" s="4">
        <f t="shared" si="31"/>
        <v>98.4</v>
      </c>
      <c r="P92" s="13">
        <f t="shared" si="4"/>
        <v>3849</v>
      </c>
      <c r="Q92" s="4">
        <f t="shared" ref="Q92:V92" si="32">ROUND(Q55,1)</f>
        <v>31.7</v>
      </c>
      <c r="R92" s="4">
        <f t="shared" si="32"/>
        <v>27.4</v>
      </c>
      <c r="S92" s="4">
        <f t="shared" si="32"/>
        <v>21</v>
      </c>
      <c r="T92" s="4">
        <f t="shared" si="32"/>
        <v>12.8</v>
      </c>
      <c r="U92" s="4">
        <f t="shared" si="32"/>
        <v>5.5</v>
      </c>
      <c r="V92" s="4">
        <f t="shared" si="32"/>
        <v>98.4</v>
      </c>
      <c r="W92" s="13">
        <f t="shared" si="6"/>
        <v>9593</v>
      </c>
    </row>
    <row r="93" spans="1:23" x14ac:dyDescent="0.2">
      <c r="B93" s="10" t="s">
        <v>15</v>
      </c>
      <c r="C93" s="4">
        <f t="shared" si="1"/>
        <v>22.4</v>
      </c>
      <c r="D93" s="4">
        <f t="shared" ref="D93:O93" si="33">ROUND(D56,1)</f>
        <v>25.9</v>
      </c>
      <c r="E93" s="4">
        <f t="shared" si="33"/>
        <v>24.3</v>
      </c>
      <c r="F93" s="4">
        <f t="shared" si="33"/>
        <v>17.7</v>
      </c>
      <c r="G93" s="4">
        <f t="shared" si="33"/>
        <v>7.8</v>
      </c>
      <c r="H93" s="4">
        <f t="shared" si="33"/>
        <v>98</v>
      </c>
      <c r="I93" s="13">
        <f t="shared" si="3"/>
        <v>20546</v>
      </c>
      <c r="J93" s="4">
        <f t="shared" si="33"/>
        <v>26.4</v>
      </c>
      <c r="K93" s="4">
        <f t="shared" si="33"/>
        <v>26.5</v>
      </c>
      <c r="L93" s="4">
        <f t="shared" si="33"/>
        <v>24.1</v>
      </c>
      <c r="M93" s="4">
        <f t="shared" si="33"/>
        <v>15</v>
      </c>
      <c r="N93" s="4">
        <f t="shared" si="33"/>
        <v>6.5</v>
      </c>
      <c r="O93" s="4">
        <f t="shared" si="33"/>
        <v>98.5</v>
      </c>
      <c r="P93" s="13">
        <f t="shared" si="4"/>
        <v>20127</v>
      </c>
      <c r="Q93" s="4">
        <f t="shared" ref="Q93:V93" si="34">ROUND(Q56,1)</f>
        <v>24.4</v>
      </c>
      <c r="R93" s="4">
        <f t="shared" si="34"/>
        <v>26.2</v>
      </c>
      <c r="S93" s="4">
        <f t="shared" si="34"/>
        <v>24.2</v>
      </c>
      <c r="T93" s="4">
        <f t="shared" si="34"/>
        <v>16.3</v>
      </c>
      <c r="U93" s="4">
        <f t="shared" si="34"/>
        <v>7.1</v>
      </c>
      <c r="V93" s="4">
        <f t="shared" si="34"/>
        <v>98.2</v>
      </c>
      <c r="W93" s="13">
        <f t="shared" si="6"/>
        <v>40673</v>
      </c>
    </row>
    <row r="94" spans="1:23" x14ac:dyDescent="0.2">
      <c r="B94" s="10" t="s">
        <v>16</v>
      </c>
      <c r="C94" s="4">
        <f t="shared" si="1"/>
        <v>17.3</v>
      </c>
      <c r="D94" s="4">
        <f t="shared" ref="D94:O94" si="35">ROUND(D57,1)</f>
        <v>20.9</v>
      </c>
      <c r="E94" s="4">
        <f t="shared" si="35"/>
        <v>24.2</v>
      </c>
      <c r="F94" s="4">
        <f t="shared" si="35"/>
        <v>19.899999999999999</v>
      </c>
      <c r="G94" s="4">
        <f t="shared" si="35"/>
        <v>12.8</v>
      </c>
      <c r="H94" s="4">
        <f t="shared" si="35"/>
        <v>95.1</v>
      </c>
      <c r="I94" s="13">
        <f t="shared" si="3"/>
        <v>5374</v>
      </c>
      <c r="J94" s="4">
        <f t="shared" si="35"/>
        <v>21.8</v>
      </c>
      <c r="K94" s="4">
        <f t="shared" si="35"/>
        <v>22.9</v>
      </c>
      <c r="L94" s="4">
        <f t="shared" si="35"/>
        <v>24.1</v>
      </c>
      <c r="M94" s="4">
        <f t="shared" si="35"/>
        <v>17.8</v>
      </c>
      <c r="N94" s="4">
        <f t="shared" si="35"/>
        <v>9.4</v>
      </c>
      <c r="O94" s="4">
        <f t="shared" si="35"/>
        <v>96</v>
      </c>
      <c r="P94" s="13">
        <f t="shared" si="4"/>
        <v>8137</v>
      </c>
      <c r="Q94" s="4">
        <f t="shared" ref="Q94:V94" si="36">ROUND(Q57,1)</f>
        <v>20</v>
      </c>
      <c r="R94" s="4">
        <f t="shared" si="36"/>
        <v>22.1</v>
      </c>
      <c r="S94" s="4">
        <f t="shared" si="36"/>
        <v>24.2</v>
      </c>
      <c r="T94" s="4">
        <f t="shared" si="36"/>
        <v>18.600000000000001</v>
      </c>
      <c r="U94" s="4">
        <f t="shared" si="36"/>
        <v>10.7</v>
      </c>
      <c r="V94" s="4">
        <f t="shared" si="36"/>
        <v>95.6</v>
      </c>
      <c r="W94" s="13">
        <f t="shared" si="6"/>
        <v>13511</v>
      </c>
    </row>
    <row r="95" spans="1:23" x14ac:dyDescent="0.2">
      <c r="B95" s="10" t="s">
        <v>17</v>
      </c>
      <c r="C95" s="4">
        <f t="shared" si="1"/>
        <v>11.7</v>
      </c>
      <c r="D95" s="4">
        <f t="shared" ref="D95:O95" si="37">ROUND(D58,1)</f>
        <v>19.2</v>
      </c>
      <c r="E95" s="4">
        <f t="shared" si="37"/>
        <v>25.5</v>
      </c>
      <c r="F95" s="4">
        <f t="shared" si="37"/>
        <v>22.6</v>
      </c>
      <c r="G95" s="4">
        <f t="shared" si="37"/>
        <v>15.3</v>
      </c>
      <c r="H95" s="4">
        <f t="shared" si="37"/>
        <v>94.3</v>
      </c>
      <c r="I95" s="13">
        <f t="shared" si="3"/>
        <v>12392</v>
      </c>
      <c r="J95" s="4">
        <f t="shared" si="37"/>
        <v>20.5</v>
      </c>
      <c r="K95" s="4">
        <f t="shared" si="37"/>
        <v>24.5</v>
      </c>
      <c r="L95" s="4">
        <f t="shared" si="37"/>
        <v>24.5</v>
      </c>
      <c r="M95" s="4">
        <f t="shared" si="37"/>
        <v>17.8</v>
      </c>
      <c r="N95" s="4">
        <f t="shared" si="37"/>
        <v>9.6</v>
      </c>
      <c r="O95" s="4">
        <f t="shared" si="37"/>
        <v>96.9</v>
      </c>
      <c r="P95" s="13">
        <f t="shared" si="4"/>
        <v>36179</v>
      </c>
      <c r="Q95" s="4">
        <f t="shared" ref="Q95:V95" si="38">ROUND(Q58,1)</f>
        <v>18.3</v>
      </c>
      <c r="R95" s="4">
        <f t="shared" si="38"/>
        <v>23.1</v>
      </c>
      <c r="S95" s="4">
        <f t="shared" si="38"/>
        <v>24.8</v>
      </c>
      <c r="T95" s="4">
        <f t="shared" si="38"/>
        <v>19</v>
      </c>
      <c r="U95" s="4">
        <f t="shared" si="38"/>
        <v>11</v>
      </c>
      <c r="V95" s="4">
        <f t="shared" si="38"/>
        <v>96.3</v>
      </c>
      <c r="W95" s="13">
        <f t="shared" si="6"/>
        <v>48571</v>
      </c>
    </row>
    <row r="96" spans="1:23" x14ac:dyDescent="0.2">
      <c r="B96" s="10" t="s">
        <v>18</v>
      </c>
      <c r="C96" s="4">
        <f t="shared" si="1"/>
        <v>16.7</v>
      </c>
      <c r="D96" s="4">
        <f t="shared" ref="D96:O96" si="39">ROUND(D59,1)</f>
        <v>23.1</v>
      </c>
      <c r="E96" s="4">
        <f t="shared" si="39"/>
        <v>27.5</v>
      </c>
      <c r="F96" s="4">
        <f t="shared" si="39"/>
        <v>19.7</v>
      </c>
      <c r="G96" s="4">
        <f t="shared" si="39"/>
        <v>10</v>
      </c>
      <c r="H96" s="4">
        <f t="shared" si="39"/>
        <v>97</v>
      </c>
      <c r="I96" s="13">
        <f t="shared" si="3"/>
        <v>5674</v>
      </c>
      <c r="J96" s="4">
        <f t="shared" si="39"/>
        <v>22</v>
      </c>
      <c r="K96" s="4">
        <f t="shared" si="39"/>
        <v>27.8</v>
      </c>
      <c r="L96" s="4">
        <f t="shared" si="39"/>
        <v>25.4</v>
      </c>
      <c r="M96" s="4">
        <f t="shared" si="39"/>
        <v>16.2</v>
      </c>
      <c r="N96" s="4">
        <f t="shared" si="39"/>
        <v>6.6</v>
      </c>
      <c r="O96" s="4">
        <f t="shared" si="39"/>
        <v>98</v>
      </c>
      <c r="P96" s="13">
        <f t="shared" si="4"/>
        <v>18566</v>
      </c>
      <c r="Q96" s="4">
        <f t="shared" ref="Q96:V96" si="40">ROUND(Q59,1)</f>
        <v>20.8</v>
      </c>
      <c r="R96" s="4">
        <f t="shared" si="40"/>
        <v>26.7</v>
      </c>
      <c r="S96" s="4">
        <f t="shared" si="40"/>
        <v>25.9</v>
      </c>
      <c r="T96" s="4">
        <f t="shared" si="40"/>
        <v>17</v>
      </c>
      <c r="U96" s="4">
        <f t="shared" si="40"/>
        <v>7.4</v>
      </c>
      <c r="V96" s="4">
        <f t="shared" si="40"/>
        <v>97.7</v>
      </c>
      <c r="W96" s="13">
        <f t="shared" si="6"/>
        <v>24240</v>
      </c>
    </row>
    <row r="97" spans="2:23" x14ac:dyDescent="0.2">
      <c r="B97" s="10" t="s">
        <v>19</v>
      </c>
      <c r="C97" s="4">
        <f t="shared" si="1"/>
        <v>19.8</v>
      </c>
      <c r="D97" s="4">
        <f t="shared" ref="D97:O97" si="41">ROUND(D60,1)</f>
        <v>25.2</v>
      </c>
      <c r="E97" s="4">
        <f t="shared" si="41"/>
        <v>27</v>
      </c>
      <c r="F97" s="4">
        <f t="shared" si="41"/>
        <v>16.2</v>
      </c>
      <c r="G97" s="4">
        <f t="shared" si="41"/>
        <v>9.1</v>
      </c>
      <c r="H97" s="4">
        <f t="shared" si="41"/>
        <v>97.3</v>
      </c>
      <c r="I97" s="13">
        <f t="shared" si="3"/>
        <v>1523</v>
      </c>
      <c r="J97" s="4">
        <f t="shared" si="41"/>
        <v>22.9</v>
      </c>
      <c r="K97" s="4">
        <f t="shared" si="41"/>
        <v>25.4</v>
      </c>
      <c r="L97" s="4">
        <f t="shared" si="41"/>
        <v>23.5</v>
      </c>
      <c r="M97" s="4">
        <f t="shared" si="41"/>
        <v>16.5</v>
      </c>
      <c r="N97" s="4">
        <f t="shared" si="41"/>
        <v>8</v>
      </c>
      <c r="O97" s="4">
        <f t="shared" si="41"/>
        <v>96.2</v>
      </c>
      <c r="P97" s="13">
        <f t="shared" si="4"/>
        <v>1386</v>
      </c>
      <c r="Q97" s="4">
        <f t="shared" ref="Q97:V97" si="42">ROUND(Q60,1)</f>
        <v>21.2</v>
      </c>
      <c r="R97" s="4">
        <f t="shared" si="42"/>
        <v>25.3</v>
      </c>
      <c r="S97" s="4">
        <f t="shared" si="42"/>
        <v>25.3</v>
      </c>
      <c r="T97" s="4">
        <f t="shared" si="42"/>
        <v>16.3</v>
      </c>
      <c r="U97" s="4">
        <f t="shared" si="42"/>
        <v>8.6</v>
      </c>
      <c r="V97" s="4">
        <f t="shared" si="42"/>
        <v>96.8</v>
      </c>
      <c r="W97" s="13">
        <f t="shared" si="6"/>
        <v>2909</v>
      </c>
    </row>
    <row r="98" spans="2:23" x14ac:dyDescent="0.2">
      <c r="B98" s="10" t="s">
        <v>20</v>
      </c>
      <c r="C98" s="4">
        <f t="shared" si="1"/>
        <v>24.6</v>
      </c>
      <c r="D98" s="4">
        <f t="shared" ref="D98:O98" si="43">ROUND(D61,1)</f>
        <v>22.7</v>
      </c>
      <c r="E98" s="4">
        <f t="shared" si="43"/>
        <v>23.7</v>
      </c>
      <c r="F98" s="4">
        <f t="shared" si="43"/>
        <v>17.5</v>
      </c>
      <c r="G98" s="4">
        <f t="shared" si="43"/>
        <v>8.6999999999999993</v>
      </c>
      <c r="H98" s="4">
        <f t="shared" si="43"/>
        <v>97.2</v>
      </c>
      <c r="I98" s="13">
        <f t="shared" si="3"/>
        <v>11558</v>
      </c>
      <c r="J98" s="4">
        <f t="shared" si="43"/>
        <v>30.9</v>
      </c>
      <c r="K98" s="4">
        <f t="shared" si="43"/>
        <v>25.8</v>
      </c>
      <c r="L98" s="4">
        <f t="shared" si="43"/>
        <v>23.1</v>
      </c>
      <c r="M98" s="4">
        <f t="shared" si="43"/>
        <v>13.3</v>
      </c>
      <c r="N98" s="4">
        <f t="shared" si="43"/>
        <v>5.0999999999999996</v>
      </c>
      <c r="O98" s="4">
        <f t="shared" si="43"/>
        <v>98.2</v>
      </c>
      <c r="P98" s="13">
        <f t="shared" si="4"/>
        <v>25778</v>
      </c>
      <c r="Q98" s="4">
        <f t="shared" ref="Q98:V98" si="44">ROUND(Q61,1)</f>
        <v>29</v>
      </c>
      <c r="R98" s="4">
        <f t="shared" si="44"/>
        <v>24.8</v>
      </c>
      <c r="S98" s="4">
        <f t="shared" si="44"/>
        <v>23.3</v>
      </c>
      <c r="T98" s="4">
        <f t="shared" si="44"/>
        <v>14.6</v>
      </c>
      <c r="U98" s="4">
        <f t="shared" si="44"/>
        <v>6.2</v>
      </c>
      <c r="V98" s="4">
        <f t="shared" si="44"/>
        <v>97.9</v>
      </c>
      <c r="W98" s="13">
        <f t="shared" si="6"/>
        <v>37336</v>
      </c>
    </row>
    <row r="99" spans="2:23" x14ac:dyDescent="0.2">
      <c r="B99" s="10" t="s">
        <v>21</v>
      </c>
      <c r="C99" s="4">
        <f t="shared" si="1"/>
        <v>14.2</v>
      </c>
      <c r="D99" s="4">
        <f t="shared" ref="D99:O99" si="45">ROUND(D62,1)</f>
        <v>28.9</v>
      </c>
      <c r="E99" s="4">
        <f t="shared" si="45"/>
        <v>31.8</v>
      </c>
      <c r="F99" s="4">
        <f t="shared" si="45"/>
        <v>17.7</v>
      </c>
      <c r="G99" s="4">
        <f t="shared" si="45"/>
        <v>6.1</v>
      </c>
      <c r="H99" s="4">
        <f t="shared" si="45"/>
        <v>98.7</v>
      </c>
      <c r="I99" s="13">
        <f t="shared" si="3"/>
        <v>4492</v>
      </c>
      <c r="J99" s="4">
        <f t="shared" si="45"/>
        <v>21.3</v>
      </c>
      <c r="K99" s="4">
        <f t="shared" si="45"/>
        <v>31.8</v>
      </c>
      <c r="L99" s="4">
        <f t="shared" si="45"/>
        <v>29.3</v>
      </c>
      <c r="M99" s="4">
        <f t="shared" si="45"/>
        <v>13.9</v>
      </c>
      <c r="N99" s="4">
        <f t="shared" si="45"/>
        <v>3</v>
      </c>
      <c r="O99" s="4">
        <f t="shared" si="45"/>
        <v>99.4</v>
      </c>
      <c r="P99" s="13">
        <f t="shared" si="4"/>
        <v>10459</v>
      </c>
      <c r="Q99" s="4">
        <f t="shared" ref="Q99:V99" si="46">ROUND(Q62,1)</f>
        <v>19.2</v>
      </c>
      <c r="R99" s="4">
        <f t="shared" si="46"/>
        <v>31</v>
      </c>
      <c r="S99" s="4">
        <f t="shared" si="46"/>
        <v>30</v>
      </c>
      <c r="T99" s="4">
        <f t="shared" si="46"/>
        <v>15</v>
      </c>
      <c r="U99" s="4">
        <f t="shared" si="46"/>
        <v>3.9</v>
      </c>
      <c r="V99" s="4">
        <f t="shared" si="46"/>
        <v>99.2</v>
      </c>
      <c r="W99" s="13">
        <f t="shared" si="6"/>
        <v>14951</v>
      </c>
    </row>
    <row r="100" spans="2:23" x14ac:dyDescent="0.2">
      <c r="B100" s="10" t="s">
        <v>22</v>
      </c>
      <c r="C100" s="4">
        <f t="shared" si="1"/>
        <v>21.7</v>
      </c>
      <c r="D100" s="4">
        <f t="shared" ref="D100:O100" si="47">ROUND(D63,1)</f>
        <v>24.5</v>
      </c>
      <c r="E100" s="4">
        <f t="shared" si="47"/>
        <v>27.1</v>
      </c>
      <c r="F100" s="4">
        <f t="shared" si="47"/>
        <v>18.7</v>
      </c>
      <c r="G100" s="4">
        <f t="shared" si="47"/>
        <v>6.7</v>
      </c>
      <c r="H100" s="4">
        <f t="shared" si="47"/>
        <v>98.8</v>
      </c>
      <c r="I100" s="13">
        <f t="shared" si="3"/>
        <v>24223</v>
      </c>
      <c r="J100" s="4">
        <f t="shared" si="47"/>
        <v>21.8</v>
      </c>
      <c r="K100" s="4">
        <f t="shared" si="47"/>
        <v>25.5</v>
      </c>
      <c r="L100" s="4">
        <f t="shared" si="47"/>
        <v>27.4</v>
      </c>
      <c r="M100" s="4">
        <f t="shared" si="47"/>
        <v>18.5</v>
      </c>
      <c r="N100" s="4">
        <f t="shared" si="47"/>
        <v>5.8</v>
      </c>
      <c r="O100" s="4">
        <f t="shared" si="47"/>
        <v>99.1</v>
      </c>
      <c r="P100" s="13">
        <f t="shared" si="4"/>
        <v>53924</v>
      </c>
      <c r="Q100" s="4">
        <f t="shared" ref="Q100:V100" si="48">ROUND(Q63,1)</f>
        <v>21.8</v>
      </c>
      <c r="R100" s="4">
        <f t="shared" si="48"/>
        <v>25.2</v>
      </c>
      <c r="S100" s="4">
        <f t="shared" si="48"/>
        <v>27.3</v>
      </c>
      <c r="T100" s="4">
        <f t="shared" si="48"/>
        <v>18.5</v>
      </c>
      <c r="U100" s="4">
        <f t="shared" si="48"/>
        <v>6.1</v>
      </c>
      <c r="V100" s="4">
        <f t="shared" si="48"/>
        <v>99</v>
      </c>
      <c r="W100" s="13">
        <f t="shared" si="6"/>
        <v>78147</v>
      </c>
    </row>
    <row r="101" spans="2:23" x14ac:dyDescent="0.2">
      <c r="B101" s="10" t="s">
        <v>51</v>
      </c>
      <c r="C101" s="4">
        <f t="shared" si="1"/>
        <v>10.3</v>
      </c>
      <c r="D101" s="4">
        <f t="shared" ref="D101:O101" si="49">ROUND(D64,1)</f>
        <v>24.3</v>
      </c>
      <c r="E101" s="4">
        <f t="shared" si="49"/>
        <v>33.6</v>
      </c>
      <c r="F101" s="4">
        <f t="shared" si="49"/>
        <v>22.5</v>
      </c>
      <c r="G101" s="4">
        <f t="shared" si="49"/>
        <v>7.7</v>
      </c>
      <c r="H101" s="4">
        <f t="shared" si="49"/>
        <v>98.4</v>
      </c>
      <c r="I101" s="13">
        <f t="shared" si="3"/>
        <v>10007</v>
      </c>
      <c r="J101" s="4">
        <f t="shared" si="49"/>
        <v>15.1</v>
      </c>
      <c r="K101" s="4">
        <f t="shared" si="49"/>
        <v>30.3</v>
      </c>
      <c r="L101" s="4">
        <f t="shared" si="49"/>
        <v>32.700000000000003</v>
      </c>
      <c r="M101" s="4">
        <f t="shared" si="49"/>
        <v>16.5</v>
      </c>
      <c r="N101" s="4">
        <f t="shared" si="49"/>
        <v>4.7</v>
      </c>
      <c r="O101" s="4">
        <f t="shared" si="49"/>
        <v>99.3</v>
      </c>
      <c r="P101" s="13">
        <f t="shared" si="4"/>
        <v>12979</v>
      </c>
      <c r="Q101" s="4">
        <f t="shared" ref="Q101:V101" si="50">ROUND(Q64,1)</f>
        <v>13</v>
      </c>
      <c r="R101" s="4">
        <f t="shared" si="50"/>
        <v>27.7</v>
      </c>
      <c r="S101" s="4">
        <f t="shared" si="50"/>
        <v>33.1</v>
      </c>
      <c r="T101" s="4">
        <f t="shared" si="50"/>
        <v>19.100000000000001</v>
      </c>
      <c r="U101" s="4">
        <f t="shared" si="50"/>
        <v>6</v>
      </c>
      <c r="V101" s="4">
        <f t="shared" si="50"/>
        <v>98.9</v>
      </c>
      <c r="W101" s="13">
        <f t="shared" si="6"/>
        <v>22986</v>
      </c>
    </row>
    <row r="102" spans="2:23" x14ac:dyDescent="0.2">
      <c r="B102" s="10" t="s">
        <v>23</v>
      </c>
      <c r="C102" s="4">
        <f t="shared" si="1"/>
        <v>13.3</v>
      </c>
      <c r="D102" s="4">
        <f t="shared" ref="D102:O102" si="51">ROUND(D65,1)</f>
        <v>32.6</v>
      </c>
      <c r="E102" s="4">
        <f t="shared" si="51"/>
        <v>33.700000000000003</v>
      </c>
      <c r="F102" s="4">
        <f t="shared" si="51"/>
        <v>15.1</v>
      </c>
      <c r="G102" s="4">
        <f t="shared" si="51"/>
        <v>4.0999999999999996</v>
      </c>
      <c r="H102" s="4">
        <f t="shared" si="51"/>
        <v>98.8</v>
      </c>
      <c r="I102" s="13">
        <f t="shared" si="3"/>
        <v>3897</v>
      </c>
      <c r="J102" s="4">
        <f t="shared" si="51"/>
        <v>16.7</v>
      </c>
      <c r="K102" s="4">
        <f t="shared" si="51"/>
        <v>31.5</v>
      </c>
      <c r="L102" s="4">
        <f t="shared" si="51"/>
        <v>30.9</v>
      </c>
      <c r="M102" s="4">
        <f t="shared" si="51"/>
        <v>15.3</v>
      </c>
      <c r="N102" s="4">
        <f t="shared" si="51"/>
        <v>4.5999999999999996</v>
      </c>
      <c r="O102" s="4">
        <f t="shared" si="51"/>
        <v>99.1</v>
      </c>
      <c r="P102" s="13">
        <f t="shared" si="4"/>
        <v>5690</v>
      </c>
      <c r="Q102" s="4">
        <f t="shared" ref="Q102:V102" si="52">ROUND(Q65,1)</f>
        <v>15.3</v>
      </c>
      <c r="R102" s="4">
        <f t="shared" si="52"/>
        <v>32</v>
      </c>
      <c r="S102" s="4">
        <f t="shared" si="52"/>
        <v>32.1</v>
      </c>
      <c r="T102" s="4">
        <f t="shared" si="52"/>
        <v>15.2</v>
      </c>
      <c r="U102" s="4">
        <f t="shared" si="52"/>
        <v>4.4000000000000004</v>
      </c>
      <c r="V102" s="4">
        <f t="shared" si="52"/>
        <v>99</v>
      </c>
      <c r="W102" s="13">
        <f t="shared" si="6"/>
        <v>9587</v>
      </c>
    </row>
    <row r="103" spans="2:23" x14ac:dyDescent="0.2">
      <c r="B103" s="10" t="s">
        <v>24</v>
      </c>
      <c r="C103" s="4">
        <f t="shared" si="1"/>
        <v>36.799999999999997</v>
      </c>
      <c r="D103" s="4">
        <f t="shared" ref="D103:O103" si="53">ROUND(D66,1)</f>
        <v>27.7</v>
      </c>
      <c r="E103" s="4">
        <f t="shared" si="53"/>
        <v>17.899999999999999</v>
      </c>
      <c r="F103" s="4">
        <f t="shared" si="53"/>
        <v>11.4</v>
      </c>
      <c r="G103" s="4">
        <f t="shared" si="53"/>
        <v>5.2</v>
      </c>
      <c r="H103" s="4">
        <f t="shared" si="53"/>
        <v>98.9</v>
      </c>
      <c r="I103" s="13">
        <f t="shared" si="3"/>
        <v>3897</v>
      </c>
      <c r="J103" s="4">
        <f t="shared" si="53"/>
        <v>33.700000000000003</v>
      </c>
      <c r="K103" s="4">
        <f t="shared" si="53"/>
        <v>27.5</v>
      </c>
      <c r="L103" s="4">
        <f t="shared" si="53"/>
        <v>20.100000000000001</v>
      </c>
      <c r="M103" s="4">
        <f t="shared" si="53"/>
        <v>11.9</v>
      </c>
      <c r="N103" s="4">
        <f t="shared" si="53"/>
        <v>5.7</v>
      </c>
      <c r="O103" s="4">
        <f t="shared" si="53"/>
        <v>99</v>
      </c>
      <c r="P103" s="13">
        <f t="shared" si="4"/>
        <v>8293</v>
      </c>
      <c r="Q103" s="4">
        <f t="shared" ref="Q103:V103" si="54">ROUND(Q66,1)</f>
        <v>34.700000000000003</v>
      </c>
      <c r="R103" s="4">
        <f t="shared" si="54"/>
        <v>27.6</v>
      </c>
      <c r="S103" s="4">
        <f t="shared" si="54"/>
        <v>19.399999999999999</v>
      </c>
      <c r="T103" s="4">
        <f t="shared" si="54"/>
        <v>11.7</v>
      </c>
      <c r="U103" s="4">
        <f t="shared" si="54"/>
        <v>5.5</v>
      </c>
      <c r="V103" s="4">
        <f t="shared" si="54"/>
        <v>99</v>
      </c>
      <c r="W103" s="13">
        <f t="shared" si="6"/>
        <v>12190</v>
      </c>
    </row>
    <row r="104" spans="2:23" x14ac:dyDescent="0.2">
      <c r="B104" s="10" t="s">
        <v>25</v>
      </c>
      <c r="C104" s="4">
        <f t="shared" si="1"/>
        <v>41.2</v>
      </c>
      <c r="D104" s="4">
        <f t="shared" ref="D104:O104" si="55">ROUND(D67,1)</f>
        <v>25</v>
      </c>
      <c r="E104" s="4">
        <f t="shared" si="55"/>
        <v>17.100000000000001</v>
      </c>
      <c r="F104" s="4">
        <f t="shared" si="55"/>
        <v>10.5</v>
      </c>
      <c r="G104" s="4">
        <f t="shared" si="55"/>
        <v>4.7</v>
      </c>
      <c r="H104" s="4">
        <f t="shared" si="55"/>
        <v>98.6</v>
      </c>
      <c r="I104" s="13">
        <f t="shared" si="3"/>
        <v>2076</v>
      </c>
      <c r="J104" s="4">
        <f t="shared" si="55"/>
        <v>35.1</v>
      </c>
      <c r="K104" s="4">
        <f t="shared" si="55"/>
        <v>26.3</v>
      </c>
      <c r="L104" s="4">
        <f t="shared" si="55"/>
        <v>19.399999999999999</v>
      </c>
      <c r="M104" s="4">
        <f t="shared" si="55"/>
        <v>12.2</v>
      </c>
      <c r="N104" s="4">
        <f t="shared" si="55"/>
        <v>5.6</v>
      </c>
      <c r="O104" s="4">
        <f t="shared" si="55"/>
        <v>98.6</v>
      </c>
      <c r="P104" s="13">
        <f t="shared" si="4"/>
        <v>3458</v>
      </c>
      <c r="Q104" s="4">
        <f t="shared" ref="Q104:V104" si="56">ROUND(Q67,1)</f>
        <v>37.4</v>
      </c>
      <c r="R104" s="4">
        <f t="shared" si="56"/>
        <v>25.8</v>
      </c>
      <c r="S104" s="4">
        <f t="shared" si="56"/>
        <v>18.5</v>
      </c>
      <c r="T104" s="4">
        <f t="shared" si="56"/>
        <v>11.5</v>
      </c>
      <c r="U104" s="4">
        <f t="shared" si="56"/>
        <v>5.3</v>
      </c>
      <c r="V104" s="4">
        <f t="shared" si="56"/>
        <v>98.6</v>
      </c>
      <c r="W104" s="13">
        <f t="shared" si="6"/>
        <v>5534</v>
      </c>
    </row>
    <row r="105" spans="2:23" x14ac:dyDescent="0.2">
      <c r="B105" s="10" t="s">
        <v>26</v>
      </c>
      <c r="C105" s="4">
        <f t="shared" si="1"/>
        <v>41.8</v>
      </c>
      <c r="D105" s="4">
        <f t="shared" ref="D105:O105" si="57">ROUND(D68,1)</f>
        <v>28.1</v>
      </c>
      <c r="E105" s="4">
        <f t="shared" si="57"/>
        <v>16.600000000000001</v>
      </c>
      <c r="F105" s="4">
        <f t="shared" si="57"/>
        <v>9.1999999999999993</v>
      </c>
      <c r="G105" s="4">
        <f t="shared" si="57"/>
        <v>3.1</v>
      </c>
      <c r="H105" s="4">
        <f t="shared" si="57"/>
        <v>98.8</v>
      </c>
      <c r="I105" s="13">
        <f t="shared" si="3"/>
        <v>1707</v>
      </c>
      <c r="J105" s="4">
        <f t="shared" si="57"/>
        <v>35</v>
      </c>
      <c r="K105" s="4">
        <f t="shared" si="57"/>
        <v>28.3</v>
      </c>
      <c r="L105" s="4">
        <f t="shared" si="57"/>
        <v>19.8</v>
      </c>
      <c r="M105" s="4">
        <f t="shared" si="57"/>
        <v>11.5</v>
      </c>
      <c r="N105" s="4">
        <f t="shared" si="57"/>
        <v>4.4000000000000004</v>
      </c>
      <c r="O105" s="4">
        <f t="shared" si="57"/>
        <v>99.1</v>
      </c>
      <c r="P105" s="13">
        <f t="shared" si="4"/>
        <v>3495</v>
      </c>
      <c r="Q105" s="4">
        <f t="shared" ref="Q105:V105" si="58">ROUND(Q68,1)</f>
        <v>37.200000000000003</v>
      </c>
      <c r="R105" s="4">
        <f t="shared" si="58"/>
        <v>28.2</v>
      </c>
      <c r="S105" s="4">
        <f t="shared" si="58"/>
        <v>18.8</v>
      </c>
      <c r="T105" s="4">
        <f t="shared" si="58"/>
        <v>10.7</v>
      </c>
      <c r="U105" s="4">
        <f t="shared" si="58"/>
        <v>4</v>
      </c>
      <c r="V105" s="4">
        <f t="shared" si="58"/>
        <v>99</v>
      </c>
      <c r="W105" s="13">
        <f t="shared" si="6"/>
        <v>5202</v>
      </c>
    </row>
    <row r="106" spans="2:23" x14ac:dyDescent="0.2">
      <c r="B106" s="10" t="s">
        <v>27</v>
      </c>
      <c r="C106" s="4">
        <f t="shared" si="1"/>
        <v>40.6</v>
      </c>
      <c r="D106" s="4">
        <f t="shared" ref="D106:O106" si="59">ROUND(D69,1)</f>
        <v>32.6</v>
      </c>
      <c r="E106" s="4">
        <f t="shared" si="59"/>
        <v>15.4</v>
      </c>
      <c r="F106" s="4">
        <f t="shared" si="59"/>
        <v>5.4</v>
      </c>
      <c r="G106" s="4">
        <f t="shared" si="59"/>
        <v>2.5</v>
      </c>
      <c r="H106" s="4">
        <f t="shared" si="59"/>
        <v>96.5</v>
      </c>
      <c r="I106" s="13">
        <f t="shared" si="3"/>
        <v>2209</v>
      </c>
      <c r="J106" s="4">
        <f t="shared" si="59"/>
        <v>49.7</v>
      </c>
      <c r="K106" s="4">
        <f t="shared" si="59"/>
        <v>28</v>
      </c>
      <c r="L106" s="4">
        <f t="shared" si="59"/>
        <v>11.5</v>
      </c>
      <c r="M106" s="4">
        <f t="shared" si="59"/>
        <v>4.9000000000000004</v>
      </c>
      <c r="N106" s="4">
        <f t="shared" si="59"/>
        <v>2.7</v>
      </c>
      <c r="O106" s="4">
        <f t="shared" si="59"/>
        <v>96.8</v>
      </c>
      <c r="P106" s="13">
        <f t="shared" si="4"/>
        <v>2875</v>
      </c>
      <c r="Q106" s="4">
        <f t="shared" ref="Q106:V106" si="60">ROUND(Q69,1)</f>
        <v>45.8</v>
      </c>
      <c r="R106" s="4">
        <f t="shared" si="60"/>
        <v>30</v>
      </c>
      <c r="S106" s="4">
        <f t="shared" si="60"/>
        <v>13.2</v>
      </c>
      <c r="T106" s="4">
        <f t="shared" si="60"/>
        <v>5.0999999999999996</v>
      </c>
      <c r="U106" s="4">
        <f t="shared" si="60"/>
        <v>2.6</v>
      </c>
      <c r="V106" s="4">
        <f t="shared" si="60"/>
        <v>96.7</v>
      </c>
      <c r="W106" s="13">
        <f t="shared" si="6"/>
        <v>5084</v>
      </c>
    </row>
    <row r="107" spans="2:23" x14ac:dyDescent="0.2">
      <c r="B107" s="10" t="s">
        <v>28</v>
      </c>
      <c r="C107" s="4">
        <f t="shared" si="1"/>
        <v>35.799999999999997</v>
      </c>
      <c r="D107" s="4">
        <f t="shared" ref="D107:O107" si="61">ROUND(D70,1)</f>
        <v>26.9</v>
      </c>
      <c r="E107" s="4">
        <f t="shared" si="61"/>
        <v>21</v>
      </c>
      <c r="F107" s="4">
        <f t="shared" si="61"/>
        <v>11.4</v>
      </c>
      <c r="G107" s="4">
        <f t="shared" si="61"/>
        <v>3.9</v>
      </c>
      <c r="H107" s="4">
        <f t="shared" si="61"/>
        <v>99.1</v>
      </c>
      <c r="I107" s="13">
        <f t="shared" si="3"/>
        <v>2438</v>
      </c>
      <c r="J107" s="4">
        <f t="shared" si="61"/>
        <v>40.6</v>
      </c>
      <c r="K107" s="4">
        <f t="shared" si="61"/>
        <v>30.5</v>
      </c>
      <c r="L107" s="4">
        <f t="shared" si="61"/>
        <v>17.600000000000001</v>
      </c>
      <c r="M107" s="4">
        <f t="shared" si="61"/>
        <v>8.6</v>
      </c>
      <c r="N107" s="4">
        <f t="shared" si="61"/>
        <v>2</v>
      </c>
      <c r="O107" s="4">
        <f t="shared" si="61"/>
        <v>99.2</v>
      </c>
      <c r="P107" s="13">
        <f t="shared" si="4"/>
        <v>3203</v>
      </c>
      <c r="Q107" s="4">
        <f t="shared" ref="Q107:V107" si="62">ROUND(Q70,1)</f>
        <v>38.5</v>
      </c>
      <c r="R107" s="4">
        <f t="shared" si="62"/>
        <v>28.9</v>
      </c>
      <c r="S107" s="4">
        <f t="shared" si="62"/>
        <v>19.100000000000001</v>
      </c>
      <c r="T107" s="4">
        <f t="shared" si="62"/>
        <v>9.8000000000000007</v>
      </c>
      <c r="U107" s="4">
        <f t="shared" si="62"/>
        <v>2.8</v>
      </c>
      <c r="V107" s="4">
        <f t="shared" si="62"/>
        <v>99.1</v>
      </c>
      <c r="W107" s="13">
        <f t="shared" si="6"/>
        <v>5641</v>
      </c>
    </row>
    <row r="108" spans="2:23" x14ac:dyDescent="0.2">
      <c r="B108" s="10" t="s">
        <v>29</v>
      </c>
      <c r="C108" s="4">
        <f t="shared" si="1"/>
        <v>25.6</v>
      </c>
      <c r="D108" s="4">
        <f t="shared" ref="D108:O108" si="63">ROUND(D71,1)</f>
        <v>28.3</v>
      </c>
      <c r="E108" s="4">
        <f t="shared" si="63"/>
        <v>24.3</v>
      </c>
      <c r="F108" s="4">
        <f t="shared" si="63"/>
        <v>14</v>
      </c>
      <c r="G108" s="4">
        <f t="shared" si="63"/>
        <v>6.4</v>
      </c>
      <c r="H108" s="4">
        <f t="shared" si="63"/>
        <v>98.5</v>
      </c>
      <c r="I108" s="13">
        <f t="shared" si="3"/>
        <v>4743</v>
      </c>
      <c r="J108" s="4">
        <f t="shared" si="63"/>
        <v>27.7</v>
      </c>
      <c r="K108" s="4">
        <f t="shared" si="63"/>
        <v>29.7</v>
      </c>
      <c r="L108" s="4">
        <f t="shared" si="63"/>
        <v>24.3</v>
      </c>
      <c r="M108" s="4">
        <f t="shared" si="63"/>
        <v>12.3</v>
      </c>
      <c r="N108" s="4">
        <f t="shared" si="63"/>
        <v>4.9000000000000004</v>
      </c>
      <c r="O108" s="4">
        <f t="shared" si="63"/>
        <v>98.9</v>
      </c>
      <c r="P108" s="13">
        <f t="shared" si="4"/>
        <v>10157</v>
      </c>
      <c r="Q108" s="4">
        <f t="shared" ref="Q108:V108" si="64">ROUND(Q71,1)</f>
        <v>27</v>
      </c>
      <c r="R108" s="4">
        <f t="shared" si="64"/>
        <v>29.2</v>
      </c>
      <c r="S108" s="4">
        <f t="shared" si="64"/>
        <v>24.3</v>
      </c>
      <c r="T108" s="4">
        <f t="shared" si="64"/>
        <v>12.9</v>
      </c>
      <c r="U108" s="4">
        <f t="shared" si="64"/>
        <v>5.4</v>
      </c>
      <c r="V108" s="4">
        <f t="shared" si="64"/>
        <v>98.8</v>
      </c>
      <c r="W108" s="13">
        <f t="shared" si="6"/>
        <v>14900</v>
      </c>
    </row>
    <row r="109" spans="2:23" x14ac:dyDescent="0.2">
      <c r="B109" s="10" t="s">
        <v>30</v>
      </c>
      <c r="C109" s="4">
        <f t="shared" si="1"/>
        <v>15.1</v>
      </c>
      <c r="D109" s="4">
        <f t="shared" ref="D109:O109" si="65">ROUND(D72,1)</f>
        <v>19.600000000000001</v>
      </c>
      <c r="E109" s="4">
        <f t="shared" si="65"/>
        <v>25.5</v>
      </c>
      <c r="F109" s="4">
        <f t="shared" si="65"/>
        <v>22.6</v>
      </c>
      <c r="G109" s="4">
        <f t="shared" si="65"/>
        <v>13.3</v>
      </c>
      <c r="H109" s="4">
        <f t="shared" si="65"/>
        <v>96.1</v>
      </c>
      <c r="I109" s="13">
        <f t="shared" si="3"/>
        <v>5031</v>
      </c>
      <c r="J109" s="4">
        <f t="shared" si="65"/>
        <v>20.8</v>
      </c>
      <c r="K109" s="4">
        <f t="shared" si="65"/>
        <v>24.7</v>
      </c>
      <c r="L109" s="4">
        <f t="shared" si="65"/>
        <v>24</v>
      </c>
      <c r="M109" s="4">
        <f t="shared" si="65"/>
        <v>19.399999999999999</v>
      </c>
      <c r="N109" s="4">
        <f t="shared" si="65"/>
        <v>9.3000000000000007</v>
      </c>
      <c r="O109" s="4">
        <f t="shared" si="65"/>
        <v>98.2</v>
      </c>
      <c r="P109" s="13">
        <f t="shared" si="4"/>
        <v>3979</v>
      </c>
      <c r="Q109" s="4">
        <f t="shared" ref="Q109:V109" si="66">ROUND(Q72,1)</f>
        <v>17.600000000000001</v>
      </c>
      <c r="R109" s="4">
        <f t="shared" si="66"/>
        <v>21.9</v>
      </c>
      <c r="S109" s="4">
        <f t="shared" si="66"/>
        <v>24.8</v>
      </c>
      <c r="T109" s="4">
        <f t="shared" si="66"/>
        <v>21.2</v>
      </c>
      <c r="U109" s="4">
        <f t="shared" si="66"/>
        <v>11.5</v>
      </c>
      <c r="V109" s="4">
        <f t="shared" si="66"/>
        <v>97</v>
      </c>
      <c r="W109" s="13">
        <f t="shared" si="6"/>
        <v>9010</v>
      </c>
    </row>
    <row r="110" spans="2:23" x14ac:dyDescent="0.2">
      <c r="B110" s="10" t="s">
        <v>31</v>
      </c>
      <c r="C110" s="4">
        <f t="shared" si="1"/>
        <v>10.3</v>
      </c>
      <c r="D110" s="4">
        <f t="shared" ref="D110:O110" si="67">ROUND(D73,1)</f>
        <v>18.8</v>
      </c>
      <c r="E110" s="4">
        <f t="shared" si="67"/>
        <v>26</v>
      </c>
      <c r="F110" s="4">
        <f t="shared" si="67"/>
        <v>25.3</v>
      </c>
      <c r="G110" s="4">
        <f t="shared" si="67"/>
        <v>15.8</v>
      </c>
      <c r="H110" s="4">
        <f t="shared" si="67"/>
        <v>96.2</v>
      </c>
      <c r="I110" s="13">
        <f t="shared" si="3"/>
        <v>12533</v>
      </c>
      <c r="J110" s="4">
        <f t="shared" si="67"/>
        <v>20.6</v>
      </c>
      <c r="K110" s="4">
        <f t="shared" si="67"/>
        <v>23.7</v>
      </c>
      <c r="L110" s="4">
        <f t="shared" si="67"/>
        <v>25</v>
      </c>
      <c r="M110" s="4">
        <f t="shared" si="67"/>
        <v>18.899999999999999</v>
      </c>
      <c r="N110" s="4">
        <f t="shared" si="67"/>
        <v>9.6</v>
      </c>
      <c r="O110" s="4">
        <f t="shared" si="67"/>
        <v>97.8</v>
      </c>
      <c r="P110" s="13">
        <f t="shared" si="4"/>
        <v>9000</v>
      </c>
      <c r="Q110" s="4">
        <f t="shared" ref="Q110:V110" si="68">ROUND(Q73,1)</f>
        <v>14.6</v>
      </c>
      <c r="R110" s="4">
        <f t="shared" si="68"/>
        <v>20.9</v>
      </c>
      <c r="S110" s="4">
        <f t="shared" si="68"/>
        <v>25.6</v>
      </c>
      <c r="T110" s="4">
        <f t="shared" si="68"/>
        <v>22.6</v>
      </c>
      <c r="U110" s="4">
        <f t="shared" si="68"/>
        <v>13.2</v>
      </c>
      <c r="V110" s="4">
        <f t="shared" si="68"/>
        <v>96.9</v>
      </c>
      <c r="W110" s="13">
        <f t="shared" si="6"/>
        <v>21533</v>
      </c>
    </row>
    <row r="111" spans="2:23" x14ac:dyDescent="0.2">
      <c r="B111" s="10" t="s">
        <v>32</v>
      </c>
      <c r="C111" s="4">
        <f t="shared" si="1"/>
        <v>11.8</v>
      </c>
      <c r="D111" s="4">
        <f t="shared" ref="D111:O111" si="69">ROUND(D74,1)</f>
        <v>15.6</v>
      </c>
      <c r="E111" s="4">
        <f t="shared" si="69"/>
        <v>22</v>
      </c>
      <c r="F111" s="4">
        <f t="shared" si="69"/>
        <v>23.4</v>
      </c>
      <c r="G111" s="4">
        <f t="shared" si="69"/>
        <v>18.600000000000001</v>
      </c>
      <c r="H111" s="4">
        <f t="shared" si="69"/>
        <v>91.5</v>
      </c>
      <c r="I111" s="13">
        <f t="shared" si="3"/>
        <v>27603</v>
      </c>
      <c r="J111" s="4">
        <f t="shared" si="69"/>
        <v>12.1</v>
      </c>
      <c r="K111" s="4">
        <f t="shared" si="69"/>
        <v>17.5</v>
      </c>
      <c r="L111" s="4">
        <f t="shared" si="69"/>
        <v>23.5</v>
      </c>
      <c r="M111" s="4">
        <f t="shared" si="69"/>
        <v>23.7</v>
      </c>
      <c r="N111" s="4">
        <f t="shared" si="69"/>
        <v>16.899999999999999</v>
      </c>
      <c r="O111" s="4">
        <f t="shared" si="69"/>
        <v>93.8</v>
      </c>
      <c r="P111" s="13">
        <f t="shared" si="4"/>
        <v>32050</v>
      </c>
      <c r="Q111" s="4">
        <f t="shared" ref="Q111:V111" si="70">ROUND(Q74,1)</f>
        <v>12</v>
      </c>
      <c r="R111" s="4">
        <f t="shared" si="70"/>
        <v>16.7</v>
      </c>
      <c r="S111" s="4">
        <f t="shared" si="70"/>
        <v>22.8</v>
      </c>
      <c r="T111" s="4">
        <f t="shared" si="70"/>
        <v>23.6</v>
      </c>
      <c r="U111" s="4">
        <f t="shared" si="70"/>
        <v>17.7</v>
      </c>
      <c r="V111" s="4">
        <f t="shared" si="70"/>
        <v>92.7</v>
      </c>
      <c r="W111" s="13">
        <f t="shared" si="6"/>
        <v>59653</v>
      </c>
    </row>
    <row r="112" spans="2:23" x14ac:dyDescent="0.2">
      <c r="B112" s="10" t="s">
        <v>46</v>
      </c>
      <c r="C112" s="4">
        <f t="shared" si="1"/>
        <v>22.8</v>
      </c>
      <c r="D112" s="4">
        <f t="shared" ref="D112:O112" si="71">ROUND(D75,1)</f>
        <v>22.4</v>
      </c>
      <c r="E112" s="4">
        <f t="shared" si="71"/>
        <v>23</v>
      </c>
      <c r="F112" s="4">
        <f t="shared" si="71"/>
        <v>18</v>
      </c>
      <c r="G112" s="4">
        <f t="shared" si="71"/>
        <v>10.4</v>
      </c>
      <c r="H112" s="4">
        <f t="shared" si="71"/>
        <v>96.6</v>
      </c>
      <c r="I112" s="13">
        <f t="shared" si="3"/>
        <v>328227</v>
      </c>
      <c r="J112" s="4">
        <f t="shared" si="71"/>
        <v>25.1</v>
      </c>
      <c r="K112" s="4">
        <f t="shared" si="71"/>
        <v>25</v>
      </c>
      <c r="L112" s="4">
        <f t="shared" si="71"/>
        <v>23.8</v>
      </c>
      <c r="M112" s="4">
        <f t="shared" si="71"/>
        <v>16.100000000000001</v>
      </c>
      <c r="N112" s="4">
        <f t="shared" si="71"/>
        <v>7.8</v>
      </c>
      <c r="O112" s="4">
        <f t="shared" si="71"/>
        <v>97.7</v>
      </c>
      <c r="P112" s="13">
        <f t="shared" si="4"/>
        <v>386976</v>
      </c>
      <c r="Q112" s="4">
        <f t="shared" ref="Q112:V112" si="72">ROUND(Q75,1)</f>
        <v>24</v>
      </c>
      <c r="R112" s="4">
        <f t="shared" si="72"/>
        <v>23.8</v>
      </c>
      <c r="S112" s="4">
        <f t="shared" si="72"/>
        <v>23.4</v>
      </c>
      <c r="T112" s="4">
        <f t="shared" si="72"/>
        <v>17</v>
      </c>
      <c r="U112" s="4">
        <f t="shared" si="72"/>
        <v>9</v>
      </c>
      <c r="V112" s="4">
        <f t="shared" si="72"/>
        <v>97.2</v>
      </c>
      <c r="W112" s="13">
        <f t="shared" si="6"/>
        <v>715203</v>
      </c>
    </row>
  </sheetData>
  <phoneticPr fontId="3" type="noConversion"/>
  <conditionalFormatting sqref="C5:Z39">
    <cfRule type="cellIs" dxfId="4" priority="1" operator="between">
      <formula>1</formula>
      <formula>2</formula>
    </cfRule>
  </conditionalFormatting>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2"/>
  <sheetViews>
    <sheetView topLeftCell="A26" workbookViewId="0">
      <selection activeCell="A2" sqref="A2"/>
    </sheetView>
  </sheetViews>
  <sheetFormatPr defaultColWidth="9.140625" defaultRowHeight="11.25" x14ac:dyDescent="0.2"/>
  <cols>
    <col min="1" max="1" width="9.140625" style="11"/>
    <col min="2" max="2" width="26.5703125" style="7" bestFit="1" customWidth="1"/>
    <col min="3" max="16384" width="9.140625" style="7"/>
  </cols>
  <sheetData>
    <row r="1" spans="2:24" x14ac:dyDescent="0.2">
      <c r="B1" s="11"/>
      <c r="C1" s="11"/>
      <c r="D1" s="11"/>
      <c r="E1" s="11"/>
      <c r="F1" s="11"/>
      <c r="G1" s="11"/>
      <c r="H1" s="11"/>
      <c r="I1" s="11"/>
      <c r="J1" s="11"/>
      <c r="K1" s="11"/>
      <c r="L1" s="11"/>
      <c r="M1" s="11"/>
      <c r="N1" s="11"/>
      <c r="O1" s="11"/>
      <c r="P1" s="11"/>
      <c r="Q1" s="11"/>
      <c r="R1" s="11"/>
      <c r="S1" s="11"/>
      <c r="T1" s="11"/>
      <c r="U1" s="11"/>
      <c r="V1" s="11"/>
      <c r="W1" s="11"/>
    </row>
    <row r="2" spans="2:24" x14ac:dyDescent="0.2">
      <c r="B2" s="11"/>
      <c r="C2" s="11"/>
      <c r="D2" s="11"/>
      <c r="E2" s="11"/>
      <c r="F2" s="11"/>
      <c r="G2" s="11"/>
      <c r="H2" s="11"/>
      <c r="I2" s="11"/>
      <c r="J2" s="11"/>
      <c r="K2" s="11"/>
      <c r="L2" s="11"/>
      <c r="M2" s="11"/>
      <c r="N2" s="11"/>
      <c r="O2" s="11"/>
      <c r="P2" s="11"/>
      <c r="Q2" s="11"/>
      <c r="R2" s="11"/>
      <c r="S2" s="11"/>
      <c r="T2" s="11"/>
      <c r="U2" s="11"/>
      <c r="V2" s="11"/>
      <c r="W2" s="11"/>
    </row>
    <row r="3" spans="2:24" x14ac:dyDescent="0.2">
      <c r="B3" s="11"/>
      <c r="C3" s="11" t="s">
        <v>39</v>
      </c>
      <c r="D3" s="11"/>
      <c r="E3" s="11"/>
      <c r="F3" s="11"/>
      <c r="G3" s="11"/>
      <c r="H3" s="11"/>
      <c r="J3" s="11" t="s">
        <v>43</v>
      </c>
      <c r="K3" s="11"/>
      <c r="L3" s="11"/>
      <c r="M3" s="11"/>
      <c r="N3" s="11"/>
      <c r="P3" s="11"/>
      <c r="Q3" s="11" t="s">
        <v>54</v>
      </c>
      <c r="R3" s="11"/>
      <c r="S3" s="11"/>
      <c r="T3" s="11"/>
      <c r="U3" s="11"/>
      <c r="V3" s="11"/>
      <c r="W3" s="11"/>
    </row>
    <row r="4" spans="2:24" x14ac:dyDescent="0.2">
      <c r="B4" s="11"/>
      <c r="C4" s="11" t="s">
        <v>33</v>
      </c>
      <c r="D4" s="11" t="s">
        <v>34</v>
      </c>
      <c r="E4" s="11" t="s">
        <v>35</v>
      </c>
      <c r="F4" s="11" t="s">
        <v>36</v>
      </c>
      <c r="G4" s="11" t="s">
        <v>37</v>
      </c>
      <c r="H4" s="11" t="s">
        <v>75</v>
      </c>
      <c r="I4" s="11" t="s">
        <v>58</v>
      </c>
      <c r="J4" s="11" t="s">
        <v>33</v>
      </c>
      <c r="K4" s="11" t="s">
        <v>34</v>
      </c>
      <c r="L4" s="11" t="s">
        <v>35</v>
      </c>
      <c r="M4" s="11" t="s">
        <v>36</v>
      </c>
      <c r="N4" s="11" t="s">
        <v>37</v>
      </c>
      <c r="O4" s="11" t="s">
        <v>75</v>
      </c>
      <c r="P4" s="11" t="s">
        <v>58</v>
      </c>
      <c r="Q4" s="11" t="s">
        <v>33</v>
      </c>
      <c r="R4" s="11" t="s">
        <v>34</v>
      </c>
      <c r="S4" s="11" t="s">
        <v>35</v>
      </c>
      <c r="T4" s="11" t="s">
        <v>36</v>
      </c>
      <c r="U4" s="11" t="s">
        <v>37</v>
      </c>
      <c r="V4" s="11" t="s">
        <v>75</v>
      </c>
      <c r="W4" s="11" t="s">
        <v>58</v>
      </c>
    </row>
    <row r="5" spans="2:24" x14ac:dyDescent="0.2">
      <c r="B5" s="10" t="s">
        <v>0</v>
      </c>
      <c r="C5" s="7">
        <v>4748</v>
      </c>
      <c r="D5" s="7">
        <v>4003</v>
      </c>
      <c r="E5" s="7">
        <v>3865</v>
      </c>
      <c r="F5" s="7">
        <v>3423</v>
      </c>
      <c r="G5" s="7">
        <v>2390</v>
      </c>
      <c r="H5" s="7">
        <v>18429</v>
      </c>
      <c r="I5" s="7">
        <v>19329</v>
      </c>
      <c r="J5" s="7">
        <v>7519</v>
      </c>
      <c r="K5" s="7">
        <v>6162</v>
      </c>
      <c r="L5" s="7">
        <v>5470</v>
      </c>
      <c r="M5" s="7">
        <v>4470</v>
      </c>
      <c r="N5" s="7">
        <v>2936</v>
      </c>
      <c r="O5" s="7">
        <v>26557</v>
      </c>
      <c r="P5" s="7">
        <v>27468</v>
      </c>
      <c r="Q5" s="7">
        <v>12267</v>
      </c>
      <c r="R5" s="7">
        <v>10165</v>
      </c>
      <c r="S5" s="7">
        <v>9335</v>
      </c>
      <c r="T5" s="7">
        <v>7893</v>
      </c>
      <c r="U5" s="7">
        <v>5326</v>
      </c>
      <c r="V5" s="7">
        <v>44986</v>
      </c>
      <c r="W5" s="7">
        <v>46797</v>
      </c>
      <c r="X5" s="12"/>
    </row>
    <row r="6" spans="2:24" x14ac:dyDescent="0.2">
      <c r="B6" s="10" t="s">
        <v>1</v>
      </c>
      <c r="C6" s="7">
        <v>5679</v>
      </c>
      <c r="D6" s="7">
        <v>4142</v>
      </c>
      <c r="E6" s="7">
        <v>3274</v>
      </c>
      <c r="F6" s="7">
        <v>2402</v>
      </c>
      <c r="G6" s="7">
        <v>1552</v>
      </c>
      <c r="H6" s="7">
        <v>17049</v>
      </c>
      <c r="I6" s="7">
        <v>17671</v>
      </c>
      <c r="J6" s="7">
        <v>5756</v>
      </c>
      <c r="K6" s="7">
        <v>4454</v>
      </c>
      <c r="L6" s="7">
        <v>3217</v>
      </c>
      <c r="M6" s="7">
        <v>2286</v>
      </c>
      <c r="N6" s="7">
        <v>1259</v>
      </c>
      <c r="O6" s="7">
        <v>16972</v>
      </c>
      <c r="P6" s="7">
        <v>17406</v>
      </c>
      <c r="Q6" s="7">
        <v>11435</v>
      </c>
      <c r="R6" s="7">
        <v>8596</v>
      </c>
      <c r="S6" s="7">
        <v>6491</v>
      </c>
      <c r="T6" s="7">
        <v>4688</v>
      </c>
      <c r="U6" s="7">
        <v>2811</v>
      </c>
      <c r="V6" s="7">
        <v>34021</v>
      </c>
      <c r="W6" s="7">
        <v>35077</v>
      </c>
      <c r="X6" s="12"/>
    </row>
    <row r="7" spans="2:24" x14ac:dyDescent="0.2">
      <c r="B7" s="10" t="s">
        <v>2</v>
      </c>
      <c r="C7" s="7">
        <v>5651</v>
      </c>
      <c r="D7" s="7">
        <v>3864</v>
      </c>
      <c r="E7" s="7">
        <v>3503</v>
      </c>
      <c r="F7" s="7">
        <v>2802</v>
      </c>
      <c r="G7" s="7">
        <v>2106</v>
      </c>
      <c r="H7" s="7">
        <v>17926</v>
      </c>
      <c r="I7" s="7">
        <v>18693</v>
      </c>
      <c r="J7" s="7">
        <v>1884</v>
      </c>
      <c r="K7" s="7">
        <v>1196</v>
      </c>
      <c r="L7" s="7">
        <v>927</v>
      </c>
      <c r="M7" s="7">
        <v>659</v>
      </c>
      <c r="N7" s="7">
        <v>396</v>
      </c>
      <c r="O7" s="7">
        <v>5062</v>
      </c>
      <c r="P7" s="7">
        <v>5194</v>
      </c>
      <c r="Q7" s="7">
        <v>7535</v>
      </c>
      <c r="R7" s="7">
        <v>5060</v>
      </c>
      <c r="S7" s="7">
        <v>4430</v>
      </c>
      <c r="T7" s="7">
        <v>3461</v>
      </c>
      <c r="U7" s="7">
        <v>2502</v>
      </c>
      <c r="V7" s="7">
        <v>22988</v>
      </c>
      <c r="W7" s="7">
        <v>23887</v>
      </c>
      <c r="X7" s="12"/>
    </row>
    <row r="8" spans="2:24" x14ac:dyDescent="0.2">
      <c r="B8" s="10" t="s">
        <v>3</v>
      </c>
      <c r="C8" s="7">
        <v>697</v>
      </c>
      <c r="D8" s="7">
        <v>583</v>
      </c>
      <c r="E8" s="7">
        <v>621</v>
      </c>
      <c r="F8" s="7">
        <v>474</v>
      </c>
      <c r="G8" s="7">
        <v>343</v>
      </c>
      <c r="H8" s="7">
        <v>2718</v>
      </c>
      <c r="I8" s="7">
        <v>2820</v>
      </c>
      <c r="J8" s="7">
        <v>235</v>
      </c>
      <c r="K8" s="7">
        <v>255</v>
      </c>
      <c r="L8" s="7">
        <v>263</v>
      </c>
      <c r="M8" s="7">
        <v>190</v>
      </c>
      <c r="N8" s="7">
        <v>119</v>
      </c>
      <c r="O8" s="7">
        <v>1062</v>
      </c>
      <c r="P8" s="7">
        <v>1100</v>
      </c>
      <c r="Q8" s="7">
        <v>932</v>
      </c>
      <c r="R8" s="7">
        <v>838</v>
      </c>
      <c r="S8" s="7">
        <v>884</v>
      </c>
      <c r="T8" s="7">
        <v>664</v>
      </c>
      <c r="U8" s="7">
        <v>462</v>
      </c>
      <c r="V8" s="7">
        <v>3780</v>
      </c>
      <c r="W8" s="7">
        <v>3920</v>
      </c>
      <c r="X8" s="12"/>
    </row>
    <row r="9" spans="2:24" x14ac:dyDescent="0.2">
      <c r="B9" s="10" t="s">
        <v>4</v>
      </c>
      <c r="C9" s="7">
        <v>13797</v>
      </c>
      <c r="D9" s="7">
        <v>6704</v>
      </c>
      <c r="E9" s="7">
        <v>5137</v>
      </c>
      <c r="F9" s="7">
        <v>3540</v>
      </c>
      <c r="G9" s="7">
        <v>2081</v>
      </c>
      <c r="H9" s="7">
        <v>31259</v>
      </c>
      <c r="I9" s="7">
        <v>32154</v>
      </c>
      <c r="J9" s="7">
        <v>9565</v>
      </c>
      <c r="K9" s="7">
        <v>4763</v>
      </c>
      <c r="L9" s="7">
        <v>3202</v>
      </c>
      <c r="M9" s="7">
        <v>2141</v>
      </c>
      <c r="N9" s="7">
        <v>1115</v>
      </c>
      <c r="O9" s="7">
        <v>20786</v>
      </c>
      <c r="P9" s="7">
        <v>21177</v>
      </c>
      <c r="Q9" s="7">
        <v>23362</v>
      </c>
      <c r="R9" s="7">
        <v>11467</v>
      </c>
      <c r="S9" s="7">
        <v>8339</v>
      </c>
      <c r="T9" s="7">
        <v>5681</v>
      </c>
      <c r="U9" s="7">
        <v>3196</v>
      </c>
      <c r="V9" s="7">
        <v>52045</v>
      </c>
      <c r="W9" s="7">
        <v>53331</v>
      </c>
      <c r="X9" s="12"/>
    </row>
    <row r="10" spans="2:24" x14ac:dyDescent="0.2">
      <c r="B10" s="10" t="s">
        <v>5</v>
      </c>
      <c r="C10" s="7">
        <v>2914</v>
      </c>
      <c r="D10" s="7">
        <v>994</v>
      </c>
      <c r="E10" s="7">
        <v>598</v>
      </c>
      <c r="F10" s="7">
        <v>353</v>
      </c>
      <c r="G10" s="7">
        <v>175</v>
      </c>
      <c r="H10" s="7">
        <v>5034</v>
      </c>
      <c r="I10" s="7">
        <v>5099</v>
      </c>
      <c r="J10" s="7">
        <v>1213</v>
      </c>
      <c r="K10" s="7">
        <v>462</v>
      </c>
      <c r="L10" s="7">
        <v>234</v>
      </c>
      <c r="M10" s="7">
        <v>131</v>
      </c>
      <c r="N10" s="7">
        <v>68</v>
      </c>
      <c r="O10" s="7">
        <v>2108</v>
      </c>
      <c r="P10" s="7">
        <v>2142</v>
      </c>
      <c r="Q10" s="7">
        <v>4127</v>
      </c>
      <c r="R10" s="7">
        <v>1456</v>
      </c>
      <c r="S10" s="7">
        <v>832</v>
      </c>
      <c r="T10" s="7">
        <v>484</v>
      </c>
      <c r="U10" s="7">
        <v>243</v>
      </c>
      <c r="V10" s="7">
        <v>7142</v>
      </c>
      <c r="W10" s="7">
        <v>7241</v>
      </c>
      <c r="X10" s="12"/>
    </row>
    <row r="11" spans="2:24" x14ac:dyDescent="0.2">
      <c r="B11" s="10" t="s">
        <v>6</v>
      </c>
      <c r="C11" s="7">
        <v>1322</v>
      </c>
      <c r="D11" s="7">
        <v>1949</v>
      </c>
      <c r="E11" s="7">
        <v>2366</v>
      </c>
      <c r="F11" s="7">
        <v>1897</v>
      </c>
      <c r="G11" s="7">
        <v>1001</v>
      </c>
      <c r="H11" s="7">
        <v>8535</v>
      </c>
      <c r="I11" s="7">
        <v>8815</v>
      </c>
      <c r="J11" s="7">
        <v>1529</v>
      </c>
      <c r="K11" s="7">
        <v>1788</v>
      </c>
      <c r="L11" s="7">
        <v>1705</v>
      </c>
      <c r="M11" s="7">
        <v>1101</v>
      </c>
      <c r="N11" s="7">
        <v>474</v>
      </c>
      <c r="O11" s="7">
        <v>6597</v>
      </c>
      <c r="P11" s="7">
        <v>6710</v>
      </c>
      <c r="Q11" s="7">
        <v>2851</v>
      </c>
      <c r="R11" s="7">
        <v>3737</v>
      </c>
      <c r="S11" s="7">
        <v>4071</v>
      </c>
      <c r="T11" s="7">
        <v>2998</v>
      </c>
      <c r="U11" s="7">
        <v>1475</v>
      </c>
      <c r="V11" s="7">
        <v>15132</v>
      </c>
      <c r="W11" s="7">
        <v>15525</v>
      </c>
      <c r="X11" s="12"/>
    </row>
    <row r="12" spans="2:24" x14ac:dyDescent="0.2">
      <c r="B12" s="67" t="s">
        <v>168</v>
      </c>
      <c r="C12" s="7">
        <v>697</v>
      </c>
      <c r="D12" s="7">
        <v>813</v>
      </c>
      <c r="E12" s="7">
        <v>936</v>
      </c>
      <c r="F12" s="7">
        <v>896</v>
      </c>
      <c r="G12" s="7">
        <v>673</v>
      </c>
      <c r="H12" s="7">
        <v>4015</v>
      </c>
      <c r="I12" s="7">
        <v>4263</v>
      </c>
      <c r="J12" s="7">
        <v>68</v>
      </c>
      <c r="K12" s="7">
        <v>79</v>
      </c>
      <c r="L12" s="7">
        <v>89</v>
      </c>
      <c r="M12" s="7">
        <v>78</v>
      </c>
      <c r="N12" s="7">
        <v>49</v>
      </c>
      <c r="O12" s="7">
        <v>363</v>
      </c>
      <c r="P12" s="7">
        <v>380</v>
      </c>
      <c r="Q12" s="7">
        <v>765</v>
      </c>
      <c r="R12" s="7">
        <v>892</v>
      </c>
      <c r="S12" s="7">
        <v>1025</v>
      </c>
      <c r="T12" s="7">
        <v>974</v>
      </c>
      <c r="U12" s="7">
        <v>722</v>
      </c>
      <c r="V12" s="7">
        <v>4378</v>
      </c>
      <c r="W12" s="7">
        <v>4643</v>
      </c>
      <c r="X12" s="12"/>
    </row>
    <row r="13" spans="2:24" x14ac:dyDescent="0.2">
      <c r="B13" s="10" t="s">
        <v>8</v>
      </c>
      <c r="C13" s="7">
        <v>408</v>
      </c>
      <c r="D13" s="7">
        <v>1051</v>
      </c>
      <c r="E13" s="7">
        <v>1716</v>
      </c>
      <c r="F13" s="7">
        <v>1834</v>
      </c>
      <c r="G13" s="7">
        <v>1350</v>
      </c>
      <c r="H13" s="7">
        <v>6359</v>
      </c>
      <c r="I13" s="7">
        <v>6891</v>
      </c>
      <c r="J13" s="7">
        <v>397</v>
      </c>
      <c r="K13" s="7">
        <v>761</v>
      </c>
      <c r="L13" s="7">
        <v>1035</v>
      </c>
      <c r="M13" s="7">
        <v>1006</v>
      </c>
      <c r="N13" s="7">
        <v>613</v>
      </c>
      <c r="O13" s="7">
        <v>3812</v>
      </c>
      <c r="P13" s="7">
        <v>3994</v>
      </c>
      <c r="Q13" s="7">
        <v>805</v>
      </c>
      <c r="R13" s="7">
        <v>1812</v>
      </c>
      <c r="S13" s="7">
        <v>2751</v>
      </c>
      <c r="T13" s="7">
        <v>2840</v>
      </c>
      <c r="U13" s="7">
        <v>1963</v>
      </c>
      <c r="V13" s="7">
        <v>10171</v>
      </c>
      <c r="W13" s="7">
        <v>10885</v>
      </c>
      <c r="X13" s="12"/>
    </row>
    <row r="14" spans="2:24" x14ac:dyDescent="0.2">
      <c r="B14" s="10" t="s">
        <v>9</v>
      </c>
      <c r="C14" s="7">
        <v>2</v>
      </c>
      <c r="D14" s="7">
        <v>4</v>
      </c>
      <c r="E14" s="7">
        <v>8</v>
      </c>
      <c r="F14" s="7">
        <v>13</v>
      </c>
      <c r="G14" s="7">
        <v>9</v>
      </c>
      <c r="H14" s="7">
        <v>36</v>
      </c>
      <c r="I14" s="7">
        <v>38</v>
      </c>
      <c r="J14" s="7">
        <v>66</v>
      </c>
      <c r="K14" s="7">
        <v>83</v>
      </c>
      <c r="L14" s="7">
        <v>89</v>
      </c>
      <c r="M14" s="7">
        <v>63</v>
      </c>
      <c r="N14" s="7">
        <v>32</v>
      </c>
      <c r="O14" s="7">
        <v>333</v>
      </c>
      <c r="P14" s="7">
        <v>336</v>
      </c>
      <c r="Q14" s="7">
        <v>68</v>
      </c>
      <c r="R14" s="7">
        <v>87</v>
      </c>
      <c r="S14" s="7">
        <v>97</v>
      </c>
      <c r="T14" s="7">
        <v>76</v>
      </c>
      <c r="U14" s="7">
        <v>41</v>
      </c>
      <c r="V14" s="7">
        <v>369</v>
      </c>
      <c r="W14" s="7">
        <v>374</v>
      </c>
      <c r="X14" s="12"/>
    </row>
    <row r="15" spans="2:24" x14ac:dyDescent="0.2">
      <c r="B15" s="10" t="s">
        <v>10</v>
      </c>
      <c r="C15" s="7">
        <v>211</v>
      </c>
      <c r="D15" s="7">
        <v>411</v>
      </c>
      <c r="E15" s="7">
        <v>500</v>
      </c>
      <c r="F15" s="7">
        <v>445</v>
      </c>
      <c r="G15" s="7">
        <v>338</v>
      </c>
      <c r="H15" s="7">
        <v>1905</v>
      </c>
      <c r="I15" s="7">
        <v>2063</v>
      </c>
      <c r="J15" s="7">
        <v>174</v>
      </c>
      <c r="K15" s="7">
        <v>266</v>
      </c>
      <c r="L15" s="7">
        <v>259</v>
      </c>
      <c r="M15" s="7">
        <v>256</v>
      </c>
      <c r="N15" s="7">
        <v>176</v>
      </c>
      <c r="O15" s="7">
        <v>1131</v>
      </c>
      <c r="P15" s="7">
        <v>1207</v>
      </c>
      <c r="Q15" s="7">
        <v>385</v>
      </c>
      <c r="R15" s="7">
        <v>677</v>
      </c>
      <c r="S15" s="7">
        <v>759</v>
      </c>
      <c r="T15" s="7">
        <v>701</v>
      </c>
      <c r="U15" s="7">
        <v>514</v>
      </c>
      <c r="V15" s="7">
        <v>3036</v>
      </c>
      <c r="W15" s="7">
        <v>3270</v>
      </c>
      <c r="X15" s="12"/>
    </row>
    <row r="16" spans="2:24" x14ac:dyDescent="0.2">
      <c r="B16" s="10" t="s">
        <v>11</v>
      </c>
      <c r="C16" s="7">
        <v>2938</v>
      </c>
      <c r="D16" s="7">
        <v>4620</v>
      </c>
      <c r="E16" s="7">
        <v>4960</v>
      </c>
      <c r="F16" s="7">
        <v>3235</v>
      </c>
      <c r="G16" s="7">
        <v>1399</v>
      </c>
      <c r="H16" s="7">
        <v>17152</v>
      </c>
      <c r="I16" s="7">
        <v>17454</v>
      </c>
      <c r="J16" s="7">
        <v>2396</v>
      </c>
      <c r="K16" s="7">
        <v>3230</v>
      </c>
      <c r="L16" s="7">
        <v>3153</v>
      </c>
      <c r="M16" s="7">
        <v>2038</v>
      </c>
      <c r="N16" s="7">
        <v>822</v>
      </c>
      <c r="O16" s="7">
        <v>11639</v>
      </c>
      <c r="P16" s="7">
        <v>11794</v>
      </c>
      <c r="Q16" s="7">
        <v>5334</v>
      </c>
      <c r="R16" s="7">
        <v>7850</v>
      </c>
      <c r="S16" s="7">
        <v>8113</v>
      </c>
      <c r="T16" s="7">
        <v>5273</v>
      </c>
      <c r="U16" s="7">
        <v>2221</v>
      </c>
      <c r="V16" s="7">
        <v>28791</v>
      </c>
      <c r="W16" s="7">
        <v>29248</v>
      </c>
      <c r="X16" s="12"/>
    </row>
    <row r="17" spans="2:24" x14ac:dyDescent="0.2">
      <c r="B17" s="10" t="s">
        <v>12</v>
      </c>
      <c r="C17" s="7">
        <v>3325</v>
      </c>
      <c r="D17" s="7">
        <v>2646</v>
      </c>
      <c r="E17" s="7">
        <v>1957</v>
      </c>
      <c r="F17" s="7">
        <v>1185</v>
      </c>
      <c r="G17" s="7">
        <v>475</v>
      </c>
      <c r="H17" s="7">
        <v>9588</v>
      </c>
      <c r="I17" s="7">
        <v>9711</v>
      </c>
      <c r="J17" s="7">
        <v>1751</v>
      </c>
      <c r="K17" s="7">
        <v>1142</v>
      </c>
      <c r="L17" s="7">
        <v>747</v>
      </c>
      <c r="M17" s="7">
        <v>396</v>
      </c>
      <c r="N17" s="7">
        <v>164</v>
      </c>
      <c r="O17" s="7">
        <v>4200</v>
      </c>
      <c r="P17" s="7">
        <v>4239</v>
      </c>
      <c r="Q17" s="7">
        <v>5076</v>
      </c>
      <c r="R17" s="7">
        <v>3788</v>
      </c>
      <c r="S17" s="7">
        <v>2704</v>
      </c>
      <c r="T17" s="7">
        <v>1581</v>
      </c>
      <c r="U17" s="7">
        <v>639</v>
      </c>
      <c r="V17" s="7">
        <v>13788</v>
      </c>
      <c r="W17" s="7">
        <v>13950</v>
      </c>
      <c r="X17" s="12"/>
    </row>
    <row r="18" spans="2:24" x14ac:dyDescent="0.2">
      <c r="B18" s="10" t="s">
        <v>13</v>
      </c>
      <c r="C18" s="7">
        <v>3575</v>
      </c>
      <c r="D18" s="7">
        <v>3916</v>
      </c>
      <c r="E18" s="7">
        <v>3732</v>
      </c>
      <c r="F18" s="7">
        <v>2638</v>
      </c>
      <c r="G18" s="7">
        <v>1106</v>
      </c>
      <c r="H18" s="7">
        <v>14967</v>
      </c>
      <c r="I18" s="7">
        <v>15178</v>
      </c>
      <c r="J18" s="7">
        <v>4112</v>
      </c>
      <c r="K18" s="7">
        <v>3392</v>
      </c>
      <c r="L18" s="7">
        <v>2699</v>
      </c>
      <c r="M18" s="7">
        <v>1462</v>
      </c>
      <c r="N18" s="7">
        <v>551</v>
      </c>
      <c r="O18" s="7">
        <v>12216</v>
      </c>
      <c r="P18" s="7">
        <v>12316</v>
      </c>
      <c r="Q18" s="7">
        <v>7687</v>
      </c>
      <c r="R18" s="7">
        <v>7308</v>
      </c>
      <c r="S18" s="7">
        <v>6431</v>
      </c>
      <c r="T18" s="7">
        <v>4100</v>
      </c>
      <c r="U18" s="7">
        <v>1657</v>
      </c>
      <c r="V18" s="7">
        <v>27183</v>
      </c>
      <c r="W18" s="7">
        <v>27494</v>
      </c>
      <c r="X18" s="12"/>
    </row>
    <row r="19" spans="2:24" x14ac:dyDescent="0.2">
      <c r="B19" s="10" t="s">
        <v>14</v>
      </c>
      <c r="C19" s="7">
        <v>2008</v>
      </c>
      <c r="D19" s="7">
        <v>1690</v>
      </c>
      <c r="E19" s="7">
        <v>1319</v>
      </c>
      <c r="F19" s="7">
        <v>783</v>
      </c>
      <c r="G19" s="7">
        <v>326</v>
      </c>
      <c r="H19" s="7">
        <v>6126</v>
      </c>
      <c r="I19" s="7">
        <v>6229</v>
      </c>
      <c r="J19" s="7">
        <v>1659</v>
      </c>
      <c r="K19" s="7">
        <v>1159</v>
      </c>
      <c r="L19" s="7">
        <v>811</v>
      </c>
      <c r="M19" s="7">
        <v>496</v>
      </c>
      <c r="N19" s="7">
        <v>207</v>
      </c>
      <c r="O19" s="7">
        <v>4332</v>
      </c>
      <c r="P19" s="7">
        <v>4395</v>
      </c>
      <c r="Q19" s="7">
        <v>3667</v>
      </c>
      <c r="R19" s="7">
        <v>2849</v>
      </c>
      <c r="S19" s="7">
        <v>2130</v>
      </c>
      <c r="T19" s="7">
        <v>1279</v>
      </c>
      <c r="U19" s="7">
        <v>533</v>
      </c>
      <c r="V19" s="7">
        <v>10458</v>
      </c>
      <c r="W19" s="7">
        <v>10624</v>
      </c>
      <c r="X19" s="12"/>
    </row>
    <row r="20" spans="2:24" x14ac:dyDescent="0.2">
      <c r="B20" s="10" t="s">
        <v>15</v>
      </c>
      <c r="C20" s="7">
        <v>4779</v>
      </c>
      <c r="D20" s="7">
        <v>5314</v>
      </c>
      <c r="E20" s="7">
        <v>5027</v>
      </c>
      <c r="F20" s="7">
        <v>3494</v>
      </c>
      <c r="G20" s="7">
        <v>1447</v>
      </c>
      <c r="H20" s="7">
        <v>20061</v>
      </c>
      <c r="I20" s="7">
        <v>20376</v>
      </c>
      <c r="J20" s="7">
        <v>5399</v>
      </c>
      <c r="K20" s="7">
        <v>5530</v>
      </c>
      <c r="L20" s="7">
        <v>4681</v>
      </c>
      <c r="M20" s="7">
        <v>3068</v>
      </c>
      <c r="N20" s="7">
        <v>1214</v>
      </c>
      <c r="O20" s="7">
        <v>19892</v>
      </c>
      <c r="P20" s="7">
        <v>20166</v>
      </c>
      <c r="Q20" s="7">
        <v>10178</v>
      </c>
      <c r="R20" s="7">
        <v>10844</v>
      </c>
      <c r="S20" s="7">
        <v>9708</v>
      </c>
      <c r="T20" s="7">
        <v>6562</v>
      </c>
      <c r="U20" s="7">
        <v>2661</v>
      </c>
      <c r="V20" s="7">
        <v>39953</v>
      </c>
      <c r="W20" s="7">
        <v>40542</v>
      </c>
      <c r="X20" s="12"/>
    </row>
    <row r="21" spans="2:24" x14ac:dyDescent="0.2">
      <c r="B21" s="10" t="s">
        <v>16</v>
      </c>
      <c r="C21" s="7">
        <v>1009</v>
      </c>
      <c r="D21" s="7">
        <v>1256</v>
      </c>
      <c r="E21" s="7">
        <v>1426</v>
      </c>
      <c r="F21" s="7">
        <v>1143</v>
      </c>
      <c r="G21" s="7">
        <v>698</v>
      </c>
      <c r="H21" s="7">
        <v>5532</v>
      </c>
      <c r="I21" s="7">
        <v>5810</v>
      </c>
      <c r="J21" s="7">
        <v>1875</v>
      </c>
      <c r="K21" s="7">
        <v>1866</v>
      </c>
      <c r="L21" s="7">
        <v>1878</v>
      </c>
      <c r="M21" s="7">
        <v>1361</v>
      </c>
      <c r="N21" s="7">
        <v>771</v>
      </c>
      <c r="O21" s="7">
        <v>7751</v>
      </c>
      <c r="P21" s="7">
        <v>8009</v>
      </c>
      <c r="Q21" s="7">
        <v>2884</v>
      </c>
      <c r="R21" s="7">
        <v>3122</v>
      </c>
      <c r="S21" s="7">
        <v>3304</v>
      </c>
      <c r="T21" s="7">
        <v>2504</v>
      </c>
      <c r="U21" s="7">
        <v>1469</v>
      </c>
      <c r="V21" s="7">
        <v>13283</v>
      </c>
      <c r="W21" s="7">
        <v>13819</v>
      </c>
      <c r="X21" s="12"/>
    </row>
    <row r="22" spans="2:24" x14ac:dyDescent="0.2">
      <c r="B22" s="10" t="s">
        <v>17</v>
      </c>
      <c r="C22" s="7">
        <v>1511</v>
      </c>
      <c r="D22" s="7">
        <v>2446</v>
      </c>
      <c r="E22" s="7">
        <v>3086</v>
      </c>
      <c r="F22" s="7">
        <v>2782</v>
      </c>
      <c r="G22" s="7">
        <v>1773</v>
      </c>
      <c r="H22" s="7">
        <v>11598</v>
      </c>
      <c r="I22" s="7">
        <v>12254</v>
      </c>
      <c r="J22" s="7">
        <v>7940</v>
      </c>
      <c r="K22" s="7">
        <v>8983</v>
      </c>
      <c r="L22" s="7">
        <v>8708</v>
      </c>
      <c r="M22" s="7">
        <v>6348</v>
      </c>
      <c r="N22" s="7">
        <v>3357</v>
      </c>
      <c r="O22" s="7">
        <v>35336</v>
      </c>
      <c r="P22" s="7">
        <v>36349</v>
      </c>
      <c r="Q22" s="7">
        <v>9451</v>
      </c>
      <c r="R22" s="7">
        <v>11429</v>
      </c>
      <c r="S22" s="7">
        <v>11794</v>
      </c>
      <c r="T22" s="7">
        <v>9130</v>
      </c>
      <c r="U22" s="7">
        <v>5130</v>
      </c>
      <c r="V22" s="7">
        <v>46934</v>
      </c>
      <c r="W22" s="7">
        <v>48603</v>
      </c>
      <c r="X22" s="12"/>
    </row>
    <row r="23" spans="2:24" x14ac:dyDescent="0.2">
      <c r="B23" s="10" t="s">
        <v>18</v>
      </c>
      <c r="C23" s="7">
        <v>956</v>
      </c>
      <c r="D23" s="7">
        <v>1437</v>
      </c>
      <c r="E23" s="7">
        <v>1609</v>
      </c>
      <c r="F23" s="7">
        <v>1189</v>
      </c>
      <c r="G23" s="7">
        <v>564</v>
      </c>
      <c r="H23" s="7">
        <v>5755</v>
      </c>
      <c r="I23" s="7">
        <v>5936</v>
      </c>
      <c r="J23" s="7">
        <v>4343</v>
      </c>
      <c r="K23" s="7">
        <v>5023</v>
      </c>
      <c r="L23" s="7">
        <v>4657</v>
      </c>
      <c r="M23" s="7">
        <v>2959</v>
      </c>
      <c r="N23" s="7">
        <v>1244</v>
      </c>
      <c r="O23" s="7">
        <v>18226</v>
      </c>
      <c r="P23" s="7">
        <v>18593</v>
      </c>
      <c r="Q23" s="7">
        <v>5299</v>
      </c>
      <c r="R23" s="7">
        <v>6460</v>
      </c>
      <c r="S23" s="7">
        <v>6266</v>
      </c>
      <c r="T23" s="7">
        <v>4148</v>
      </c>
      <c r="U23" s="7">
        <v>1808</v>
      </c>
      <c r="V23" s="7">
        <v>23981</v>
      </c>
      <c r="W23" s="7">
        <v>24529</v>
      </c>
      <c r="X23" s="12"/>
    </row>
    <row r="24" spans="2:24" x14ac:dyDescent="0.2">
      <c r="B24" s="10" t="s">
        <v>19</v>
      </c>
      <c r="C24" s="7">
        <v>305</v>
      </c>
      <c r="D24" s="7">
        <v>422</v>
      </c>
      <c r="E24" s="7">
        <v>433</v>
      </c>
      <c r="F24" s="7">
        <v>287</v>
      </c>
      <c r="G24" s="7">
        <v>157</v>
      </c>
      <c r="H24" s="7">
        <v>1604</v>
      </c>
      <c r="I24" s="7">
        <v>1646</v>
      </c>
      <c r="J24" s="7">
        <v>370</v>
      </c>
      <c r="K24" s="7">
        <v>446</v>
      </c>
      <c r="L24" s="7">
        <v>401</v>
      </c>
      <c r="M24" s="7">
        <v>265</v>
      </c>
      <c r="N24" s="7">
        <v>104</v>
      </c>
      <c r="O24" s="7">
        <v>1586</v>
      </c>
      <c r="P24" s="7">
        <v>1621</v>
      </c>
      <c r="Q24" s="7">
        <v>675</v>
      </c>
      <c r="R24" s="7">
        <v>868</v>
      </c>
      <c r="S24" s="7">
        <v>834</v>
      </c>
      <c r="T24" s="7">
        <v>552</v>
      </c>
      <c r="U24" s="7">
        <v>261</v>
      </c>
      <c r="V24" s="7">
        <v>3190</v>
      </c>
      <c r="W24" s="7">
        <v>3267</v>
      </c>
      <c r="X24" s="12"/>
    </row>
    <row r="25" spans="2:24" x14ac:dyDescent="0.2">
      <c r="B25" s="10" t="s">
        <v>20</v>
      </c>
      <c r="C25" s="7">
        <v>2906</v>
      </c>
      <c r="D25" s="7">
        <v>2558</v>
      </c>
      <c r="E25" s="7">
        <v>2692</v>
      </c>
      <c r="F25" s="7">
        <v>1989</v>
      </c>
      <c r="G25" s="7">
        <v>931</v>
      </c>
      <c r="H25" s="7">
        <v>11076</v>
      </c>
      <c r="I25" s="7">
        <v>11414</v>
      </c>
      <c r="J25" s="7">
        <v>8414</v>
      </c>
      <c r="K25" s="7">
        <v>6611</v>
      </c>
      <c r="L25" s="7">
        <v>5970</v>
      </c>
      <c r="M25" s="7">
        <v>3586</v>
      </c>
      <c r="N25" s="7">
        <v>1463</v>
      </c>
      <c r="O25" s="7">
        <v>26044</v>
      </c>
      <c r="P25" s="7">
        <v>26537</v>
      </c>
      <c r="Q25" s="7">
        <v>11320</v>
      </c>
      <c r="R25" s="7">
        <v>9169</v>
      </c>
      <c r="S25" s="7">
        <v>8662</v>
      </c>
      <c r="T25" s="7">
        <v>5575</v>
      </c>
      <c r="U25" s="7">
        <v>2394</v>
      </c>
      <c r="V25" s="7">
        <v>37120</v>
      </c>
      <c r="W25" s="7">
        <v>37951</v>
      </c>
      <c r="X25" s="12"/>
    </row>
    <row r="26" spans="2:24" x14ac:dyDescent="0.2">
      <c r="B26" s="10" t="s">
        <v>21</v>
      </c>
      <c r="C26" s="7">
        <v>645</v>
      </c>
      <c r="D26" s="7">
        <v>1205</v>
      </c>
      <c r="E26" s="7">
        <v>1431</v>
      </c>
      <c r="F26" s="7">
        <v>804</v>
      </c>
      <c r="G26" s="7">
        <v>257</v>
      </c>
      <c r="H26" s="7">
        <v>4342</v>
      </c>
      <c r="I26" s="7">
        <v>4380</v>
      </c>
      <c r="J26" s="7">
        <v>2374</v>
      </c>
      <c r="K26" s="7">
        <v>3440</v>
      </c>
      <c r="L26" s="7">
        <v>2911</v>
      </c>
      <c r="M26" s="7">
        <v>1420</v>
      </c>
      <c r="N26" s="7">
        <v>344</v>
      </c>
      <c r="O26" s="7">
        <v>10489</v>
      </c>
      <c r="P26" s="7">
        <v>10542</v>
      </c>
      <c r="Q26" s="7">
        <v>3019</v>
      </c>
      <c r="R26" s="7">
        <v>4645</v>
      </c>
      <c r="S26" s="7">
        <v>4342</v>
      </c>
      <c r="T26" s="7">
        <v>2224</v>
      </c>
      <c r="U26" s="7">
        <v>601</v>
      </c>
      <c r="V26" s="7">
        <v>14831</v>
      </c>
      <c r="W26" s="7">
        <v>14922</v>
      </c>
      <c r="X26" s="12"/>
    </row>
    <row r="27" spans="2:24" x14ac:dyDescent="0.2">
      <c r="B27" s="10" t="s">
        <v>22</v>
      </c>
      <c r="C27" s="7">
        <v>5595</v>
      </c>
      <c r="D27" s="7">
        <v>5969</v>
      </c>
      <c r="E27" s="7">
        <v>6405</v>
      </c>
      <c r="F27" s="7">
        <v>4300</v>
      </c>
      <c r="G27" s="7">
        <v>1436</v>
      </c>
      <c r="H27" s="7">
        <v>23705</v>
      </c>
      <c r="I27" s="7">
        <v>23965</v>
      </c>
      <c r="J27" s="7">
        <v>12465</v>
      </c>
      <c r="K27" s="7">
        <v>13998</v>
      </c>
      <c r="L27" s="7">
        <v>14684</v>
      </c>
      <c r="M27" s="7">
        <v>9179</v>
      </c>
      <c r="N27" s="7">
        <v>2797</v>
      </c>
      <c r="O27" s="7">
        <v>53123</v>
      </c>
      <c r="P27" s="7">
        <v>53537</v>
      </c>
      <c r="Q27" s="7">
        <v>18060</v>
      </c>
      <c r="R27" s="7">
        <v>19967</v>
      </c>
      <c r="S27" s="7">
        <v>21089</v>
      </c>
      <c r="T27" s="7">
        <v>13479</v>
      </c>
      <c r="U27" s="7">
        <v>4233</v>
      </c>
      <c r="V27" s="7">
        <v>76828</v>
      </c>
      <c r="W27" s="7">
        <v>77502</v>
      </c>
      <c r="X27" s="12"/>
    </row>
    <row r="28" spans="2:24" x14ac:dyDescent="0.2">
      <c r="B28" s="10" t="s">
        <v>51</v>
      </c>
      <c r="C28" s="7">
        <v>1079</v>
      </c>
      <c r="D28" s="7">
        <v>2654</v>
      </c>
      <c r="E28" s="7">
        <v>3513</v>
      </c>
      <c r="F28" s="7">
        <v>2091</v>
      </c>
      <c r="G28" s="7">
        <v>704</v>
      </c>
      <c r="H28" s="7">
        <v>10041</v>
      </c>
      <c r="I28" s="7">
        <v>10172</v>
      </c>
      <c r="J28" s="7">
        <v>2072</v>
      </c>
      <c r="K28" s="7">
        <v>4213</v>
      </c>
      <c r="L28" s="7">
        <v>4182</v>
      </c>
      <c r="M28" s="7">
        <v>2059</v>
      </c>
      <c r="N28" s="7">
        <v>498</v>
      </c>
      <c r="O28" s="7">
        <v>13024</v>
      </c>
      <c r="P28" s="7">
        <v>13141</v>
      </c>
      <c r="Q28" s="7">
        <v>3151</v>
      </c>
      <c r="R28" s="7">
        <v>6867</v>
      </c>
      <c r="S28" s="7">
        <v>7695</v>
      </c>
      <c r="T28" s="7">
        <v>4150</v>
      </c>
      <c r="U28" s="7">
        <v>1202</v>
      </c>
      <c r="V28" s="7">
        <v>23065</v>
      </c>
      <c r="W28" s="7">
        <v>23313</v>
      </c>
      <c r="X28" s="12"/>
    </row>
    <row r="29" spans="2:24" x14ac:dyDescent="0.2">
      <c r="B29" s="10" t="s">
        <v>23</v>
      </c>
      <c r="C29" s="7">
        <v>571</v>
      </c>
      <c r="D29" s="7">
        <v>1353</v>
      </c>
      <c r="E29" s="7">
        <v>1486</v>
      </c>
      <c r="F29" s="7">
        <v>632</v>
      </c>
      <c r="G29" s="7">
        <v>145</v>
      </c>
      <c r="H29" s="7">
        <v>4187</v>
      </c>
      <c r="I29" s="7">
        <v>4234</v>
      </c>
      <c r="J29" s="7">
        <v>1043</v>
      </c>
      <c r="K29" s="7">
        <v>1950</v>
      </c>
      <c r="L29" s="7">
        <v>1800</v>
      </c>
      <c r="M29" s="7">
        <v>764</v>
      </c>
      <c r="N29" s="7">
        <v>173</v>
      </c>
      <c r="O29" s="7">
        <v>5730</v>
      </c>
      <c r="P29" s="7">
        <v>5773</v>
      </c>
      <c r="Q29" s="7">
        <v>1614</v>
      </c>
      <c r="R29" s="7">
        <v>3303</v>
      </c>
      <c r="S29" s="7">
        <v>3286</v>
      </c>
      <c r="T29" s="7">
        <v>1396</v>
      </c>
      <c r="U29" s="7">
        <v>318</v>
      </c>
      <c r="V29" s="7">
        <v>9917</v>
      </c>
      <c r="W29" s="7">
        <v>10007</v>
      </c>
      <c r="X29" s="12"/>
    </row>
    <row r="30" spans="2:24" x14ac:dyDescent="0.2">
      <c r="B30" s="10" t="s">
        <v>24</v>
      </c>
      <c r="C30" s="7">
        <v>1506</v>
      </c>
      <c r="D30" s="7">
        <v>1057</v>
      </c>
      <c r="E30" s="7">
        <v>653</v>
      </c>
      <c r="F30" s="7">
        <v>424</v>
      </c>
      <c r="G30" s="7">
        <v>160</v>
      </c>
      <c r="H30" s="7">
        <v>3800</v>
      </c>
      <c r="I30" s="7">
        <v>3846</v>
      </c>
      <c r="J30" s="7">
        <v>2962</v>
      </c>
      <c r="K30" s="7">
        <v>2334</v>
      </c>
      <c r="L30" s="7">
        <v>1552</v>
      </c>
      <c r="M30" s="7">
        <v>979</v>
      </c>
      <c r="N30" s="7">
        <v>401</v>
      </c>
      <c r="O30" s="7">
        <v>8228</v>
      </c>
      <c r="P30" s="7">
        <v>8306</v>
      </c>
      <c r="Q30" s="7">
        <v>4468</v>
      </c>
      <c r="R30" s="7">
        <v>3391</v>
      </c>
      <c r="S30" s="7">
        <v>2205</v>
      </c>
      <c r="T30" s="7">
        <v>1403</v>
      </c>
      <c r="U30" s="7">
        <v>561</v>
      </c>
      <c r="V30" s="7">
        <v>12028</v>
      </c>
      <c r="W30" s="7">
        <v>12152</v>
      </c>
      <c r="X30" s="12"/>
    </row>
    <row r="31" spans="2:24" x14ac:dyDescent="0.2">
      <c r="B31" s="10" t="s">
        <v>25</v>
      </c>
      <c r="C31" s="7">
        <v>886</v>
      </c>
      <c r="D31" s="7">
        <v>538</v>
      </c>
      <c r="E31" s="7">
        <v>386</v>
      </c>
      <c r="F31" s="7">
        <v>252</v>
      </c>
      <c r="G31" s="7">
        <v>97</v>
      </c>
      <c r="H31" s="7">
        <v>2159</v>
      </c>
      <c r="I31" s="7">
        <v>2181</v>
      </c>
      <c r="J31" s="7">
        <v>1194</v>
      </c>
      <c r="K31" s="7">
        <v>933</v>
      </c>
      <c r="L31" s="7">
        <v>685</v>
      </c>
      <c r="M31" s="7">
        <v>421</v>
      </c>
      <c r="N31" s="7">
        <v>165</v>
      </c>
      <c r="O31" s="7">
        <v>3398</v>
      </c>
      <c r="P31" s="7">
        <v>3434</v>
      </c>
      <c r="Q31" s="7">
        <v>2080</v>
      </c>
      <c r="R31" s="7">
        <v>1471</v>
      </c>
      <c r="S31" s="7">
        <v>1071</v>
      </c>
      <c r="T31" s="7">
        <v>673</v>
      </c>
      <c r="U31" s="7">
        <v>262</v>
      </c>
      <c r="V31" s="7">
        <v>5557</v>
      </c>
      <c r="W31" s="7">
        <v>5615</v>
      </c>
      <c r="X31" s="12"/>
    </row>
    <row r="32" spans="2:24" x14ac:dyDescent="0.2">
      <c r="B32" s="10" t="s">
        <v>26</v>
      </c>
      <c r="C32" s="7">
        <v>774</v>
      </c>
      <c r="D32" s="7">
        <v>555</v>
      </c>
      <c r="E32" s="7">
        <v>304</v>
      </c>
      <c r="F32" s="7">
        <v>136</v>
      </c>
      <c r="G32" s="7">
        <v>75</v>
      </c>
      <c r="H32" s="7">
        <v>1844</v>
      </c>
      <c r="I32" s="7">
        <v>1865</v>
      </c>
      <c r="J32" s="7">
        <v>1344</v>
      </c>
      <c r="K32" s="7">
        <v>1023</v>
      </c>
      <c r="L32" s="7">
        <v>676</v>
      </c>
      <c r="M32" s="7">
        <v>398</v>
      </c>
      <c r="N32" s="7">
        <v>146</v>
      </c>
      <c r="O32" s="7">
        <v>3587</v>
      </c>
      <c r="P32" s="7">
        <v>3626</v>
      </c>
      <c r="Q32" s="7">
        <v>2118</v>
      </c>
      <c r="R32" s="7">
        <v>1578</v>
      </c>
      <c r="S32" s="7">
        <v>980</v>
      </c>
      <c r="T32" s="7">
        <v>534</v>
      </c>
      <c r="U32" s="7">
        <v>221</v>
      </c>
      <c r="V32" s="7">
        <v>5431</v>
      </c>
      <c r="W32" s="7">
        <v>5491</v>
      </c>
      <c r="X32" s="12"/>
    </row>
    <row r="33" spans="1:26" x14ac:dyDescent="0.2">
      <c r="B33" s="10" t="s">
        <v>27</v>
      </c>
      <c r="C33" s="7">
        <v>997</v>
      </c>
      <c r="D33" s="7">
        <v>716</v>
      </c>
      <c r="E33" s="7">
        <v>304</v>
      </c>
      <c r="F33" s="7">
        <v>102</v>
      </c>
      <c r="G33" s="7">
        <v>51</v>
      </c>
      <c r="H33" s="7">
        <v>2170</v>
      </c>
      <c r="I33" s="7">
        <v>2235</v>
      </c>
      <c r="J33" s="7">
        <v>1506</v>
      </c>
      <c r="K33" s="7">
        <v>805</v>
      </c>
      <c r="L33" s="7">
        <v>338</v>
      </c>
      <c r="M33" s="7">
        <v>107</v>
      </c>
      <c r="N33" s="7">
        <v>71</v>
      </c>
      <c r="O33" s="7">
        <v>2827</v>
      </c>
      <c r="P33" s="7">
        <v>2884</v>
      </c>
      <c r="Q33" s="7">
        <v>2503</v>
      </c>
      <c r="R33" s="7">
        <v>1521</v>
      </c>
      <c r="S33" s="7">
        <v>642</v>
      </c>
      <c r="T33" s="7">
        <v>209</v>
      </c>
      <c r="U33" s="7">
        <v>122</v>
      </c>
      <c r="V33" s="7">
        <v>4997</v>
      </c>
      <c r="W33" s="7">
        <v>5119</v>
      </c>
      <c r="X33" s="12"/>
    </row>
    <row r="34" spans="1:26" x14ac:dyDescent="0.2">
      <c r="B34" s="10" t="s">
        <v>28</v>
      </c>
      <c r="C34" s="7">
        <v>909</v>
      </c>
      <c r="D34" s="7">
        <v>669</v>
      </c>
      <c r="E34" s="7">
        <v>558</v>
      </c>
      <c r="F34" s="7">
        <v>321</v>
      </c>
      <c r="G34" s="7">
        <v>116</v>
      </c>
      <c r="H34" s="7">
        <v>2573</v>
      </c>
      <c r="I34" s="7">
        <v>2602</v>
      </c>
      <c r="J34" s="7">
        <v>1251</v>
      </c>
      <c r="K34" s="7">
        <v>980</v>
      </c>
      <c r="L34" s="7">
        <v>572</v>
      </c>
      <c r="M34" s="7">
        <v>266</v>
      </c>
      <c r="N34" s="7">
        <v>73</v>
      </c>
      <c r="O34" s="7">
        <v>3142</v>
      </c>
      <c r="P34" s="7">
        <v>3164</v>
      </c>
      <c r="Q34" s="7">
        <v>2160</v>
      </c>
      <c r="R34" s="7">
        <v>1649</v>
      </c>
      <c r="S34" s="7">
        <v>1130</v>
      </c>
      <c r="T34" s="7">
        <v>587</v>
      </c>
      <c r="U34" s="7">
        <v>189</v>
      </c>
      <c r="V34" s="7">
        <v>5715</v>
      </c>
      <c r="W34" s="7">
        <v>5766</v>
      </c>
      <c r="X34" s="12"/>
    </row>
    <row r="35" spans="1:26" x14ac:dyDescent="0.2">
      <c r="B35" s="10" t="s">
        <v>29</v>
      </c>
      <c r="C35" s="7">
        <v>1381</v>
      </c>
      <c r="D35" s="7">
        <v>1467</v>
      </c>
      <c r="E35" s="7">
        <v>1201</v>
      </c>
      <c r="F35" s="7">
        <v>690</v>
      </c>
      <c r="G35" s="7">
        <v>278</v>
      </c>
      <c r="H35" s="7">
        <v>5017</v>
      </c>
      <c r="I35" s="7">
        <v>5106</v>
      </c>
      <c r="J35" s="7">
        <v>2945</v>
      </c>
      <c r="K35" s="7">
        <v>3216</v>
      </c>
      <c r="L35" s="7">
        <v>2454</v>
      </c>
      <c r="M35" s="7">
        <v>1292</v>
      </c>
      <c r="N35" s="7">
        <v>479</v>
      </c>
      <c r="O35" s="7">
        <v>10386</v>
      </c>
      <c r="P35" s="7">
        <v>10487</v>
      </c>
      <c r="Q35" s="7">
        <v>4326</v>
      </c>
      <c r="R35" s="7">
        <v>4683</v>
      </c>
      <c r="S35" s="7">
        <v>3655</v>
      </c>
      <c r="T35" s="7">
        <v>1982</v>
      </c>
      <c r="U35" s="7">
        <v>757</v>
      </c>
      <c r="V35" s="7">
        <v>15403</v>
      </c>
      <c r="W35" s="7">
        <v>15593</v>
      </c>
      <c r="X35" s="12"/>
    </row>
    <row r="36" spans="1:26" x14ac:dyDescent="0.2">
      <c r="B36" s="10" t="s">
        <v>30</v>
      </c>
      <c r="C36" s="7">
        <v>771</v>
      </c>
      <c r="D36" s="7">
        <v>1110</v>
      </c>
      <c r="E36" s="7">
        <v>1387</v>
      </c>
      <c r="F36" s="7">
        <v>1226</v>
      </c>
      <c r="G36" s="7">
        <v>652</v>
      </c>
      <c r="H36" s="7">
        <v>5146</v>
      </c>
      <c r="I36" s="7">
        <v>5354</v>
      </c>
      <c r="J36" s="7">
        <v>801</v>
      </c>
      <c r="K36" s="7">
        <v>892</v>
      </c>
      <c r="L36" s="7">
        <v>913</v>
      </c>
      <c r="M36" s="7">
        <v>716</v>
      </c>
      <c r="N36" s="7">
        <v>349</v>
      </c>
      <c r="O36" s="7">
        <v>3671</v>
      </c>
      <c r="P36" s="7">
        <v>3744</v>
      </c>
      <c r="Q36" s="7">
        <v>1572</v>
      </c>
      <c r="R36" s="7">
        <v>2002</v>
      </c>
      <c r="S36" s="7">
        <v>2300</v>
      </c>
      <c r="T36" s="7">
        <v>1942</v>
      </c>
      <c r="U36" s="7">
        <v>1001</v>
      </c>
      <c r="V36" s="7">
        <v>8817</v>
      </c>
      <c r="W36" s="7">
        <v>9098</v>
      </c>
      <c r="X36" s="12"/>
    </row>
    <row r="37" spans="1:26" x14ac:dyDescent="0.2">
      <c r="B37" s="10" t="s">
        <v>31</v>
      </c>
      <c r="C37" s="7">
        <v>1418</v>
      </c>
      <c r="D37" s="7">
        <v>2533</v>
      </c>
      <c r="E37" s="7">
        <v>3223</v>
      </c>
      <c r="F37" s="7">
        <v>2964</v>
      </c>
      <c r="G37" s="7">
        <v>1892</v>
      </c>
      <c r="H37" s="7">
        <v>12030</v>
      </c>
      <c r="I37" s="7">
        <v>12398</v>
      </c>
      <c r="J37" s="7">
        <v>2017</v>
      </c>
      <c r="K37" s="7">
        <v>2137</v>
      </c>
      <c r="L37" s="7">
        <v>2189</v>
      </c>
      <c r="M37" s="7">
        <v>1661</v>
      </c>
      <c r="N37" s="7">
        <v>935</v>
      </c>
      <c r="O37" s="7">
        <v>8939</v>
      </c>
      <c r="P37" s="7">
        <v>9129</v>
      </c>
      <c r="Q37" s="7">
        <v>3435</v>
      </c>
      <c r="R37" s="7">
        <v>4670</v>
      </c>
      <c r="S37" s="7">
        <v>5412</v>
      </c>
      <c r="T37" s="7">
        <v>4625</v>
      </c>
      <c r="U37" s="7">
        <v>2827</v>
      </c>
      <c r="V37" s="7">
        <v>20969</v>
      </c>
      <c r="W37" s="7">
        <v>21527</v>
      </c>
      <c r="X37" s="12"/>
    </row>
    <row r="38" spans="1:26" x14ac:dyDescent="0.2">
      <c r="B38" s="10" t="s">
        <v>32</v>
      </c>
      <c r="C38" s="7">
        <v>3269</v>
      </c>
      <c r="D38" s="7">
        <v>4393</v>
      </c>
      <c r="E38" s="7">
        <v>6065</v>
      </c>
      <c r="F38" s="7">
        <v>6337</v>
      </c>
      <c r="G38" s="7">
        <v>4954</v>
      </c>
      <c r="H38" s="7">
        <v>25018</v>
      </c>
      <c r="I38" s="7">
        <v>27051</v>
      </c>
      <c r="J38" s="7">
        <v>4042</v>
      </c>
      <c r="K38" s="7">
        <v>5504</v>
      </c>
      <c r="L38" s="7">
        <v>7237</v>
      </c>
      <c r="M38" s="7">
        <v>6953</v>
      </c>
      <c r="N38" s="7">
        <v>4988</v>
      </c>
      <c r="O38" s="7">
        <v>28724</v>
      </c>
      <c r="P38" s="7">
        <v>30623</v>
      </c>
      <c r="Q38" s="7">
        <v>7311</v>
      </c>
      <c r="R38" s="7">
        <v>9897</v>
      </c>
      <c r="S38" s="7">
        <v>13302</v>
      </c>
      <c r="T38" s="7">
        <v>13290</v>
      </c>
      <c r="U38" s="7">
        <v>9942</v>
      </c>
      <c r="V38" s="7">
        <v>53742</v>
      </c>
      <c r="W38" s="7">
        <v>57674</v>
      </c>
      <c r="X38" s="12"/>
    </row>
    <row r="39" spans="1:26" x14ac:dyDescent="0.2">
      <c r="B39" s="10" t="s">
        <v>46</v>
      </c>
      <c r="C39" s="7">
        <v>79239</v>
      </c>
      <c r="D39" s="7">
        <v>75042</v>
      </c>
      <c r="E39" s="7">
        <v>75681</v>
      </c>
      <c r="F39" s="7">
        <v>57083</v>
      </c>
      <c r="G39" s="7">
        <v>31711</v>
      </c>
      <c r="H39" s="7">
        <v>318756</v>
      </c>
      <c r="I39" s="7">
        <v>329233</v>
      </c>
      <c r="J39" s="7">
        <v>102681</v>
      </c>
      <c r="K39" s="7">
        <v>99076</v>
      </c>
      <c r="L39" s="7">
        <v>90388</v>
      </c>
      <c r="M39" s="7">
        <v>60575</v>
      </c>
      <c r="N39" s="7">
        <v>28553</v>
      </c>
      <c r="O39" s="7">
        <v>381273</v>
      </c>
      <c r="P39" s="7">
        <v>389523</v>
      </c>
      <c r="Q39" s="7">
        <v>181920</v>
      </c>
      <c r="R39" s="7">
        <v>174118</v>
      </c>
      <c r="S39" s="7">
        <v>166069</v>
      </c>
      <c r="T39" s="7">
        <v>117658</v>
      </c>
      <c r="U39" s="7">
        <v>60264</v>
      </c>
      <c r="V39" s="7">
        <v>700029</v>
      </c>
      <c r="W39" s="7">
        <v>718756</v>
      </c>
      <c r="X39" s="12"/>
    </row>
    <row r="40" spans="1:26" x14ac:dyDescent="0.2">
      <c r="B40" s="11"/>
      <c r="C40" s="11"/>
      <c r="D40" s="11"/>
      <c r="E40" s="11"/>
      <c r="F40" s="11"/>
      <c r="G40" s="11"/>
      <c r="H40" s="11"/>
      <c r="I40" s="11"/>
      <c r="J40" s="11"/>
      <c r="K40" s="11"/>
      <c r="L40" s="11"/>
      <c r="M40" s="11"/>
      <c r="N40" s="11"/>
      <c r="O40" s="11"/>
      <c r="P40" s="11"/>
      <c r="Q40" s="11"/>
      <c r="R40" s="11"/>
      <c r="S40" s="11"/>
      <c r="T40" s="11"/>
      <c r="U40" s="11"/>
      <c r="V40" s="11"/>
      <c r="W40" s="11"/>
    </row>
    <row r="41" spans="1:26" x14ac:dyDescent="0.2">
      <c r="A41" s="14"/>
      <c r="B41" s="10" t="s">
        <v>0</v>
      </c>
      <c r="C41" s="4">
        <v>24.6</v>
      </c>
      <c r="D41" s="4">
        <v>20.7</v>
      </c>
      <c r="E41" s="4">
        <v>20</v>
      </c>
      <c r="F41" s="4">
        <v>17.7</v>
      </c>
      <c r="G41" s="4">
        <v>12.4</v>
      </c>
      <c r="H41" s="4">
        <v>95.3</v>
      </c>
      <c r="I41" s="13">
        <v>19329</v>
      </c>
      <c r="J41" s="4">
        <v>27.4</v>
      </c>
      <c r="K41" s="4">
        <v>22.4</v>
      </c>
      <c r="L41" s="4">
        <v>19.899999999999999</v>
      </c>
      <c r="M41" s="4">
        <v>16.3</v>
      </c>
      <c r="N41" s="4">
        <v>10.7</v>
      </c>
      <c r="O41" s="4">
        <v>96.7</v>
      </c>
      <c r="P41" s="13">
        <v>27468</v>
      </c>
      <c r="Q41" s="4">
        <v>26.2</v>
      </c>
      <c r="R41" s="4">
        <v>21.7</v>
      </c>
      <c r="S41" s="4">
        <v>19.899999999999999</v>
      </c>
      <c r="T41" s="4">
        <v>16.899999999999999</v>
      </c>
      <c r="U41" s="4">
        <v>11.4</v>
      </c>
      <c r="V41" s="4">
        <v>96.1</v>
      </c>
      <c r="W41" s="13">
        <v>46797</v>
      </c>
      <c r="X41" s="73"/>
      <c r="Y41" s="80"/>
      <c r="Z41" s="80"/>
    </row>
    <row r="42" spans="1:26" x14ac:dyDescent="0.2">
      <c r="A42" s="14"/>
      <c r="B42" s="10" t="s">
        <v>1</v>
      </c>
      <c r="C42" s="4">
        <v>32.1</v>
      </c>
      <c r="D42" s="4">
        <v>23.4</v>
      </c>
      <c r="E42" s="4">
        <v>18.5</v>
      </c>
      <c r="F42" s="4">
        <v>13.6</v>
      </c>
      <c r="G42" s="4">
        <v>8.8000000000000007</v>
      </c>
      <c r="H42" s="4">
        <v>96.5</v>
      </c>
      <c r="I42" s="13">
        <v>17671</v>
      </c>
      <c r="J42" s="4">
        <v>33.1</v>
      </c>
      <c r="K42" s="4">
        <v>25.6</v>
      </c>
      <c r="L42" s="4">
        <v>18.5</v>
      </c>
      <c r="M42" s="4">
        <v>13.1</v>
      </c>
      <c r="N42" s="4">
        <v>7.2</v>
      </c>
      <c r="O42" s="4">
        <v>97.5</v>
      </c>
      <c r="P42" s="13">
        <v>17406</v>
      </c>
      <c r="Q42" s="4">
        <v>32.6</v>
      </c>
      <c r="R42" s="4">
        <v>24.5</v>
      </c>
      <c r="S42" s="4">
        <v>18.5</v>
      </c>
      <c r="T42" s="4">
        <v>13.4</v>
      </c>
      <c r="U42" s="4">
        <v>8</v>
      </c>
      <c r="V42" s="4">
        <v>97</v>
      </c>
      <c r="W42" s="13">
        <v>35077</v>
      </c>
      <c r="X42" s="73"/>
    </row>
    <row r="43" spans="1:26" x14ac:dyDescent="0.2">
      <c r="A43" s="14"/>
      <c r="B43" s="10" t="s">
        <v>2</v>
      </c>
      <c r="C43" s="4">
        <v>30.2</v>
      </c>
      <c r="D43" s="4">
        <v>20.7</v>
      </c>
      <c r="E43" s="4">
        <v>18.7</v>
      </c>
      <c r="F43" s="4">
        <v>15</v>
      </c>
      <c r="G43" s="4">
        <v>11.3</v>
      </c>
      <c r="H43" s="4">
        <v>95.9</v>
      </c>
      <c r="I43" s="13">
        <v>18693</v>
      </c>
      <c r="J43" s="4">
        <v>36.299999999999997</v>
      </c>
      <c r="K43" s="4">
        <v>23</v>
      </c>
      <c r="L43" s="4">
        <v>17.8</v>
      </c>
      <c r="M43" s="4">
        <v>12.7</v>
      </c>
      <c r="N43" s="4">
        <v>7.6</v>
      </c>
      <c r="O43" s="4">
        <v>97.5</v>
      </c>
      <c r="P43" s="13">
        <v>5194</v>
      </c>
      <c r="Q43" s="4">
        <v>31.5</v>
      </c>
      <c r="R43" s="4">
        <v>21.2</v>
      </c>
      <c r="S43" s="4">
        <v>18.5</v>
      </c>
      <c r="T43" s="4">
        <v>14.5</v>
      </c>
      <c r="U43" s="4">
        <v>10.5</v>
      </c>
      <c r="V43" s="4">
        <v>96.2</v>
      </c>
      <c r="W43" s="13">
        <v>23887</v>
      </c>
      <c r="X43" s="73"/>
    </row>
    <row r="44" spans="1:26" x14ac:dyDescent="0.2">
      <c r="A44" s="14"/>
      <c r="B44" s="10" t="s">
        <v>3</v>
      </c>
      <c r="C44" s="4">
        <v>24.7</v>
      </c>
      <c r="D44" s="4">
        <v>20.7</v>
      </c>
      <c r="E44" s="4">
        <v>22</v>
      </c>
      <c r="F44" s="4">
        <v>16.8</v>
      </c>
      <c r="G44" s="4">
        <v>12.2</v>
      </c>
      <c r="H44" s="4">
        <v>96.4</v>
      </c>
      <c r="I44" s="13">
        <v>2820</v>
      </c>
      <c r="J44" s="4">
        <v>21.4</v>
      </c>
      <c r="K44" s="4">
        <v>23.2</v>
      </c>
      <c r="L44" s="4">
        <v>23.9</v>
      </c>
      <c r="M44" s="4">
        <v>17.3</v>
      </c>
      <c r="N44" s="4">
        <v>10.8</v>
      </c>
      <c r="O44" s="4">
        <v>96.5</v>
      </c>
      <c r="P44" s="13">
        <v>1100</v>
      </c>
      <c r="Q44" s="4">
        <v>23.8</v>
      </c>
      <c r="R44" s="4">
        <v>21.4</v>
      </c>
      <c r="S44" s="4">
        <v>22.6</v>
      </c>
      <c r="T44" s="4">
        <v>16.899999999999999</v>
      </c>
      <c r="U44" s="4">
        <v>11.8</v>
      </c>
      <c r="V44" s="4">
        <v>96.4</v>
      </c>
      <c r="W44" s="13">
        <v>3920</v>
      </c>
      <c r="X44" s="73"/>
    </row>
    <row r="45" spans="1:26" x14ac:dyDescent="0.2">
      <c r="A45" s="14"/>
      <c r="B45" s="10" t="s">
        <v>4</v>
      </c>
      <c r="C45" s="4">
        <v>42.9</v>
      </c>
      <c r="D45" s="4">
        <v>20.8</v>
      </c>
      <c r="E45" s="4">
        <v>16</v>
      </c>
      <c r="F45" s="4">
        <v>11</v>
      </c>
      <c r="G45" s="4">
        <v>6.5</v>
      </c>
      <c r="H45" s="4">
        <v>97.2</v>
      </c>
      <c r="I45" s="13">
        <v>32154</v>
      </c>
      <c r="J45" s="4">
        <v>45.2</v>
      </c>
      <c r="K45" s="4">
        <v>22.5</v>
      </c>
      <c r="L45" s="4">
        <v>15.1</v>
      </c>
      <c r="M45" s="4">
        <v>10.1</v>
      </c>
      <c r="N45" s="4">
        <v>5.3</v>
      </c>
      <c r="O45" s="4">
        <v>98.2</v>
      </c>
      <c r="P45" s="13">
        <v>21177</v>
      </c>
      <c r="Q45" s="4">
        <v>43.8</v>
      </c>
      <c r="R45" s="4">
        <v>21.5</v>
      </c>
      <c r="S45" s="4">
        <v>15.6</v>
      </c>
      <c r="T45" s="4">
        <v>10.7</v>
      </c>
      <c r="U45" s="4">
        <v>6</v>
      </c>
      <c r="V45" s="4">
        <v>97.6</v>
      </c>
      <c r="W45" s="13">
        <v>53331</v>
      </c>
      <c r="X45" s="73"/>
    </row>
    <row r="46" spans="1:26" x14ac:dyDescent="0.2">
      <c r="A46" s="14"/>
      <c r="B46" s="10" t="s">
        <v>5</v>
      </c>
      <c r="C46" s="4">
        <v>57.1</v>
      </c>
      <c r="D46" s="4">
        <v>19.5</v>
      </c>
      <c r="E46" s="4">
        <v>11.7</v>
      </c>
      <c r="F46" s="4">
        <v>6.9</v>
      </c>
      <c r="G46" s="4">
        <v>3.4</v>
      </c>
      <c r="H46" s="4">
        <v>98.7</v>
      </c>
      <c r="I46" s="13">
        <v>5099</v>
      </c>
      <c r="J46" s="4">
        <v>56.6</v>
      </c>
      <c r="K46" s="4">
        <v>21.6</v>
      </c>
      <c r="L46" s="4">
        <v>10.9</v>
      </c>
      <c r="M46" s="4">
        <v>6.1</v>
      </c>
      <c r="N46" s="4">
        <v>3.2</v>
      </c>
      <c r="O46" s="4">
        <v>98.4</v>
      </c>
      <c r="P46" s="13">
        <v>2142</v>
      </c>
      <c r="Q46" s="4">
        <v>57</v>
      </c>
      <c r="R46" s="4">
        <v>20.100000000000001</v>
      </c>
      <c r="S46" s="4">
        <v>11.5</v>
      </c>
      <c r="T46" s="4">
        <v>6.7</v>
      </c>
      <c r="U46" s="4">
        <v>3.4</v>
      </c>
      <c r="V46" s="4">
        <v>98.6</v>
      </c>
      <c r="W46" s="13">
        <v>7241</v>
      </c>
      <c r="X46" s="73"/>
    </row>
    <row r="47" spans="1:26" x14ac:dyDescent="0.2">
      <c r="A47" s="14"/>
      <c r="B47" s="10" t="s">
        <v>6</v>
      </c>
      <c r="C47" s="4">
        <v>15</v>
      </c>
      <c r="D47" s="4">
        <v>22.1</v>
      </c>
      <c r="E47" s="4">
        <v>26.8</v>
      </c>
      <c r="F47" s="4">
        <v>21.5</v>
      </c>
      <c r="G47" s="4">
        <v>11.4</v>
      </c>
      <c r="H47" s="4">
        <v>96.8</v>
      </c>
      <c r="I47" s="13">
        <v>8815</v>
      </c>
      <c r="J47" s="4">
        <v>22.8</v>
      </c>
      <c r="K47" s="4">
        <v>26.6</v>
      </c>
      <c r="L47" s="4">
        <v>25.4</v>
      </c>
      <c r="M47" s="4">
        <v>16.399999999999999</v>
      </c>
      <c r="N47" s="4">
        <v>7.1</v>
      </c>
      <c r="O47" s="4">
        <v>98.3</v>
      </c>
      <c r="P47" s="13">
        <v>6710</v>
      </c>
      <c r="Q47" s="4">
        <v>18.399999999999999</v>
      </c>
      <c r="R47" s="4">
        <v>24.1</v>
      </c>
      <c r="S47" s="4">
        <v>26.2</v>
      </c>
      <c r="T47" s="4">
        <v>19.3</v>
      </c>
      <c r="U47" s="4">
        <v>9.5</v>
      </c>
      <c r="V47" s="4">
        <v>97.5</v>
      </c>
      <c r="W47" s="13">
        <v>15525</v>
      </c>
      <c r="X47" s="73"/>
    </row>
    <row r="48" spans="1:26" x14ac:dyDescent="0.2">
      <c r="A48" s="14"/>
      <c r="B48" s="10" t="s">
        <v>168</v>
      </c>
      <c r="C48" s="4">
        <v>16.3</v>
      </c>
      <c r="D48" s="4">
        <v>19.100000000000001</v>
      </c>
      <c r="E48" s="4">
        <v>22</v>
      </c>
      <c r="F48" s="4">
        <v>21</v>
      </c>
      <c r="G48" s="4">
        <v>15.8</v>
      </c>
      <c r="H48" s="4">
        <v>94.2</v>
      </c>
      <c r="I48" s="13">
        <v>4263</v>
      </c>
      <c r="J48" s="4">
        <v>17.899999999999999</v>
      </c>
      <c r="K48" s="4">
        <v>20.8</v>
      </c>
      <c r="L48" s="4">
        <v>23.4</v>
      </c>
      <c r="M48" s="4">
        <v>20.5</v>
      </c>
      <c r="N48" s="4">
        <v>12.9</v>
      </c>
      <c r="O48" s="4">
        <v>95.5</v>
      </c>
      <c r="P48" s="13">
        <v>380</v>
      </c>
      <c r="Q48" s="4">
        <v>16.5</v>
      </c>
      <c r="R48" s="4">
        <v>19.2</v>
      </c>
      <c r="S48" s="4">
        <v>22.1</v>
      </c>
      <c r="T48" s="4">
        <v>21</v>
      </c>
      <c r="U48" s="4">
        <v>15.6</v>
      </c>
      <c r="V48" s="4">
        <v>94.3</v>
      </c>
      <c r="W48" s="13">
        <v>4643</v>
      </c>
      <c r="X48" s="73"/>
    </row>
    <row r="49" spans="1:24" x14ac:dyDescent="0.2">
      <c r="A49" s="14"/>
      <c r="B49" s="10" t="s">
        <v>8</v>
      </c>
      <c r="C49" s="4">
        <v>5.9</v>
      </c>
      <c r="D49" s="4">
        <v>15.3</v>
      </c>
      <c r="E49" s="4">
        <v>24.9</v>
      </c>
      <c r="F49" s="4">
        <v>26.6</v>
      </c>
      <c r="G49" s="4">
        <v>19.600000000000001</v>
      </c>
      <c r="H49" s="4">
        <v>92.3</v>
      </c>
      <c r="I49" s="13">
        <v>6891</v>
      </c>
      <c r="J49" s="4">
        <v>9.9</v>
      </c>
      <c r="K49" s="4">
        <v>19.100000000000001</v>
      </c>
      <c r="L49" s="4">
        <v>25.9</v>
      </c>
      <c r="M49" s="4">
        <v>25.2</v>
      </c>
      <c r="N49" s="4">
        <v>15.3</v>
      </c>
      <c r="O49" s="4">
        <v>95.4</v>
      </c>
      <c r="P49" s="13">
        <v>3994</v>
      </c>
      <c r="Q49" s="4">
        <v>7.4</v>
      </c>
      <c r="R49" s="4">
        <v>16.600000000000001</v>
      </c>
      <c r="S49" s="4">
        <v>25.3</v>
      </c>
      <c r="T49" s="4">
        <v>26.1</v>
      </c>
      <c r="U49" s="4">
        <v>18</v>
      </c>
      <c r="V49" s="4">
        <v>93.4</v>
      </c>
      <c r="W49" s="13">
        <v>10885</v>
      </c>
      <c r="X49" s="73"/>
    </row>
    <row r="50" spans="1:24" x14ac:dyDescent="0.2">
      <c r="A50" s="14"/>
      <c r="B50" s="10" t="s">
        <v>9</v>
      </c>
      <c r="C50" s="4">
        <v>5.3</v>
      </c>
      <c r="D50" s="4">
        <v>10.5</v>
      </c>
      <c r="E50" s="4">
        <v>21.1</v>
      </c>
      <c r="F50" s="4">
        <v>34.200000000000003</v>
      </c>
      <c r="G50" s="4">
        <v>23.7</v>
      </c>
      <c r="H50" s="4">
        <v>94.7</v>
      </c>
      <c r="I50" s="13">
        <v>38</v>
      </c>
      <c r="J50" s="4">
        <v>19.600000000000001</v>
      </c>
      <c r="K50" s="4">
        <v>24.7</v>
      </c>
      <c r="L50" s="4">
        <v>26.5</v>
      </c>
      <c r="M50" s="4">
        <v>18.8</v>
      </c>
      <c r="N50" s="4">
        <v>9.5</v>
      </c>
      <c r="O50" s="4">
        <v>99.1</v>
      </c>
      <c r="P50" s="13">
        <v>336</v>
      </c>
      <c r="Q50" s="4">
        <v>18.2</v>
      </c>
      <c r="R50" s="4">
        <v>23.3</v>
      </c>
      <c r="S50" s="4">
        <v>25.9</v>
      </c>
      <c r="T50" s="4">
        <v>20.3</v>
      </c>
      <c r="U50" s="4">
        <v>11</v>
      </c>
      <c r="V50" s="4">
        <v>98.7</v>
      </c>
      <c r="W50" s="13">
        <v>374</v>
      </c>
      <c r="X50" s="73"/>
    </row>
    <row r="51" spans="1:24" x14ac:dyDescent="0.2">
      <c r="A51" s="14"/>
      <c r="B51" s="10" t="s">
        <v>10</v>
      </c>
      <c r="C51" s="4">
        <v>10.199999999999999</v>
      </c>
      <c r="D51" s="4">
        <v>19.899999999999999</v>
      </c>
      <c r="E51" s="4">
        <v>24.2</v>
      </c>
      <c r="F51" s="4">
        <v>21.6</v>
      </c>
      <c r="G51" s="4">
        <v>16.399999999999999</v>
      </c>
      <c r="H51" s="4">
        <v>92.3</v>
      </c>
      <c r="I51" s="13">
        <v>2063</v>
      </c>
      <c r="J51" s="4">
        <v>14.4</v>
      </c>
      <c r="K51" s="4">
        <v>22</v>
      </c>
      <c r="L51" s="4">
        <v>21.5</v>
      </c>
      <c r="M51" s="4">
        <v>21.2</v>
      </c>
      <c r="N51" s="4">
        <v>14.6</v>
      </c>
      <c r="O51" s="4">
        <v>93.7</v>
      </c>
      <c r="P51" s="13">
        <v>1207</v>
      </c>
      <c r="Q51" s="4">
        <v>11.8</v>
      </c>
      <c r="R51" s="4">
        <v>20.7</v>
      </c>
      <c r="S51" s="4">
        <v>23.2</v>
      </c>
      <c r="T51" s="4">
        <v>21.4</v>
      </c>
      <c r="U51" s="4">
        <v>15.7</v>
      </c>
      <c r="V51" s="4">
        <v>92.8</v>
      </c>
      <c r="W51" s="13">
        <v>3270</v>
      </c>
      <c r="X51" s="73"/>
    </row>
    <row r="52" spans="1:24" x14ac:dyDescent="0.2">
      <c r="A52" s="14"/>
      <c r="B52" s="10" t="s">
        <v>11</v>
      </c>
      <c r="C52" s="4">
        <v>16.8</v>
      </c>
      <c r="D52" s="4">
        <v>26.5</v>
      </c>
      <c r="E52" s="4">
        <v>28.4</v>
      </c>
      <c r="F52" s="4">
        <v>18.5</v>
      </c>
      <c r="G52" s="4">
        <v>8</v>
      </c>
      <c r="H52" s="4">
        <v>98.3</v>
      </c>
      <c r="I52" s="13">
        <v>17454</v>
      </c>
      <c r="J52" s="4">
        <v>20.3</v>
      </c>
      <c r="K52" s="4">
        <v>27.4</v>
      </c>
      <c r="L52" s="4">
        <v>26.7</v>
      </c>
      <c r="M52" s="4">
        <v>17.3</v>
      </c>
      <c r="N52" s="4">
        <v>7</v>
      </c>
      <c r="O52" s="4">
        <v>98.7</v>
      </c>
      <c r="P52" s="13">
        <v>11794</v>
      </c>
      <c r="Q52" s="4">
        <v>18.2</v>
      </c>
      <c r="R52" s="4">
        <v>26.8</v>
      </c>
      <c r="S52" s="4">
        <v>27.7</v>
      </c>
      <c r="T52" s="4">
        <v>18</v>
      </c>
      <c r="U52" s="4">
        <v>7.6</v>
      </c>
      <c r="V52" s="4">
        <v>98.4</v>
      </c>
      <c r="W52" s="13">
        <v>29248</v>
      </c>
      <c r="X52" s="73"/>
    </row>
    <row r="53" spans="1:24" x14ac:dyDescent="0.2">
      <c r="A53" s="14"/>
      <c r="B53" s="10" t="s">
        <v>12</v>
      </c>
      <c r="C53" s="4">
        <v>34.200000000000003</v>
      </c>
      <c r="D53" s="4">
        <v>27.2</v>
      </c>
      <c r="E53" s="4">
        <v>20.2</v>
      </c>
      <c r="F53" s="4">
        <v>12.2</v>
      </c>
      <c r="G53" s="4">
        <v>4.9000000000000004</v>
      </c>
      <c r="H53" s="4">
        <v>98.7</v>
      </c>
      <c r="I53" s="13">
        <v>9711</v>
      </c>
      <c r="J53" s="4">
        <v>41.3</v>
      </c>
      <c r="K53" s="4">
        <v>26.9</v>
      </c>
      <c r="L53" s="4">
        <v>17.600000000000001</v>
      </c>
      <c r="M53" s="4">
        <v>9.3000000000000007</v>
      </c>
      <c r="N53" s="4">
        <v>3.9</v>
      </c>
      <c r="O53" s="4">
        <v>99.1</v>
      </c>
      <c r="P53" s="13">
        <v>4239</v>
      </c>
      <c r="Q53" s="4">
        <v>36.4</v>
      </c>
      <c r="R53" s="4">
        <v>27.2</v>
      </c>
      <c r="S53" s="4">
        <v>19.399999999999999</v>
      </c>
      <c r="T53" s="4">
        <v>11.3</v>
      </c>
      <c r="U53" s="4">
        <v>4.5999999999999996</v>
      </c>
      <c r="V53" s="4">
        <v>98.8</v>
      </c>
      <c r="W53" s="13">
        <v>13950</v>
      </c>
      <c r="X53" s="73"/>
    </row>
    <row r="54" spans="1:24" x14ac:dyDescent="0.2">
      <c r="A54" s="14"/>
      <c r="B54" s="10" t="s">
        <v>13</v>
      </c>
      <c r="C54" s="4">
        <v>23.6</v>
      </c>
      <c r="D54" s="4">
        <v>25.8</v>
      </c>
      <c r="E54" s="4">
        <v>24.6</v>
      </c>
      <c r="F54" s="4">
        <v>17.399999999999999</v>
      </c>
      <c r="G54" s="4">
        <v>7.3</v>
      </c>
      <c r="H54" s="4">
        <v>98.6</v>
      </c>
      <c r="I54" s="13">
        <v>15178</v>
      </c>
      <c r="J54" s="4">
        <v>33.4</v>
      </c>
      <c r="K54" s="4">
        <v>27.5</v>
      </c>
      <c r="L54" s="4">
        <v>21.9</v>
      </c>
      <c r="M54" s="4">
        <v>11.9</v>
      </c>
      <c r="N54" s="4">
        <v>4.5</v>
      </c>
      <c r="O54" s="4">
        <v>99.2</v>
      </c>
      <c r="P54" s="13">
        <v>12316</v>
      </c>
      <c r="Q54" s="4">
        <v>28</v>
      </c>
      <c r="R54" s="4">
        <v>26.6</v>
      </c>
      <c r="S54" s="4">
        <v>23.4</v>
      </c>
      <c r="T54" s="4">
        <v>14.9</v>
      </c>
      <c r="U54" s="4">
        <v>6</v>
      </c>
      <c r="V54" s="4">
        <v>98.9</v>
      </c>
      <c r="W54" s="13">
        <v>27494</v>
      </c>
      <c r="X54" s="73"/>
    </row>
    <row r="55" spans="1:24" x14ac:dyDescent="0.2">
      <c r="A55" s="14"/>
      <c r="B55" s="10" t="s">
        <v>14</v>
      </c>
      <c r="C55" s="4">
        <v>32.200000000000003</v>
      </c>
      <c r="D55" s="4">
        <v>27.1</v>
      </c>
      <c r="E55" s="4">
        <v>21.2</v>
      </c>
      <c r="F55" s="4">
        <v>12.6</v>
      </c>
      <c r="G55" s="4">
        <v>5.2</v>
      </c>
      <c r="H55" s="4">
        <v>98.3</v>
      </c>
      <c r="I55" s="13">
        <v>6229</v>
      </c>
      <c r="J55" s="4">
        <v>37.700000000000003</v>
      </c>
      <c r="K55" s="4">
        <v>26.4</v>
      </c>
      <c r="L55" s="4">
        <v>18.5</v>
      </c>
      <c r="M55" s="4">
        <v>11.3</v>
      </c>
      <c r="N55" s="4">
        <v>4.7</v>
      </c>
      <c r="O55" s="4">
        <v>98.6</v>
      </c>
      <c r="P55" s="13">
        <v>4395</v>
      </c>
      <c r="Q55" s="4">
        <v>34.5</v>
      </c>
      <c r="R55" s="4">
        <v>26.8</v>
      </c>
      <c r="S55" s="4">
        <v>20</v>
      </c>
      <c r="T55" s="4">
        <v>12</v>
      </c>
      <c r="U55" s="4">
        <v>5</v>
      </c>
      <c r="V55" s="4">
        <v>98.4</v>
      </c>
      <c r="W55" s="13">
        <v>10624</v>
      </c>
      <c r="X55" s="73"/>
    </row>
    <row r="56" spans="1:24" x14ac:dyDescent="0.2">
      <c r="A56" s="14"/>
      <c r="B56" s="10" t="s">
        <v>15</v>
      </c>
      <c r="C56" s="4">
        <v>23.5</v>
      </c>
      <c r="D56" s="4">
        <v>26.1</v>
      </c>
      <c r="E56" s="4">
        <v>24.7</v>
      </c>
      <c r="F56" s="4">
        <v>17.100000000000001</v>
      </c>
      <c r="G56" s="4">
        <v>7.1</v>
      </c>
      <c r="H56" s="4">
        <v>98.5</v>
      </c>
      <c r="I56" s="13">
        <v>20376</v>
      </c>
      <c r="J56" s="4">
        <v>26.8</v>
      </c>
      <c r="K56" s="4">
        <v>27.4</v>
      </c>
      <c r="L56" s="4">
        <v>23.2</v>
      </c>
      <c r="M56" s="4">
        <v>15.2</v>
      </c>
      <c r="N56" s="4">
        <v>6</v>
      </c>
      <c r="O56" s="4">
        <v>98.6</v>
      </c>
      <c r="P56" s="13">
        <v>20166</v>
      </c>
      <c r="Q56" s="4">
        <v>25.1</v>
      </c>
      <c r="R56" s="4">
        <v>26.7</v>
      </c>
      <c r="S56" s="4">
        <v>23.9</v>
      </c>
      <c r="T56" s="4">
        <v>16.2</v>
      </c>
      <c r="U56" s="4">
        <v>6.6</v>
      </c>
      <c r="V56" s="4">
        <v>98.5</v>
      </c>
      <c r="W56" s="13">
        <v>40542</v>
      </c>
      <c r="X56" s="73"/>
    </row>
    <row r="57" spans="1:24" x14ac:dyDescent="0.2">
      <c r="A57" s="14"/>
      <c r="B57" s="10" t="s">
        <v>16</v>
      </c>
      <c r="C57" s="4">
        <v>17.399999999999999</v>
      </c>
      <c r="D57" s="4">
        <v>21.6</v>
      </c>
      <c r="E57" s="4">
        <v>24.5</v>
      </c>
      <c r="F57" s="4">
        <v>19.7</v>
      </c>
      <c r="G57" s="4">
        <v>12</v>
      </c>
      <c r="H57" s="4">
        <v>95.2</v>
      </c>
      <c r="I57" s="13">
        <v>5810</v>
      </c>
      <c r="J57" s="4">
        <v>23.4</v>
      </c>
      <c r="K57" s="4">
        <v>23.3</v>
      </c>
      <c r="L57" s="4">
        <v>23.4</v>
      </c>
      <c r="M57" s="4">
        <v>17</v>
      </c>
      <c r="N57" s="4">
        <v>9.6</v>
      </c>
      <c r="O57" s="4">
        <v>96.8</v>
      </c>
      <c r="P57" s="13">
        <v>8009</v>
      </c>
      <c r="Q57" s="4">
        <v>20.9</v>
      </c>
      <c r="R57" s="4">
        <v>22.6</v>
      </c>
      <c r="S57" s="4">
        <v>23.9</v>
      </c>
      <c r="T57" s="4">
        <v>18.100000000000001</v>
      </c>
      <c r="U57" s="4">
        <v>10.6</v>
      </c>
      <c r="V57" s="4">
        <v>96.1</v>
      </c>
      <c r="W57" s="13">
        <v>13819</v>
      </c>
      <c r="X57" s="73"/>
    </row>
    <row r="58" spans="1:24" x14ac:dyDescent="0.2">
      <c r="A58" s="14"/>
      <c r="B58" s="10" t="s">
        <v>17</v>
      </c>
      <c r="C58" s="4">
        <v>12.3</v>
      </c>
      <c r="D58" s="4">
        <v>20</v>
      </c>
      <c r="E58" s="4">
        <v>25.2</v>
      </c>
      <c r="F58" s="4">
        <v>22.7</v>
      </c>
      <c r="G58" s="4">
        <v>14.5</v>
      </c>
      <c r="H58" s="4">
        <v>94.6</v>
      </c>
      <c r="I58" s="13">
        <v>12254</v>
      </c>
      <c r="J58" s="4">
        <v>21.8</v>
      </c>
      <c r="K58" s="4">
        <v>24.7</v>
      </c>
      <c r="L58" s="4">
        <v>24</v>
      </c>
      <c r="M58" s="4">
        <v>17.5</v>
      </c>
      <c r="N58" s="4">
        <v>9.1999999999999993</v>
      </c>
      <c r="O58" s="4">
        <v>97.2</v>
      </c>
      <c r="P58" s="13">
        <v>36349</v>
      </c>
      <c r="Q58" s="4">
        <v>19.399999999999999</v>
      </c>
      <c r="R58" s="4">
        <v>23.5</v>
      </c>
      <c r="S58" s="4">
        <v>24.3</v>
      </c>
      <c r="T58" s="4">
        <v>18.8</v>
      </c>
      <c r="U58" s="4">
        <v>10.6</v>
      </c>
      <c r="V58" s="4">
        <v>96.6</v>
      </c>
      <c r="W58" s="13">
        <v>48603</v>
      </c>
      <c r="X58" s="73"/>
    </row>
    <row r="59" spans="1:24" x14ac:dyDescent="0.2">
      <c r="A59" s="14"/>
      <c r="B59" s="10" t="s">
        <v>18</v>
      </c>
      <c r="C59" s="4">
        <v>16.100000000000001</v>
      </c>
      <c r="D59" s="4">
        <v>24.2</v>
      </c>
      <c r="E59" s="4">
        <v>27.1</v>
      </c>
      <c r="F59" s="4">
        <v>20</v>
      </c>
      <c r="G59" s="4">
        <v>9.5</v>
      </c>
      <c r="H59" s="4">
        <v>97</v>
      </c>
      <c r="I59" s="13">
        <v>5936</v>
      </c>
      <c r="J59" s="4">
        <v>23.4</v>
      </c>
      <c r="K59" s="4">
        <v>27</v>
      </c>
      <c r="L59" s="4">
        <v>25</v>
      </c>
      <c r="M59" s="4">
        <v>15.9</v>
      </c>
      <c r="N59" s="4">
        <v>6.7</v>
      </c>
      <c r="O59" s="4">
        <v>98</v>
      </c>
      <c r="P59" s="13">
        <v>18593</v>
      </c>
      <c r="Q59" s="4">
        <v>21.6</v>
      </c>
      <c r="R59" s="4">
        <v>26.3</v>
      </c>
      <c r="S59" s="4">
        <v>25.5</v>
      </c>
      <c r="T59" s="4">
        <v>16.899999999999999</v>
      </c>
      <c r="U59" s="4">
        <v>7.4</v>
      </c>
      <c r="V59" s="4">
        <v>97.8</v>
      </c>
      <c r="W59" s="13">
        <v>24529</v>
      </c>
      <c r="X59" s="73"/>
    </row>
    <row r="60" spans="1:24" x14ac:dyDescent="0.2">
      <c r="A60" s="14"/>
      <c r="B60" s="10" t="s">
        <v>19</v>
      </c>
      <c r="C60" s="4">
        <v>18.5</v>
      </c>
      <c r="D60" s="4">
        <v>25.6</v>
      </c>
      <c r="E60" s="4">
        <v>26.3</v>
      </c>
      <c r="F60" s="4">
        <v>17.399999999999999</v>
      </c>
      <c r="G60" s="4">
        <v>9.5</v>
      </c>
      <c r="H60" s="4">
        <v>97.4</v>
      </c>
      <c r="I60" s="13">
        <v>1646</v>
      </c>
      <c r="J60" s="4">
        <v>22.8</v>
      </c>
      <c r="K60" s="4">
        <v>27.5</v>
      </c>
      <c r="L60" s="4">
        <v>24.7</v>
      </c>
      <c r="M60" s="4">
        <v>16.3</v>
      </c>
      <c r="N60" s="4">
        <v>6.4</v>
      </c>
      <c r="O60" s="4">
        <v>97.8</v>
      </c>
      <c r="P60" s="13">
        <v>1621</v>
      </c>
      <c r="Q60" s="4">
        <v>20.7</v>
      </c>
      <c r="R60" s="4">
        <v>26.6</v>
      </c>
      <c r="S60" s="4">
        <v>25.5</v>
      </c>
      <c r="T60" s="4">
        <v>16.899999999999999</v>
      </c>
      <c r="U60" s="4">
        <v>8</v>
      </c>
      <c r="V60" s="4">
        <v>97.6</v>
      </c>
      <c r="W60" s="13">
        <v>3267</v>
      </c>
      <c r="X60" s="73"/>
    </row>
    <row r="61" spans="1:24" x14ac:dyDescent="0.2">
      <c r="A61" s="14"/>
      <c r="B61" s="10" t="s">
        <v>20</v>
      </c>
      <c r="C61" s="4">
        <v>25.5</v>
      </c>
      <c r="D61" s="4">
        <v>22.4</v>
      </c>
      <c r="E61" s="4">
        <v>23.6</v>
      </c>
      <c r="F61" s="4">
        <v>17.399999999999999</v>
      </c>
      <c r="G61" s="4">
        <v>8.1999999999999993</v>
      </c>
      <c r="H61" s="4">
        <v>97</v>
      </c>
      <c r="I61" s="13">
        <v>11414</v>
      </c>
      <c r="J61" s="4">
        <v>31.7</v>
      </c>
      <c r="K61" s="4">
        <v>24.9</v>
      </c>
      <c r="L61" s="4">
        <v>22.5</v>
      </c>
      <c r="M61" s="4">
        <v>13.5</v>
      </c>
      <c r="N61" s="4">
        <v>5.5</v>
      </c>
      <c r="O61" s="4">
        <v>98.1</v>
      </c>
      <c r="P61" s="13">
        <v>26537</v>
      </c>
      <c r="Q61" s="4">
        <v>29.8</v>
      </c>
      <c r="R61" s="4">
        <v>24.2</v>
      </c>
      <c r="S61" s="4">
        <v>22.8</v>
      </c>
      <c r="T61" s="4">
        <v>14.7</v>
      </c>
      <c r="U61" s="4">
        <v>6.3</v>
      </c>
      <c r="V61" s="4">
        <v>97.8</v>
      </c>
      <c r="W61" s="13">
        <v>37951</v>
      </c>
      <c r="X61" s="73"/>
    </row>
    <row r="62" spans="1:24" x14ac:dyDescent="0.2">
      <c r="A62" s="14"/>
      <c r="B62" s="10" t="s">
        <v>21</v>
      </c>
      <c r="C62" s="4">
        <v>14.7</v>
      </c>
      <c r="D62" s="4">
        <v>27.5</v>
      </c>
      <c r="E62" s="4">
        <v>32.700000000000003</v>
      </c>
      <c r="F62" s="4">
        <v>18.399999999999999</v>
      </c>
      <c r="G62" s="4">
        <v>5.9</v>
      </c>
      <c r="H62" s="4">
        <v>99.1</v>
      </c>
      <c r="I62" s="13">
        <v>4380</v>
      </c>
      <c r="J62" s="4">
        <v>22.5</v>
      </c>
      <c r="K62" s="4">
        <v>32.6</v>
      </c>
      <c r="L62" s="4">
        <v>27.6</v>
      </c>
      <c r="M62" s="4">
        <v>13.5</v>
      </c>
      <c r="N62" s="4">
        <v>3.3</v>
      </c>
      <c r="O62" s="4">
        <v>99.5</v>
      </c>
      <c r="P62" s="13">
        <v>10542</v>
      </c>
      <c r="Q62" s="4">
        <v>20.2</v>
      </c>
      <c r="R62" s="4">
        <v>31.1</v>
      </c>
      <c r="S62" s="4">
        <v>29.1</v>
      </c>
      <c r="T62" s="4">
        <v>14.9</v>
      </c>
      <c r="U62" s="4">
        <v>4</v>
      </c>
      <c r="V62" s="4">
        <v>99.4</v>
      </c>
      <c r="W62" s="13">
        <v>14922</v>
      </c>
      <c r="X62" s="73"/>
    </row>
    <row r="63" spans="1:24" x14ac:dyDescent="0.2">
      <c r="A63" s="14"/>
      <c r="B63" s="10" t="s">
        <v>22</v>
      </c>
      <c r="C63" s="4">
        <v>23.3</v>
      </c>
      <c r="D63" s="4">
        <v>24.9</v>
      </c>
      <c r="E63" s="4">
        <v>26.7</v>
      </c>
      <c r="F63" s="4">
        <v>17.899999999999999</v>
      </c>
      <c r="G63" s="4">
        <v>6</v>
      </c>
      <c r="H63" s="4">
        <v>98.9</v>
      </c>
      <c r="I63" s="13">
        <v>23965</v>
      </c>
      <c r="J63" s="4">
        <v>23.3</v>
      </c>
      <c r="K63" s="4">
        <v>26.1</v>
      </c>
      <c r="L63" s="4">
        <v>27.4</v>
      </c>
      <c r="M63" s="4">
        <v>17.100000000000001</v>
      </c>
      <c r="N63" s="4">
        <v>5.2</v>
      </c>
      <c r="O63" s="4">
        <v>99.2</v>
      </c>
      <c r="P63" s="13">
        <v>53537</v>
      </c>
      <c r="Q63" s="4">
        <v>23.3</v>
      </c>
      <c r="R63" s="4">
        <v>25.8</v>
      </c>
      <c r="S63" s="4">
        <v>27.2</v>
      </c>
      <c r="T63" s="4">
        <v>17.399999999999999</v>
      </c>
      <c r="U63" s="4">
        <v>5.5</v>
      </c>
      <c r="V63" s="4">
        <v>99.1</v>
      </c>
      <c r="W63" s="13">
        <v>77502</v>
      </c>
      <c r="X63" s="73"/>
    </row>
    <row r="64" spans="1:24" x14ac:dyDescent="0.2">
      <c r="A64" s="14"/>
      <c r="B64" s="10" t="s">
        <v>51</v>
      </c>
      <c r="C64" s="4">
        <v>10.6</v>
      </c>
      <c r="D64" s="4">
        <v>26.1</v>
      </c>
      <c r="E64" s="4">
        <v>34.5</v>
      </c>
      <c r="F64" s="4">
        <v>20.6</v>
      </c>
      <c r="G64" s="4">
        <v>6.9</v>
      </c>
      <c r="H64" s="4">
        <v>98.7</v>
      </c>
      <c r="I64" s="13">
        <v>10172</v>
      </c>
      <c r="J64" s="4">
        <v>15.8</v>
      </c>
      <c r="K64" s="4">
        <v>32.1</v>
      </c>
      <c r="L64" s="4">
        <v>31.8</v>
      </c>
      <c r="M64" s="4">
        <v>15.7</v>
      </c>
      <c r="N64" s="4">
        <v>3.8</v>
      </c>
      <c r="O64" s="4">
        <v>99.1</v>
      </c>
      <c r="P64" s="13">
        <v>13141</v>
      </c>
      <c r="Q64" s="4">
        <v>13.5</v>
      </c>
      <c r="R64" s="4">
        <v>29.5</v>
      </c>
      <c r="S64" s="4">
        <v>33</v>
      </c>
      <c r="T64" s="4">
        <v>17.8</v>
      </c>
      <c r="U64" s="4">
        <v>5.2</v>
      </c>
      <c r="V64" s="4">
        <v>98.9</v>
      </c>
      <c r="W64" s="13">
        <v>23313</v>
      </c>
      <c r="X64" s="73"/>
    </row>
    <row r="65" spans="1:24" x14ac:dyDescent="0.2">
      <c r="A65" s="14"/>
      <c r="B65" s="10" t="s">
        <v>23</v>
      </c>
      <c r="C65" s="4">
        <v>13.5</v>
      </c>
      <c r="D65" s="4">
        <v>32</v>
      </c>
      <c r="E65" s="4">
        <v>35.1</v>
      </c>
      <c r="F65" s="4">
        <v>14.9</v>
      </c>
      <c r="G65" s="4">
        <v>3.4</v>
      </c>
      <c r="H65" s="4">
        <v>98.9</v>
      </c>
      <c r="I65" s="13">
        <v>4234</v>
      </c>
      <c r="J65" s="4">
        <v>18.100000000000001</v>
      </c>
      <c r="K65" s="4">
        <v>33.799999999999997</v>
      </c>
      <c r="L65" s="4">
        <v>31.2</v>
      </c>
      <c r="M65" s="4">
        <v>13.2</v>
      </c>
      <c r="N65" s="4">
        <v>3</v>
      </c>
      <c r="O65" s="4">
        <v>99.3</v>
      </c>
      <c r="P65" s="13">
        <v>5773</v>
      </c>
      <c r="Q65" s="4">
        <v>16.100000000000001</v>
      </c>
      <c r="R65" s="4">
        <v>33</v>
      </c>
      <c r="S65" s="4">
        <v>32.799999999999997</v>
      </c>
      <c r="T65" s="4">
        <v>14</v>
      </c>
      <c r="U65" s="4">
        <v>3.2</v>
      </c>
      <c r="V65" s="4">
        <v>99.1</v>
      </c>
      <c r="W65" s="13">
        <v>10007</v>
      </c>
      <c r="X65" s="73"/>
    </row>
    <row r="66" spans="1:24" x14ac:dyDescent="0.2">
      <c r="A66" s="14"/>
      <c r="B66" s="10" t="s">
        <v>24</v>
      </c>
      <c r="C66" s="4">
        <v>39.200000000000003</v>
      </c>
      <c r="D66" s="4">
        <v>27.5</v>
      </c>
      <c r="E66" s="4">
        <v>17</v>
      </c>
      <c r="F66" s="4">
        <v>11</v>
      </c>
      <c r="G66" s="4">
        <v>4.2</v>
      </c>
      <c r="H66" s="4">
        <v>98.8</v>
      </c>
      <c r="I66" s="13">
        <v>3846</v>
      </c>
      <c r="J66" s="4">
        <v>35.700000000000003</v>
      </c>
      <c r="K66" s="4">
        <v>28.1</v>
      </c>
      <c r="L66" s="4">
        <v>18.7</v>
      </c>
      <c r="M66" s="4">
        <v>11.8</v>
      </c>
      <c r="N66" s="4">
        <v>4.8</v>
      </c>
      <c r="O66" s="4">
        <v>99.1</v>
      </c>
      <c r="P66" s="13">
        <v>8306</v>
      </c>
      <c r="Q66" s="4">
        <v>36.799999999999997</v>
      </c>
      <c r="R66" s="4">
        <v>27.9</v>
      </c>
      <c r="S66" s="4">
        <v>18.100000000000001</v>
      </c>
      <c r="T66" s="4">
        <v>11.5</v>
      </c>
      <c r="U66" s="4">
        <v>4.5999999999999996</v>
      </c>
      <c r="V66" s="4">
        <v>99</v>
      </c>
      <c r="W66" s="13">
        <v>12152</v>
      </c>
      <c r="X66" s="73"/>
    </row>
    <row r="67" spans="1:24" x14ac:dyDescent="0.2">
      <c r="A67" s="14"/>
      <c r="B67" s="10" t="s">
        <v>25</v>
      </c>
      <c r="C67" s="4">
        <v>40.6</v>
      </c>
      <c r="D67" s="4">
        <v>24.7</v>
      </c>
      <c r="E67" s="4">
        <v>17.7</v>
      </c>
      <c r="F67" s="4">
        <v>11.6</v>
      </c>
      <c r="G67" s="4">
        <v>4.4000000000000004</v>
      </c>
      <c r="H67" s="4">
        <v>99</v>
      </c>
      <c r="I67" s="13">
        <v>2181</v>
      </c>
      <c r="J67" s="4">
        <v>34.799999999999997</v>
      </c>
      <c r="K67" s="4">
        <v>27.2</v>
      </c>
      <c r="L67" s="4">
        <v>19.899999999999999</v>
      </c>
      <c r="M67" s="4">
        <v>12.3</v>
      </c>
      <c r="N67" s="4">
        <v>4.8</v>
      </c>
      <c r="O67" s="4">
        <v>99</v>
      </c>
      <c r="P67" s="13">
        <v>3434</v>
      </c>
      <c r="Q67" s="4">
        <v>37</v>
      </c>
      <c r="R67" s="4">
        <v>26.2</v>
      </c>
      <c r="S67" s="4">
        <v>19.100000000000001</v>
      </c>
      <c r="T67" s="4">
        <v>12</v>
      </c>
      <c r="U67" s="4">
        <v>4.7</v>
      </c>
      <c r="V67" s="4">
        <v>99</v>
      </c>
      <c r="W67" s="13">
        <v>5615</v>
      </c>
      <c r="X67" s="73"/>
    </row>
    <row r="68" spans="1:24" x14ac:dyDescent="0.2">
      <c r="A68" s="14"/>
      <c r="B68" s="10" t="s">
        <v>26</v>
      </c>
      <c r="C68" s="4">
        <v>41.5</v>
      </c>
      <c r="D68" s="4">
        <v>29.8</v>
      </c>
      <c r="E68" s="4">
        <v>16.3</v>
      </c>
      <c r="F68" s="4">
        <v>7.3</v>
      </c>
      <c r="G68" s="4">
        <v>4</v>
      </c>
      <c r="H68" s="4">
        <v>98.9</v>
      </c>
      <c r="I68" s="13">
        <v>1865</v>
      </c>
      <c r="J68" s="4">
        <v>37.1</v>
      </c>
      <c r="K68" s="4">
        <v>28.2</v>
      </c>
      <c r="L68" s="4">
        <v>18.600000000000001</v>
      </c>
      <c r="M68" s="4">
        <v>11</v>
      </c>
      <c r="N68" s="4">
        <v>4</v>
      </c>
      <c r="O68" s="4">
        <v>98.9</v>
      </c>
      <c r="P68" s="13">
        <v>3626</v>
      </c>
      <c r="Q68" s="4">
        <v>38.6</v>
      </c>
      <c r="R68" s="4">
        <v>28.7</v>
      </c>
      <c r="S68" s="4">
        <v>17.8</v>
      </c>
      <c r="T68" s="4">
        <v>9.6999999999999993</v>
      </c>
      <c r="U68" s="4">
        <v>4</v>
      </c>
      <c r="V68" s="4">
        <v>98.9</v>
      </c>
      <c r="W68" s="13">
        <v>5491</v>
      </c>
      <c r="X68" s="73"/>
    </row>
    <row r="69" spans="1:24" x14ac:dyDescent="0.2">
      <c r="A69" s="14"/>
      <c r="B69" s="10" t="s">
        <v>27</v>
      </c>
      <c r="C69" s="4">
        <v>44.6</v>
      </c>
      <c r="D69" s="4">
        <v>32</v>
      </c>
      <c r="E69" s="4">
        <v>13.6</v>
      </c>
      <c r="F69" s="4">
        <v>4.5999999999999996</v>
      </c>
      <c r="G69" s="4">
        <v>2.2999999999999998</v>
      </c>
      <c r="H69" s="4">
        <v>97.1</v>
      </c>
      <c r="I69" s="13">
        <v>2235</v>
      </c>
      <c r="J69" s="4">
        <v>52.2</v>
      </c>
      <c r="K69" s="4">
        <v>27.9</v>
      </c>
      <c r="L69" s="4">
        <v>11.7</v>
      </c>
      <c r="M69" s="4">
        <v>3.7</v>
      </c>
      <c r="N69" s="4">
        <v>2.5</v>
      </c>
      <c r="O69" s="4">
        <v>98</v>
      </c>
      <c r="P69" s="13">
        <v>2884</v>
      </c>
      <c r="Q69" s="4">
        <v>48.9</v>
      </c>
      <c r="R69" s="4">
        <v>29.7</v>
      </c>
      <c r="S69" s="4">
        <v>12.5</v>
      </c>
      <c r="T69" s="4">
        <v>4.0999999999999996</v>
      </c>
      <c r="U69" s="4">
        <v>2.4</v>
      </c>
      <c r="V69" s="4">
        <v>97.6</v>
      </c>
      <c r="W69" s="13">
        <v>5119</v>
      </c>
      <c r="X69" s="73"/>
    </row>
    <row r="70" spans="1:24" x14ac:dyDescent="0.2">
      <c r="A70" s="14"/>
      <c r="B70" s="10" t="s">
        <v>28</v>
      </c>
      <c r="C70" s="4">
        <v>34.9</v>
      </c>
      <c r="D70" s="4">
        <v>25.7</v>
      </c>
      <c r="E70" s="4">
        <v>21.4</v>
      </c>
      <c r="F70" s="4">
        <v>12.3</v>
      </c>
      <c r="G70" s="4">
        <v>4.5</v>
      </c>
      <c r="H70" s="4">
        <v>98.9</v>
      </c>
      <c r="I70" s="13">
        <v>2602</v>
      </c>
      <c r="J70" s="4">
        <v>39.5</v>
      </c>
      <c r="K70" s="4">
        <v>31</v>
      </c>
      <c r="L70" s="4">
        <v>18.100000000000001</v>
      </c>
      <c r="M70" s="4">
        <v>8.4</v>
      </c>
      <c r="N70" s="4">
        <v>2.2999999999999998</v>
      </c>
      <c r="O70" s="4">
        <v>99.3</v>
      </c>
      <c r="P70" s="13">
        <v>3164</v>
      </c>
      <c r="Q70" s="4">
        <v>37.5</v>
      </c>
      <c r="R70" s="4">
        <v>28.6</v>
      </c>
      <c r="S70" s="4">
        <v>19.600000000000001</v>
      </c>
      <c r="T70" s="4">
        <v>10.199999999999999</v>
      </c>
      <c r="U70" s="4">
        <v>3.3</v>
      </c>
      <c r="V70" s="4">
        <v>99.1</v>
      </c>
      <c r="W70" s="13">
        <v>5766</v>
      </c>
      <c r="X70" s="73"/>
    </row>
    <row r="71" spans="1:24" x14ac:dyDescent="0.2">
      <c r="A71" s="14"/>
      <c r="B71" s="10" t="s">
        <v>29</v>
      </c>
      <c r="C71" s="4">
        <v>27</v>
      </c>
      <c r="D71" s="4">
        <v>28.7</v>
      </c>
      <c r="E71" s="4">
        <v>23.5</v>
      </c>
      <c r="F71" s="4">
        <v>13.5</v>
      </c>
      <c r="G71" s="4">
        <v>5.4</v>
      </c>
      <c r="H71" s="4">
        <v>98.3</v>
      </c>
      <c r="I71" s="13">
        <v>5106</v>
      </c>
      <c r="J71" s="4">
        <v>28.1</v>
      </c>
      <c r="K71" s="4">
        <v>30.7</v>
      </c>
      <c r="L71" s="4">
        <v>23.4</v>
      </c>
      <c r="M71" s="4">
        <v>12.3</v>
      </c>
      <c r="N71" s="4">
        <v>4.5999999999999996</v>
      </c>
      <c r="O71" s="4">
        <v>99</v>
      </c>
      <c r="P71" s="13">
        <v>10487</v>
      </c>
      <c r="Q71" s="4">
        <v>27.7</v>
      </c>
      <c r="R71" s="4">
        <v>30</v>
      </c>
      <c r="S71" s="4">
        <v>23.4</v>
      </c>
      <c r="T71" s="4">
        <v>12.7</v>
      </c>
      <c r="U71" s="4">
        <v>4.9000000000000004</v>
      </c>
      <c r="V71" s="4">
        <v>98.8</v>
      </c>
      <c r="W71" s="13">
        <v>15593</v>
      </c>
      <c r="X71" s="73"/>
    </row>
    <row r="72" spans="1:24" x14ac:dyDescent="0.2">
      <c r="A72" s="14"/>
      <c r="B72" s="10" t="s">
        <v>30</v>
      </c>
      <c r="C72" s="4">
        <v>14.4</v>
      </c>
      <c r="D72" s="4">
        <v>20.7</v>
      </c>
      <c r="E72" s="4">
        <v>25.9</v>
      </c>
      <c r="F72" s="4">
        <v>22.9</v>
      </c>
      <c r="G72" s="4">
        <v>12.2</v>
      </c>
      <c r="H72" s="4">
        <v>96.1</v>
      </c>
      <c r="I72" s="13">
        <v>5354</v>
      </c>
      <c r="J72" s="4">
        <v>21.4</v>
      </c>
      <c r="K72" s="4">
        <v>23.8</v>
      </c>
      <c r="L72" s="4">
        <v>24.4</v>
      </c>
      <c r="M72" s="4">
        <v>19.100000000000001</v>
      </c>
      <c r="N72" s="4">
        <v>9.3000000000000007</v>
      </c>
      <c r="O72" s="4">
        <v>98.1</v>
      </c>
      <c r="P72" s="13">
        <v>3744</v>
      </c>
      <c r="Q72" s="4">
        <v>17.3</v>
      </c>
      <c r="R72" s="4">
        <v>22</v>
      </c>
      <c r="S72" s="4">
        <v>25.3</v>
      </c>
      <c r="T72" s="4">
        <v>21.3</v>
      </c>
      <c r="U72" s="4">
        <v>11</v>
      </c>
      <c r="V72" s="4">
        <v>96.9</v>
      </c>
      <c r="W72" s="13">
        <v>9098</v>
      </c>
      <c r="X72" s="73"/>
    </row>
    <row r="73" spans="1:24" x14ac:dyDescent="0.2">
      <c r="A73" s="14"/>
      <c r="B73" s="10" t="s">
        <v>31</v>
      </c>
      <c r="C73" s="4">
        <v>11.4</v>
      </c>
      <c r="D73" s="4">
        <v>20.399999999999999</v>
      </c>
      <c r="E73" s="4">
        <v>26</v>
      </c>
      <c r="F73" s="4">
        <v>23.9</v>
      </c>
      <c r="G73" s="4">
        <v>15.3</v>
      </c>
      <c r="H73" s="4">
        <v>97</v>
      </c>
      <c r="I73" s="13">
        <v>12398</v>
      </c>
      <c r="J73" s="4">
        <v>22.1</v>
      </c>
      <c r="K73" s="4">
        <v>23.4</v>
      </c>
      <c r="L73" s="4">
        <v>24</v>
      </c>
      <c r="M73" s="4">
        <v>18.2</v>
      </c>
      <c r="N73" s="4">
        <v>10.199999999999999</v>
      </c>
      <c r="O73" s="4">
        <v>97.9</v>
      </c>
      <c r="P73" s="13">
        <v>9129</v>
      </c>
      <c r="Q73" s="4">
        <v>16</v>
      </c>
      <c r="R73" s="4">
        <v>21.7</v>
      </c>
      <c r="S73" s="4">
        <v>25.1</v>
      </c>
      <c r="T73" s="4">
        <v>21.5</v>
      </c>
      <c r="U73" s="4">
        <v>13.1</v>
      </c>
      <c r="V73" s="4">
        <v>97.4</v>
      </c>
      <c r="W73" s="13">
        <v>21527</v>
      </c>
      <c r="X73" s="73"/>
    </row>
    <row r="74" spans="1:24" x14ac:dyDescent="0.2">
      <c r="A74" s="14"/>
      <c r="B74" s="10" t="s">
        <v>32</v>
      </c>
      <c r="C74" s="4">
        <v>12.1</v>
      </c>
      <c r="D74" s="4">
        <v>16.2</v>
      </c>
      <c r="E74" s="4">
        <v>22.4</v>
      </c>
      <c r="F74" s="4">
        <v>23.4</v>
      </c>
      <c r="G74" s="4">
        <v>18.3</v>
      </c>
      <c r="H74" s="4">
        <v>92.5</v>
      </c>
      <c r="I74" s="13">
        <v>27051</v>
      </c>
      <c r="J74" s="4">
        <v>13.2</v>
      </c>
      <c r="K74" s="4">
        <v>18</v>
      </c>
      <c r="L74" s="4">
        <v>23.6</v>
      </c>
      <c r="M74" s="4">
        <v>22.7</v>
      </c>
      <c r="N74" s="4">
        <v>16.3</v>
      </c>
      <c r="O74" s="4">
        <v>93.8</v>
      </c>
      <c r="P74" s="13">
        <v>30623</v>
      </c>
      <c r="Q74" s="4">
        <v>12.7</v>
      </c>
      <c r="R74" s="4">
        <v>17.2</v>
      </c>
      <c r="S74" s="4">
        <v>23.1</v>
      </c>
      <c r="T74" s="4">
        <v>23</v>
      </c>
      <c r="U74" s="4">
        <v>17.2</v>
      </c>
      <c r="V74" s="4">
        <v>93.2</v>
      </c>
      <c r="W74" s="13">
        <v>57674</v>
      </c>
      <c r="X74" s="73"/>
    </row>
    <row r="75" spans="1:24" x14ac:dyDescent="0.2">
      <c r="A75" s="14"/>
      <c r="B75" s="10" t="s">
        <v>46</v>
      </c>
      <c r="C75" s="4">
        <v>24.1</v>
      </c>
      <c r="D75" s="4">
        <v>22.8</v>
      </c>
      <c r="E75" s="4">
        <v>23</v>
      </c>
      <c r="F75" s="4">
        <v>17.3</v>
      </c>
      <c r="G75" s="4">
        <v>9.6</v>
      </c>
      <c r="H75" s="4">
        <v>96.8</v>
      </c>
      <c r="I75" s="13">
        <v>329233</v>
      </c>
      <c r="J75" s="4">
        <v>26.4</v>
      </c>
      <c r="K75" s="4">
        <v>25.4</v>
      </c>
      <c r="L75" s="4">
        <v>23.2</v>
      </c>
      <c r="M75" s="4">
        <v>15.6</v>
      </c>
      <c r="N75" s="4">
        <v>7.3</v>
      </c>
      <c r="O75" s="4">
        <v>97.9</v>
      </c>
      <c r="P75" s="13">
        <v>389523</v>
      </c>
      <c r="Q75" s="4">
        <v>25.3</v>
      </c>
      <c r="R75" s="4">
        <v>24.2</v>
      </c>
      <c r="S75" s="4">
        <v>23.1</v>
      </c>
      <c r="T75" s="4">
        <v>16.399999999999999</v>
      </c>
      <c r="U75" s="4">
        <v>8.4</v>
      </c>
      <c r="V75" s="4">
        <v>97.4</v>
      </c>
      <c r="W75" s="13">
        <v>718756</v>
      </c>
      <c r="X75" s="73"/>
    </row>
    <row r="76" spans="1:24" x14ac:dyDescent="0.2">
      <c r="A76" s="14"/>
    </row>
    <row r="77" spans="1:24" x14ac:dyDescent="0.2">
      <c r="A77" s="14"/>
      <c r="B77" s="10" t="s">
        <v>0</v>
      </c>
      <c r="C77" s="4">
        <f>ROUND(C41,1)</f>
        <v>24.6</v>
      </c>
      <c r="D77" s="4">
        <f t="shared" ref="D77:V77" si="0">ROUND(D41,1)</f>
        <v>20.7</v>
      </c>
      <c r="E77" s="4">
        <f t="shared" si="0"/>
        <v>20</v>
      </c>
      <c r="F77" s="4">
        <f t="shared" si="0"/>
        <v>17.7</v>
      </c>
      <c r="G77" s="4">
        <f t="shared" si="0"/>
        <v>12.4</v>
      </c>
      <c r="H77" s="4">
        <f t="shared" si="0"/>
        <v>95.3</v>
      </c>
      <c r="I77" s="13">
        <f>ROUND(I41,0)</f>
        <v>19329</v>
      </c>
      <c r="J77" s="4">
        <f t="shared" si="0"/>
        <v>27.4</v>
      </c>
      <c r="K77" s="4">
        <f t="shared" si="0"/>
        <v>22.4</v>
      </c>
      <c r="L77" s="4">
        <f t="shared" si="0"/>
        <v>19.899999999999999</v>
      </c>
      <c r="M77" s="4">
        <f t="shared" si="0"/>
        <v>16.3</v>
      </c>
      <c r="N77" s="4">
        <f t="shared" si="0"/>
        <v>10.7</v>
      </c>
      <c r="O77" s="4">
        <f t="shared" si="0"/>
        <v>96.7</v>
      </c>
      <c r="P77" s="13">
        <f>ROUND(P41,0)</f>
        <v>27468</v>
      </c>
      <c r="Q77" s="4">
        <f t="shared" si="0"/>
        <v>26.2</v>
      </c>
      <c r="R77" s="4">
        <f t="shared" si="0"/>
        <v>21.7</v>
      </c>
      <c r="S77" s="4">
        <f t="shared" si="0"/>
        <v>19.899999999999999</v>
      </c>
      <c r="T77" s="4">
        <f t="shared" si="0"/>
        <v>16.899999999999999</v>
      </c>
      <c r="U77" s="4">
        <f t="shared" si="0"/>
        <v>11.4</v>
      </c>
      <c r="V77" s="4">
        <f t="shared" si="0"/>
        <v>96.1</v>
      </c>
      <c r="W77" s="13">
        <f>ROUND(W41,0)</f>
        <v>46797</v>
      </c>
    </row>
    <row r="78" spans="1:24" x14ac:dyDescent="0.2">
      <c r="A78" s="14"/>
      <c r="B78" s="10" t="s">
        <v>1</v>
      </c>
      <c r="C78" s="4">
        <f t="shared" ref="C78:V78" si="1">ROUND(C42,1)</f>
        <v>32.1</v>
      </c>
      <c r="D78" s="4">
        <f t="shared" si="1"/>
        <v>23.4</v>
      </c>
      <c r="E78" s="4">
        <f t="shared" si="1"/>
        <v>18.5</v>
      </c>
      <c r="F78" s="4">
        <f t="shared" si="1"/>
        <v>13.6</v>
      </c>
      <c r="G78" s="4">
        <f t="shared" si="1"/>
        <v>8.8000000000000007</v>
      </c>
      <c r="H78" s="4">
        <f t="shared" si="1"/>
        <v>96.5</v>
      </c>
      <c r="I78" s="13">
        <f t="shared" ref="I78:I111" si="2">ROUND(I42,0)</f>
        <v>17671</v>
      </c>
      <c r="J78" s="4">
        <f t="shared" si="1"/>
        <v>33.1</v>
      </c>
      <c r="K78" s="4">
        <f t="shared" si="1"/>
        <v>25.6</v>
      </c>
      <c r="L78" s="4">
        <f t="shared" si="1"/>
        <v>18.5</v>
      </c>
      <c r="M78" s="4">
        <f t="shared" si="1"/>
        <v>13.1</v>
      </c>
      <c r="N78" s="4">
        <f t="shared" si="1"/>
        <v>7.2</v>
      </c>
      <c r="O78" s="4">
        <f t="shared" si="1"/>
        <v>97.5</v>
      </c>
      <c r="P78" s="13">
        <f t="shared" ref="P78:P111" si="3">ROUND(P42,0)</f>
        <v>17406</v>
      </c>
      <c r="Q78" s="4">
        <f t="shared" si="1"/>
        <v>32.6</v>
      </c>
      <c r="R78" s="4">
        <f t="shared" si="1"/>
        <v>24.5</v>
      </c>
      <c r="S78" s="4">
        <f t="shared" si="1"/>
        <v>18.5</v>
      </c>
      <c r="T78" s="4">
        <f t="shared" si="1"/>
        <v>13.4</v>
      </c>
      <c r="U78" s="4">
        <f t="shared" si="1"/>
        <v>8</v>
      </c>
      <c r="V78" s="4">
        <f t="shared" si="1"/>
        <v>97</v>
      </c>
      <c r="W78" s="13">
        <f t="shared" ref="W78:W111" si="4">ROUND(W42,0)</f>
        <v>35077</v>
      </c>
    </row>
    <row r="79" spans="1:24" x14ac:dyDescent="0.2">
      <c r="A79" s="14"/>
      <c r="B79" s="10" t="s">
        <v>2</v>
      </c>
      <c r="C79" s="4">
        <f t="shared" ref="C79:V79" si="5">ROUND(C43,1)</f>
        <v>30.2</v>
      </c>
      <c r="D79" s="4">
        <f t="shared" si="5"/>
        <v>20.7</v>
      </c>
      <c r="E79" s="4">
        <f t="shared" si="5"/>
        <v>18.7</v>
      </c>
      <c r="F79" s="4">
        <f t="shared" si="5"/>
        <v>15</v>
      </c>
      <c r="G79" s="4">
        <f t="shared" si="5"/>
        <v>11.3</v>
      </c>
      <c r="H79" s="4">
        <f t="shared" si="5"/>
        <v>95.9</v>
      </c>
      <c r="I79" s="13">
        <f t="shared" si="2"/>
        <v>18693</v>
      </c>
      <c r="J79" s="4">
        <f t="shared" si="5"/>
        <v>36.299999999999997</v>
      </c>
      <c r="K79" s="4">
        <f t="shared" si="5"/>
        <v>23</v>
      </c>
      <c r="L79" s="4">
        <f t="shared" si="5"/>
        <v>17.8</v>
      </c>
      <c r="M79" s="4">
        <f t="shared" si="5"/>
        <v>12.7</v>
      </c>
      <c r="N79" s="4">
        <f t="shared" si="5"/>
        <v>7.6</v>
      </c>
      <c r="O79" s="4">
        <f t="shared" si="5"/>
        <v>97.5</v>
      </c>
      <c r="P79" s="13">
        <f t="shared" si="3"/>
        <v>5194</v>
      </c>
      <c r="Q79" s="4">
        <f t="shared" si="5"/>
        <v>31.5</v>
      </c>
      <c r="R79" s="4">
        <f t="shared" si="5"/>
        <v>21.2</v>
      </c>
      <c r="S79" s="4">
        <f t="shared" si="5"/>
        <v>18.5</v>
      </c>
      <c r="T79" s="4">
        <f t="shared" si="5"/>
        <v>14.5</v>
      </c>
      <c r="U79" s="4">
        <f t="shared" si="5"/>
        <v>10.5</v>
      </c>
      <c r="V79" s="4">
        <f t="shared" si="5"/>
        <v>96.2</v>
      </c>
      <c r="W79" s="13">
        <f t="shared" si="4"/>
        <v>23887</v>
      </c>
    </row>
    <row r="80" spans="1:24" x14ac:dyDescent="0.2">
      <c r="A80" s="14"/>
      <c r="B80" s="10" t="s">
        <v>3</v>
      </c>
      <c r="C80" s="4">
        <f t="shared" ref="C80:V80" si="6">ROUND(C44,1)</f>
        <v>24.7</v>
      </c>
      <c r="D80" s="4">
        <f t="shared" si="6"/>
        <v>20.7</v>
      </c>
      <c r="E80" s="4">
        <f t="shared" si="6"/>
        <v>22</v>
      </c>
      <c r="F80" s="4">
        <f t="shared" si="6"/>
        <v>16.8</v>
      </c>
      <c r="G80" s="4">
        <f t="shared" si="6"/>
        <v>12.2</v>
      </c>
      <c r="H80" s="4">
        <f t="shared" si="6"/>
        <v>96.4</v>
      </c>
      <c r="I80" s="13">
        <f t="shared" si="2"/>
        <v>2820</v>
      </c>
      <c r="J80" s="4">
        <f t="shared" si="6"/>
        <v>21.4</v>
      </c>
      <c r="K80" s="4">
        <f t="shared" si="6"/>
        <v>23.2</v>
      </c>
      <c r="L80" s="4">
        <f t="shared" si="6"/>
        <v>23.9</v>
      </c>
      <c r="M80" s="4">
        <f t="shared" si="6"/>
        <v>17.3</v>
      </c>
      <c r="N80" s="4">
        <f t="shared" si="6"/>
        <v>10.8</v>
      </c>
      <c r="O80" s="4">
        <f t="shared" si="6"/>
        <v>96.5</v>
      </c>
      <c r="P80" s="13">
        <f t="shared" si="3"/>
        <v>1100</v>
      </c>
      <c r="Q80" s="4">
        <f t="shared" si="6"/>
        <v>23.8</v>
      </c>
      <c r="R80" s="4">
        <f t="shared" si="6"/>
        <v>21.4</v>
      </c>
      <c r="S80" s="4">
        <f t="shared" si="6"/>
        <v>22.6</v>
      </c>
      <c r="T80" s="4">
        <f t="shared" si="6"/>
        <v>16.899999999999999</v>
      </c>
      <c r="U80" s="4">
        <f t="shared" si="6"/>
        <v>11.8</v>
      </c>
      <c r="V80" s="4">
        <f t="shared" si="6"/>
        <v>96.4</v>
      </c>
      <c r="W80" s="13">
        <f t="shared" si="4"/>
        <v>3920</v>
      </c>
    </row>
    <row r="81" spans="1:23" x14ac:dyDescent="0.2">
      <c r="A81" s="14"/>
      <c r="B81" s="10" t="s">
        <v>4</v>
      </c>
      <c r="C81" s="4">
        <f t="shared" ref="C81:V81" si="7">ROUND(C45,1)</f>
        <v>42.9</v>
      </c>
      <c r="D81" s="4">
        <f t="shared" si="7"/>
        <v>20.8</v>
      </c>
      <c r="E81" s="4">
        <f t="shared" si="7"/>
        <v>16</v>
      </c>
      <c r="F81" s="4">
        <f t="shared" si="7"/>
        <v>11</v>
      </c>
      <c r="G81" s="4">
        <f t="shared" si="7"/>
        <v>6.5</v>
      </c>
      <c r="H81" s="4">
        <f t="shared" si="7"/>
        <v>97.2</v>
      </c>
      <c r="I81" s="13">
        <f t="shared" si="2"/>
        <v>32154</v>
      </c>
      <c r="J81" s="4">
        <f t="shared" si="7"/>
        <v>45.2</v>
      </c>
      <c r="K81" s="4">
        <f t="shared" si="7"/>
        <v>22.5</v>
      </c>
      <c r="L81" s="4">
        <f t="shared" si="7"/>
        <v>15.1</v>
      </c>
      <c r="M81" s="4">
        <f t="shared" si="7"/>
        <v>10.1</v>
      </c>
      <c r="N81" s="4">
        <f t="shared" si="7"/>
        <v>5.3</v>
      </c>
      <c r="O81" s="4">
        <f t="shared" si="7"/>
        <v>98.2</v>
      </c>
      <c r="P81" s="13">
        <f t="shared" si="3"/>
        <v>21177</v>
      </c>
      <c r="Q81" s="4">
        <f t="shared" si="7"/>
        <v>43.8</v>
      </c>
      <c r="R81" s="4">
        <f t="shared" si="7"/>
        <v>21.5</v>
      </c>
      <c r="S81" s="4">
        <f t="shared" si="7"/>
        <v>15.6</v>
      </c>
      <c r="T81" s="4">
        <f t="shared" si="7"/>
        <v>10.7</v>
      </c>
      <c r="U81" s="4">
        <f t="shared" si="7"/>
        <v>6</v>
      </c>
      <c r="V81" s="4">
        <f t="shared" si="7"/>
        <v>97.6</v>
      </c>
      <c r="W81" s="13">
        <f t="shared" si="4"/>
        <v>53331</v>
      </c>
    </row>
    <row r="82" spans="1:23" x14ac:dyDescent="0.2">
      <c r="A82" s="14"/>
      <c r="B82" s="10" t="s">
        <v>5</v>
      </c>
      <c r="C82" s="4">
        <f t="shared" ref="C82:V82" si="8">ROUND(C46,1)</f>
        <v>57.1</v>
      </c>
      <c r="D82" s="4">
        <f t="shared" si="8"/>
        <v>19.5</v>
      </c>
      <c r="E82" s="4">
        <f t="shared" si="8"/>
        <v>11.7</v>
      </c>
      <c r="F82" s="4">
        <f t="shared" si="8"/>
        <v>6.9</v>
      </c>
      <c r="G82" s="4">
        <f t="shared" si="8"/>
        <v>3.4</v>
      </c>
      <c r="H82" s="4">
        <f t="shared" si="8"/>
        <v>98.7</v>
      </c>
      <c r="I82" s="13">
        <f t="shared" si="2"/>
        <v>5099</v>
      </c>
      <c r="J82" s="4">
        <f t="shared" si="8"/>
        <v>56.6</v>
      </c>
      <c r="K82" s="4">
        <f t="shared" si="8"/>
        <v>21.6</v>
      </c>
      <c r="L82" s="4">
        <f t="shared" si="8"/>
        <v>10.9</v>
      </c>
      <c r="M82" s="4">
        <f t="shared" si="8"/>
        <v>6.1</v>
      </c>
      <c r="N82" s="4">
        <f t="shared" si="8"/>
        <v>3.2</v>
      </c>
      <c r="O82" s="4">
        <f t="shared" si="8"/>
        <v>98.4</v>
      </c>
      <c r="P82" s="13">
        <f t="shared" si="3"/>
        <v>2142</v>
      </c>
      <c r="Q82" s="4">
        <f t="shared" si="8"/>
        <v>57</v>
      </c>
      <c r="R82" s="4">
        <f t="shared" si="8"/>
        <v>20.100000000000001</v>
      </c>
      <c r="S82" s="4">
        <f t="shared" si="8"/>
        <v>11.5</v>
      </c>
      <c r="T82" s="4">
        <f t="shared" si="8"/>
        <v>6.7</v>
      </c>
      <c r="U82" s="4">
        <f t="shared" si="8"/>
        <v>3.4</v>
      </c>
      <c r="V82" s="4">
        <f t="shared" si="8"/>
        <v>98.6</v>
      </c>
      <c r="W82" s="13">
        <f t="shared" si="4"/>
        <v>7241</v>
      </c>
    </row>
    <row r="83" spans="1:23" x14ac:dyDescent="0.2">
      <c r="B83" s="10" t="s">
        <v>6</v>
      </c>
      <c r="C83" s="4">
        <f t="shared" ref="C83:V83" si="9">ROUND(C47,1)</f>
        <v>15</v>
      </c>
      <c r="D83" s="4">
        <f t="shared" si="9"/>
        <v>22.1</v>
      </c>
      <c r="E83" s="4">
        <f t="shared" si="9"/>
        <v>26.8</v>
      </c>
      <c r="F83" s="4">
        <f t="shared" si="9"/>
        <v>21.5</v>
      </c>
      <c r="G83" s="4">
        <f t="shared" si="9"/>
        <v>11.4</v>
      </c>
      <c r="H83" s="4">
        <f t="shared" si="9"/>
        <v>96.8</v>
      </c>
      <c r="I83" s="13">
        <f t="shared" si="2"/>
        <v>8815</v>
      </c>
      <c r="J83" s="4">
        <f t="shared" si="9"/>
        <v>22.8</v>
      </c>
      <c r="K83" s="4">
        <f t="shared" si="9"/>
        <v>26.6</v>
      </c>
      <c r="L83" s="4">
        <f t="shared" si="9"/>
        <v>25.4</v>
      </c>
      <c r="M83" s="4">
        <f t="shared" si="9"/>
        <v>16.399999999999999</v>
      </c>
      <c r="N83" s="4">
        <f t="shared" si="9"/>
        <v>7.1</v>
      </c>
      <c r="O83" s="4">
        <f t="shared" si="9"/>
        <v>98.3</v>
      </c>
      <c r="P83" s="13">
        <f t="shared" si="3"/>
        <v>6710</v>
      </c>
      <c r="Q83" s="4">
        <f t="shared" si="9"/>
        <v>18.399999999999999</v>
      </c>
      <c r="R83" s="4">
        <f t="shared" si="9"/>
        <v>24.1</v>
      </c>
      <c r="S83" s="4">
        <f t="shared" si="9"/>
        <v>26.2</v>
      </c>
      <c r="T83" s="4">
        <f t="shared" si="9"/>
        <v>19.3</v>
      </c>
      <c r="U83" s="4">
        <f t="shared" si="9"/>
        <v>9.5</v>
      </c>
      <c r="V83" s="4">
        <f t="shared" si="9"/>
        <v>97.5</v>
      </c>
      <c r="W83" s="13">
        <f t="shared" si="4"/>
        <v>15525</v>
      </c>
    </row>
    <row r="84" spans="1:23" x14ac:dyDescent="0.2">
      <c r="B84" s="10" t="s">
        <v>7</v>
      </c>
      <c r="C84" s="4">
        <f t="shared" ref="C84:V84" si="10">ROUND(C48,1)</f>
        <v>16.3</v>
      </c>
      <c r="D84" s="4">
        <f t="shared" si="10"/>
        <v>19.100000000000001</v>
      </c>
      <c r="E84" s="4">
        <f t="shared" si="10"/>
        <v>22</v>
      </c>
      <c r="F84" s="4">
        <f t="shared" si="10"/>
        <v>21</v>
      </c>
      <c r="G84" s="4">
        <f t="shared" si="10"/>
        <v>15.8</v>
      </c>
      <c r="H84" s="4">
        <f t="shared" si="10"/>
        <v>94.2</v>
      </c>
      <c r="I84" s="13">
        <f t="shared" si="2"/>
        <v>4263</v>
      </c>
      <c r="J84" s="4">
        <f t="shared" si="10"/>
        <v>17.899999999999999</v>
      </c>
      <c r="K84" s="4">
        <f t="shared" si="10"/>
        <v>20.8</v>
      </c>
      <c r="L84" s="4">
        <f t="shared" si="10"/>
        <v>23.4</v>
      </c>
      <c r="M84" s="4">
        <f t="shared" si="10"/>
        <v>20.5</v>
      </c>
      <c r="N84" s="4">
        <f t="shared" si="10"/>
        <v>12.9</v>
      </c>
      <c r="O84" s="4">
        <f t="shared" si="10"/>
        <v>95.5</v>
      </c>
      <c r="P84" s="13">
        <f t="shared" si="3"/>
        <v>380</v>
      </c>
      <c r="Q84" s="4">
        <f t="shared" si="10"/>
        <v>16.5</v>
      </c>
      <c r="R84" s="4">
        <f t="shared" si="10"/>
        <v>19.2</v>
      </c>
      <c r="S84" s="4">
        <f t="shared" si="10"/>
        <v>22.1</v>
      </c>
      <c r="T84" s="4">
        <f t="shared" si="10"/>
        <v>21</v>
      </c>
      <c r="U84" s="4">
        <f t="shared" si="10"/>
        <v>15.6</v>
      </c>
      <c r="V84" s="4">
        <f t="shared" si="10"/>
        <v>94.3</v>
      </c>
      <c r="W84" s="13">
        <f t="shared" si="4"/>
        <v>4643</v>
      </c>
    </row>
    <row r="85" spans="1:23" x14ac:dyDescent="0.2">
      <c r="B85" s="10" t="s">
        <v>8</v>
      </c>
      <c r="C85" s="4">
        <f t="shared" ref="C85:V85" si="11">ROUND(C49,1)</f>
        <v>5.9</v>
      </c>
      <c r="D85" s="4">
        <f t="shared" si="11"/>
        <v>15.3</v>
      </c>
      <c r="E85" s="4">
        <f t="shared" si="11"/>
        <v>24.9</v>
      </c>
      <c r="F85" s="4">
        <f t="shared" si="11"/>
        <v>26.6</v>
      </c>
      <c r="G85" s="4">
        <f t="shared" si="11"/>
        <v>19.600000000000001</v>
      </c>
      <c r="H85" s="4">
        <f t="shared" si="11"/>
        <v>92.3</v>
      </c>
      <c r="I85" s="13">
        <f t="shared" si="2"/>
        <v>6891</v>
      </c>
      <c r="J85" s="4">
        <f t="shared" si="11"/>
        <v>9.9</v>
      </c>
      <c r="K85" s="4">
        <f t="shared" si="11"/>
        <v>19.100000000000001</v>
      </c>
      <c r="L85" s="4">
        <f t="shared" si="11"/>
        <v>25.9</v>
      </c>
      <c r="M85" s="4">
        <f t="shared" si="11"/>
        <v>25.2</v>
      </c>
      <c r="N85" s="4">
        <f t="shared" si="11"/>
        <v>15.3</v>
      </c>
      <c r="O85" s="4">
        <f t="shared" si="11"/>
        <v>95.4</v>
      </c>
      <c r="P85" s="13">
        <f t="shared" si="3"/>
        <v>3994</v>
      </c>
      <c r="Q85" s="4">
        <f t="shared" si="11"/>
        <v>7.4</v>
      </c>
      <c r="R85" s="4">
        <f t="shared" si="11"/>
        <v>16.600000000000001</v>
      </c>
      <c r="S85" s="4">
        <f t="shared" si="11"/>
        <v>25.3</v>
      </c>
      <c r="T85" s="4">
        <f t="shared" si="11"/>
        <v>26.1</v>
      </c>
      <c r="U85" s="4">
        <f t="shared" si="11"/>
        <v>18</v>
      </c>
      <c r="V85" s="4">
        <f t="shared" si="11"/>
        <v>93.4</v>
      </c>
      <c r="W85" s="13">
        <f t="shared" si="4"/>
        <v>10885</v>
      </c>
    </row>
    <row r="86" spans="1:23" x14ac:dyDescent="0.2">
      <c r="B86" s="10" t="s">
        <v>9</v>
      </c>
      <c r="C86" s="4">
        <f t="shared" ref="C86:V86" si="12">ROUND(C50,1)</f>
        <v>5.3</v>
      </c>
      <c r="D86" s="4">
        <f t="shared" si="12"/>
        <v>10.5</v>
      </c>
      <c r="E86" s="4">
        <f t="shared" si="12"/>
        <v>21.1</v>
      </c>
      <c r="F86" s="4">
        <f t="shared" si="12"/>
        <v>34.200000000000003</v>
      </c>
      <c r="G86" s="4">
        <f t="shared" si="12"/>
        <v>23.7</v>
      </c>
      <c r="H86" s="4">
        <f t="shared" si="12"/>
        <v>94.7</v>
      </c>
      <c r="I86" s="13">
        <f t="shared" si="2"/>
        <v>38</v>
      </c>
      <c r="J86" s="4">
        <f t="shared" si="12"/>
        <v>19.600000000000001</v>
      </c>
      <c r="K86" s="4">
        <f t="shared" si="12"/>
        <v>24.7</v>
      </c>
      <c r="L86" s="4">
        <f t="shared" si="12"/>
        <v>26.5</v>
      </c>
      <c r="M86" s="4">
        <f t="shared" si="12"/>
        <v>18.8</v>
      </c>
      <c r="N86" s="4">
        <f t="shared" si="12"/>
        <v>9.5</v>
      </c>
      <c r="O86" s="4">
        <f t="shared" si="12"/>
        <v>99.1</v>
      </c>
      <c r="P86" s="13">
        <f t="shared" si="3"/>
        <v>336</v>
      </c>
      <c r="Q86" s="4">
        <f t="shared" si="12"/>
        <v>18.2</v>
      </c>
      <c r="R86" s="4">
        <f t="shared" si="12"/>
        <v>23.3</v>
      </c>
      <c r="S86" s="4">
        <f t="shared" si="12"/>
        <v>25.9</v>
      </c>
      <c r="T86" s="4">
        <f t="shared" si="12"/>
        <v>20.3</v>
      </c>
      <c r="U86" s="4">
        <f t="shared" si="12"/>
        <v>11</v>
      </c>
      <c r="V86" s="4">
        <f t="shared" si="12"/>
        <v>98.7</v>
      </c>
      <c r="W86" s="13">
        <f t="shared" si="4"/>
        <v>374</v>
      </c>
    </row>
    <row r="87" spans="1:23" x14ac:dyDescent="0.2">
      <c r="B87" s="10" t="s">
        <v>10</v>
      </c>
      <c r="C87" s="4">
        <f t="shared" ref="C87:V87" si="13">ROUND(C51,1)</f>
        <v>10.199999999999999</v>
      </c>
      <c r="D87" s="4">
        <f t="shared" si="13"/>
        <v>19.899999999999999</v>
      </c>
      <c r="E87" s="4">
        <f t="shared" si="13"/>
        <v>24.2</v>
      </c>
      <c r="F87" s="4">
        <f t="shared" si="13"/>
        <v>21.6</v>
      </c>
      <c r="G87" s="4">
        <f t="shared" si="13"/>
        <v>16.399999999999999</v>
      </c>
      <c r="H87" s="4">
        <f t="shared" si="13"/>
        <v>92.3</v>
      </c>
      <c r="I87" s="13">
        <f t="shared" si="2"/>
        <v>2063</v>
      </c>
      <c r="J87" s="4">
        <f t="shared" si="13"/>
        <v>14.4</v>
      </c>
      <c r="K87" s="4">
        <f t="shared" si="13"/>
        <v>22</v>
      </c>
      <c r="L87" s="4">
        <f t="shared" si="13"/>
        <v>21.5</v>
      </c>
      <c r="M87" s="4">
        <f t="shared" si="13"/>
        <v>21.2</v>
      </c>
      <c r="N87" s="4">
        <f t="shared" si="13"/>
        <v>14.6</v>
      </c>
      <c r="O87" s="4">
        <f t="shared" si="13"/>
        <v>93.7</v>
      </c>
      <c r="P87" s="13">
        <f t="shared" si="3"/>
        <v>1207</v>
      </c>
      <c r="Q87" s="4">
        <f t="shared" si="13"/>
        <v>11.8</v>
      </c>
      <c r="R87" s="4">
        <f t="shared" si="13"/>
        <v>20.7</v>
      </c>
      <c r="S87" s="4">
        <f t="shared" si="13"/>
        <v>23.2</v>
      </c>
      <c r="T87" s="4">
        <f t="shared" si="13"/>
        <v>21.4</v>
      </c>
      <c r="U87" s="4">
        <f t="shared" si="13"/>
        <v>15.7</v>
      </c>
      <c r="V87" s="4">
        <f t="shared" si="13"/>
        <v>92.8</v>
      </c>
      <c r="W87" s="13">
        <f t="shared" si="4"/>
        <v>3270</v>
      </c>
    </row>
    <row r="88" spans="1:23" x14ac:dyDescent="0.2">
      <c r="B88" s="10" t="s">
        <v>11</v>
      </c>
      <c r="C88" s="4">
        <f t="shared" ref="C88:V88" si="14">ROUND(C52,1)</f>
        <v>16.8</v>
      </c>
      <c r="D88" s="4">
        <f t="shared" si="14"/>
        <v>26.5</v>
      </c>
      <c r="E88" s="4">
        <f t="shared" si="14"/>
        <v>28.4</v>
      </c>
      <c r="F88" s="4">
        <f t="shared" si="14"/>
        <v>18.5</v>
      </c>
      <c r="G88" s="4">
        <f t="shared" si="14"/>
        <v>8</v>
      </c>
      <c r="H88" s="4">
        <f t="shared" si="14"/>
        <v>98.3</v>
      </c>
      <c r="I88" s="13">
        <f t="shared" si="2"/>
        <v>17454</v>
      </c>
      <c r="J88" s="4">
        <f t="shared" si="14"/>
        <v>20.3</v>
      </c>
      <c r="K88" s="4">
        <f t="shared" si="14"/>
        <v>27.4</v>
      </c>
      <c r="L88" s="4">
        <f t="shared" si="14"/>
        <v>26.7</v>
      </c>
      <c r="M88" s="4">
        <f t="shared" si="14"/>
        <v>17.3</v>
      </c>
      <c r="N88" s="4">
        <f t="shared" si="14"/>
        <v>7</v>
      </c>
      <c r="O88" s="4">
        <f t="shared" si="14"/>
        <v>98.7</v>
      </c>
      <c r="P88" s="13">
        <f t="shared" si="3"/>
        <v>11794</v>
      </c>
      <c r="Q88" s="4">
        <f t="shared" si="14"/>
        <v>18.2</v>
      </c>
      <c r="R88" s="4">
        <f t="shared" si="14"/>
        <v>26.8</v>
      </c>
      <c r="S88" s="4">
        <f t="shared" si="14"/>
        <v>27.7</v>
      </c>
      <c r="T88" s="4">
        <f t="shared" si="14"/>
        <v>18</v>
      </c>
      <c r="U88" s="4">
        <f t="shared" si="14"/>
        <v>7.6</v>
      </c>
      <c r="V88" s="4">
        <f t="shared" si="14"/>
        <v>98.4</v>
      </c>
      <c r="W88" s="13">
        <f t="shared" si="4"/>
        <v>29248</v>
      </c>
    </row>
    <row r="89" spans="1:23" x14ac:dyDescent="0.2">
      <c r="B89" s="10" t="s">
        <v>12</v>
      </c>
      <c r="C89" s="4">
        <f t="shared" ref="C89:V89" si="15">ROUND(C53,1)</f>
        <v>34.200000000000003</v>
      </c>
      <c r="D89" s="4">
        <f t="shared" si="15"/>
        <v>27.2</v>
      </c>
      <c r="E89" s="4">
        <f t="shared" si="15"/>
        <v>20.2</v>
      </c>
      <c r="F89" s="4">
        <f t="shared" si="15"/>
        <v>12.2</v>
      </c>
      <c r="G89" s="4">
        <f t="shared" si="15"/>
        <v>4.9000000000000004</v>
      </c>
      <c r="H89" s="4">
        <f t="shared" si="15"/>
        <v>98.7</v>
      </c>
      <c r="I89" s="13">
        <f t="shared" si="2"/>
        <v>9711</v>
      </c>
      <c r="J89" s="4">
        <f t="shared" si="15"/>
        <v>41.3</v>
      </c>
      <c r="K89" s="4">
        <f t="shared" si="15"/>
        <v>26.9</v>
      </c>
      <c r="L89" s="4">
        <f t="shared" si="15"/>
        <v>17.600000000000001</v>
      </c>
      <c r="M89" s="4">
        <f t="shared" si="15"/>
        <v>9.3000000000000007</v>
      </c>
      <c r="N89" s="4">
        <f t="shared" si="15"/>
        <v>3.9</v>
      </c>
      <c r="O89" s="4">
        <f t="shared" si="15"/>
        <v>99.1</v>
      </c>
      <c r="P89" s="13">
        <f t="shared" si="3"/>
        <v>4239</v>
      </c>
      <c r="Q89" s="4">
        <f t="shared" si="15"/>
        <v>36.4</v>
      </c>
      <c r="R89" s="4">
        <f t="shared" si="15"/>
        <v>27.2</v>
      </c>
      <c r="S89" s="4">
        <f t="shared" si="15"/>
        <v>19.399999999999999</v>
      </c>
      <c r="T89" s="4">
        <f t="shared" si="15"/>
        <v>11.3</v>
      </c>
      <c r="U89" s="4">
        <f t="shared" si="15"/>
        <v>4.5999999999999996</v>
      </c>
      <c r="V89" s="4">
        <f t="shared" si="15"/>
        <v>98.8</v>
      </c>
      <c r="W89" s="13">
        <f t="shared" si="4"/>
        <v>13950</v>
      </c>
    </row>
    <row r="90" spans="1:23" x14ac:dyDescent="0.2">
      <c r="B90" s="10" t="s">
        <v>13</v>
      </c>
      <c r="C90" s="4">
        <f t="shared" ref="C90:V90" si="16">ROUND(C54,1)</f>
        <v>23.6</v>
      </c>
      <c r="D90" s="4">
        <f t="shared" si="16"/>
        <v>25.8</v>
      </c>
      <c r="E90" s="4">
        <f t="shared" si="16"/>
        <v>24.6</v>
      </c>
      <c r="F90" s="4">
        <f t="shared" si="16"/>
        <v>17.399999999999999</v>
      </c>
      <c r="G90" s="4">
        <f t="shared" si="16"/>
        <v>7.3</v>
      </c>
      <c r="H90" s="4">
        <f t="shared" si="16"/>
        <v>98.6</v>
      </c>
      <c r="I90" s="13">
        <f t="shared" si="2"/>
        <v>15178</v>
      </c>
      <c r="J90" s="4">
        <f t="shared" si="16"/>
        <v>33.4</v>
      </c>
      <c r="K90" s="4">
        <f t="shared" si="16"/>
        <v>27.5</v>
      </c>
      <c r="L90" s="4">
        <f t="shared" si="16"/>
        <v>21.9</v>
      </c>
      <c r="M90" s="4">
        <f t="shared" si="16"/>
        <v>11.9</v>
      </c>
      <c r="N90" s="4">
        <f t="shared" si="16"/>
        <v>4.5</v>
      </c>
      <c r="O90" s="4">
        <f t="shared" si="16"/>
        <v>99.2</v>
      </c>
      <c r="P90" s="13">
        <f t="shared" si="3"/>
        <v>12316</v>
      </c>
      <c r="Q90" s="4">
        <f t="shared" si="16"/>
        <v>28</v>
      </c>
      <c r="R90" s="4">
        <f t="shared" si="16"/>
        <v>26.6</v>
      </c>
      <c r="S90" s="4">
        <f t="shared" si="16"/>
        <v>23.4</v>
      </c>
      <c r="T90" s="4">
        <f t="shared" si="16"/>
        <v>14.9</v>
      </c>
      <c r="U90" s="4">
        <f t="shared" si="16"/>
        <v>6</v>
      </c>
      <c r="V90" s="4">
        <f t="shared" si="16"/>
        <v>98.9</v>
      </c>
      <c r="W90" s="13">
        <f t="shared" si="4"/>
        <v>27494</v>
      </c>
    </row>
    <row r="91" spans="1:23" x14ac:dyDescent="0.2">
      <c r="B91" s="10" t="s">
        <v>14</v>
      </c>
      <c r="C91" s="4">
        <f t="shared" ref="C91:V91" si="17">ROUND(C55,1)</f>
        <v>32.200000000000003</v>
      </c>
      <c r="D91" s="4">
        <f t="shared" si="17"/>
        <v>27.1</v>
      </c>
      <c r="E91" s="4">
        <f t="shared" si="17"/>
        <v>21.2</v>
      </c>
      <c r="F91" s="4">
        <f t="shared" si="17"/>
        <v>12.6</v>
      </c>
      <c r="G91" s="4">
        <f t="shared" si="17"/>
        <v>5.2</v>
      </c>
      <c r="H91" s="4">
        <f t="shared" si="17"/>
        <v>98.3</v>
      </c>
      <c r="I91" s="13">
        <f t="shared" si="2"/>
        <v>6229</v>
      </c>
      <c r="J91" s="4">
        <f t="shared" si="17"/>
        <v>37.700000000000003</v>
      </c>
      <c r="K91" s="4">
        <f t="shared" si="17"/>
        <v>26.4</v>
      </c>
      <c r="L91" s="4">
        <f t="shared" si="17"/>
        <v>18.5</v>
      </c>
      <c r="M91" s="4">
        <f t="shared" si="17"/>
        <v>11.3</v>
      </c>
      <c r="N91" s="4">
        <f t="shared" si="17"/>
        <v>4.7</v>
      </c>
      <c r="O91" s="4">
        <f t="shared" si="17"/>
        <v>98.6</v>
      </c>
      <c r="P91" s="13">
        <f t="shared" si="3"/>
        <v>4395</v>
      </c>
      <c r="Q91" s="4">
        <f t="shared" si="17"/>
        <v>34.5</v>
      </c>
      <c r="R91" s="4">
        <f t="shared" si="17"/>
        <v>26.8</v>
      </c>
      <c r="S91" s="4">
        <f t="shared" si="17"/>
        <v>20</v>
      </c>
      <c r="T91" s="4">
        <f t="shared" si="17"/>
        <v>12</v>
      </c>
      <c r="U91" s="4">
        <f t="shared" si="17"/>
        <v>5</v>
      </c>
      <c r="V91" s="4">
        <f t="shared" si="17"/>
        <v>98.4</v>
      </c>
      <c r="W91" s="13">
        <f t="shared" si="4"/>
        <v>10624</v>
      </c>
    </row>
    <row r="92" spans="1:23" x14ac:dyDescent="0.2">
      <c r="B92" s="10" t="s">
        <v>15</v>
      </c>
      <c r="C92" s="4">
        <f t="shared" ref="C92:V92" si="18">ROUND(C56,1)</f>
        <v>23.5</v>
      </c>
      <c r="D92" s="4">
        <f t="shared" si="18"/>
        <v>26.1</v>
      </c>
      <c r="E92" s="4">
        <f t="shared" si="18"/>
        <v>24.7</v>
      </c>
      <c r="F92" s="4">
        <f t="shared" si="18"/>
        <v>17.100000000000001</v>
      </c>
      <c r="G92" s="4">
        <f t="shared" si="18"/>
        <v>7.1</v>
      </c>
      <c r="H92" s="4">
        <f t="shared" si="18"/>
        <v>98.5</v>
      </c>
      <c r="I92" s="13">
        <f t="shared" si="2"/>
        <v>20376</v>
      </c>
      <c r="J92" s="4">
        <f t="shared" si="18"/>
        <v>26.8</v>
      </c>
      <c r="K92" s="4">
        <f t="shared" si="18"/>
        <v>27.4</v>
      </c>
      <c r="L92" s="4">
        <f t="shared" si="18"/>
        <v>23.2</v>
      </c>
      <c r="M92" s="4">
        <f t="shared" si="18"/>
        <v>15.2</v>
      </c>
      <c r="N92" s="4">
        <f t="shared" si="18"/>
        <v>6</v>
      </c>
      <c r="O92" s="4">
        <f t="shared" si="18"/>
        <v>98.6</v>
      </c>
      <c r="P92" s="13">
        <f t="shared" si="3"/>
        <v>20166</v>
      </c>
      <c r="Q92" s="4">
        <f t="shared" si="18"/>
        <v>25.1</v>
      </c>
      <c r="R92" s="4">
        <f t="shared" si="18"/>
        <v>26.7</v>
      </c>
      <c r="S92" s="4">
        <f t="shared" si="18"/>
        <v>23.9</v>
      </c>
      <c r="T92" s="4">
        <f t="shared" si="18"/>
        <v>16.2</v>
      </c>
      <c r="U92" s="4">
        <f t="shared" si="18"/>
        <v>6.6</v>
      </c>
      <c r="V92" s="4">
        <f t="shared" si="18"/>
        <v>98.5</v>
      </c>
      <c r="W92" s="13">
        <f t="shared" si="4"/>
        <v>40542</v>
      </c>
    </row>
    <row r="93" spans="1:23" x14ac:dyDescent="0.2">
      <c r="B93" s="10" t="s">
        <v>16</v>
      </c>
      <c r="C93" s="4">
        <f t="shared" ref="C93:V93" si="19">ROUND(C57,1)</f>
        <v>17.399999999999999</v>
      </c>
      <c r="D93" s="4">
        <f t="shared" si="19"/>
        <v>21.6</v>
      </c>
      <c r="E93" s="4">
        <f t="shared" si="19"/>
        <v>24.5</v>
      </c>
      <c r="F93" s="4">
        <f t="shared" si="19"/>
        <v>19.7</v>
      </c>
      <c r="G93" s="4">
        <f t="shared" si="19"/>
        <v>12</v>
      </c>
      <c r="H93" s="4">
        <f t="shared" si="19"/>
        <v>95.2</v>
      </c>
      <c r="I93" s="13">
        <f t="shared" si="2"/>
        <v>5810</v>
      </c>
      <c r="J93" s="4">
        <f t="shared" si="19"/>
        <v>23.4</v>
      </c>
      <c r="K93" s="4">
        <f t="shared" si="19"/>
        <v>23.3</v>
      </c>
      <c r="L93" s="4">
        <f t="shared" si="19"/>
        <v>23.4</v>
      </c>
      <c r="M93" s="4">
        <f t="shared" si="19"/>
        <v>17</v>
      </c>
      <c r="N93" s="4">
        <f t="shared" si="19"/>
        <v>9.6</v>
      </c>
      <c r="O93" s="4">
        <f t="shared" si="19"/>
        <v>96.8</v>
      </c>
      <c r="P93" s="13">
        <f t="shared" si="3"/>
        <v>8009</v>
      </c>
      <c r="Q93" s="4">
        <f t="shared" si="19"/>
        <v>20.9</v>
      </c>
      <c r="R93" s="4">
        <f t="shared" si="19"/>
        <v>22.6</v>
      </c>
      <c r="S93" s="4">
        <f t="shared" si="19"/>
        <v>23.9</v>
      </c>
      <c r="T93" s="4">
        <f t="shared" si="19"/>
        <v>18.100000000000001</v>
      </c>
      <c r="U93" s="4">
        <f t="shared" si="19"/>
        <v>10.6</v>
      </c>
      <c r="V93" s="4">
        <f t="shared" si="19"/>
        <v>96.1</v>
      </c>
      <c r="W93" s="13">
        <f t="shared" si="4"/>
        <v>13819</v>
      </c>
    </row>
    <row r="94" spans="1:23" x14ac:dyDescent="0.2">
      <c r="B94" s="10" t="s">
        <v>17</v>
      </c>
      <c r="C94" s="4">
        <f t="shared" ref="C94:V94" si="20">ROUND(C58,1)</f>
        <v>12.3</v>
      </c>
      <c r="D94" s="4">
        <f t="shared" si="20"/>
        <v>20</v>
      </c>
      <c r="E94" s="4">
        <f t="shared" si="20"/>
        <v>25.2</v>
      </c>
      <c r="F94" s="4">
        <f t="shared" si="20"/>
        <v>22.7</v>
      </c>
      <c r="G94" s="4">
        <f t="shared" si="20"/>
        <v>14.5</v>
      </c>
      <c r="H94" s="4">
        <f t="shared" si="20"/>
        <v>94.6</v>
      </c>
      <c r="I94" s="13">
        <f t="shared" si="2"/>
        <v>12254</v>
      </c>
      <c r="J94" s="4">
        <f t="shared" si="20"/>
        <v>21.8</v>
      </c>
      <c r="K94" s="4">
        <f t="shared" si="20"/>
        <v>24.7</v>
      </c>
      <c r="L94" s="4">
        <f t="shared" si="20"/>
        <v>24</v>
      </c>
      <c r="M94" s="4">
        <f t="shared" si="20"/>
        <v>17.5</v>
      </c>
      <c r="N94" s="4">
        <f t="shared" si="20"/>
        <v>9.1999999999999993</v>
      </c>
      <c r="O94" s="4">
        <f t="shared" si="20"/>
        <v>97.2</v>
      </c>
      <c r="P94" s="13">
        <f t="shared" si="3"/>
        <v>36349</v>
      </c>
      <c r="Q94" s="4">
        <f t="shared" si="20"/>
        <v>19.399999999999999</v>
      </c>
      <c r="R94" s="4">
        <f t="shared" si="20"/>
        <v>23.5</v>
      </c>
      <c r="S94" s="4">
        <f t="shared" si="20"/>
        <v>24.3</v>
      </c>
      <c r="T94" s="4">
        <f t="shared" si="20"/>
        <v>18.8</v>
      </c>
      <c r="U94" s="4">
        <f t="shared" si="20"/>
        <v>10.6</v>
      </c>
      <c r="V94" s="4">
        <f t="shared" si="20"/>
        <v>96.6</v>
      </c>
      <c r="W94" s="13">
        <f t="shared" si="4"/>
        <v>48603</v>
      </c>
    </row>
    <row r="95" spans="1:23" x14ac:dyDescent="0.2">
      <c r="B95" s="10" t="s">
        <v>18</v>
      </c>
      <c r="C95" s="4">
        <f t="shared" ref="C95:V95" si="21">ROUND(C59,1)</f>
        <v>16.100000000000001</v>
      </c>
      <c r="D95" s="4">
        <f t="shared" si="21"/>
        <v>24.2</v>
      </c>
      <c r="E95" s="4">
        <f t="shared" si="21"/>
        <v>27.1</v>
      </c>
      <c r="F95" s="4">
        <f t="shared" si="21"/>
        <v>20</v>
      </c>
      <c r="G95" s="4">
        <f t="shared" si="21"/>
        <v>9.5</v>
      </c>
      <c r="H95" s="4">
        <f t="shared" si="21"/>
        <v>97</v>
      </c>
      <c r="I95" s="13">
        <f t="shared" si="2"/>
        <v>5936</v>
      </c>
      <c r="J95" s="4">
        <f t="shared" si="21"/>
        <v>23.4</v>
      </c>
      <c r="K95" s="4">
        <f t="shared" si="21"/>
        <v>27</v>
      </c>
      <c r="L95" s="4">
        <f t="shared" si="21"/>
        <v>25</v>
      </c>
      <c r="M95" s="4">
        <f t="shared" si="21"/>
        <v>15.9</v>
      </c>
      <c r="N95" s="4">
        <f t="shared" si="21"/>
        <v>6.7</v>
      </c>
      <c r="O95" s="4">
        <f t="shared" si="21"/>
        <v>98</v>
      </c>
      <c r="P95" s="13">
        <f t="shared" si="3"/>
        <v>18593</v>
      </c>
      <c r="Q95" s="4">
        <f t="shared" si="21"/>
        <v>21.6</v>
      </c>
      <c r="R95" s="4">
        <f t="shared" si="21"/>
        <v>26.3</v>
      </c>
      <c r="S95" s="4">
        <f t="shared" si="21"/>
        <v>25.5</v>
      </c>
      <c r="T95" s="4">
        <f t="shared" si="21"/>
        <v>16.899999999999999</v>
      </c>
      <c r="U95" s="4">
        <f t="shared" si="21"/>
        <v>7.4</v>
      </c>
      <c r="V95" s="4">
        <f t="shared" si="21"/>
        <v>97.8</v>
      </c>
      <c r="W95" s="13">
        <f t="shared" si="4"/>
        <v>24529</v>
      </c>
    </row>
    <row r="96" spans="1:23" x14ac:dyDescent="0.2">
      <c r="B96" s="10" t="s">
        <v>19</v>
      </c>
      <c r="C96" s="4">
        <f t="shared" ref="C96:V96" si="22">ROUND(C60,1)</f>
        <v>18.5</v>
      </c>
      <c r="D96" s="4">
        <f t="shared" si="22"/>
        <v>25.6</v>
      </c>
      <c r="E96" s="4">
        <f t="shared" si="22"/>
        <v>26.3</v>
      </c>
      <c r="F96" s="4">
        <f t="shared" si="22"/>
        <v>17.399999999999999</v>
      </c>
      <c r="G96" s="4">
        <f t="shared" si="22"/>
        <v>9.5</v>
      </c>
      <c r="H96" s="4">
        <f t="shared" si="22"/>
        <v>97.4</v>
      </c>
      <c r="I96" s="13">
        <f t="shared" si="2"/>
        <v>1646</v>
      </c>
      <c r="J96" s="4">
        <f t="shared" si="22"/>
        <v>22.8</v>
      </c>
      <c r="K96" s="4">
        <f t="shared" si="22"/>
        <v>27.5</v>
      </c>
      <c r="L96" s="4">
        <f t="shared" si="22"/>
        <v>24.7</v>
      </c>
      <c r="M96" s="4">
        <f t="shared" si="22"/>
        <v>16.3</v>
      </c>
      <c r="N96" s="4">
        <f t="shared" si="22"/>
        <v>6.4</v>
      </c>
      <c r="O96" s="4">
        <f t="shared" si="22"/>
        <v>97.8</v>
      </c>
      <c r="P96" s="13">
        <f t="shared" si="3"/>
        <v>1621</v>
      </c>
      <c r="Q96" s="4">
        <f t="shared" si="22"/>
        <v>20.7</v>
      </c>
      <c r="R96" s="4">
        <f t="shared" si="22"/>
        <v>26.6</v>
      </c>
      <c r="S96" s="4">
        <f t="shared" si="22"/>
        <v>25.5</v>
      </c>
      <c r="T96" s="4">
        <f t="shared" si="22"/>
        <v>16.899999999999999</v>
      </c>
      <c r="U96" s="4">
        <f t="shared" si="22"/>
        <v>8</v>
      </c>
      <c r="V96" s="4">
        <f t="shared" si="22"/>
        <v>97.6</v>
      </c>
      <c r="W96" s="13">
        <f t="shared" si="4"/>
        <v>3267</v>
      </c>
    </row>
    <row r="97" spans="2:23" x14ac:dyDescent="0.2">
      <c r="B97" s="10" t="s">
        <v>20</v>
      </c>
      <c r="C97" s="4">
        <f t="shared" ref="C97:V97" si="23">ROUND(C61,1)</f>
        <v>25.5</v>
      </c>
      <c r="D97" s="4">
        <f t="shared" si="23"/>
        <v>22.4</v>
      </c>
      <c r="E97" s="4">
        <f t="shared" si="23"/>
        <v>23.6</v>
      </c>
      <c r="F97" s="4">
        <f t="shared" si="23"/>
        <v>17.399999999999999</v>
      </c>
      <c r="G97" s="4">
        <f t="shared" si="23"/>
        <v>8.1999999999999993</v>
      </c>
      <c r="H97" s="4">
        <f t="shared" si="23"/>
        <v>97</v>
      </c>
      <c r="I97" s="13">
        <f t="shared" si="2"/>
        <v>11414</v>
      </c>
      <c r="J97" s="4">
        <f t="shared" si="23"/>
        <v>31.7</v>
      </c>
      <c r="K97" s="4">
        <f t="shared" si="23"/>
        <v>24.9</v>
      </c>
      <c r="L97" s="4">
        <f t="shared" si="23"/>
        <v>22.5</v>
      </c>
      <c r="M97" s="4">
        <f t="shared" si="23"/>
        <v>13.5</v>
      </c>
      <c r="N97" s="4">
        <f t="shared" si="23"/>
        <v>5.5</v>
      </c>
      <c r="O97" s="4">
        <f t="shared" si="23"/>
        <v>98.1</v>
      </c>
      <c r="P97" s="13">
        <f t="shared" si="3"/>
        <v>26537</v>
      </c>
      <c r="Q97" s="4">
        <f t="shared" si="23"/>
        <v>29.8</v>
      </c>
      <c r="R97" s="4">
        <f t="shared" si="23"/>
        <v>24.2</v>
      </c>
      <c r="S97" s="4">
        <f t="shared" si="23"/>
        <v>22.8</v>
      </c>
      <c r="T97" s="4">
        <f t="shared" si="23"/>
        <v>14.7</v>
      </c>
      <c r="U97" s="4">
        <f t="shared" si="23"/>
        <v>6.3</v>
      </c>
      <c r="V97" s="4">
        <f t="shared" si="23"/>
        <v>97.8</v>
      </c>
      <c r="W97" s="13">
        <f t="shared" si="4"/>
        <v>37951</v>
      </c>
    </row>
    <row r="98" spans="2:23" x14ac:dyDescent="0.2">
      <c r="B98" s="10" t="s">
        <v>21</v>
      </c>
      <c r="C98" s="4">
        <f t="shared" ref="C98:V98" si="24">ROUND(C62,1)</f>
        <v>14.7</v>
      </c>
      <c r="D98" s="4">
        <f t="shared" si="24"/>
        <v>27.5</v>
      </c>
      <c r="E98" s="4">
        <f t="shared" si="24"/>
        <v>32.700000000000003</v>
      </c>
      <c r="F98" s="4">
        <f t="shared" si="24"/>
        <v>18.399999999999999</v>
      </c>
      <c r="G98" s="4">
        <f t="shared" si="24"/>
        <v>5.9</v>
      </c>
      <c r="H98" s="4">
        <f t="shared" si="24"/>
        <v>99.1</v>
      </c>
      <c r="I98" s="13">
        <f t="shared" si="2"/>
        <v>4380</v>
      </c>
      <c r="J98" s="4">
        <f t="shared" si="24"/>
        <v>22.5</v>
      </c>
      <c r="K98" s="4">
        <f t="shared" si="24"/>
        <v>32.6</v>
      </c>
      <c r="L98" s="4">
        <f t="shared" si="24"/>
        <v>27.6</v>
      </c>
      <c r="M98" s="4">
        <f t="shared" si="24"/>
        <v>13.5</v>
      </c>
      <c r="N98" s="4">
        <f t="shared" si="24"/>
        <v>3.3</v>
      </c>
      <c r="O98" s="4">
        <f t="shared" si="24"/>
        <v>99.5</v>
      </c>
      <c r="P98" s="13">
        <f t="shared" si="3"/>
        <v>10542</v>
      </c>
      <c r="Q98" s="4">
        <f t="shared" si="24"/>
        <v>20.2</v>
      </c>
      <c r="R98" s="4">
        <f t="shared" si="24"/>
        <v>31.1</v>
      </c>
      <c r="S98" s="4">
        <f t="shared" si="24"/>
        <v>29.1</v>
      </c>
      <c r="T98" s="4">
        <f t="shared" si="24"/>
        <v>14.9</v>
      </c>
      <c r="U98" s="4">
        <f t="shared" si="24"/>
        <v>4</v>
      </c>
      <c r="V98" s="4">
        <f t="shared" si="24"/>
        <v>99.4</v>
      </c>
      <c r="W98" s="13">
        <f t="shared" si="4"/>
        <v>14922</v>
      </c>
    </row>
    <row r="99" spans="2:23" x14ac:dyDescent="0.2">
      <c r="B99" s="10" t="s">
        <v>22</v>
      </c>
      <c r="C99" s="4">
        <f t="shared" ref="C99:V99" si="25">ROUND(C63,1)</f>
        <v>23.3</v>
      </c>
      <c r="D99" s="4">
        <f t="shared" si="25"/>
        <v>24.9</v>
      </c>
      <c r="E99" s="4">
        <f t="shared" si="25"/>
        <v>26.7</v>
      </c>
      <c r="F99" s="4">
        <f t="shared" si="25"/>
        <v>17.899999999999999</v>
      </c>
      <c r="G99" s="4">
        <f t="shared" si="25"/>
        <v>6</v>
      </c>
      <c r="H99" s="4">
        <f t="shared" si="25"/>
        <v>98.9</v>
      </c>
      <c r="I99" s="13">
        <f t="shared" si="2"/>
        <v>23965</v>
      </c>
      <c r="J99" s="4">
        <f t="shared" si="25"/>
        <v>23.3</v>
      </c>
      <c r="K99" s="4">
        <f t="shared" si="25"/>
        <v>26.1</v>
      </c>
      <c r="L99" s="4">
        <f t="shared" si="25"/>
        <v>27.4</v>
      </c>
      <c r="M99" s="4">
        <f t="shared" si="25"/>
        <v>17.100000000000001</v>
      </c>
      <c r="N99" s="4">
        <f t="shared" si="25"/>
        <v>5.2</v>
      </c>
      <c r="O99" s="4">
        <f t="shared" si="25"/>
        <v>99.2</v>
      </c>
      <c r="P99" s="13">
        <f t="shared" si="3"/>
        <v>53537</v>
      </c>
      <c r="Q99" s="4">
        <f t="shared" si="25"/>
        <v>23.3</v>
      </c>
      <c r="R99" s="4">
        <f t="shared" si="25"/>
        <v>25.8</v>
      </c>
      <c r="S99" s="4">
        <f t="shared" si="25"/>
        <v>27.2</v>
      </c>
      <c r="T99" s="4">
        <f t="shared" si="25"/>
        <v>17.399999999999999</v>
      </c>
      <c r="U99" s="4">
        <f t="shared" si="25"/>
        <v>5.5</v>
      </c>
      <c r="V99" s="4">
        <f t="shared" si="25"/>
        <v>99.1</v>
      </c>
      <c r="W99" s="13">
        <f t="shared" si="4"/>
        <v>77502</v>
      </c>
    </row>
    <row r="100" spans="2:23" x14ac:dyDescent="0.2">
      <c r="B100" s="10" t="s">
        <v>51</v>
      </c>
      <c r="C100" s="4">
        <f t="shared" ref="C100:V100" si="26">ROUND(C64,1)</f>
        <v>10.6</v>
      </c>
      <c r="D100" s="4">
        <f t="shared" si="26"/>
        <v>26.1</v>
      </c>
      <c r="E100" s="4">
        <f t="shared" si="26"/>
        <v>34.5</v>
      </c>
      <c r="F100" s="4">
        <f t="shared" si="26"/>
        <v>20.6</v>
      </c>
      <c r="G100" s="4">
        <f t="shared" si="26"/>
        <v>6.9</v>
      </c>
      <c r="H100" s="4">
        <f t="shared" si="26"/>
        <v>98.7</v>
      </c>
      <c r="I100" s="13">
        <f t="shared" si="2"/>
        <v>10172</v>
      </c>
      <c r="J100" s="4">
        <f t="shared" si="26"/>
        <v>15.8</v>
      </c>
      <c r="K100" s="4">
        <f t="shared" si="26"/>
        <v>32.1</v>
      </c>
      <c r="L100" s="4">
        <f t="shared" si="26"/>
        <v>31.8</v>
      </c>
      <c r="M100" s="4">
        <f t="shared" si="26"/>
        <v>15.7</v>
      </c>
      <c r="N100" s="4">
        <f t="shared" si="26"/>
        <v>3.8</v>
      </c>
      <c r="O100" s="4">
        <f t="shared" si="26"/>
        <v>99.1</v>
      </c>
      <c r="P100" s="13">
        <f t="shared" si="3"/>
        <v>13141</v>
      </c>
      <c r="Q100" s="4">
        <f t="shared" si="26"/>
        <v>13.5</v>
      </c>
      <c r="R100" s="4">
        <f t="shared" si="26"/>
        <v>29.5</v>
      </c>
      <c r="S100" s="4">
        <f t="shared" si="26"/>
        <v>33</v>
      </c>
      <c r="T100" s="4">
        <f t="shared" si="26"/>
        <v>17.8</v>
      </c>
      <c r="U100" s="4">
        <f t="shared" si="26"/>
        <v>5.2</v>
      </c>
      <c r="V100" s="4">
        <f t="shared" si="26"/>
        <v>98.9</v>
      </c>
      <c r="W100" s="13">
        <f t="shared" si="4"/>
        <v>23313</v>
      </c>
    </row>
    <row r="101" spans="2:23" x14ac:dyDescent="0.2">
      <c r="B101" s="10" t="s">
        <v>23</v>
      </c>
      <c r="C101" s="4">
        <f t="shared" ref="C101:V101" si="27">ROUND(C65,1)</f>
        <v>13.5</v>
      </c>
      <c r="D101" s="4">
        <f t="shared" si="27"/>
        <v>32</v>
      </c>
      <c r="E101" s="4">
        <f t="shared" si="27"/>
        <v>35.1</v>
      </c>
      <c r="F101" s="4">
        <f t="shared" si="27"/>
        <v>14.9</v>
      </c>
      <c r="G101" s="4">
        <f t="shared" si="27"/>
        <v>3.4</v>
      </c>
      <c r="H101" s="4">
        <f t="shared" si="27"/>
        <v>98.9</v>
      </c>
      <c r="I101" s="13">
        <f t="shared" si="2"/>
        <v>4234</v>
      </c>
      <c r="J101" s="4">
        <f t="shared" si="27"/>
        <v>18.100000000000001</v>
      </c>
      <c r="K101" s="4">
        <f t="shared" si="27"/>
        <v>33.799999999999997</v>
      </c>
      <c r="L101" s="4">
        <f t="shared" si="27"/>
        <v>31.2</v>
      </c>
      <c r="M101" s="4">
        <f t="shared" si="27"/>
        <v>13.2</v>
      </c>
      <c r="N101" s="4">
        <f t="shared" si="27"/>
        <v>3</v>
      </c>
      <c r="O101" s="4">
        <f t="shared" si="27"/>
        <v>99.3</v>
      </c>
      <c r="P101" s="13">
        <f t="shared" si="3"/>
        <v>5773</v>
      </c>
      <c r="Q101" s="4">
        <f t="shared" si="27"/>
        <v>16.100000000000001</v>
      </c>
      <c r="R101" s="4">
        <f t="shared" si="27"/>
        <v>33</v>
      </c>
      <c r="S101" s="4">
        <f t="shared" si="27"/>
        <v>32.799999999999997</v>
      </c>
      <c r="T101" s="4">
        <f t="shared" si="27"/>
        <v>14</v>
      </c>
      <c r="U101" s="4">
        <f t="shared" si="27"/>
        <v>3.2</v>
      </c>
      <c r="V101" s="4">
        <f t="shared" si="27"/>
        <v>99.1</v>
      </c>
      <c r="W101" s="13">
        <f t="shared" si="4"/>
        <v>10007</v>
      </c>
    </row>
    <row r="102" spans="2:23" x14ac:dyDescent="0.2">
      <c r="B102" s="10" t="s">
        <v>24</v>
      </c>
      <c r="C102" s="4">
        <f t="shared" ref="C102:V102" si="28">ROUND(C66,1)</f>
        <v>39.200000000000003</v>
      </c>
      <c r="D102" s="4">
        <f t="shared" si="28"/>
        <v>27.5</v>
      </c>
      <c r="E102" s="4">
        <f t="shared" si="28"/>
        <v>17</v>
      </c>
      <c r="F102" s="4">
        <f t="shared" si="28"/>
        <v>11</v>
      </c>
      <c r="G102" s="4">
        <f t="shared" si="28"/>
        <v>4.2</v>
      </c>
      <c r="H102" s="4">
        <f t="shared" si="28"/>
        <v>98.8</v>
      </c>
      <c r="I102" s="13">
        <f t="shared" si="2"/>
        <v>3846</v>
      </c>
      <c r="J102" s="4">
        <f t="shared" si="28"/>
        <v>35.700000000000003</v>
      </c>
      <c r="K102" s="4">
        <f t="shared" si="28"/>
        <v>28.1</v>
      </c>
      <c r="L102" s="4">
        <f t="shared" si="28"/>
        <v>18.7</v>
      </c>
      <c r="M102" s="4">
        <f t="shared" si="28"/>
        <v>11.8</v>
      </c>
      <c r="N102" s="4">
        <f t="shared" si="28"/>
        <v>4.8</v>
      </c>
      <c r="O102" s="4">
        <f t="shared" si="28"/>
        <v>99.1</v>
      </c>
      <c r="P102" s="13">
        <f t="shared" si="3"/>
        <v>8306</v>
      </c>
      <c r="Q102" s="4">
        <f t="shared" si="28"/>
        <v>36.799999999999997</v>
      </c>
      <c r="R102" s="4">
        <f t="shared" si="28"/>
        <v>27.9</v>
      </c>
      <c r="S102" s="4">
        <f t="shared" si="28"/>
        <v>18.100000000000001</v>
      </c>
      <c r="T102" s="4">
        <f t="shared" si="28"/>
        <v>11.5</v>
      </c>
      <c r="U102" s="4">
        <f t="shared" si="28"/>
        <v>4.5999999999999996</v>
      </c>
      <c r="V102" s="4">
        <f t="shared" si="28"/>
        <v>99</v>
      </c>
      <c r="W102" s="13">
        <f t="shared" si="4"/>
        <v>12152</v>
      </c>
    </row>
    <row r="103" spans="2:23" x14ac:dyDescent="0.2">
      <c r="B103" s="10" t="s">
        <v>25</v>
      </c>
      <c r="C103" s="4">
        <f t="shared" ref="C103:V103" si="29">ROUND(C67,1)</f>
        <v>40.6</v>
      </c>
      <c r="D103" s="4">
        <f t="shared" si="29"/>
        <v>24.7</v>
      </c>
      <c r="E103" s="4">
        <f t="shared" si="29"/>
        <v>17.7</v>
      </c>
      <c r="F103" s="4">
        <f t="shared" si="29"/>
        <v>11.6</v>
      </c>
      <c r="G103" s="4">
        <f t="shared" si="29"/>
        <v>4.4000000000000004</v>
      </c>
      <c r="H103" s="4">
        <f t="shared" si="29"/>
        <v>99</v>
      </c>
      <c r="I103" s="13">
        <f t="shared" si="2"/>
        <v>2181</v>
      </c>
      <c r="J103" s="4">
        <f t="shared" si="29"/>
        <v>34.799999999999997</v>
      </c>
      <c r="K103" s="4">
        <f t="shared" si="29"/>
        <v>27.2</v>
      </c>
      <c r="L103" s="4">
        <f t="shared" si="29"/>
        <v>19.899999999999999</v>
      </c>
      <c r="M103" s="4">
        <f t="shared" si="29"/>
        <v>12.3</v>
      </c>
      <c r="N103" s="4">
        <f t="shared" si="29"/>
        <v>4.8</v>
      </c>
      <c r="O103" s="4">
        <f t="shared" si="29"/>
        <v>99</v>
      </c>
      <c r="P103" s="13">
        <f t="shared" si="3"/>
        <v>3434</v>
      </c>
      <c r="Q103" s="4">
        <f t="shared" si="29"/>
        <v>37</v>
      </c>
      <c r="R103" s="4">
        <f t="shared" si="29"/>
        <v>26.2</v>
      </c>
      <c r="S103" s="4">
        <f t="shared" si="29"/>
        <v>19.100000000000001</v>
      </c>
      <c r="T103" s="4">
        <f t="shared" si="29"/>
        <v>12</v>
      </c>
      <c r="U103" s="4">
        <f t="shared" si="29"/>
        <v>4.7</v>
      </c>
      <c r="V103" s="4">
        <f t="shared" si="29"/>
        <v>99</v>
      </c>
      <c r="W103" s="13">
        <f t="shared" si="4"/>
        <v>5615</v>
      </c>
    </row>
    <row r="104" spans="2:23" x14ac:dyDescent="0.2">
      <c r="B104" s="10" t="s">
        <v>26</v>
      </c>
      <c r="C104" s="4">
        <f t="shared" ref="C104:V104" si="30">ROUND(C68,1)</f>
        <v>41.5</v>
      </c>
      <c r="D104" s="4">
        <f t="shared" si="30"/>
        <v>29.8</v>
      </c>
      <c r="E104" s="4">
        <f t="shared" si="30"/>
        <v>16.3</v>
      </c>
      <c r="F104" s="4">
        <f t="shared" si="30"/>
        <v>7.3</v>
      </c>
      <c r="G104" s="4">
        <f t="shared" si="30"/>
        <v>4</v>
      </c>
      <c r="H104" s="4">
        <f t="shared" si="30"/>
        <v>98.9</v>
      </c>
      <c r="I104" s="13">
        <f t="shared" si="2"/>
        <v>1865</v>
      </c>
      <c r="J104" s="4">
        <f t="shared" si="30"/>
        <v>37.1</v>
      </c>
      <c r="K104" s="4">
        <f t="shared" si="30"/>
        <v>28.2</v>
      </c>
      <c r="L104" s="4">
        <f t="shared" si="30"/>
        <v>18.600000000000001</v>
      </c>
      <c r="M104" s="4">
        <f t="shared" si="30"/>
        <v>11</v>
      </c>
      <c r="N104" s="4">
        <f t="shared" si="30"/>
        <v>4</v>
      </c>
      <c r="O104" s="4">
        <f t="shared" si="30"/>
        <v>98.9</v>
      </c>
      <c r="P104" s="13">
        <f t="shared" si="3"/>
        <v>3626</v>
      </c>
      <c r="Q104" s="4">
        <f t="shared" si="30"/>
        <v>38.6</v>
      </c>
      <c r="R104" s="4">
        <f t="shared" si="30"/>
        <v>28.7</v>
      </c>
      <c r="S104" s="4">
        <f t="shared" si="30"/>
        <v>17.8</v>
      </c>
      <c r="T104" s="4">
        <f t="shared" si="30"/>
        <v>9.6999999999999993</v>
      </c>
      <c r="U104" s="4">
        <f t="shared" si="30"/>
        <v>4</v>
      </c>
      <c r="V104" s="4">
        <f t="shared" si="30"/>
        <v>98.9</v>
      </c>
      <c r="W104" s="13">
        <f t="shared" si="4"/>
        <v>5491</v>
      </c>
    </row>
    <row r="105" spans="2:23" x14ac:dyDescent="0.2">
      <c r="B105" s="10" t="s">
        <v>27</v>
      </c>
      <c r="C105" s="4">
        <f t="shared" ref="C105:V105" si="31">ROUND(C69,1)</f>
        <v>44.6</v>
      </c>
      <c r="D105" s="4">
        <f t="shared" si="31"/>
        <v>32</v>
      </c>
      <c r="E105" s="4">
        <f t="shared" si="31"/>
        <v>13.6</v>
      </c>
      <c r="F105" s="4">
        <f t="shared" si="31"/>
        <v>4.5999999999999996</v>
      </c>
      <c r="G105" s="4">
        <f t="shared" si="31"/>
        <v>2.2999999999999998</v>
      </c>
      <c r="H105" s="4">
        <f t="shared" si="31"/>
        <v>97.1</v>
      </c>
      <c r="I105" s="13">
        <f t="shared" si="2"/>
        <v>2235</v>
      </c>
      <c r="J105" s="4">
        <f t="shared" si="31"/>
        <v>52.2</v>
      </c>
      <c r="K105" s="4">
        <f t="shared" si="31"/>
        <v>27.9</v>
      </c>
      <c r="L105" s="4">
        <f t="shared" si="31"/>
        <v>11.7</v>
      </c>
      <c r="M105" s="4">
        <f t="shared" si="31"/>
        <v>3.7</v>
      </c>
      <c r="N105" s="4">
        <f t="shared" si="31"/>
        <v>2.5</v>
      </c>
      <c r="O105" s="4">
        <f t="shared" si="31"/>
        <v>98</v>
      </c>
      <c r="P105" s="13">
        <f t="shared" si="3"/>
        <v>2884</v>
      </c>
      <c r="Q105" s="4">
        <f t="shared" si="31"/>
        <v>48.9</v>
      </c>
      <c r="R105" s="4">
        <f t="shared" si="31"/>
        <v>29.7</v>
      </c>
      <c r="S105" s="4">
        <f t="shared" si="31"/>
        <v>12.5</v>
      </c>
      <c r="T105" s="4">
        <f t="shared" si="31"/>
        <v>4.0999999999999996</v>
      </c>
      <c r="U105" s="4">
        <f t="shared" si="31"/>
        <v>2.4</v>
      </c>
      <c r="V105" s="4">
        <f t="shared" si="31"/>
        <v>97.6</v>
      </c>
      <c r="W105" s="13">
        <f t="shared" si="4"/>
        <v>5119</v>
      </c>
    </row>
    <row r="106" spans="2:23" x14ac:dyDescent="0.2">
      <c r="B106" s="10" t="s">
        <v>28</v>
      </c>
      <c r="C106" s="4">
        <f t="shared" ref="C106:V106" si="32">ROUND(C70,1)</f>
        <v>34.9</v>
      </c>
      <c r="D106" s="4">
        <f t="shared" si="32"/>
        <v>25.7</v>
      </c>
      <c r="E106" s="4">
        <f t="shared" si="32"/>
        <v>21.4</v>
      </c>
      <c r="F106" s="4">
        <f t="shared" si="32"/>
        <v>12.3</v>
      </c>
      <c r="G106" s="4">
        <f t="shared" si="32"/>
        <v>4.5</v>
      </c>
      <c r="H106" s="4">
        <f t="shared" si="32"/>
        <v>98.9</v>
      </c>
      <c r="I106" s="13">
        <f t="shared" si="2"/>
        <v>2602</v>
      </c>
      <c r="J106" s="4">
        <f t="shared" si="32"/>
        <v>39.5</v>
      </c>
      <c r="K106" s="4">
        <f t="shared" si="32"/>
        <v>31</v>
      </c>
      <c r="L106" s="4">
        <f t="shared" si="32"/>
        <v>18.100000000000001</v>
      </c>
      <c r="M106" s="4">
        <f t="shared" si="32"/>
        <v>8.4</v>
      </c>
      <c r="N106" s="4">
        <f t="shared" si="32"/>
        <v>2.2999999999999998</v>
      </c>
      <c r="O106" s="4">
        <f t="shared" si="32"/>
        <v>99.3</v>
      </c>
      <c r="P106" s="13">
        <f t="shared" si="3"/>
        <v>3164</v>
      </c>
      <c r="Q106" s="4">
        <f t="shared" si="32"/>
        <v>37.5</v>
      </c>
      <c r="R106" s="4">
        <f t="shared" si="32"/>
        <v>28.6</v>
      </c>
      <c r="S106" s="4">
        <f t="shared" si="32"/>
        <v>19.600000000000001</v>
      </c>
      <c r="T106" s="4">
        <f t="shared" si="32"/>
        <v>10.199999999999999</v>
      </c>
      <c r="U106" s="4">
        <f t="shared" si="32"/>
        <v>3.3</v>
      </c>
      <c r="V106" s="4">
        <f t="shared" si="32"/>
        <v>99.1</v>
      </c>
      <c r="W106" s="13">
        <f t="shared" si="4"/>
        <v>5766</v>
      </c>
    </row>
    <row r="107" spans="2:23" x14ac:dyDescent="0.2">
      <c r="B107" s="10" t="s">
        <v>29</v>
      </c>
      <c r="C107" s="4">
        <f t="shared" ref="C107:V107" si="33">ROUND(C71,1)</f>
        <v>27</v>
      </c>
      <c r="D107" s="4">
        <f t="shared" si="33"/>
        <v>28.7</v>
      </c>
      <c r="E107" s="4">
        <f t="shared" si="33"/>
        <v>23.5</v>
      </c>
      <c r="F107" s="4">
        <f t="shared" si="33"/>
        <v>13.5</v>
      </c>
      <c r="G107" s="4">
        <f t="shared" si="33"/>
        <v>5.4</v>
      </c>
      <c r="H107" s="4">
        <f t="shared" si="33"/>
        <v>98.3</v>
      </c>
      <c r="I107" s="13">
        <f t="shared" si="2"/>
        <v>5106</v>
      </c>
      <c r="J107" s="4">
        <f t="shared" si="33"/>
        <v>28.1</v>
      </c>
      <c r="K107" s="4">
        <f t="shared" si="33"/>
        <v>30.7</v>
      </c>
      <c r="L107" s="4">
        <f t="shared" si="33"/>
        <v>23.4</v>
      </c>
      <c r="M107" s="4">
        <f t="shared" si="33"/>
        <v>12.3</v>
      </c>
      <c r="N107" s="4">
        <f t="shared" si="33"/>
        <v>4.5999999999999996</v>
      </c>
      <c r="O107" s="4">
        <f t="shared" si="33"/>
        <v>99</v>
      </c>
      <c r="P107" s="13">
        <f t="shared" si="3"/>
        <v>10487</v>
      </c>
      <c r="Q107" s="4">
        <f t="shared" si="33"/>
        <v>27.7</v>
      </c>
      <c r="R107" s="4">
        <f t="shared" si="33"/>
        <v>30</v>
      </c>
      <c r="S107" s="4">
        <f t="shared" si="33"/>
        <v>23.4</v>
      </c>
      <c r="T107" s="4">
        <f t="shared" si="33"/>
        <v>12.7</v>
      </c>
      <c r="U107" s="4">
        <f t="shared" si="33"/>
        <v>4.9000000000000004</v>
      </c>
      <c r="V107" s="4">
        <f t="shared" si="33"/>
        <v>98.8</v>
      </c>
      <c r="W107" s="13">
        <f t="shared" si="4"/>
        <v>15593</v>
      </c>
    </row>
    <row r="108" spans="2:23" x14ac:dyDescent="0.2">
      <c r="B108" s="10" t="s">
        <v>30</v>
      </c>
      <c r="C108" s="4">
        <f t="shared" ref="C108:V108" si="34">ROUND(C72,1)</f>
        <v>14.4</v>
      </c>
      <c r="D108" s="4">
        <f t="shared" si="34"/>
        <v>20.7</v>
      </c>
      <c r="E108" s="4">
        <f t="shared" si="34"/>
        <v>25.9</v>
      </c>
      <c r="F108" s="4">
        <f t="shared" si="34"/>
        <v>22.9</v>
      </c>
      <c r="G108" s="4">
        <f t="shared" si="34"/>
        <v>12.2</v>
      </c>
      <c r="H108" s="4">
        <f t="shared" si="34"/>
        <v>96.1</v>
      </c>
      <c r="I108" s="13">
        <f t="shared" si="2"/>
        <v>5354</v>
      </c>
      <c r="J108" s="4">
        <f t="shared" si="34"/>
        <v>21.4</v>
      </c>
      <c r="K108" s="4">
        <f t="shared" si="34"/>
        <v>23.8</v>
      </c>
      <c r="L108" s="4">
        <f t="shared" si="34"/>
        <v>24.4</v>
      </c>
      <c r="M108" s="4">
        <f t="shared" si="34"/>
        <v>19.100000000000001</v>
      </c>
      <c r="N108" s="4">
        <f t="shared" si="34"/>
        <v>9.3000000000000007</v>
      </c>
      <c r="O108" s="4">
        <f t="shared" si="34"/>
        <v>98.1</v>
      </c>
      <c r="P108" s="13">
        <f t="shared" si="3"/>
        <v>3744</v>
      </c>
      <c r="Q108" s="4">
        <f t="shared" si="34"/>
        <v>17.3</v>
      </c>
      <c r="R108" s="4">
        <f t="shared" si="34"/>
        <v>22</v>
      </c>
      <c r="S108" s="4">
        <f t="shared" si="34"/>
        <v>25.3</v>
      </c>
      <c r="T108" s="4">
        <f t="shared" si="34"/>
        <v>21.3</v>
      </c>
      <c r="U108" s="4">
        <f t="shared" si="34"/>
        <v>11</v>
      </c>
      <c r="V108" s="4">
        <f t="shared" si="34"/>
        <v>96.9</v>
      </c>
      <c r="W108" s="13">
        <f t="shared" si="4"/>
        <v>9098</v>
      </c>
    </row>
    <row r="109" spans="2:23" x14ac:dyDescent="0.2">
      <c r="B109" s="10" t="s">
        <v>31</v>
      </c>
      <c r="C109" s="4">
        <f t="shared" ref="C109:V109" si="35">ROUND(C73,1)</f>
        <v>11.4</v>
      </c>
      <c r="D109" s="4">
        <f t="shared" si="35"/>
        <v>20.399999999999999</v>
      </c>
      <c r="E109" s="4">
        <f t="shared" si="35"/>
        <v>26</v>
      </c>
      <c r="F109" s="4">
        <f t="shared" si="35"/>
        <v>23.9</v>
      </c>
      <c r="G109" s="4">
        <f t="shared" si="35"/>
        <v>15.3</v>
      </c>
      <c r="H109" s="4">
        <f t="shared" si="35"/>
        <v>97</v>
      </c>
      <c r="I109" s="13">
        <f t="shared" si="2"/>
        <v>12398</v>
      </c>
      <c r="J109" s="4">
        <f t="shared" si="35"/>
        <v>22.1</v>
      </c>
      <c r="K109" s="4">
        <f t="shared" si="35"/>
        <v>23.4</v>
      </c>
      <c r="L109" s="4">
        <f t="shared" si="35"/>
        <v>24</v>
      </c>
      <c r="M109" s="4">
        <f t="shared" si="35"/>
        <v>18.2</v>
      </c>
      <c r="N109" s="4">
        <f t="shared" si="35"/>
        <v>10.199999999999999</v>
      </c>
      <c r="O109" s="4">
        <f t="shared" si="35"/>
        <v>97.9</v>
      </c>
      <c r="P109" s="13">
        <f t="shared" si="3"/>
        <v>9129</v>
      </c>
      <c r="Q109" s="4">
        <f t="shared" si="35"/>
        <v>16</v>
      </c>
      <c r="R109" s="4">
        <f t="shared" si="35"/>
        <v>21.7</v>
      </c>
      <c r="S109" s="4">
        <f t="shared" si="35"/>
        <v>25.1</v>
      </c>
      <c r="T109" s="4">
        <f t="shared" si="35"/>
        <v>21.5</v>
      </c>
      <c r="U109" s="4">
        <f t="shared" si="35"/>
        <v>13.1</v>
      </c>
      <c r="V109" s="4">
        <f t="shared" si="35"/>
        <v>97.4</v>
      </c>
      <c r="W109" s="13">
        <f t="shared" si="4"/>
        <v>21527</v>
      </c>
    </row>
    <row r="110" spans="2:23" x14ac:dyDescent="0.2">
      <c r="B110" s="10" t="s">
        <v>32</v>
      </c>
      <c r="C110" s="4">
        <f t="shared" ref="C110:V110" si="36">ROUND(C74,1)</f>
        <v>12.1</v>
      </c>
      <c r="D110" s="4">
        <f t="shared" si="36"/>
        <v>16.2</v>
      </c>
      <c r="E110" s="4">
        <f t="shared" si="36"/>
        <v>22.4</v>
      </c>
      <c r="F110" s="4">
        <f t="shared" si="36"/>
        <v>23.4</v>
      </c>
      <c r="G110" s="4">
        <f t="shared" si="36"/>
        <v>18.3</v>
      </c>
      <c r="H110" s="4">
        <f t="shared" si="36"/>
        <v>92.5</v>
      </c>
      <c r="I110" s="13">
        <f t="shared" si="2"/>
        <v>27051</v>
      </c>
      <c r="J110" s="4">
        <f t="shared" si="36"/>
        <v>13.2</v>
      </c>
      <c r="K110" s="4">
        <f t="shared" si="36"/>
        <v>18</v>
      </c>
      <c r="L110" s="4">
        <f t="shared" si="36"/>
        <v>23.6</v>
      </c>
      <c r="M110" s="4">
        <f t="shared" si="36"/>
        <v>22.7</v>
      </c>
      <c r="N110" s="4">
        <f t="shared" si="36"/>
        <v>16.3</v>
      </c>
      <c r="O110" s="4">
        <f t="shared" si="36"/>
        <v>93.8</v>
      </c>
      <c r="P110" s="13">
        <f t="shared" si="3"/>
        <v>30623</v>
      </c>
      <c r="Q110" s="4">
        <f t="shared" si="36"/>
        <v>12.7</v>
      </c>
      <c r="R110" s="4">
        <f t="shared" si="36"/>
        <v>17.2</v>
      </c>
      <c r="S110" s="4">
        <f t="shared" si="36"/>
        <v>23.1</v>
      </c>
      <c r="T110" s="4">
        <f t="shared" si="36"/>
        <v>23</v>
      </c>
      <c r="U110" s="4">
        <f t="shared" si="36"/>
        <v>17.2</v>
      </c>
      <c r="V110" s="4">
        <f t="shared" si="36"/>
        <v>93.2</v>
      </c>
      <c r="W110" s="13">
        <f t="shared" si="4"/>
        <v>57674</v>
      </c>
    </row>
    <row r="111" spans="2:23" x14ac:dyDescent="0.2">
      <c r="B111" s="10" t="s">
        <v>46</v>
      </c>
      <c r="C111" s="4">
        <f t="shared" ref="C111:V111" si="37">ROUND(C75,1)</f>
        <v>24.1</v>
      </c>
      <c r="D111" s="4">
        <f t="shared" si="37"/>
        <v>22.8</v>
      </c>
      <c r="E111" s="4">
        <f t="shared" si="37"/>
        <v>23</v>
      </c>
      <c r="F111" s="4">
        <f t="shared" si="37"/>
        <v>17.3</v>
      </c>
      <c r="G111" s="4">
        <f t="shared" si="37"/>
        <v>9.6</v>
      </c>
      <c r="H111" s="4">
        <f t="shared" si="37"/>
        <v>96.8</v>
      </c>
      <c r="I111" s="13">
        <f t="shared" si="2"/>
        <v>329233</v>
      </c>
      <c r="J111" s="4">
        <f t="shared" si="37"/>
        <v>26.4</v>
      </c>
      <c r="K111" s="4">
        <f t="shared" si="37"/>
        <v>25.4</v>
      </c>
      <c r="L111" s="4">
        <f t="shared" si="37"/>
        <v>23.2</v>
      </c>
      <c r="M111" s="4">
        <f t="shared" si="37"/>
        <v>15.6</v>
      </c>
      <c r="N111" s="4">
        <f t="shared" si="37"/>
        <v>7.3</v>
      </c>
      <c r="O111" s="4">
        <f t="shared" si="37"/>
        <v>97.9</v>
      </c>
      <c r="P111" s="13">
        <f t="shared" si="3"/>
        <v>389523</v>
      </c>
      <c r="Q111" s="4">
        <f t="shared" si="37"/>
        <v>25.3</v>
      </c>
      <c r="R111" s="4">
        <f t="shared" si="37"/>
        <v>24.2</v>
      </c>
      <c r="S111" s="4">
        <f t="shared" si="37"/>
        <v>23.1</v>
      </c>
      <c r="T111" s="4">
        <f t="shared" si="37"/>
        <v>16.399999999999999</v>
      </c>
      <c r="U111" s="4">
        <f t="shared" si="37"/>
        <v>8.4</v>
      </c>
      <c r="V111" s="4">
        <f t="shared" si="37"/>
        <v>97.4</v>
      </c>
      <c r="W111" s="13">
        <f t="shared" si="4"/>
        <v>718756</v>
      </c>
    </row>
    <row r="112" spans="2:23" x14ac:dyDescent="0.2">
      <c r="C112" s="4"/>
      <c r="D112" s="4"/>
      <c r="E112" s="4"/>
      <c r="F112" s="4"/>
      <c r="G112" s="4"/>
      <c r="H112" s="4"/>
      <c r="I112" s="4"/>
      <c r="J112" s="4"/>
      <c r="K112" s="4"/>
      <c r="L112" s="4"/>
      <c r="M112" s="4"/>
      <c r="N112" s="4"/>
      <c r="O112" s="4"/>
      <c r="P112" s="4"/>
      <c r="Q112" s="4"/>
      <c r="R112" s="4"/>
      <c r="S112" s="4"/>
      <c r="T112" s="4"/>
      <c r="U112" s="4"/>
      <c r="V112" s="4"/>
      <c r="W112" s="4"/>
    </row>
  </sheetData>
  <phoneticPr fontId="3"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19"/>
  <sheetViews>
    <sheetView topLeftCell="A40" workbookViewId="0">
      <selection activeCell="A2" sqref="A2"/>
    </sheetView>
  </sheetViews>
  <sheetFormatPr defaultColWidth="9.140625" defaultRowHeight="11.25" x14ac:dyDescent="0.2"/>
  <cols>
    <col min="1" max="1" width="9.140625" style="11"/>
    <col min="2" max="2" width="26.5703125" style="7" bestFit="1" customWidth="1"/>
    <col min="3" max="16384" width="9.140625" style="7"/>
  </cols>
  <sheetData>
    <row r="1" spans="1:24" x14ac:dyDescent="0.2">
      <c r="B1" s="11"/>
      <c r="C1" s="11"/>
      <c r="D1" s="11"/>
      <c r="E1" s="11"/>
      <c r="F1" s="11"/>
      <c r="G1" s="11"/>
      <c r="H1" s="11"/>
      <c r="I1" s="11"/>
      <c r="J1" s="11"/>
      <c r="K1" s="11"/>
      <c r="L1" s="11"/>
      <c r="M1" s="11"/>
      <c r="N1" s="11"/>
      <c r="O1" s="11"/>
      <c r="P1" s="11"/>
      <c r="Q1" s="11"/>
      <c r="R1" s="11"/>
      <c r="S1" s="11"/>
      <c r="T1" s="11"/>
      <c r="U1" s="11"/>
      <c r="V1" s="11"/>
      <c r="W1" s="11"/>
    </row>
    <row r="2" spans="1:24" x14ac:dyDescent="0.2">
      <c r="B2" s="11"/>
      <c r="C2" s="11"/>
      <c r="D2" s="11"/>
      <c r="E2" s="11"/>
      <c r="F2" s="11"/>
      <c r="G2" s="11"/>
      <c r="H2" s="11"/>
      <c r="I2" s="11"/>
      <c r="J2" s="11"/>
      <c r="K2" s="11"/>
      <c r="L2" s="11"/>
      <c r="M2" s="11"/>
      <c r="N2" s="11"/>
      <c r="O2" s="11"/>
      <c r="P2" s="11"/>
      <c r="Q2" s="11"/>
      <c r="R2" s="11"/>
      <c r="S2" s="11"/>
      <c r="T2" s="11"/>
      <c r="U2" s="11"/>
      <c r="V2" s="11"/>
      <c r="W2" s="11"/>
    </row>
    <row r="3" spans="1:24" x14ac:dyDescent="0.2">
      <c r="B3" s="10"/>
      <c r="C3" s="11" t="s">
        <v>39</v>
      </c>
      <c r="D3" s="11"/>
      <c r="E3" s="11"/>
      <c r="F3" s="11"/>
      <c r="G3" s="11"/>
      <c r="H3" s="11"/>
      <c r="I3" s="12"/>
      <c r="J3" s="11" t="s">
        <v>43</v>
      </c>
      <c r="K3" s="11"/>
      <c r="L3" s="11"/>
      <c r="M3" s="11"/>
      <c r="N3" s="11"/>
      <c r="O3" s="11"/>
      <c r="P3" s="12"/>
      <c r="Q3" s="11" t="s">
        <v>54</v>
      </c>
      <c r="R3" s="11"/>
      <c r="S3" s="11"/>
      <c r="T3" s="11"/>
      <c r="U3" s="11"/>
      <c r="V3" s="11"/>
      <c r="W3" s="12"/>
      <c r="X3" s="12"/>
    </row>
    <row r="4" spans="1:24" x14ac:dyDescent="0.2">
      <c r="B4" s="10"/>
      <c r="C4" s="11" t="s">
        <v>33</v>
      </c>
      <c r="D4" s="11" t="s">
        <v>34</v>
      </c>
      <c r="E4" s="11" t="s">
        <v>35</v>
      </c>
      <c r="F4" s="11" t="s">
        <v>36</v>
      </c>
      <c r="G4" s="11" t="s">
        <v>37</v>
      </c>
      <c r="H4" s="11" t="s">
        <v>47</v>
      </c>
      <c r="I4" s="11" t="s">
        <v>58</v>
      </c>
      <c r="J4" s="11" t="s">
        <v>33</v>
      </c>
      <c r="K4" s="11" t="s">
        <v>34</v>
      </c>
      <c r="L4" s="11" t="s">
        <v>35</v>
      </c>
      <c r="M4" s="11" t="s">
        <v>36</v>
      </c>
      <c r="N4" s="11" t="s">
        <v>37</v>
      </c>
      <c r="O4" s="11" t="s">
        <v>47</v>
      </c>
      <c r="P4" s="12" t="s">
        <v>58</v>
      </c>
      <c r="Q4" s="11" t="s">
        <v>33</v>
      </c>
      <c r="R4" s="11" t="s">
        <v>34</v>
      </c>
      <c r="S4" s="11" t="s">
        <v>35</v>
      </c>
      <c r="T4" s="11" t="s">
        <v>36</v>
      </c>
      <c r="U4" s="11" t="s">
        <v>37</v>
      </c>
      <c r="V4" s="11" t="s">
        <v>47</v>
      </c>
      <c r="W4" s="12" t="s">
        <v>58</v>
      </c>
      <c r="X4" s="12"/>
    </row>
    <row r="5" spans="1:24" x14ac:dyDescent="0.2">
      <c r="A5" s="14"/>
      <c r="B5" s="10" t="s">
        <v>0</v>
      </c>
      <c r="C5" s="95">
        <f>IF(OR(C47=1,C47=2),"x",ROUND(C47/$I47*100,1))</f>
        <v>25.8</v>
      </c>
      <c r="D5" s="95">
        <f t="shared" ref="D5:H5" si="0">IF(OR(D47=1,D47=2),"x",ROUND(D47/$I47*100,1))</f>
        <v>21.3</v>
      </c>
      <c r="E5" s="95">
        <f t="shared" si="0"/>
        <v>20.399999999999999</v>
      </c>
      <c r="F5" s="95">
        <f t="shared" si="0"/>
        <v>16.7</v>
      </c>
      <c r="G5" s="95">
        <f t="shared" si="0"/>
        <v>12</v>
      </c>
      <c r="H5" s="95">
        <f t="shared" si="0"/>
        <v>96.2</v>
      </c>
      <c r="I5" s="7">
        <f>ROUND(I47,0)</f>
        <v>20304</v>
      </c>
      <c r="J5" s="95">
        <f>IF(OR(J47=1,J47=2),"x",ROUND(J47/$P47*100,1))</f>
        <v>27.5</v>
      </c>
      <c r="K5" s="95">
        <f t="shared" ref="K5:O5" si="1">IF(OR(K47=1,K47=2),"x",ROUND(K47/$P47*100,1))</f>
        <v>22.8</v>
      </c>
      <c r="L5" s="95">
        <f t="shared" si="1"/>
        <v>20.6</v>
      </c>
      <c r="M5" s="95">
        <f t="shared" si="1"/>
        <v>16.3</v>
      </c>
      <c r="N5" s="95">
        <f t="shared" si="1"/>
        <v>9.9</v>
      </c>
      <c r="O5" s="95">
        <f t="shared" si="1"/>
        <v>97</v>
      </c>
      <c r="P5" s="7">
        <f>ROUND(P47,0)</f>
        <v>28093</v>
      </c>
      <c r="Q5" s="95">
        <f>IF(OR(Q47=1,Q47=2),"x",ROUND(Q47/$W47*100,1))</f>
        <v>26.8</v>
      </c>
      <c r="R5" s="95">
        <f t="shared" ref="R5:V5" si="2">IF(OR(R47=1,R47=2),"x",ROUND(R47/$W47*100,1))</f>
        <v>22.2</v>
      </c>
      <c r="S5" s="95">
        <f t="shared" si="2"/>
        <v>20.5</v>
      </c>
      <c r="T5" s="95">
        <f t="shared" si="2"/>
        <v>16.5</v>
      </c>
      <c r="U5" s="95">
        <f t="shared" si="2"/>
        <v>10.8</v>
      </c>
      <c r="V5" s="95">
        <f t="shared" si="2"/>
        <v>96.7</v>
      </c>
      <c r="W5" s="7">
        <f>ROUND(W47,0)</f>
        <v>48397</v>
      </c>
    </row>
    <row r="6" spans="1:24" x14ac:dyDescent="0.2">
      <c r="A6" s="14"/>
      <c r="B6" s="10" t="s">
        <v>1</v>
      </c>
      <c r="C6" s="95">
        <f t="shared" ref="C6:H21" si="3">IF(OR(C48=1,C48=2),"x",ROUND(C48/$I48*100,1))</f>
        <v>33.9</v>
      </c>
      <c r="D6" s="95">
        <f t="shared" si="3"/>
        <v>23.6</v>
      </c>
      <c r="E6" s="95">
        <f t="shared" si="3"/>
        <v>18</v>
      </c>
      <c r="F6" s="95">
        <f t="shared" si="3"/>
        <v>13</v>
      </c>
      <c r="G6" s="95">
        <f t="shared" si="3"/>
        <v>8.4</v>
      </c>
      <c r="H6" s="95">
        <f t="shared" si="3"/>
        <v>96.9</v>
      </c>
      <c r="I6" s="7">
        <f t="shared" ref="I6:I39" si="4">ROUND(I48,0)</f>
        <v>18625</v>
      </c>
      <c r="J6" s="95">
        <f t="shared" ref="J6:O21" si="5">IF(OR(J48=1,J48=2),"x",ROUND(J48/$P48*100,1))</f>
        <v>34.1</v>
      </c>
      <c r="K6" s="95">
        <f t="shared" si="5"/>
        <v>26</v>
      </c>
      <c r="L6" s="95">
        <f t="shared" si="5"/>
        <v>18.5</v>
      </c>
      <c r="M6" s="95">
        <f t="shared" si="5"/>
        <v>12.6</v>
      </c>
      <c r="N6" s="95">
        <f t="shared" si="5"/>
        <v>6.6</v>
      </c>
      <c r="O6" s="95">
        <f t="shared" si="5"/>
        <v>97.8</v>
      </c>
      <c r="P6" s="7">
        <f t="shared" ref="P6:P39" si="6">ROUND(P48,0)</f>
        <v>17703</v>
      </c>
      <c r="Q6" s="95">
        <f t="shared" ref="Q6:V21" si="7">IF(OR(Q48=1,Q48=2),"x",ROUND(Q48/$W48*100,1))</f>
        <v>34</v>
      </c>
      <c r="R6" s="95">
        <f t="shared" si="7"/>
        <v>24.8</v>
      </c>
      <c r="S6" s="95">
        <f t="shared" si="7"/>
        <v>18.2</v>
      </c>
      <c r="T6" s="95">
        <f t="shared" si="7"/>
        <v>12.8</v>
      </c>
      <c r="U6" s="95">
        <f t="shared" si="7"/>
        <v>7.5</v>
      </c>
      <c r="V6" s="95">
        <f t="shared" si="7"/>
        <v>97.3</v>
      </c>
      <c r="W6" s="7">
        <f t="shared" ref="W6:W39" si="8">ROUND(W48,0)</f>
        <v>36328</v>
      </c>
    </row>
    <row r="7" spans="1:24" x14ac:dyDescent="0.2">
      <c r="A7" s="14"/>
      <c r="B7" s="10" t="s">
        <v>2</v>
      </c>
      <c r="C7" s="95">
        <f t="shared" si="3"/>
        <v>31</v>
      </c>
      <c r="D7" s="95">
        <f t="shared" si="3"/>
        <v>20.9</v>
      </c>
      <c r="E7" s="95">
        <f t="shared" si="3"/>
        <v>18.3</v>
      </c>
      <c r="F7" s="95">
        <f t="shared" si="3"/>
        <v>15.3</v>
      </c>
      <c r="G7" s="95">
        <f t="shared" si="3"/>
        <v>10.8</v>
      </c>
      <c r="H7" s="95">
        <f t="shared" si="3"/>
        <v>96.3</v>
      </c>
      <c r="I7" s="7">
        <f t="shared" si="4"/>
        <v>19418</v>
      </c>
      <c r="J7" s="95">
        <f t="shared" si="5"/>
        <v>37.5</v>
      </c>
      <c r="K7" s="95">
        <f t="shared" si="5"/>
        <v>21.7</v>
      </c>
      <c r="L7" s="95">
        <f t="shared" si="5"/>
        <v>17.399999999999999</v>
      </c>
      <c r="M7" s="95">
        <f t="shared" si="5"/>
        <v>12.8</v>
      </c>
      <c r="N7" s="95">
        <f t="shared" si="5"/>
        <v>8.4</v>
      </c>
      <c r="O7" s="95">
        <f t="shared" si="5"/>
        <v>97.7</v>
      </c>
      <c r="P7" s="7">
        <f t="shared" si="6"/>
        <v>5285</v>
      </c>
      <c r="Q7" s="95">
        <f t="shared" si="7"/>
        <v>32.4</v>
      </c>
      <c r="R7" s="95">
        <f t="shared" si="7"/>
        <v>21.1</v>
      </c>
      <c r="S7" s="95">
        <f t="shared" si="7"/>
        <v>18.100000000000001</v>
      </c>
      <c r="T7" s="95">
        <f t="shared" si="7"/>
        <v>14.8</v>
      </c>
      <c r="U7" s="95">
        <f t="shared" si="7"/>
        <v>10.3</v>
      </c>
      <c r="V7" s="95">
        <f t="shared" si="7"/>
        <v>96.6</v>
      </c>
      <c r="W7" s="7">
        <f t="shared" si="8"/>
        <v>24703</v>
      </c>
    </row>
    <row r="8" spans="1:24" x14ac:dyDescent="0.2">
      <c r="A8" s="14"/>
      <c r="B8" s="10" t="s">
        <v>3</v>
      </c>
      <c r="C8" s="95">
        <f t="shared" si="3"/>
        <v>24.7</v>
      </c>
      <c r="D8" s="95">
        <f t="shared" si="3"/>
        <v>20.3</v>
      </c>
      <c r="E8" s="95">
        <f t="shared" si="3"/>
        <v>21.2</v>
      </c>
      <c r="F8" s="95">
        <f t="shared" si="3"/>
        <v>17.899999999999999</v>
      </c>
      <c r="G8" s="95">
        <f t="shared" si="3"/>
        <v>12.8</v>
      </c>
      <c r="H8" s="95">
        <f t="shared" si="3"/>
        <v>97</v>
      </c>
      <c r="I8" s="7">
        <f t="shared" si="4"/>
        <v>2895</v>
      </c>
      <c r="J8" s="95">
        <f t="shared" si="5"/>
        <v>23.8</v>
      </c>
      <c r="K8" s="95">
        <f t="shared" si="5"/>
        <v>24.7</v>
      </c>
      <c r="L8" s="95">
        <f t="shared" si="5"/>
        <v>19.2</v>
      </c>
      <c r="M8" s="95">
        <f t="shared" si="5"/>
        <v>20.3</v>
      </c>
      <c r="N8" s="95">
        <f t="shared" si="5"/>
        <v>9.5</v>
      </c>
      <c r="O8" s="95">
        <f t="shared" si="5"/>
        <v>97.5</v>
      </c>
      <c r="P8" s="7">
        <f t="shared" si="6"/>
        <v>1091</v>
      </c>
      <c r="Q8" s="95">
        <f t="shared" si="7"/>
        <v>24.4</v>
      </c>
      <c r="R8" s="95">
        <f t="shared" si="7"/>
        <v>21.5</v>
      </c>
      <c r="S8" s="95">
        <f t="shared" si="7"/>
        <v>20.7</v>
      </c>
      <c r="T8" s="95">
        <f t="shared" si="7"/>
        <v>18.5</v>
      </c>
      <c r="U8" s="95">
        <f t="shared" si="7"/>
        <v>11.9</v>
      </c>
      <c r="V8" s="95">
        <f t="shared" si="7"/>
        <v>97.1</v>
      </c>
      <c r="W8" s="7">
        <f t="shared" si="8"/>
        <v>3986</v>
      </c>
    </row>
    <row r="9" spans="1:24" x14ac:dyDescent="0.2">
      <c r="A9" s="14"/>
      <c r="B9" s="10" t="s">
        <v>4</v>
      </c>
      <c r="C9" s="95">
        <f t="shared" si="3"/>
        <v>43</v>
      </c>
      <c r="D9" s="95">
        <f t="shared" si="3"/>
        <v>21.7</v>
      </c>
      <c r="E9" s="95">
        <f t="shared" si="3"/>
        <v>15.7</v>
      </c>
      <c r="F9" s="95">
        <f t="shared" si="3"/>
        <v>10.7</v>
      </c>
      <c r="G9" s="95">
        <f t="shared" si="3"/>
        <v>6.6</v>
      </c>
      <c r="H9" s="95">
        <f t="shared" si="3"/>
        <v>97.8</v>
      </c>
      <c r="I9" s="7">
        <f t="shared" si="4"/>
        <v>34809</v>
      </c>
      <c r="J9" s="95">
        <f t="shared" si="5"/>
        <v>45.9</v>
      </c>
      <c r="K9" s="95">
        <f t="shared" si="5"/>
        <v>23</v>
      </c>
      <c r="L9" s="95">
        <f t="shared" si="5"/>
        <v>14.9</v>
      </c>
      <c r="M9" s="95">
        <f t="shared" si="5"/>
        <v>9.5</v>
      </c>
      <c r="N9" s="95">
        <f t="shared" si="5"/>
        <v>5</v>
      </c>
      <c r="O9" s="95">
        <f t="shared" si="5"/>
        <v>98.3</v>
      </c>
      <c r="P9" s="7">
        <f t="shared" si="6"/>
        <v>22809</v>
      </c>
      <c r="Q9" s="95">
        <f t="shared" si="7"/>
        <v>44.2</v>
      </c>
      <c r="R9" s="95">
        <f t="shared" si="7"/>
        <v>22.2</v>
      </c>
      <c r="S9" s="95">
        <f t="shared" si="7"/>
        <v>15.4</v>
      </c>
      <c r="T9" s="95">
        <f t="shared" si="7"/>
        <v>10.199999999999999</v>
      </c>
      <c r="U9" s="95">
        <f t="shared" si="7"/>
        <v>6</v>
      </c>
      <c r="V9" s="95">
        <f t="shared" si="7"/>
        <v>98</v>
      </c>
      <c r="W9" s="7">
        <f t="shared" si="8"/>
        <v>57618</v>
      </c>
    </row>
    <row r="10" spans="1:24" x14ac:dyDescent="0.2">
      <c r="A10" s="14"/>
      <c r="B10" s="10" t="s">
        <v>5</v>
      </c>
      <c r="C10" s="95">
        <f t="shared" si="3"/>
        <v>58</v>
      </c>
      <c r="D10" s="95">
        <f t="shared" si="3"/>
        <v>20.100000000000001</v>
      </c>
      <c r="E10" s="95">
        <f t="shared" si="3"/>
        <v>11.3</v>
      </c>
      <c r="F10" s="95">
        <f t="shared" si="3"/>
        <v>5.7</v>
      </c>
      <c r="G10" s="95">
        <f t="shared" si="3"/>
        <v>3.1</v>
      </c>
      <c r="H10" s="95">
        <f t="shared" si="3"/>
        <v>98.3</v>
      </c>
      <c r="I10" s="7">
        <f t="shared" si="4"/>
        <v>5871</v>
      </c>
      <c r="J10" s="95">
        <f t="shared" si="5"/>
        <v>58.7</v>
      </c>
      <c r="K10" s="95">
        <f t="shared" si="5"/>
        <v>21.7</v>
      </c>
      <c r="L10" s="95">
        <f t="shared" si="5"/>
        <v>10.4</v>
      </c>
      <c r="M10" s="95">
        <f t="shared" si="5"/>
        <v>5.5</v>
      </c>
      <c r="N10" s="95">
        <f t="shared" si="5"/>
        <v>2.4</v>
      </c>
      <c r="O10" s="95">
        <f t="shared" si="5"/>
        <v>98.7</v>
      </c>
      <c r="P10" s="7">
        <f t="shared" si="6"/>
        <v>2576</v>
      </c>
      <c r="Q10" s="95">
        <f t="shared" si="7"/>
        <v>58.2</v>
      </c>
      <c r="R10" s="95">
        <f t="shared" si="7"/>
        <v>20.6</v>
      </c>
      <c r="S10" s="95">
        <f t="shared" si="7"/>
        <v>11.1</v>
      </c>
      <c r="T10" s="95">
        <f t="shared" si="7"/>
        <v>5.7</v>
      </c>
      <c r="U10" s="95">
        <f t="shared" si="7"/>
        <v>2.9</v>
      </c>
      <c r="V10" s="95">
        <f t="shared" si="7"/>
        <v>98.4</v>
      </c>
      <c r="W10" s="7">
        <f t="shared" si="8"/>
        <v>8447</v>
      </c>
    </row>
    <row r="11" spans="1:24" x14ac:dyDescent="0.2">
      <c r="A11" s="14"/>
      <c r="B11" s="10" t="s">
        <v>6</v>
      </c>
      <c r="C11" s="95">
        <f t="shared" si="3"/>
        <v>15.5</v>
      </c>
      <c r="D11" s="95">
        <f t="shared" si="3"/>
        <v>21.8</v>
      </c>
      <c r="E11" s="95">
        <f t="shared" si="3"/>
        <v>26.6</v>
      </c>
      <c r="F11" s="95">
        <f t="shared" si="3"/>
        <v>21.4</v>
      </c>
      <c r="G11" s="95">
        <f t="shared" si="3"/>
        <v>11.6</v>
      </c>
      <c r="H11" s="95">
        <f t="shared" si="3"/>
        <v>96.8</v>
      </c>
      <c r="I11" s="7">
        <f t="shared" si="4"/>
        <v>8995</v>
      </c>
      <c r="J11" s="95">
        <f t="shared" si="5"/>
        <v>22.9</v>
      </c>
      <c r="K11" s="95">
        <f t="shared" si="5"/>
        <v>26.2</v>
      </c>
      <c r="L11" s="95">
        <f t="shared" si="5"/>
        <v>25.6</v>
      </c>
      <c r="M11" s="95">
        <f t="shared" si="5"/>
        <v>16.100000000000001</v>
      </c>
      <c r="N11" s="95">
        <f t="shared" si="5"/>
        <v>7.4</v>
      </c>
      <c r="O11" s="95">
        <f t="shared" si="5"/>
        <v>98.2</v>
      </c>
      <c r="P11" s="7">
        <f t="shared" si="6"/>
        <v>6643</v>
      </c>
      <c r="Q11" s="95">
        <f t="shared" si="7"/>
        <v>18.600000000000001</v>
      </c>
      <c r="R11" s="95">
        <f t="shared" si="7"/>
        <v>23.7</v>
      </c>
      <c r="S11" s="95">
        <f t="shared" si="7"/>
        <v>26.2</v>
      </c>
      <c r="T11" s="95">
        <f t="shared" si="7"/>
        <v>19.100000000000001</v>
      </c>
      <c r="U11" s="95">
        <f t="shared" si="7"/>
        <v>9.8000000000000007</v>
      </c>
      <c r="V11" s="95">
        <f t="shared" si="7"/>
        <v>97.4</v>
      </c>
      <c r="W11" s="7">
        <f t="shared" si="8"/>
        <v>15638</v>
      </c>
    </row>
    <row r="12" spans="1:24" x14ac:dyDescent="0.2">
      <c r="A12" s="14"/>
      <c r="B12" s="67" t="s">
        <v>168</v>
      </c>
      <c r="C12" s="95">
        <f t="shared" si="3"/>
        <v>16.899999999999999</v>
      </c>
      <c r="D12" s="95">
        <f t="shared" si="3"/>
        <v>19.7</v>
      </c>
      <c r="E12" s="95">
        <f t="shared" si="3"/>
        <v>21.6</v>
      </c>
      <c r="F12" s="95">
        <f t="shared" si="3"/>
        <v>22</v>
      </c>
      <c r="G12" s="95">
        <f t="shared" si="3"/>
        <v>15.4</v>
      </c>
      <c r="H12" s="95">
        <f t="shared" si="3"/>
        <v>95.6</v>
      </c>
      <c r="I12" s="7">
        <f t="shared" si="4"/>
        <v>3876</v>
      </c>
      <c r="J12" s="95">
        <f t="shared" si="5"/>
        <v>19</v>
      </c>
      <c r="K12" s="95">
        <f t="shared" si="5"/>
        <v>21.2</v>
      </c>
      <c r="L12" s="95">
        <f t="shared" si="5"/>
        <v>25.6</v>
      </c>
      <c r="M12" s="95">
        <f t="shared" si="5"/>
        <v>19.899999999999999</v>
      </c>
      <c r="N12" s="95">
        <f t="shared" si="5"/>
        <v>9.1999999999999993</v>
      </c>
      <c r="O12" s="95">
        <f t="shared" si="5"/>
        <v>94.9</v>
      </c>
      <c r="P12" s="7">
        <f t="shared" si="6"/>
        <v>316</v>
      </c>
      <c r="Q12" s="95">
        <f t="shared" si="7"/>
        <v>17.100000000000001</v>
      </c>
      <c r="R12" s="95">
        <f t="shared" si="7"/>
        <v>19.8</v>
      </c>
      <c r="S12" s="95">
        <f t="shared" si="7"/>
        <v>21.9</v>
      </c>
      <c r="T12" s="95">
        <f t="shared" si="7"/>
        <v>21.9</v>
      </c>
      <c r="U12" s="95">
        <f t="shared" si="7"/>
        <v>14.9</v>
      </c>
      <c r="V12" s="95">
        <f t="shared" si="7"/>
        <v>95.5</v>
      </c>
      <c r="W12" s="7">
        <f t="shared" si="8"/>
        <v>4192</v>
      </c>
    </row>
    <row r="13" spans="1:24" x14ac:dyDescent="0.2">
      <c r="A13" s="14"/>
      <c r="B13" s="10" t="s">
        <v>8</v>
      </c>
      <c r="C13" s="95">
        <f t="shared" si="3"/>
        <v>5.7</v>
      </c>
      <c r="D13" s="95">
        <f t="shared" si="3"/>
        <v>16.3</v>
      </c>
      <c r="E13" s="95">
        <f t="shared" si="3"/>
        <v>26.2</v>
      </c>
      <c r="F13" s="95">
        <f t="shared" si="3"/>
        <v>26.7</v>
      </c>
      <c r="G13" s="95">
        <f t="shared" si="3"/>
        <v>19.3</v>
      </c>
      <c r="H13" s="95">
        <f t="shared" si="3"/>
        <v>94.2</v>
      </c>
      <c r="I13" s="7">
        <f t="shared" si="4"/>
        <v>6109</v>
      </c>
      <c r="J13" s="95">
        <f t="shared" si="5"/>
        <v>10.1</v>
      </c>
      <c r="K13" s="95">
        <f t="shared" si="5"/>
        <v>22</v>
      </c>
      <c r="L13" s="95">
        <f t="shared" si="5"/>
        <v>26.1</v>
      </c>
      <c r="M13" s="95">
        <f t="shared" si="5"/>
        <v>23.9</v>
      </c>
      <c r="N13" s="95">
        <f t="shared" si="5"/>
        <v>13.6</v>
      </c>
      <c r="O13" s="95">
        <f t="shared" si="5"/>
        <v>95.8</v>
      </c>
      <c r="P13" s="7">
        <f t="shared" si="6"/>
        <v>3561</v>
      </c>
      <c r="Q13" s="95">
        <f t="shared" si="7"/>
        <v>7.3</v>
      </c>
      <c r="R13" s="95">
        <f t="shared" si="7"/>
        <v>18.399999999999999</v>
      </c>
      <c r="S13" s="95">
        <f t="shared" si="7"/>
        <v>26.2</v>
      </c>
      <c r="T13" s="95">
        <f t="shared" si="7"/>
        <v>25.7</v>
      </c>
      <c r="U13" s="95">
        <f t="shared" si="7"/>
        <v>17.2</v>
      </c>
      <c r="V13" s="95">
        <f t="shared" si="7"/>
        <v>94.8</v>
      </c>
      <c r="W13" s="7">
        <f t="shared" si="8"/>
        <v>9670</v>
      </c>
    </row>
    <row r="14" spans="1:24" x14ac:dyDescent="0.2">
      <c r="A14" s="14"/>
      <c r="B14" s="10" t="s">
        <v>9</v>
      </c>
      <c r="C14" s="95" t="str">
        <f t="shared" si="3"/>
        <v>x</v>
      </c>
      <c r="D14" s="95">
        <f t="shared" si="3"/>
        <v>15.6</v>
      </c>
      <c r="E14" s="95">
        <f t="shared" si="3"/>
        <v>28.1</v>
      </c>
      <c r="F14" s="95">
        <f t="shared" si="3"/>
        <v>21.9</v>
      </c>
      <c r="G14" s="95">
        <f t="shared" si="3"/>
        <v>18.8</v>
      </c>
      <c r="H14" s="95">
        <f t="shared" si="3"/>
        <v>90.6</v>
      </c>
      <c r="I14" s="7">
        <f t="shared" si="4"/>
        <v>32</v>
      </c>
      <c r="J14" s="95">
        <f t="shared" si="5"/>
        <v>19.8</v>
      </c>
      <c r="K14" s="95">
        <f t="shared" si="5"/>
        <v>24.9</v>
      </c>
      <c r="L14" s="95">
        <f t="shared" si="5"/>
        <v>27.2</v>
      </c>
      <c r="M14" s="95">
        <f t="shared" si="5"/>
        <v>20.399999999999999</v>
      </c>
      <c r="N14" s="95">
        <f t="shared" si="5"/>
        <v>6.4</v>
      </c>
      <c r="O14" s="95">
        <f t="shared" si="5"/>
        <v>98.7</v>
      </c>
      <c r="P14" s="7">
        <f t="shared" si="6"/>
        <v>313</v>
      </c>
      <c r="Q14" s="95">
        <f t="shared" si="7"/>
        <v>18.600000000000001</v>
      </c>
      <c r="R14" s="95">
        <f t="shared" si="7"/>
        <v>24.1</v>
      </c>
      <c r="S14" s="95">
        <f t="shared" si="7"/>
        <v>27.2</v>
      </c>
      <c r="T14" s="95">
        <f t="shared" si="7"/>
        <v>20.6</v>
      </c>
      <c r="U14" s="95">
        <f t="shared" si="7"/>
        <v>7.5</v>
      </c>
      <c r="V14" s="95">
        <f t="shared" si="7"/>
        <v>98</v>
      </c>
      <c r="W14" s="7">
        <f t="shared" si="8"/>
        <v>345</v>
      </c>
    </row>
    <row r="15" spans="1:24" x14ac:dyDescent="0.2">
      <c r="A15" s="14"/>
      <c r="B15" s="10" t="s">
        <v>10</v>
      </c>
      <c r="C15" s="95">
        <f t="shared" si="3"/>
        <v>14.1</v>
      </c>
      <c r="D15" s="95">
        <f t="shared" si="3"/>
        <v>18.600000000000001</v>
      </c>
      <c r="E15" s="95">
        <f t="shared" si="3"/>
        <v>24.4</v>
      </c>
      <c r="F15" s="95">
        <f t="shared" si="3"/>
        <v>21.7</v>
      </c>
      <c r="G15" s="95">
        <f t="shared" si="3"/>
        <v>15.9</v>
      </c>
      <c r="H15" s="95">
        <f t="shared" si="3"/>
        <v>94.7</v>
      </c>
      <c r="I15" s="7">
        <f t="shared" si="4"/>
        <v>2234</v>
      </c>
      <c r="J15" s="95">
        <f t="shared" si="5"/>
        <v>14.9</v>
      </c>
      <c r="K15" s="95">
        <f t="shared" si="5"/>
        <v>20.8</v>
      </c>
      <c r="L15" s="95">
        <f t="shared" si="5"/>
        <v>24.1</v>
      </c>
      <c r="M15" s="95">
        <f t="shared" si="5"/>
        <v>21.7</v>
      </c>
      <c r="N15" s="95">
        <f t="shared" si="5"/>
        <v>13.8</v>
      </c>
      <c r="O15" s="95">
        <f t="shared" si="5"/>
        <v>95.3</v>
      </c>
      <c r="P15" s="7">
        <f t="shared" si="6"/>
        <v>1298</v>
      </c>
      <c r="Q15" s="95">
        <f t="shared" si="7"/>
        <v>14.4</v>
      </c>
      <c r="R15" s="95">
        <f t="shared" si="7"/>
        <v>19.399999999999999</v>
      </c>
      <c r="S15" s="95">
        <f t="shared" si="7"/>
        <v>24.3</v>
      </c>
      <c r="T15" s="95">
        <f t="shared" si="7"/>
        <v>21.7</v>
      </c>
      <c r="U15" s="95">
        <f t="shared" si="7"/>
        <v>15.1</v>
      </c>
      <c r="V15" s="95">
        <f t="shared" si="7"/>
        <v>94.9</v>
      </c>
      <c r="W15" s="7">
        <f t="shared" si="8"/>
        <v>3532</v>
      </c>
    </row>
    <row r="16" spans="1:24" x14ac:dyDescent="0.2">
      <c r="A16" s="14"/>
      <c r="B16" s="10" t="s">
        <v>11</v>
      </c>
      <c r="C16" s="95">
        <f t="shared" si="3"/>
        <v>17</v>
      </c>
      <c r="D16" s="95">
        <f t="shared" si="3"/>
        <v>27.1</v>
      </c>
      <c r="E16" s="95">
        <f t="shared" si="3"/>
        <v>28.9</v>
      </c>
      <c r="F16" s="95">
        <f t="shared" si="3"/>
        <v>19</v>
      </c>
      <c r="G16" s="95">
        <f t="shared" si="3"/>
        <v>6.8</v>
      </c>
      <c r="H16" s="95">
        <f t="shared" si="3"/>
        <v>98.8</v>
      </c>
      <c r="I16" s="7">
        <f t="shared" si="4"/>
        <v>17592</v>
      </c>
      <c r="J16" s="95">
        <f t="shared" si="5"/>
        <v>20.100000000000001</v>
      </c>
      <c r="K16" s="95">
        <f t="shared" si="5"/>
        <v>27.8</v>
      </c>
      <c r="L16" s="95">
        <f t="shared" si="5"/>
        <v>27.4</v>
      </c>
      <c r="M16" s="95">
        <f t="shared" si="5"/>
        <v>17.2</v>
      </c>
      <c r="N16" s="95">
        <f t="shared" si="5"/>
        <v>6.4</v>
      </c>
      <c r="O16" s="95">
        <f t="shared" si="5"/>
        <v>98.9</v>
      </c>
      <c r="P16" s="7">
        <f t="shared" si="6"/>
        <v>12295</v>
      </c>
      <c r="Q16" s="95">
        <f t="shared" si="7"/>
        <v>18.3</v>
      </c>
      <c r="R16" s="95">
        <f t="shared" si="7"/>
        <v>27.3</v>
      </c>
      <c r="S16" s="95">
        <f t="shared" si="7"/>
        <v>28.3</v>
      </c>
      <c r="T16" s="95">
        <f t="shared" si="7"/>
        <v>18.3</v>
      </c>
      <c r="U16" s="95">
        <f t="shared" si="7"/>
        <v>6.6</v>
      </c>
      <c r="V16" s="95">
        <f t="shared" si="7"/>
        <v>98.8</v>
      </c>
      <c r="W16" s="7">
        <f t="shared" si="8"/>
        <v>29887</v>
      </c>
    </row>
    <row r="17" spans="1:23" x14ac:dyDescent="0.2">
      <c r="A17" s="14"/>
      <c r="B17" s="10" t="s">
        <v>12</v>
      </c>
      <c r="C17" s="95">
        <f t="shared" si="3"/>
        <v>36.1</v>
      </c>
      <c r="D17" s="95">
        <f t="shared" si="3"/>
        <v>27.1</v>
      </c>
      <c r="E17" s="95">
        <f t="shared" si="3"/>
        <v>19.8</v>
      </c>
      <c r="F17" s="95">
        <f t="shared" si="3"/>
        <v>11.8</v>
      </c>
      <c r="G17" s="95">
        <f t="shared" si="3"/>
        <v>4.0999999999999996</v>
      </c>
      <c r="H17" s="95">
        <f t="shared" si="3"/>
        <v>99</v>
      </c>
      <c r="I17" s="7">
        <f t="shared" si="4"/>
        <v>10641</v>
      </c>
      <c r="J17" s="95">
        <f t="shared" si="5"/>
        <v>40.799999999999997</v>
      </c>
      <c r="K17" s="95">
        <f t="shared" si="5"/>
        <v>27.4</v>
      </c>
      <c r="L17" s="95">
        <f t="shared" si="5"/>
        <v>17.5</v>
      </c>
      <c r="M17" s="95">
        <f t="shared" si="5"/>
        <v>9.1999999999999993</v>
      </c>
      <c r="N17" s="95">
        <f t="shared" si="5"/>
        <v>3.9</v>
      </c>
      <c r="O17" s="95">
        <f t="shared" si="5"/>
        <v>98.8</v>
      </c>
      <c r="P17" s="7">
        <f t="shared" si="6"/>
        <v>4717</v>
      </c>
      <c r="Q17" s="95">
        <f t="shared" si="7"/>
        <v>37.5</v>
      </c>
      <c r="R17" s="95">
        <f t="shared" si="7"/>
        <v>27.2</v>
      </c>
      <c r="S17" s="95">
        <f t="shared" si="7"/>
        <v>19.100000000000001</v>
      </c>
      <c r="T17" s="95">
        <f t="shared" si="7"/>
        <v>11</v>
      </c>
      <c r="U17" s="95">
        <f t="shared" si="7"/>
        <v>4.0999999999999996</v>
      </c>
      <c r="V17" s="95">
        <f t="shared" si="7"/>
        <v>99</v>
      </c>
      <c r="W17" s="7">
        <f t="shared" si="8"/>
        <v>15358</v>
      </c>
    </row>
    <row r="18" spans="1:23" x14ac:dyDescent="0.2">
      <c r="A18" s="14"/>
      <c r="B18" s="10" t="s">
        <v>13</v>
      </c>
      <c r="C18" s="95">
        <f t="shared" si="3"/>
        <v>25.5</v>
      </c>
      <c r="D18" s="95">
        <f t="shared" si="3"/>
        <v>26.3</v>
      </c>
      <c r="E18" s="95">
        <f t="shared" si="3"/>
        <v>24.9</v>
      </c>
      <c r="F18" s="95">
        <f t="shared" si="3"/>
        <v>15.6</v>
      </c>
      <c r="G18" s="95">
        <f t="shared" si="3"/>
        <v>6.4</v>
      </c>
      <c r="H18" s="95">
        <f t="shared" si="3"/>
        <v>98.7</v>
      </c>
      <c r="I18" s="7">
        <f t="shared" si="4"/>
        <v>15188</v>
      </c>
      <c r="J18" s="95">
        <f t="shared" si="5"/>
        <v>34.1</v>
      </c>
      <c r="K18" s="95">
        <f t="shared" si="5"/>
        <v>27.7</v>
      </c>
      <c r="L18" s="95">
        <f t="shared" si="5"/>
        <v>21.6</v>
      </c>
      <c r="M18" s="95">
        <f t="shared" si="5"/>
        <v>11.8</v>
      </c>
      <c r="N18" s="95">
        <f t="shared" si="5"/>
        <v>4.0999999999999996</v>
      </c>
      <c r="O18" s="95">
        <f t="shared" si="5"/>
        <v>99.3</v>
      </c>
      <c r="P18" s="7">
        <f t="shared" si="6"/>
        <v>12658</v>
      </c>
      <c r="Q18" s="95">
        <f t="shared" si="7"/>
        <v>29.4</v>
      </c>
      <c r="R18" s="95">
        <f t="shared" si="7"/>
        <v>26.9</v>
      </c>
      <c r="S18" s="95">
        <f t="shared" si="7"/>
        <v>23.4</v>
      </c>
      <c r="T18" s="95">
        <f t="shared" si="7"/>
        <v>13.9</v>
      </c>
      <c r="U18" s="95">
        <f t="shared" si="7"/>
        <v>5.4</v>
      </c>
      <c r="V18" s="95">
        <f t="shared" si="7"/>
        <v>99</v>
      </c>
      <c r="W18" s="7">
        <f t="shared" si="8"/>
        <v>27846</v>
      </c>
    </row>
    <row r="19" spans="1:23" x14ac:dyDescent="0.2">
      <c r="A19" s="14"/>
      <c r="B19" s="10" t="s">
        <v>14</v>
      </c>
      <c r="C19" s="95">
        <f t="shared" si="3"/>
        <v>33.200000000000003</v>
      </c>
      <c r="D19" s="95">
        <f t="shared" si="3"/>
        <v>27.1</v>
      </c>
      <c r="E19" s="95">
        <f t="shared" si="3"/>
        <v>22.1</v>
      </c>
      <c r="F19" s="95">
        <f t="shared" si="3"/>
        <v>11.7</v>
      </c>
      <c r="G19" s="95">
        <f t="shared" si="3"/>
        <v>4.8</v>
      </c>
      <c r="H19" s="95">
        <f t="shared" si="3"/>
        <v>98.8</v>
      </c>
      <c r="I19" s="7">
        <f t="shared" si="4"/>
        <v>6334</v>
      </c>
      <c r="J19" s="95">
        <f t="shared" si="5"/>
        <v>37.1</v>
      </c>
      <c r="K19" s="95">
        <f t="shared" si="5"/>
        <v>27.2</v>
      </c>
      <c r="L19" s="95">
        <f t="shared" si="5"/>
        <v>19.100000000000001</v>
      </c>
      <c r="M19" s="95">
        <f t="shared" si="5"/>
        <v>9.9</v>
      </c>
      <c r="N19" s="95">
        <f t="shared" si="5"/>
        <v>5.3</v>
      </c>
      <c r="O19" s="95">
        <f t="shared" si="5"/>
        <v>98.7</v>
      </c>
      <c r="P19" s="7">
        <f t="shared" si="6"/>
        <v>4542</v>
      </c>
      <c r="Q19" s="95">
        <f t="shared" si="7"/>
        <v>34.799999999999997</v>
      </c>
      <c r="R19" s="95">
        <f t="shared" si="7"/>
        <v>27.2</v>
      </c>
      <c r="S19" s="95">
        <f t="shared" si="7"/>
        <v>20.8</v>
      </c>
      <c r="T19" s="95">
        <f t="shared" si="7"/>
        <v>11</v>
      </c>
      <c r="U19" s="95">
        <f t="shared" si="7"/>
        <v>5</v>
      </c>
      <c r="V19" s="95">
        <f t="shared" si="7"/>
        <v>98.7</v>
      </c>
      <c r="W19" s="7">
        <f t="shared" si="8"/>
        <v>10876</v>
      </c>
    </row>
    <row r="20" spans="1:23" x14ac:dyDescent="0.2">
      <c r="A20" s="14"/>
      <c r="B20" s="10" t="s">
        <v>15</v>
      </c>
      <c r="C20" s="95">
        <f t="shared" si="3"/>
        <v>23.3</v>
      </c>
      <c r="D20" s="95">
        <f t="shared" si="3"/>
        <v>27.2</v>
      </c>
      <c r="E20" s="95">
        <f t="shared" si="3"/>
        <v>26.1</v>
      </c>
      <c r="F20" s="95">
        <f t="shared" si="3"/>
        <v>16</v>
      </c>
      <c r="G20" s="95">
        <f t="shared" si="3"/>
        <v>6.2</v>
      </c>
      <c r="H20" s="95">
        <f t="shared" si="3"/>
        <v>98.9</v>
      </c>
      <c r="I20" s="7">
        <f t="shared" si="4"/>
        <v>21217</v>
      </c>
      <c r="J20" s="95">
        <f t="shared" si="5"/>
        <v>26.4</v>
      </c>
      <c r="K20" s="95">
        <f t="shared" si="5"/>
        <v>29.1</v>
      </c>
      <c r="L20" s="95">
        <f t="shared" si="5"/>
        <v>24.1</v>
      </c>
      <c r="M20" s="95">
        <f t="shared" si="5"/>
        <v>14.2</v>
      </c>
      <c r="N20" s="95">
        <f t="shared" si="5"/>
        <v>5.2</v>
      </c>
      <c r="O20" s="95">
        <f t="shared" si="5"/>
        <v>98.9</v>
      </c>
      <c r="P20" s="7">
        <f t="shared" si="6"/>
        <v>20890</v>
      </c>
      <c r="Q20" s="95">
        <f t="shared" si="7"/>
        <v>24.8</v>
      </c>
      <c r="R20" s="95">
        <f t="shared" si="7"/>
        <v>28.1</v>
      </c>
      <c r="S20" s="95">
        <f t="shared" si="7"/>
        <v>25.1</v>
      </c>
      <c r="T20" s="95">
        <f t="shared" si="7"/>
        <v>15.1</v>
      </c>
      <c r="U20" s="95">
        <f t="shared" si="7"/>
        <v>5.7</v>
      </c>
      <c r="V20" s="95">
        <f t="shared" si="7"/>
        <v>98.9</v>
      </c>
      <c r="W20" s="7">
        <f t="shared" si="8"/>
        <v>42107</v>
      </c>
    </row>
    <row r="21" spans="1:23" x14ac:dyDescent="0.2">
      <c r="A21" s="14"/>
      <c r="B21" s="10" t="s">
        <v>16</v>
      </c>
      <c r="C21" s="95">
        <f t="shared" si="3"/>
        <v>18.2</v>
      </c>
      <c r="D21" s="95">
        <f t="shared" si="3"/>
        <v>21.3</v>
      </c>
      <c r="E21" s="95">
        <f t="shared" si="3"/>
        <v>24.4</v>
      </c>
      <c r="F21" s="95">
        <f t="shared" si="3"/>
        <v>19.7</v>
      </c>
      <c r="G21" s="95">
        <f t="shared" si="3"/>
        <v>12.2</v>
      </c>
      <c r="H21" s="95">
        <f t="shared" si="3"/>
        <v>95.7</v>
      </c>
      <c r="I21" s="7">
        <f t="shared" si="4"/>
        <v>5728</v>
      </c>
      <c r="J21" s="95">
        <f t="shared" si="5"/>
        <v>23.2</v>
      </c>
      <c r="K21" s="95">
        <f t="shared" si="5"/>
        <v>23.5</v>
      </c>
      <c r="L21" s="95">
        <f t="shared" si="5"/>
        <v>23.7</v>
      </c>
      <c r="M21" s="95">
        <f t="shared" si="5"/>
        <v>17.8</v>
      </c>
      <c r="N21" s="95">
        <f t="shared" si="5"/>
        <v>8.8000000000000007</v>
      </c>
      <c r="O21" s="95">
        <f t="shared" si="5"/>
        <v>97.1</v>
      </c>
      <c r="P21" s="7">
        <f t="shared" si="6"/>
        <v>8470</v>
      </c>
      <c r="Q21" s="95">
        <f t="shared" si="7"/>
        <v>21.2</v>
      </c>
      <c r="R21" s="95">
        <f t="shared" si="7"/>
        <v>22.6</v>
      </c>
      <c r="S21" s="95">
        <f t="shared" si="7"/>
        <v>24</v>
      </c>
      <c r="T21" s="95">
        <f t="shared" si="7"/>
        <v>18.600000000000001</v>
      </c>
      <c r="U21" s="95">
        <f t="shared" si="7"/>
        <v>10.199999999999999</v>
      </c>
      <c r="V21" s="95">
        <f t="shared" si="7"/>
        <v>96.5</v>
      </c>
      <c r="W21" s="7">
        <f t="shared" si="8"/>
        <v>14198</v>
      </c>
    </row>
    <row r="22" spans="1:23" x14ac:dyDescent="0.2">
      <c r="A22" s="14"/>
      <c r="B22" s="10" t="s">
        <v>17</v>
      </c>
      <c r="C22" s="95">
        <f t="shared" ref="C22:H37" si="9">IF(OR(C64=1,C64=2),"x",ROUND(C64/$I64*100,1))</f>
        <v>12.5</v>
      </c>
      <c r="D22" s="95">
        <f t="shared" si="9"/>
        <v>20.7</v>
      </c>
      <c r="E22" s="95">
        <f t="shared" si="9"/>
        <v>25.7</v>
      </c>
      <c r="F22" s="95">
        <f t="shared" si="9"/>
        <v>22.7</v>
      </c>
      <c r="G22" s="95">
        <f t="shared" si="9"/>
        <v>14</v>
      </c>
      <c r="H22" s="95">
        <f t="shared" si="9"/>
        <v>95.7</v>
      </c>
      <c r="I22" s="7">
        <f t="shared" si="4"/>
        <v>12791</v>
      </c>
      <c r="J22" s="95">
        <f t="shared" ref="J22:O37" si="10">IF(OR(J64=1,J64=2),"x",ROUND(J64/$P64*100,1))</f>
        <v>22.4</v>
      </c>
      <c r="K22" s="95">
        <f t="shared" si="10"/>
        <v>25.1</v>
      </c>
      <c r="L22" s="95">
        <f t="shared" si="10"/>
        <v>24.5</v>
      </c>
      <c r="M22" s="95">
        <f t="shared" si="10"/>
        <v>17.100000000000001</v>
      </c>
      <c r="N22" s="95">
        <f t="shared" si="10"/>
        <v>8.6999999999999993</v>
      </c>
      <c r="O22" s="95">
        <f t="shared" si="10"/>
        <v>97.8</v>
      </c>
      <c r="P22" s="7">
        <f t="shared" si="6"/>
        <v>36643</v>
      </c>
      <c r="Q22" s="95">
        <f t="shared" ref="Q22:V37" si="11">IF(OR(Q64=1,Q64=2),"x",ROUND(Q64/$W64*100,1))</f>
        <v>19.8</v>
      </c>
      <c r="R22" s="95">
        <f t="shared" si="11"/>
        <v>24</v>
      </c>
      <c r="S22" s="95">
        <f t="shared" si="11"/>
        <v>24.8</v>
      </c>
      <c r="T22" s="95">
        <f t="shared" si="11"/>
        <v>18.5</v>
      </c>
      <c r="U22" s="95">
        <f t="shared" si="11"/>
        <v>10.1</v>
      </c>
      <c r="V22" s="95">
        <f t="shared" si="11"/>
        <v>97.3</v>
      </c>
      <c r="W22" s="7">
        <f t="shared" si="8"/>
        <v>49434</v>
      </c>
    </row>
    <row r="23" spans="1:23" x14ac:dyDescent="0.2">
      <c r="A23" s="14"/>
      <c r="B23" s="10" t="s">
        <v>18</v>
      </c>
      <c r="C23" s="95">
        <f t="shared" si="9"/>
        <v>17</v>
      </c>
      <c r="D23" s="95">
        <f t="shared" si="9"/>
        <v>25.6</v>
      </c>
      <c r="E23" s="95">
        <f t="shared" si="9"/>
        <v>27</v>
      </c>
      <c r="F23" s="95">
        <f t="shared" si="9"/>
        <v>19.100000000000001</v>
      </c>
      <c r="G23" s="95">
        <f t="shared" si="9"/>
        <v>9.1</v>
      </c>
      <c r="H23" s="95">
        <f t="shared" si="9"/>
        <v>97.6</v>
      </c>
      <c r="I23" s="7">
        <f t="shared" si="4"/>
        <v>6129</v>
      </c>
      <c r="J23" s="95">
        <f t="shared" si="10"/>
        <v>23.7</v>
      </c>
      <c r="K23" s="95">
        <f t="shared" si="10"/>
        <v>28</v>
      </c>
      <c r="L23" s="95">
        <f t="shared" si="10"/>
        <v>24.8</v>
      </c>
      <c r="M23" s="95">
        <f t="shared" si="10"/>
        <v>15.6</v>
      </c>
      <c r="N23" s="95">
        <f t="shared" si="10"/>
        <v>6.4</v>
      </c>
      <c r="O23" s="95">
        <f t="shared" si="10"/>
        <v>98.6</v>
      </c>
      <c r="P23" s="7">
        <f t="shared" si="6"/>
        <v>19287</v>
      </c>
      <c r="Q23" s="95">
        <f t="shared" si="11"/>
        <v>22.1</v>
      </c>
      <c r="R23" s="95">
        <f t="shared" si="11"/>
        <v>27.4</v>
      </c>
      <c r="S23" s="95">
        <f t="shared" si="11"/>
        <v>25.3</v>
      </c>
      <c r="T23" s="95">
        <f t="shared" si="11"/>
        <v>16.5</v>
      </c>
      <c r="U23" s="95">
        <f t="shared" si="11"/>
        <v>7.1</v>
      </c>
      <c r="V23" s="95">
        <f t="shared" si="11"/>
        <v>98.3</v>
      </c>
      <c r="W23" s="7">
        <f t="shared" si="8"/>
        <v>25416</v>
      </c>
    </row>
    <row r="24" spans="1:23" x14ac:dyDescent="0.2">
      <c r="A24" s="14"/>
      <c r="B24" s="10" t="s">
        <v>19</v>
      </c>
      <c r="C24" s="95">
        <f t="shared" si="9"/>
        <v>20.9</v>
      </c>
      <c r="D24" s="95">
        <f t="shared" si="9"/>
        <v>25.6</v>
      </c>
      <c r="E24" s="95">
        <f t="shared" si="9"/>
        <v>25.2</v>
      </c>
      <c r="F24" s="95">
        <f t="shared" si="9"/>
        <v>16.399999999999999</v>
      </c>
      <c r="G24" s="95">
        <f t="shared" si="9"/>
        <v>9.9</v>
      </c>
      <c r="H24" s="95">
        <f t="shared" si="9"/>
        <v>98</v>
      </c>
      <c r="I24" s="7">
        <f t="shared" si="4"/>
        <v>1669</v>
      </c>
      <c r="J24" s="95">
        <f t="shared" si="10"/>
        <v>23.8</v>
      </c>
      <c r="K24" s="95">
        <f t="shared" si="10"/>
        <v>26.5</v>
      </c>
      <c r="L24" s="95">
        <f t="shared" si="10"/>
        <v>23.4</v>
      </c>
      <c r="M24" s="95">
        <f t="shared" si="10"/>
        <v>16.600000000000001</v>
      </c>
      <c r="N24" s="95">
        <f t="shared" si="10"/>
        <v>7.4</v>
      </c>
      <c r="O24" s="95">
        <f t="shared" si="10"/>
        <v>97.7</v>
      </c>
      <c r="P24" s="7">
        <f t="shared" si="6"/>
        <v>1587</v>
      </c>
      <c r="Q24" s="95">
        <f t="shared" si="11"/>
        <v>22.3</v>
      </c>
      <c r="R24" s="95">
        <f t="shared" si="11"/>
        <v>26</v>
      </c>
      <c r="S24" s="95">
        <f t="shared" si="11"/>
        <v>24.3</v>
      </c>
      <c r="T24" s="95">
        <f t="shared" si="11"/>
        <v>16.5</v>
      </c>
      <c r="U24" s="95">
        <f t="shared" si="11"/>
        <v>8.6999999999999993</v>
      </c>
      <c r="V24" s="95">
        <f t="shared" si="11"/>
        <v>97.9</v>
      </c>
      <c r="W24" s="7">
        <f t="shared" si="8"/>
        <v>3256</v>
      </c>
    </row>
    <row r="25" spans="1:23" x14ac:dyDescent="0.2">
      <c r="A25" s="14"/>
      <c r="B25" s="10" t="s">
        <v>20</v>
      </c>
      <c r="C25" s="95">
        <f t="shared" si="9"/>
        <v>26.4</v>
      </c>
      <c r="D25" s="95">
        <f t="shared" si="9"/>
        <v>22.6</v>
      </c>
      <c r="E25" s="95">
        <f t="shared" si="9"/>
        <v>23.5</v>
      </c>
      <c r="F25" s="95">
        <f t="shared" si="9"/>
        <v>17.399999999999999</v>
      </c>
      <c r="G25" s="95">
        <f t="shared" si="9"/>
        <v>7.7</v>
      </c>
      <c r="H25" s="95">
        <f t="shared" si="9"/>
        <v>97.6</v>
      </c>
      <c r="I25" s="7">
        <f t="shared" si="4"/>
        <v>11770</v>
      </c>
      <c r="J25" s="95">
        <f t="shared" si="10"/>
        <v>32</v>
      </c>
      <c r="K25" s="95">
        <f t="shared" si="10"/>
        <v>25.5</v>
      </c>
      <c r="L25" s="95">
        <f t="shared" si="10"/>
        <v>22.6</v>
      </c>
      <c r="M25" s="95">
        <f t="shared" si="10"/>
        <v>13.4</v>
      </c>
      <c r="N25" s="95">
        <f t="shared" si="10"/>
        <v>5</v>
      </c>
      <c r="O25" s="95">
        <f t="shared" si="10"/>
        <v>98.7</v>
      </c>
      <c r="P25" s="7">
        <f t="shared" si="6"/>
        <v>27853</v>
      </c>
      <c r="Q25" s="95">
        <f t="shared" si="11"/>
        <v>30.4</v>
      </c>
      <c r="R25" s="95">
        <f t="shared" si="11"/>
        <v>24.7</v>
      </c>
      <c r="S25" s="95">
        <f t="shared" si="11"/>
        <v>22.9</v>
      </c>
      <c r="T25" s="95">
        <f t="shared" si="11"/>
        <v>14.6</v>
      </c>
      <c r="U25" s="95">
        <f t="shared" si="11"/>
        <v>5.8</v>
      </c>
      <c r="V25" s="95">
        <f t="shared" si="11"/>
        <v>98.4</v>
      </c>
      <c r="W25" s="7">
        <f t="shared" si="8"/>
        <v>39623</v>
      </c>
    </row>
    <row r="26" spans="1:23" x14ac:dyDescent="0.2">
      <c r="A26" s="14"/>
      <c r="B26" s="10" t="s">
        <v>21</v>
      </c>
      <c r="C26" s="95">
        <f t="shared" si="9"/>
        <v>15.6</v>
      </c>
      <c r="D26" s="95">
        <f t="shared" si="9"/>
        <v>28.9</v>
      </c>
      <c r="E26" s="95">
        <f t="shared" si="9"/>
        <v>32.4</v>
      </c>
      <c r="F26" s="95">
        <f t="shared" si="9"/>
        <v>17.5</v>
      </c>
      <c r="G26" s="95">
        <f t="shared" si="9"/>
        <v>4.8</v>
      </c>
      <c r="H26" s="95">
        <f t="shared" si="9"/>
        <v>99.3</v>
      </c>
      <c r="I26" s="7">
        <f t="shared" si="4"/>
        <v>4702</v>
      </c>
      <c r="J26" s="95">
        <f t="shared" si="10"/>
        <v>22.9</v>
      </c>
      <c r="K26" s="95">
        <f t="shared" si="10"/>
        <v>32.6</v>
      </c>
      <c r="L26" s="95">
        <f t="shared" si="10"/>
        <v>29.2</v>
      </c>
      <c r="M26" s="95">
        <f t="shared" si="10"/>
        <v>12.3</v>
      </c>
      <c r="N26" s="95">
        <f t="shared" si="10"/>
        <v>2.6</v>
      </c>
      <c r="O26" s="95">
        <f t="shared" si="10"/>
        <v>99.6</v>
      </c>
      <c r="P26" s="7">
        <f t="shared" si="6"/>
        <v>10456</v>
      </c>
      <c r="Q26" s="95">
        <f t="shared" si="11"/>
        <v>20.6</v>
      </c>
      <c r="R26" s="95">
        <f t="shared" si="11"/>
        <v>31.4</v>
      </c>
      <c r="S26" s="95">
        <f t="shared" si="11"/>
        <v>30.2</v>
      </c>
      <c r="T26" s="95">
        <f t="shared" si="11"/>
        <v>13.9</v>
      </c>
      <c r="U26" s="95">
        <f t="shared" si="11"/>
        <v>3.3</v>
      </c>
      <c r="V26" s="95">
        <f t="shared" si="11"/>
        <v>99.5</v>
      </c>
      <c r="W26" s="7">
        <f t="shared" si="8"/>
        <v>15158</v>
      </c>
    </row>
    <row r="27" spans="1:23" x14ac:dyDescent="0.2">
      <c r="A27" s="14"/>
      <c r="B27" s="10" t="s">
        <v>22</v>
      </c>
      <c r="C27" s="95">
        <f t="shared" si="9"/>
        <v>22.3</v>
      </c>
      <c r="D27" s="95">
        <f t="shared" si="9"/>
        <v>25.3</v>
      </c>
      <c r="E27" s="95">
        <f t="shared" si="9"/>
        <v>27.4</v>
      </c>
      <c r="F27" s="95">
        <f t="shared" si="9"/>
        <v>18.2</v>
      </c>
      <c r="G27" s="95">
        <f t="shared" si="9"/>
        <v>5.9</v>
      </c>
      <c r="H27" s="95">
        <f t="shared" si="9"/>
        <v>99.1</v>
      </c>
      <c r="I27" s="7">
        <f t="shared" si="4"/>
        <v>25129</v>
      </c>
      <c r="J27" s="95">
        <f t="shared" si="10"/>
        <v>23</v>
      </c>
      <c r="K27" s="95">
        <f t="shared" si="10"/>
        <v>27</v>
      </c>
      <c r="L27" s="95">
        <f t="shared" si="10"/>
        <v>27.8</v>
      </c>
      <c r="M27" s="95">
        <f t="shared" si="10"/>
        <v>16.600000000000001</v>
      </c>
      <c r="N27" s="95">
        <f t="shared" si="10"/>
        <v>4.9000000000000004</v>
      </c>
      <c r="O27" s="95">
        <f t="shared" si="10"/>
        <v>99.3</v>
      </c>
      <c r="P27" s="7">
        <f t="shared" si="6"/>
        <v>55788</v>
      </c>
      <c r="Q27" s="95">
        <f t="shared" si="11"/>
        <v>22.8</v>
      </c>
      <c r="R27" s="95">
        <f t="shared" si="11"/>
        <v>26.4</v>
      </c>
      <c r="S27" s="95">
        <f t="shared" si="11"/>
        <v>27.7</v>
      </c>
      <c r="T27" s="95">
        <f t="shared" si="11"/>
        <v>17.100000000000001</v>
      </c>
      <c r="U27" s="95">
        <f t="shared" si="11"/>
        <v>5.2</v>
      </c>
      <c r="V27" s="95">
        <f t="shared" si="11"/>
        <v>99.2</v>
      </c>
      <c r="W27" s="7">
        <f t="shared" si="8"/>
        <v>80917</v>
      </c>
    </row>
    <row r="28" spans="1:23" x14ac:dyDescent="0.2">
      <c r="A28" s="14"/>
      <c r="B28" s="10" t="s">
        <v>51</v>
      </c>
      <c r="C28" s="95">
        <f t="shared" si="9"/>
        <v>10.3</v>
      </c>
      <c r="D28" s="95">
        <f t="shared" si="9"/>
        <v>26.8</v>
      </c>
      <c r="E28" s="95">
        <f t="shared" si="9"/>
        <v>33.700000000000003</v>
      </c>
      <c r="F28" s="95">
        <f t="shared" si="9"/>
        <v>21.6</v>
      </c>
      <c r="G28" s="95">
        <f t="shared" si="9"/>
        <v>6.4</v>
      </c>
      <c r="H28" s="95">
        <f t="shared" si="9"/>
        <v>98.8</v>
      </c>
      <c r="I28" s="7">
        <f t="shared" si="4"/>
        <v>10760</v>
      </c>
      <c r="J28" s="95">
        <f t="shared" si="10"/>
        <v>15.9</v>
      </c>
      <c r="K28" s="95">
        <f t="shared" si="10"/>
        <v>31.9</v>
      </c>
      <c r="L28" s="95">
        <f t="shared" si="10"/>
        <v>32.9</v>
      </c>
      <c r="M28" s="95">
        <f t="shared" si="10"/>
        <v>15.1</v>
      </c>
      <c r="N28" s="95">
        <f t="shared" si="10"/>
        <v>3.5</v>
      </c>
      <c r="O28" s="95">
        <f t="shared" si="10"/>
        <v>99.3</v>
      </c>
      <c r="P28" s="7">
        <f t="shared" si="6"/>
        <v>13375</v>
      </c>
      <c r="Q28" s="95">
        <f t="shared" si="11"/>
        <v>13.4</v>
      </c>
      <c r="R28" s="95">
        <f t="shared" si="11"/>
        <v>29.6</v>
      </c>
      <c r="S28" s="95">
        <f t="shared" si="11"/>
        <v>33.200000000000003</v>
      </c>
      <c r="T28" s="95">
        <f t="shared" si="11"/>
        <v>18</v>
      </c>
      <c r="U28" s="95">
        <f t="shared" si="11"/>
        <v>4.8</v>
      </c>
      <c r="V28" s="95">
        <f t="shared" si="11"/>
        <v>99.1</v>
      </c>
      <c r="W28" s="7">
        <f t="shared" si="8"/>
        <v>24135</v>
      </c>
    </row>
    <row r="29" spans="1:23" x14ac:dyDescent="0.2">
      <c r="A29" s="14"/>
      <c r="B29" s="10" t="s">
        <v>23</v>
      </c>
      <c r="C29" s="95">
        <f t="shared" si="9"/>
        <v>13.1</v>
      </c>
      <c r="D29" s="95">
        <f t="shared" si="9"/>
        <v>31.7</v>
      </c>
      <c r="E29" s="95">
        <f t="shared" si="9"/>
        <v>36.200000000000003</v>
      </c>
      <c r="F29" s="95">
        <f t="shared" si="9"/>
        <v>14.8</v>
      </c>
      <c r="G29" s="95">
        <f t="shared" si="9"/>
        <v>3.4</v>
      </c>
      <c r="H29" s="95">
        <f t="shared" si="9"/>
        <v>99.1</v>
      </c>
      <c r="I29" s="7">
        <f t="shared" si="4"/>
        <v>4220</v>
      </c>
      <c r="J29" s="95">
        <f t="shared" si="10"/>
        <v>17.2</v>
      </c>
      <c r="K29" s="95">
        <f t="shared" si="10"/>
        <v>34.200000000000003</v>
      </c>
      <c r="L29" s="95">
        <f t="shared" si="10"/>
        <v>32.299999999999997</v>
      </c>
      <c r="M29" s="95">
        <f t="shared" si="10"/>
        <v>12.4</v>
      </c>
      <c r="N29" s="95">
        <f t="shared" si="10"/>
        <v>3</v>
      </c>
      <c r="O29" s="95">
        <f t="shared" si="10"/>
        <v>99.2</v>
      </c>
      <c r="P29" s="7">
        <f t="shared" si="6"/>
        <v>5417</v>
      </c>
      <c r="Q29" s="95">
        <f t="shared" si="11"/>
        <v>15.4</v>
      </c>
      <c r="R29" s="95">
        <f t="shared" si="11"/>
        <v>33.1</v>
      </c>
      <c r="S29" s="95">
        <f t="shared" si="11"/>
        <v>34</v>
      </c>
      <c r="T29" s="95">
        <f t="shared" si="11"/>
        <v>13.5</v>
      </c>
      <c r="U29" s="95">
        <f t="shared" si="11"/>
        <v>3.2</v>
      </c>
      <c r="V29" s="95">
        <f t="shared" si="11"/>
        <v>99.1</v>
      </c>
      <c r="W29" s="7">
        <f t="shared" si="8"/>
        <v>9637</v>
      </c>
    </row>
    <row r="30" spans="1:23" x14ac:dyDescent="0.2">
      <c r="A30" s="14"/>
      <c r="B30" s="10" t="s">
        <v>24</v>
      </c>
      <c r="C30" s="95">
        <f t="shared" si="9"/>
        <v>39.5</v>
      </c>
      <c r="D30" s="95">
        <f t="shared" si="9"/>
        <v>27.1</v>
      </c>
      <c r="E30" s="95">
        <f t="shared" si="9"/>
        <v>18.3</v>
      </c>
      <c r="F30" s="95">
        <f t="shared" si="9"/>
        <v>9.9</v>
      </c>
      <c r="G30" s="95">
        <f t="shared" si="9"/>
        <v>4.2</v>
      </c>
      <c r="H30" s="95">
        <f t="shared" si="9"/>
        <v>99</v>
      </c>
      <c r="I30" s="7">
        <f t="shared" si="4"/>
        <v>3971</v>
      </c>
      <c r="J30" s="95">
        <f t="shared" si="10"/>
        <v>36.9</v>
      </c>
      <c r="K30" s="95">
        <f t="shared" si="10"/>
        <v>28.2</v>
      </c>
      <c r="L30" s="95">
        <f t="shared" si="10"/>
        <v>18.7</v>
      </c>
      <c r="M30" s="95">
        <f t="shared" si="10"/>
        <v>11</v>
      </c>
      <c r="N30" s="95">
        <f t="shared" si="10"/>
        <v>4.0999999999999996</v>
      </c>
      <c r="O30" s="95">
        <f t="shared" si="10"/>
        <v>99</v>
      </c>
      <c r="P30" s="7">
        <f t="shared" si="6"/>
        <v>8634</v>
      </c>
      <c r="Q30" s="95">
        <f t="shared" si="11"/>
        <v>37.799999999999997</v>
      </c>
      <c r="R30" s="95">
        <f t="shared" si="11"/>
        <v>27.9</v>
      </c>
      <c r="S30" s="95">
        <f t="shared" si="11"/>
        <v>18.600000000000001</v>
      </c>
      <c r="T30" s="95">
        <f t="shared" si="11"/>
        <v>10.6</v>
      </c>
      <c r="U30" s="95">
        <f t="shared" si="11"/>
        <v>4.0999999999999996</v>
      </c>
      <c r="V30" s="95">
        <f t="shared" si="11"/>
        <v>99</v>
      </c>
      <c r="W30" s="7">
        <f t="shared" si="8"/>
        <v>12605</v>
      </c>
    </row>
    <row r="31" spans="1:23" x14ac:dyDescent="0.2">
      <c r="A31" s="14"/>
      <c r="B31" s="10" t="s">
        <v>25</v>
      </c>
      <c r="C31" s="95">
        <f t="shared" si="9"/>
        <v>40.9</v>
      </c>
      <c r="D31" s="95">
        <f t="shared" si="9"/>
        <v>24.2</v>
      </c>
      <c r="E31" s="95">
        <f t="shared" si="9"/>
        <v>18.7</v>
      </c>
      <c r="F31" s="95">
        <f t="shared" si="9"/>
        <v>10.8</v>
      </c>
      <c r="G31" s="95">
        <f t="shared" si="9"/>
        <v>4.4000000000000004</v>
      </c>
      <c r="H31" s="95">
        <f t="shared" si="9"/>
        <v>99</v>
      </c>
      <c r="I31" s="7">
        <f t="shared" si="4"/>
        <v>2205</v>
      </c>
      <c r="J31" s="95">
        <f t="shared" si="10"/>
        <v>35.6</v>
      </c>
      <c r="K31" s="95">
        <f t="shared" si="10"/>
        <v>27.8</v>
      </c>
      <c r="L31" s="95">
        <f t="shared" si="10"/>
        <v>19.5</v>
      </c>
      <c r="M31" s="95">
        <f t="shared" si="10"/>
        <v>11.3</v>
      </c>
      <c r="N31" s="95">
        <f t="shared" si="10"/>
        <v>5.0999999999999996</v>
      </c>
      <c r="O31" s="95">
        <f t="shared" si="10"/>
        <v>99.3</v>
      </c>
      <c r="P31" s="7">
        <f t="shared" si="6"/>
        <v>3355</v>
      </c>
      <c r="Q31" s="95">
        <f t="shared" si="11"/>
        <v>37.700000000000003</v>
      </c>
      <c r="R31" s="95">
        <f t="shared" si="11"/>
        <v>26.4</v>
      </c>
      <c r="S31" s="95">
        <f t="shared" si="11"/>
        <v>19.2</v>
      </c>
      <c r="T31" s="95">
        <f t="shared" si="11"/>
        <v>11.1</v>
      </c>
      <c r="U31" s="95">
        <f t="shared" si="11"/>
        <v>4.8</v>
      </c>
      <c r="V31" s="95">
        <f t="shared" si="11"/>
        <v>99.2</v>
      </c>
      <c r="W31" s="7">
        <f t="shared" si="8"/>
        <v>5560</v>
      </c>
    </row>
    <row r="32" spans="1:23" x14ac:dyDescent="0.2">
      <c r="A32" s="14"/>
      <c r="B32" s="10" t="s">
        <v>26</v>
      </c>
      <c r="C32" s="95">
        <f t="shared" si="9"/>
        <v>42.3</v>
      </c>
      <c r="D32" s="95">
        <f t="shared" si="9"/>
        <v>28.3</v>
      </c>
      <c r="E32" s="95">
        <f t="shared" si="9"/>
        <v>16.899999999999999</v>
      </c>
      <c r="F32" s="95">
        <f t="shared" si="9"/>
        <v>9.1999999999999993</v>
      </c>
      <c r="G32" s="95">
        <f t="shared" si="9"/>
        <v>2.8</v>
      </c>
      <c r="H32" s="95">
        <f t="shared" si="9"/>
        <v>99.4</v>
      </c>
      <c r="I32" s="7">
        <f t="shared" si="4"/>
        <v>1884</v>
      </c>
      <c r="J32" s="95">
        <f t="shared" si="10"/>
        <v>38.200000000000003</v>
      </c>
      <c r="K32" s="95">
        <f t="shared" si="10"/>
        <v>27.3</v>
      </c>
      <c r="L32" s="95">
        <f t="shared" si="10"/>
        <v>19.2</v>
      </c>
      <c r="M32" s="95">
        <f t="shared" si="10"/>
        <v>10.6</v>
      </c>
      <c r="N32" s="95">
        <f t="shared" si="10"/>
        <v>4</v>
      </c>
      <c r="O32" s="95">
        <f t="shared" si="10"/>
        <v>99.3</v>
      </c>
      <c r="P32" s="7">
        <f t="shared" si="6"/>
        <v>3844</v>
      </c>
      <c r="Q32" s="95">
        <f t="shared" si="11"/>
        <v>39.6</v>
      </c>
      <c r="R32" s="95">
        <f t="shared" si="11"/>
        <v>27.6</v>
      </c>
      <c r="S32" s="95">
        <f t="shared" si="11"/>
        <v>18.399999999999999</v>
      </c>
      <c r="T32" s="95">
        <f t="shared" si="11"/>
        <v>10.199999999999999</v>
      </c>
      <c r="U32" s="95">
        <f t="shared" si="11"/>
        <v>3.6</v>
      </c>
      <c r="V32" s="95">
        <f t="shared" si="11"/>
        <v>99.4</v>
      </c>
      <c r="W32" s="7">
        <f t="shared" si="8"/>
        <v>5728</v>
      </c>
    </row>
    <row r="33" spans="1:23" x14ac:dyDescent="0.2">
      <c r="A33" s="14"/>
      <c r="B33" s="10" t="s">
        <v>27</v>
      </c>
      <c r="C33" s="95">
        <f t="shared" si="9"/>
        <v>46.1</v>
      </c>
      <c r="D33" s="95">
        <f t="shared" si="9"/>
        <v>31.5</v>
      </c>
      <c r="E33" s="95">
        <f t="shared" si="9"/>
        <v>12.6</v>
      </c>
      <c r="F33" s="95">
        <f t="shared" si="9"/>
        <v>4.9000000000000004</v>
      </c>
      <c r="G33" s="95">
        <f t="shared" si="9"/>
        <v>2.4</v>
      </c>
      <c r="H33" s="95">
        <f t="shared" si="9"/>
        <v>97.6</v>
      </c>
      <c r="I33" s="7">
        <f t="shared" si="4"/>
        <v>2371</v>
      </c>
      <c r="J33" s="95">
        <f t="shared" si="10"/>
        <v>52.3</v>
      </c>
      <c r="K33" s="95">
        <f t="shared" si="10"/>
        <v>27.8</v>
      </c>
      <c r="L33" s="95">
        <f t="shared" si="10"/>
        <v>10.5</v>
      </c>
      <c r="M33" s="95">
        <f t="shared" si="10"/>
        <v>5.2</v>
      </c>
      <c r="N33" s="95">
        <f t="shared" si="10"/>
        <v>2.8</v>
      </c>
      <c r="O33" s="95">
        <f t="shared" si="10"/>
        <v>98.6</v>
      </c>
      <c r="P33" s="7">
        <f t="shared" si="6"/>
        <v>3159</v>
      </c>
      <c r="Q33" s="95">
        <f t="shared" si="11"/>
        <v>49.7</v>
      </c>
      <c r="R33" s="95">
        <f t="shared" si="11"/>
        <v>29.4</v>
      </c>
      <c r="S33" s="95">
        <f t="shared" si="11"/>
        <v>11.4</v>
      </c>
      <c r="T33" s="95">
        <f t="shared" si="11"/>
        <v>5.0999999999999996</v>
      </c>
      <c r="U33" s="95">
        <f t="shared" si="11"/>
        <v>2.6</v>
      </c>
      <c r="V33" s="95">
        <f t="shared" si="11"/>
        <v>98.2</v>
      </c>
      <c r="W33" s="7">
        <f t="shared" si="8"/>
        <v>5530</v>
      </c>
    </row>
    <row r="34" spans="1:23" x14ac:dyDescent="0.2">
      <c r="A34" s="14"/>
      <c r="B34" s="10" t="s">
        <v>28</v>
      </c>
      <c r="C34" s="95">
        <f t="shared" si="9"/>
        <v>35.299999999999997</v>
      </c>
      <c r="D34" s="95">
        <f t="shared" si="9"/>
        <v>25.7</v>
      </c>
      <c r="E34" s="95">
        <f t="shared" si="9"/>
        <v>22</v>
      </c>
      <c r="F34" s="95">
        <f t="shared" si="9"/>
        <v>12</v>
      </c>
      <c r="G34" s="95">
        <f t="shared" si="9"/>
        <v>4.0999999999999996</v>
      </c>
      <c r="H34" s="95">
        <f t="shared" si="9"/>
        <v>99.1</v>
      </c>
      <c r="I34" s="7">
        <f t="shared" si="4"/>
        <v>2545</v>
      </c>
      <c r="J34" s="95">
        <f t="shared" si="10"/>
        <v>41.2</v>
      </c>
      <c r="K34" s="95">
        <f t="shared" si="10"/>
        <v>28.6</v>
      </c>
      <c r="L34" s="95">
        <f t="shared" si="10"/>
        <v>19.100000000000001</v>
      </c>
      <c r="M34" s="95">
        <f t="shared" si="10"/>
        <v>7.7</v>
      </c>
      <c r="N34" s="95">
        <f t="shared" si="10"/>
        <v>2.8</v>
      </c>
      <c r="O34" s="95">
        <f t="shared" si="10"/>
        <v>99.5</v>
      </c>
      <c r="P34" s="7">
        <f t="shared" si="6"/>
        <v>3114</v>
      </c>
      <c r="Q34" s="95">
        <f t="shared" si="11"/>
        <v>38.5</v>
      </c>
      <c r="R34" s="95">
        <f t="shared" si="11"/>
        <v>27.3</v>
      </c>
      <c r="S34" s="95">
        <f t="shared" si="11"/>
        <v>20.399999999999999</v>
      </c>
      <c r="T34" s="95">
        <f t="shared" si="11"/>
        <v>9.6</v>
      </c>
      <c r="U34" s="95">
        <f t="shared" si="11"/>
        <v>3.4</v>
      </c>
      <c r="V34" s="95">
        <f t="shared" si="11"/>
        <v>99.3</v>
      </c>
      <c r="W34" s="7">
        <f t="shared" si="8"/>
        <v>5659</v>
      </c>
    </row>
    <row r="35" spans="1:23" x14ac:dyDescent="0.2">
      <c r="A35" s="14"/>
      <c r="B35" s="10" t="s">
        <v>29</v>
      </c>
      <c r="C35" s="95">
        <f t="shared" si="9"/>
        <v>25.6</v>
      </c>
      <c r="D35" s="95">
        <f t="shared" si="9"/>
        <v>28.1</v>
      </c>
      <c r="E35" s="95">
        <f t="shared" si="9"/>
        <v>25</v>
      </c>
      <c r="F35" s="95">
        <f t="shared" si="9"/>
        <v>14.6</v>
      </c>
      <c r="G35" s="95">
        <f t="shared" si="9"/>
        <v>5.0999999999999996</v>
      </c>
      <c r="H35" s="95">
        <f t="shared" si="9"/>
        <v>98.4</v>
      </c>
      <c r="I35" s="7">
        <f t="shared" si="4"/>
        <v>5710</v>
      </c>
      <c r="J35" s="95">
        <f t="shared" si="10"/>
        <v>27.7</v>
      </c>
      <c r="K35" s="95">
        <f t="shared" si="10"/>
        <v>29.6</v>
      </c>
      <c r="L35" s="95">
        <f t="shared" si="10"/>
        <v>24.3</v>
      </c>
      <c r="M35" s="95">
        <f t="shared" si="10"/>
        <v>12.8</v>
      </c>
      <c r="N35" s="95">
        <f t="shared" si="10"/>
        <v>4.5</v>
      </c>
      <c r="O35" s="95">
        <f t="shared" si="10"/>
        <v>98.9</v>
      </c>
      <c r="P35" s="7">
        <f t="shared" si="6"/>
        <v>11132</v>
      </c>
      <c r="Q35" s="95">
        <f t="shared" si="11"/>
        <v>27</v>
      </c>
      <c r="R35" s="95">
        <f t="shared" si="11"/>
        <v>29.1</v>
      </c>
      <c r="S35" s="95">
        <f t="shared" si="11"/>
        <v>24.5</v>
      </c>
      <c r="T35" s="95">
        <f t="shared" si="11"/>
        <v>13.4</v>
      </c>
      <c r="U35" s="95">
        <f t="shared" si="11"/>
        <v>4.7</v>
      </c>
      <c r="V35" s="95">
        <f t="shared" si="11"/>
        <v>98.7</v>
      </c>
      <c r="W35" s="7">
        <f t="shared" si="8"/>
        <v>16842</v>
      </c>
    </row>
    <row r="36" spans="1:23" x14ac:dyDescent="0.2">
      <c r="A36" s="14"/>
      <c r="B36" s="10" t="s">
        <v>30</v>
      </c>
      <c r="C36" s="95">
        <f t="shared" si="9"/>
        <v>15.4</v>
      </c>
      <c r="D36" s="95">
        <f t="shared" si="9"/>
        <v>21.2</v>
      </c>
      <c r="E36" s="95">
        <f t="shared" si="9"/>
        <v>25.2</v>
      </c>
      <c r="F36" s="95">
        <f t="shared" si="9"/>
        <v>22.7</v>
      </c>
      <c r="G36" s="95">
        <f t="shared" si="9"/>
        <v>12.3</v>
      </c>
      <c r="H36" s="95">
        <f t="shared" si="9"/>
        <v>96.8</v>
      </c>
      <c r="I36" s="7">
        <f t="shared" si="4"/>
        <v>5682</v>
      </c>
      <c r="J36" s="95">
        <f t="shared" si="10"/>
        <v>21.7</v>
      </c>
      <c r="K36" s="95">
        <f t="shared" si="10"/>
        <v>24.4</v>
      </c>
      <c r="L36" s="95">
        <f t="shared" si="10"/>
        <v>24</v>
      </c>
      <c r="M36" s="95">
        <f t="shared" si="10"/>
        <v>19.899999999999999</v>
      </c>
      <c r="N36" s="95">
        <f t="shared" si="10"/>
        <v>8.4</v>
      </c>
      <c r="O36" s="95">
        <f t="shared" si="10"/>
        <v>98.3</v>
      </c>
      <c r="P36" s="7">
        <f t="shared" si="6"/>
        <v>3616</v>
      </c>
      <c r="Q36" s="95">
        <f t="shared" si="11"/>
        <v>17.8</v>
      </c>
      <c r="R36" s="95">
        <f t="shared" si="11"/>
        <v>22.4</v>
      </c>
      <c r="S36" s="95">
        <f t="shared" si="11"/>
        <v>24.8</v>
      </c>
      <c r="T36" s="95">
        <f t="shared" si="11"/>
        <v>21.6</v>
      </c>
      <c r="U36" s="95">
        <f t="shared" si="11"/>
        <v>10.8</v>
      </c>
      <c r="V36" s="95">
        <f t="shared" si="11"/>
        <v>97.4</v>
      </c>
      <c r="W36" s="7">
        <f t="shared" si="8"/>
        <v>9298</v>
      </c>
    </row>
    <row r="37" spans="1:23" x14ac:dyDescent="0.2">
      <c r="A37" s="14"/>
      <c r="B37" s="10" t="s">
        <v>31</v>
      </c>
      <c r="C37" s="95">
        <f t="shared" si="9"/>
        <v>12.1</v>
      </c>
      <c r="D37" s="95">
        <f t="shared" si="9"/>
        <v>21</v>
      </c>
      <c r="E37" s="95">
        <f t="shared" si="9"/>
        <v>26.7</v>
      </c>
      <c r="F37" s="95">
        <f t="shared" si="9"/>
        <v>23.2</v>
      </c>
      <c r="G37" s="95">
        <f t="shared" si="9"/>
        <v>14.1</v>
      </c>
      <c r="H37" s="95">
        <f t="shared" si="9"/>
        <v>97.1</v>
      </c>
      <c r="I37" s="7">
        <f t="shared" si="4"/>
        <v>13037</v>
      </c>
      <c r="J37" s="95">
        <f t="shared" si="10"/>
        <v>23.2</v>
      </c>
      <c r="K37" s="95">
        <f t="shared" si="10"/>
        <v>25.2</v>
      </c>
      <c r="L37" s="95">
        <f t="shared" si="10"/>
        <v>23</v>
      </c>
      <c r="M37" s="95">
        <f t="shared" si="10"/>
        <v>18.2</v>
      </c>
      <c r="N37" s="95">
        <f t="shared" si="10"/>
        <v>8.6999999999999993</v>
      </c>
      <c r="O37" s="95">
        <f t="shared" si="10"/>
        <v>98.3</v>
      </c>
      <c r="P37" s="7">
        <f t="shared" si="6"/>
        <v>9307</v>
      </c>
      <c r="Q37" s="95">
        <f t="shared" si="11"/>
        <v>16.7</v>
      </c>
      <c r="R37" s="95">
        <f t="shared" si="11"/>
        <v>22.7</v>
      </c>
      <c r="S37" s="95">
        <f t="shared" si="11"/>
        <v>25.2</v>
      </c>
      <c r="T37" s="95">
        <f t="shared" si="11"/>
        <v>21.1</v>
      </c>
      <c r="U37" s="95">
        <f t="shared" si="11"/>
        <v>11.8</v>
      </c>
      <c r="V37" s="95">
        <f t="shared" si="11"/>
        <v>97.6</v>
      </c>
      <c r="W37" s="7">
        <f t="shared" si="8"/>
        <v>22344</v>
      </c>
    </row>
    <row r="38" spans="1:23" x14ac:dyDescent="0.2">
      <c r="A38" s="14"/>
      <c r="B38" s="10" t="s">
        <v>32</v>
      </c>
      <c r="C38" s="95">
        <f t="shared" ref="C38:H39" si="12">IF(OR(C80=1,C80=2),"x",ROUND(C80/$I80*100,1))</f>
        <v>12</v>
      </c>
      <c r="D38" s="95">
        <f t="shared" si="12"/>
        <v>16.2</v>
      </c>
      <c r="E38" s="95">
        <f t="shared" si="12"/>
        <v>22</v>
      </c>
      <c r="F38" s="95">
        <f t="shared" si="12"/>
        <v>23.5</v>
      </c>
      <c r="G38" s="95">
        <f t="shared" si="12"/>
        <v>18.5</v>
      </c>
      <c r="H38" s="95">
        <f t="shared" si="12"/>
        <v>92.3</v>
      </c>
      <c r="I38" s="7">
        <f t="shared" si="4"/>
        <v>26573</v>
      </c>
      <c r="J38" s="95">
        <f t="shared" ref="J38:O39" si="13">IF(OR(J80=1,J80=2),"x",ROUND(J80/$P80*100,1))</f>
        <v>13.6</v>
      </c>
      <c r="K38" s="95">
        <f t="shared" si="13"/>
        <v>18.7</v>
      </c>
      <c r="L38" s="95">
        <f t="shared" si="13"/>
        <v>24.2</v>
      </c>
      <c r="M38" s="95">
        <f t="shared" si="13"/>
        <v>22.9</v>
      </c>
      <c r="N38" s="95">
        <f t="shared" si="13"/>
        <v>15.5</v>
      </c>
      <c r="O38" s="95">
        <f t="shared" si="13"/>
        <v>94.9</v>
      </c>
      <c r="P38" s="7">
        <f t="shared" si="6"/>
        <v>30513</v>
      </c>
      <c r="Q38" s="95">
        <f t="shared" ref="Q38:V39" si="14">IF(OR(Q80=1,Q80=2),"x",ROUND(Q80/$W80*100,1))</f>
        <v>12.8</v>
      </c>
      <c r="R38" s="95">
        <f t="shared" si="14"/>
        <v>17.5</v>
      </c>
      <c r="S38" s="95">
        <f t="shared" si="14"/>
        <v>23.2</v>
      </c>
      <c r="T38" s="95">
        <f t="shared" si="14"/>
        <v>23.2</v>
      </c>
      <c r="U38" s="95">
        <f t="shared" si="14"/>
        <v>16.899999999999999</v>
      </c>
      <c r="V38" s="95">
        <f t="shared" si="14"/>
        <v>93.7</v>
      </c>
      <c r="W38" s="7">
        <f t="shared" si="8"/>
        <v>57086</v>
      </c>
    </row>
    <row r="39" spans="1:23" x14ac:dyDescent="0.2">
      <c r="A39" s="14"/>
      <c r="B39" s="10" t="s">
        <v>46</v>
      </c>
      <c r="C39" s="95">
        <f t="shared" si="12"/>
        <v>24.8</v>
      </c>
      <c r="D39" s="95">
        <f t="shared" si="12"/>
        <v>23.2</v>
      </c>
      <c r="E39" s="95">
        <f t="shared" si="12"/>
        <v>23.1</v>
      </c>
      <c r="F39" s="95">
        <f t="shared" si="12"/>
        <v>17</v>
      </c>
      <c r="G39" s="95">
        <f t="shared" si="12"/>
        <v>9.1999999999999993</v>
      </c>
      <c r="H39" s="95">
        <f t="shared" si="12"/>
        <v>97.3</v>
      </c>
      <c r="I39" s="7">
        <f t="shared" si="4"/>
        <v>341016</v>
      </c>
      <c r="J39" s="95">
        <f t="shared" si="13"/>
        <v>26.8</v>
      </c>
      <c r="K39" s="95">
        <f t="shared" si="13"/>
        <v>25.9</v>
      </c>
      <c r="L39" s="95">
        <f t="shared" si="13"/>
        <v>23.5</v>
      </c>
      <c r="M39" s="95">
        <f t="shared" si="13"/>
        <v>15.2</v>
      </c>
      <c r="N39" s="95">
        <f t="shared" si="13"/>
        <v>6.8</v>
      </c>
      <c r="O39" s="95">
        <f t="shared" si="13"/>
        <v>98.2</v>
      </c>
      <c r="P39" s="7">
        <f t="shared" si="6"/>
        <v>400340</v>
      </c>
      <c r="Q39" s="95">
        <f t="shared" si="14"/>
        <v>25.9</v>
      </c>
      <c r="R39" s="95">
        <f t="shared" si="14"/>
        <v>24.7</v>
      </c>
      <c r="S39" s="95">
        <f t="shared" si="14"/>
        <v>23.3</v>
      </c>
      <c r="T39" s="95">
        <f t="shared" si="14"/>
        <v>16</v>
      </c>
      <c r="U39" s="95">
        <f t="shared" si="14"/>
        <v>7.9</v>
      </c>
      <c r="V39" s="95">
        <f t="shared" si="14"/>
        <v>97.8</v>
      </c>
      <c r="W39" s="7">
        <f t="shared" si="8"/>
        <v>741356</v>
      </c>
    </row>
    <row r="40" spans="1:23" x14ac:dyDescent="0.2">
      <c r="A40" s="14"/>
      <c r="B40" s="10"/>
      <c r="C40" s="4"/>
      <c r="D40" s="4"/>
      <c r="E40" s="4"/>
      <c r="F40" s="4"/>
      <c r="G40" s="4"/>
      <c r="H40" s="4"/>
      <c r="I40" s="13"/>
      <c r="J40" s="4"/>
      <c r="K40" s="4"/>
      <c r="L40" s="4"/>
      <c r="M40" s="4"/>
      <c r="N40" s="4"/>
      <c r="O40" s="4"/>
      <c r="P40" s="13"/>
      <c r="Q40" s="4"/>
      <c r="R40" s="4"/>
      <c r="S40" s="4"/>
      <c r="T40" s="4"/>
      <c r="U40" s="4"/>
      <c r="V40" s="4"/>
      <c r="W40" s="13"/>
    </row>
    <row r="41" spans="1:23" x14ac:dyDescent="0.2">
      <c r="A41" s="14"/>
      <c r="B41" s="10"/>
      <c r="C41" s="4"/>
      <c r="D41" s="4"/>
      <c r="E41" s="4"/>
      <c r="F41" s="4"/>
      <c r="G41" s="4"/>
      <c r="H41" s="4"/>
      <c r="I41" s="13"/>
      <c r="J41" s="4"/>
      <c r="K41" s="4"/>
      <c r="L41" s="4"/>
      <c r="M41" s="4"/>
      <c r="N41" s="4"/>
      <c r="O41" s="4"/>
      <c r="P41" s="13"/>
      <c r="Q41" s="4"/>
      <c r="R41" s="4"/>
      <c r="S41" s="4"/>
      <c r="T41" s="4"/>
      <c r="U41" s="4"/>
      <c r="V41" s="4"/>
      <c r="W41" s="13"/>
    </row>
    <row r="42" spans="1:23" x14ac:dyDescent="0.2">
      <c r="A42" s="14"/>
      <c r="B42" s="10"/>
      <c r="C42" s="4"/>
      <c r="D42" s="4"/>
      <c r="E42" s="4"/>
      <c r="F42" s="4"/>
      <c r="G42" s="4"/>
      <c r="H42" s="4"/>
      <c r="I42" s="13"/>
      <c r="J42" s="4"/>
      <c r="K42" s="4"/>
      <c r="L42" s="4"/>
      <c r="M42" s="4"/>
      <c r="N42" s="4"/>
      <c r="O42" s="4"/>
      <c r="P42" s="13"/>
      <c r="Q42" s="4"/>
      <c r="R42" s="4"/>
      <c r="S42" s="4"/>
      <c r="T42" s="4"/>
      <c r="U42" s="4"/>
      <c r="V42" s="4"/>
      <c r="W42" s="13"/>
    </row>
    <row r="43" spans="1:23" x14ac:dyDescent="0.2">
      <c r="A43" s="14"/>
      <c r="B43" s="10"/>
      <c r="C43" s="4"/>
      <c r="D43" s="4"/>
      <c r="E43" s="4"/>
      <c r="F43" s="4"/>
      <c r="G43" s="4"/>
      <c r="H43" s="4"/>
      <c r="I43" s="13"/>
      <c r="J43" s="4"/>
      <c r="K43" s="4"/>
      <c r="L43" s="4"/>
      <c r="M43" s="4"/>
      <c r="N43" s="4"/>
      <c r="O43" s="4"/>
      <c r="P43" s="13"/>
      <c r="Q43" s="4"/>
      <c r="R43" s="4"/>
      <c r="S43" s="4"/>
      <c r="T43" s="4"/>
      <c r="U43" s="4"/>
      <c r="V43" s="4"/>
      <c r="W43" s="13"/>
    </row>
    <row r="44" spans="1:23" x14ac:dyDescent="0.2">
      <c r="A44" s="14"/>
      <c r="B44" s="10"/>
      <c r="C44" s="4"/>
      <c r="D44" s="4"/>
      <c r="E44" s="4"/>
      <c r="F44" s="4"/>
      <c r="G44" s="4"/>
      <c r="H44" s="4"/>
      <c r="I44" s="13"/>
      <c r="J44" s="4"/>
      <c r="K44" s="4"/>
      <c r="L44" s="4"/>
      <c r="M44" s="4"/>
      <c r="N44" s="4"/>
      <c r="O44" s="4"/>
      <c r="P44" s="13"/>
      <c r="Q44" s="4"/>
      <c r="R44" s="4"/>
      <c r="S44" s="4"/>
      <c r="T44" s="4"/>
      <c r="U44" s="4"/>
      <c r="V44" s="4"/>
      <c r="W44" s="13"/>
    </row>
    <row r="46" spans="1:23" x14ac:dyDescent="0.2">
      <c r="A46" s="14"/>
      <c r="C46" s="7" t="s">
        <v>33</v>
      </c>
      <c r="D46" s="7" t="s">
        <v>34</v>
      </c>
      <c r="E46" s="7" t="s">
        <v>35</v>
      </c>
      <c r="F46" s="7" t="s">
        <v>36</v>
      </c>
      <c r="G46" s="7" t="s">
        <v>37</v>
      </c>
      <c r="H46" s="7" t="s">
        <v>47</v>
      </c>
      <c r="I46" s="7" t="s">
        <v>54</v>
      </c>
      <c r="J46" s="7" t="s">
        <v>33</v>
      </c>
      <c r="K46" s="7" t="s">
        <v>34</v>
      </c>
      <c r="L46" s="7" t="s">
        <v>35</v>
      </c>
      <c r="M46" s="7" t="s">
        <v>36</v>
      </c>
      <c r="N46" s="7" t="s">
        <v>37</v>
      </c>
      <c r="O46" s="7" t="s">
        <v>47</v>
      </c>
      <c r="P46" s="7" t="s">
        <v>54</v>
      </c>
      <c r="Q46" s="7" t="s">
        <v>33</v>
      </c>
      <c r="R46" s="7" t="s">
        <v>34</v>
      </c>
      <c r="S46" s="7" t="s">
        <v>35</v>
      </c>
      <c r="T46" s="7" t="s">
        <v>36</v>
      </c>
      <c r="U46" s="7" t="s">
        <v>37</v>
      </c>
      <c r="V46" s="7" t="s">
        <v>47</v>
      </c>
      <c r="W46" s="7" t="s">
        <v>54</v>
      </c>
    </row>
    <row r="47" spans="1:23" x14ac:dyDescent="0.2">
      <c r="A47" s="14"/>
      <c r="B47" s="7" t="s">
        <v>0</v>
      </c>
      <c r="C47" s="7">
        <v>5234</v>
      </c>
      <c r="D47" s="7">
        <v>4326</v>
      </c>
      <c r="E47" s="7">
        <v>4138</v>
      </c>
      <c r="F47" s="7">
        <v>3395</v>
      </c>
      <c r="G47" s="7">
        <v>2431</v>
      </c>
      <c r="H47" s="7">
        <v>19524</v>
      </c>
      <c r="I47" s="7">
        <v>20304</v>
      </c>
      <c r="J47" s="7">
        <v>7720</v>
      </c>
      <c r="K47" s="7">
        <v>6409</v>
      </c>
      <c r="L47" s="7">
        <v>5775</v>
      </c>
      <c r="M47" s="7">
        <v>4579</v>
      </c>
      <c r="N47" s="7">
        <v>2781</v>
      </c>
      <c r="O47" s="7">
        <v>27264</v>
      </c>
      <c r="P47" s="7">
        <v>28093</v>
      </c>
      <c r="Q47" s="7">
        <v>12954</v>
      </c>
      <c r="R47" s="7">
        <v>10735</v>
      </c>
      <c r="S47" s="7">
        <v>9913</v>
      </c>
      <c r="T47" s="7">
        <v>7974</v>
      </c>
      <c r="U47" s="7">
        <v>5212</v>
      </c>
      <c r="V47" s="7">
        <v>46788</v>
      </c>
      <c r="W47" s="7">
        <v>48397</v>
      </c>
    </row>
    <row r="48" spans="1:23" x14ac:dyDescent="0.2">
      <c r="A48" s="14"/>
      <c r="B48" s="7" t="s">
        <v>1</v>
      </c>
      <c r="C48" s="7">
        <v>6315</v>
      </c>
      <c r="D48" s="7">
        <v>4400</v>
      </c>
      <c r="E48" s="7">
        <v>3348</v>
      </c>
      <c r="F48" s="7">
        <v>2420</v>
      </c>
      <c r="G48" s="7">
        <v>1560</v>
      </c>
      <c r="H48" s="7">
        <v>18043</v>
      </c>
      <c r="I48" s="7">
        <v>18625</v>
      </c>
      <c r="J48" s="7">
        <v>6034</v>
      </c>
      <c r="K48" s="7">
        <v>4599</v>
      </c>
      <c r="L48" s="7">
        <v>3273</v>
      </c>
      <c r="M48" s="7">
        <v>2230</v>
      </c>
      <c r="N48" s="7">
        <v>1177</v>
      </c>
      <c r="O48" s="7">
        <v>17313</v>
      </c>
      <c r="P48" s="7">
        <v>17703</v>
      </c>
      <c r="Q48" s="7">
        <v>12349</v>
      </c>
      <c r="R48" s="7">
        <v>8999</v>
      </c>
      <c r="S48" s="7">
        <v>6621</v>
      </c>
      <c r="T48" s="7">
        <v>4650</v>
      </c>
      <c r="U48" s="7">
        <v>2737</v>
      </c>
      <c r="V48" s="7">
        <v>35356</v>
      </c>
      <c r="W48" s="7">
        <v>36328</v>
      </c>
    </row>
    <row r="49" spans="1:23" x14ac:dyDescent="0.2">
      <c r="A49" s="14"/>
      <c r="B49" s="7" t="s">
        <v>2</v>
      </c>
      <c r="C49" s="7">
        <v>6019</v>
      </c>
      <c r="D49" s="7">
        <v>4056</v>
      </c>
      <c r="E49" s="7">
        <v>3553</v>
      </c>
      <c r="F49" s="7">
        <v>2972</v>
      </c>
      <c r="G49" s="7">
        <v>2100</v>
      </c>
      <c r="H49" s="7">
        <v>18700</v>
      </c>
      <c r="I49" s="7">
        <v>19418</v>
      </c>
      <c r="J49" s="7">
        <v>1982</v>
      </c>
      <c r="K49" s="7">
        <v>1146</v>
      </c>
      <c r="L49" s="7">
        <v>918</v>
      </c>
      <c r="M49" s="7">
        <v>674</v>
      </c>
      <c r="N49" s="7">
        <v>443</v>
      </c>
      <c r="O49" s="7">
        <v>5163</v>
      </c>
      <c r="P49" s="7">
        <v>5285</v>
      </c>
      <c r="Q49" s="7">
        <v>8001</v>
      </c>
      <c r="R49" s="7">
        <v>5202</v>
      </c>
      <c r="S49" s="7">
        <v>4471</v>
      </c>
      <c r="T49" s="7">
        <v>3646</v>
      </c>
      <c r="U49" s="7">
        <v>2543</v>
      </c>
      <c r="V49" s="7">
        <v>23863</v>
      </c>
      <c r="W49" s="7">
        <v>24703</v>
      </c>
    </row>
    <row r="50" spans="1:23" x14ac:dyDescent="0.2">
      <c r="A50" s="14"/>
      <c r="B50" s="7" t="s">
        <v>3</v>
      </c>
      <c r="C50" s="7">
        <v>714</v>
      </c>
      <c r="D50" s="7">
        <v>589</v>
      </c>
      <c r="E50" s="7">
        <v>615</v>
      </c>
      <c r="F50" s="7">
        <v>517</v>
      </c>
      <c r="G50" s="7">
        <v>372</v>
      </c>
      <c r="H50" s="7">
        <v>2807</v>
      </c>
      <c r="I50" s="7">
        <v>2895</v>
      </c>
      <c r="J50" s="7">
        <v>260</v>
      </c>
      <c r="K50" s="7">
        <v>269</v>
      </c>
      <c r="L50" s="7">
        <v>210</v>
      </c>
      <c r="M50" s="7">
        <v>221</v>
      </c>
      <c r="N50" s="7">
        <v>104</v>
      </c>
      <c r="O50" s="7">
        <v>1064</v>
      </c>
      <c r="P50" s="7">
        <v>1091</v>
      </c>
      <c r="Q50" s="7">
        <v>974</v>
      </c>
      <c r="R50" s="7">
        <v>858</v>
      </c>
      <c r="S50" s="7">
        <v>825</v>
      </c>
      <c r="T50" s="7">
        <v>738</v>
      </c>
      <c r="U50" s="7">
        <v>476</v>
      </c>
      <c r="V50" s="7">
        <v>3871</v>
      </c>
      <c r="W50" s="7">
        <v>3986</v>
      </c>
    </row>
    <row r="51" spans="1:23" x14ac:dyDescent="0.2">
      <c r="A51" s="14"/>
      <c r="B51" s="7" t="s">
        <v>4</v>
      </c>
      <c r="C51" s="7">
        <v>14984</v>
      </c>
      <c r="D51" s="7">
        <v>7557</v>
      </c>
      <c r="E51" s="7">
        <v>5462</v>
      </c>
      <c r="F51" s="7">
        <v>3731</v>
      </c>
      <c r="G51" s="7">
        <v>2298</v>
      </c>
      <c r="H51" s="7">
        <v>34032</v>
      </c>
      <c r="I51" s="7">
        <v>34809</v>
      </c>
      <c r="J51" s="7">
        <v>10462</v>
      </c>
      <c r="K51" s="7">
        <v>5241</v>
      </c>
      <c r="L51" s="7">
        <v>3409</v>
      </c>
      <c r="M51" s="7">
        <v>2163</v>
      </c>
      <c r="N51" s="7">
        <v>1150</v>
      </c>
      <c r="O51" s="7">
        <v>22425</v>
      </c>
      <c r="P51" s="7">
        <v>22809</v>
      </c>
      <c r="Q51" s="7">
        <v>25446</v>
      </c>
      <c r="R51" s="7">
        <v>12798</v>
      </c>
      <c r="S51" s="7">
        <v>8871</v>
      </c>
      <c r="T51" s="7">
        <v>5894</v>
      </c>
      <c r="U51" s="7">
        <v>3448</v>
      </c>
      <c r="V51" s="7">
        <v>56457</v>
      </c>
      <c r="W51" s="7">
        <v>57618</v>
      </c>
    </row>
    <row r="52" spans="1:23" x14ac:dyDescent="0.2">
      <c r="A52" s="14"/>
      <c r="B52" s="7" t="s">
        <v>5</v>
      </c>
      <c r="C52" s="7">
        <v>3406</v>
      </c>
      <c r="D52" s="7">
        <v>1179</v>
      </c>
      <c r="E52" s="7">
        <v>666</v>
      </c>
      <c r="F52" s="7">
        <v>337</v>
      </c>
      <c r="G52" s="7">
        <v>183</v>
      </c>
      <c r="H52" s="7">
        <v>5771</v>
      </c>
      <c r="I52" s="7">
        <v>5871</v>
      </c>
      <c r="J52" s="7">
        <v>1511</v>
      </c>
      <c r="K52" s="7">
        <v>558</v>
      </c>
      <c r="L52" s="7">
        <v>268</v>
      </c>
      <c r="M52" s="7">
        <v>142</v>
      </c>
      <c r="N52" s="7">
        <v>63</v>
      </c>
      <c r="O52" s="7">
        <v>2542</v>
      </c>
      <c r="P52" s="7">
        <v>2576</v>
      </c>
      <c r="Q52" s="7">
        <v>4917</v>
      </c>
      <c r="R52" s="7">
        <v>1737</v>
      </c>
      <c r="S52" s="7">
        <v>934</v>
      </c>
      <c r="T52" s="7">
        <v>479</v>
      </c>
      <c r="U52" s="7">
        <v>246</v>
      </c>
      <c r="V52" s="7">
        <v>8313</v>
      </c>
      <c r="W52" s="7">
        <v>8447</v>
      </c>
    </row>
    <row r="53" spans="1:23" x14ac:dyDescent="0.2">
      <c r="A53" s="14"/>
      <c r="B53" s="7" t="s">
        <v>6</v>
      </c>
      <c r="C53" s="7">
        <v>1392</v>
      </c>
      <c r="D53" s="7">
        <v>1965</v>
      </c>
      <c r="E53" s="7">
        <v>2393</v>
      </c>
      <c r="F53" s="7">
        <v>1922</v>
      </c>
      <c r="G53" s="7">
        <v>1039</v>
      </c>
      <c r="H53" s="7">
        <v>8711</v>
      </c>
      <c r="I53" s="7">
        <v>8995</v>
      </c>
      <c r="J53" s="7">
        <v>1521</v>
      </c>
      <c r="K53" s="7">
        <v>1739</v>
      </c>
      <c r="L53" s="7">
        <v>1703</v>
      </c>
      <c r="M53" s="7">
        <v>1071</v>
      </c>
      <c r="N53" s="7">
        <v>492</v>
      </c>
      <c r="O53" s="7">
        <v>6526</v>
      </c>
      <c r="P53" s="7">
        <v>6643</v>
      </c>
      <c r="Q53" s="7">
        <v>2913</v>
      </c>
      <c r="R53" s="7">
        <v>3704</v>
      </c>
      <c r="S53" s="7">
        <v>4096</v>
      </c>
      <c r="T53" s="7">
        <v>2993</v>
      </c>
      <c r="U53" s="7">
        <v>1531</v>
      </c>
      <c r="V53" s="7">
        <v>15237</v>
      </c>
      <c r="W53" s="7">
        <v>15638</v>
      </c>
    </row>
    <row r="54" spans="1:23" x14ac:dyDescent="0.2">
      <c r="A54" s="14"/>
      <c r="B54" s="67" t="s">
        <v>168</v>
      </c>
      <c r="C54" s="7">
        <v>656</v>
      </c>
      <c r="D54" s="7">
        <v>762</v>
      </c>
      <c r="E54" s="7">
        <v>837</v>
      </c>
      <c r="F54" s="7">
        <v>854</v>
      </c>
      <c r="G54" s="7">
        <v>596</v>
      </c>
      <c r="H54" s="7">
        <v>3705</v>
      </c>
      <c r="I54" s="7">
        <v>3876</v>
      </c>
      <c r="J54" s="7">
        <v>60</v>
      </c>
      <c r="K54" s="7">
        <v>67</v>
      </c>
      <c r="L54" s="7">
        <v>81</v>
      </c>
      <c r="M54" s="7">
        <v>63</v>
      </c>
      <c r="N54" s="7">
        <v>29</v>
      </c>
      <c r="O54" s="7">
        <v>300</v>
      </c>
      <c r="P54" s="7">
        <v>316</v>
      </c>
      <c r="Q54" s="7">
        <v>716</v>
      </c>
      <c r="R54" s="7">
        <v>829</v>
      </c>
      <c r="S54" s="7">
        <v>918</v>
      </c>
      <c r="T54" s="7">
        <v>917</v>
      </c>
      <c r="U54" s="7">
        <v>625</v>
      </c>
      <c r="V54" s="7">
        <v>4005</v>
      </c>
      <c r="W54" s="7">
        <v>4192</v>
      </c>
    </row>
    <row r="55" spans="1:23" x14ac:dyDescent="0.2">
      <c r="A55" s="14"/>
      <c r="B55" s="7" t="s">
        <v>8</v>
      </c>
      <c r="C55" s="7">
        <v>350</v>
      </c>
      <c r="D55" s="7">
        <v>994</v>
      </c>
      <c r="E55" s="7">
        <v>1598</v>
      </c>
      <c r="F55" s="7">
        <v>1633</v>
      </c>
      <c r="G55" s="7">
        <v>1182</v>
      </c>
      <c r="H55" s="7">
        <v>5757</v>
      </c>
      <c r="I55" s="7">
        <v>6109</v>
      </c>
      <c r="J55" s="7">
        <v>360</v>
      </c>
      <c r="K55" s="7">
        <v>783</v>
      </c>
      <c r="L55" s="7">
        <v>931</v>
      </c>
      <c r="M55" s="7">
        <v>852</v>
      </c>
      <c r="N55" s="7">
        <v>486</v>
      </c>
      <c r="O55" s="7">
        <v>3412</v>
      </c>
      <c r="P55" s="7">
        <v>3561</v>
      </c>
      <c r="Q55" s="7">
        <v>710</v>
      </c>
      <c r="R55" s="7">
        <v>1777</v>
      </c>
      <c r="S55" s="7">
        <v>2529</v>
      </c>
      <c r="T55" s="7">
        <v>2485</v>
      </c>
      <c r="U55" s="7">
        <v>1668</v>
      </c>
      <c r="V55" s="7">
        <v>9169</v>
      </c>
      <c r="W55" s="7">
        <v>9670</v>
      </c>
    </row>
    <row r="56" spans="1:23" x14ac:dyDescent="0.2">
      <c r="A56" s="14"/>
      <c r="B56" s="7" t="s">
        <v>9</v>
      </c>
      <c r="C56" s="7">
        <v>2</v>
      </c>
      <c r="D56" s="7">
        <v>5</v>
      </c>
      <c r="E56" s="7">
        <v>9</v>
      </c>
      <c r="F56" s="7">
        <v>7</v>
      </c>
      <c r="G56" s="7">
        <v>6</v>
      </c>
      <c r="H56" s="7">
        <v>29</v>
      </c>
      <c r="I56" s="7">
        <v>32</v>
      </c>
      <c r="J56" s="7">
        <v>62</v>
      </c>
      <c r="K56" s="7">
        <v>78</v>
      </c>
      <c r="L56" s="7">
        <v>85</v>
      </c>
      <c r="M56" s="7">
        <v>64</v>
      </c>
      <c r="N56" s="7">
        <v>20</v>
      </c>
      <c r="O56" s="7">
        <v>309</v>
      </c>
      <c r="P56" s="7">
        <v>313</v>
      </c>
      <c r="Q56" s="7">
        <v>64</v>
      </c>
      <c r="R56" s="7">
        <v>83</v>
      </c>
      <c r="S56" s="7">
        <v>94</v>
      </c>
      <c r="T56" s="7">
        <v>71</v>
      </c>
      <c r="U56" s="7">
        <v>26</v>
      </c>
      <c r="V56" s="7">
        <v>338</v>
      </c>
      <c r="W56" s="7">
        <v>345</v>
      </c>
    </row>
    <row r="57" spans="1:23" x14ac:dyDescent="0.2">
      <c r="A57" s="14"/>
      <c r="B57" s="7" t="s">
        <v>10</v>
      </c>
      <c r="C57" s="7">
        <v>314</v>
      </c>
      <c r="D57" s="7">
        <v>415</v>
      </c>
      <c r="E57" s="7">
        <v>546</v>
      </c>
      <c r="F57" s="7">
        <v>484</v>
      </c>
      <c r="G57" s="7">
        <v>356</v>
      </c>
      <c r="H57" s="7">
        <v>2115</v>
      </c>
      <c r="I57" s="7">
        <v>2234</v>
      </c>
      <c r="J57" s="7">
        <v>193</v>
      </c>
      <c r="K57" s="7">
        <v>270</v>
      </c>
      <c r="L57" s="7">
        <v>313</v>
      </c>
      <c r="M57" s="7">
        <v>282</v>
      </c>
      <c r="N57" s="7">
        <v>179</v>
      </c>
      <c r="O57" s="7">
        <v>1237</v>
      </c>
      <c r="P57" s="7">
        <v>1298</v>
      </c>
      <c r="Q57" s="7">
        <v>507</v>
      </c>
      <c r="R57" s="7">
        <v>685</v>
      </c>
      <c r="S57" s="7">
        <v>859</v>
      </c>
      <c r="T57" s="7">
        <v>766</v>
      </c>
      <c r="U57" s="7">
        <v>535</v>
      </c>
      <c r="V57" s="7">
        <v>3352</v>
      </c>
      <c r="W57" s="7">
        <v>3532</v>
      </c>
    </row>
    <row r="58" spans="1:23" x14ac:dyDescent="0.2">
      <c r="A58" s="14"/>
      <c r="B58" s="7" t="s">
        <v>11</v>
      </c>
      <c r="C58" s="7">
        <v>2998</v>
      </c>
      <c r="D58" s="7">
        <v>4759</v>
      </c>
      <c r="E58" s="7">
        <v>5082</v>
      </c>
      <c r="F58" s="7">
        <v>3337</v>
      </c>
      <c r="G58" s="7">
        <v>1203</v>
      </c>
      <c r="H58" s="7">
        <v>17379</v>
      </c>
      <c r="I58" s="7">
        <v>17592</v>
      </c>
      <c r="J58" s="7">
        <v>2469</v>
      </c>
      <c r="K58" s="7">
        <v>3413</v>
      </c>
      <c r="L58" s="7">
        <v>3371</v>
      </c>
      <c r="M58" s="7">
        <v>2120</v>
      </c>
      <c r="N58" s="7">
        <v>783</v>
      </c>
      <c r="O58" s="7">
        <v>12156</v>
      </c>
      <c r="P58" s="7">
        <v>12295</v>
      </c>
      <c r="Q58" s="7">
        <v>5467</v>
      </c>
      <c r="R58" s="7">
        <v>8172</v>
      </c>
      <c r="S58" s="7">
        <v>8453</v>
      </c>
      <c r="T58" s="7">
        <v>5457</v>
      </c>
      <c r="U58" s="7">
        <v>1986</v>
      </c>
      <c r="V58" s="7">
        <v>29535</v>
      </c>
      <c r="W58" s="7">
        <v>29887</v>
      </c>
    </row>
    <row r="59" spans="1:23" x14ac:dyDescent="0.2">
      <c r="A59" s="14"/>
      <c r="B59" s="7" t="s">
        <v>12</v>
      </c>
      <c r="C59" s="7">
        <v>3842</v>
      </c>
      <c r="D59" s="7">
        <v>2889</v>
      </c>
      <c r="E59" s="7">
        <v>2108</v>
      </c>
      <c r="F59" s="7">
        <v>1256</v>
      </c>
      <c r="G59" s="7">
        <v>440</v>
      </c>
      <c r="H59" s="7">
        <v>10535</v>
      </c>
      <c r="I59" s="7">
        <v>10641</v>
      </c>
      <c r="J59" s="7">
        <v>1923</v>
      </c>
      <c r="K59" s="7">
        <v>1293</v>
      </c>
      <c r="L59" s="7">
        <v>824</v>
      </c>
      <c r="M59" s="7">
        <v>436</v>
      </c>
      <c r="N59" s="7">
        <v>186</v>
      </c>
      <c r="O59" s="7">
        <v>4662</v>
      </c>
      <c r="P59" s="7">
        <v>4717</v>
      </c>
      <c r="Q59" s="7">
        <v>5765</v>
      </c>
      <c r="R59" s="7">
        <v>4182</v>
      </c>
      <c r="S59" s="7">
        <v>2932</v>
      </c>
      <c r="T59" s="7">
        <v>1692</v>
      </c>
      <c r="U59" s="7">
        <v>626</v>
      </c>
      <c r="V59" s="7">
        <v>15197</v>
      </c>
      <c r="W59" s="7">
        <v>15358</v>
      </c>
    </row>
    <row r="60" spans="1:23" x14ac:dyDescent="0.2">
      <c r="A60" s="14"/>
      <c r="B60" s="7" t="s">
        <v>13</v>
      </c>
      <c r="C60" s="7">
        <v>3871</v>
      </c>
      <c r="D60" s="7">
        <v>3993</v>
      </c>
      <c r="E60" s="7">
        <v>3779</v>
      </c>
      <c r="F60" s="7">
        <v>2376</v>
      </c>
      <c r="G60" s="7">
        <v>976</v>
      </c>
      <c r="H60" s="7">
        <v>14995</v>
      </c>
      <c r="I60" s="7">
        <v>15188</v>
      </c>
      <c r="J60" s="7">
        <v>4317</v>
      </c>
      <c r="K60" s="7">
        <v>3504</v>
      </c>
      <c r="L60" s="7">
        <v>2736</v>
      </c>
      <c r="M60" s="7">
        <v>1498</v>
      </c>
      <c r="N60" s="7">
        <v>514</v>
      </c>
      <c r="O60" s="7">
        <v>12569</v>
      </c>
      <c r="P60" s="7">
        <v>12658</v>
      </c>
      <c r="Q60" s="7">
        <v>8188</v>
      </c>
      <c r="R60" s="7">
        <v>7497</v>
      </c>
      <c r="S60" s="7">
        <v>6515</v>
      </c>
      <c r="T60" s="7">
        <v>3874</v>
      </c>
      <c r="U60" s="7">
        <v>1490</v>
      </c>
      <c r="V60" s="7">
        <v>27564</v>
      </c>
      <c r="W60" s="7">
        <v>27846</v>
      </c>
    </row>
    <row r="61" spans="1:23" x14ac:dyDescent="0.2">
      <c r="A61" s="14"/>
      <c r="B61" s="7" t="s">
        <v>14</v>
      </c>
      <c r="C61" s="7">
        <v>2102</v>
      </c>
      <c r="D61" s="7">
        <v>1716</v>
      </c>
      <c r="E61" s="7">
        <v>1397</v>
      </c>
      <c r="F61" s="7">
        <v>741</v>
      </c>
      <c r="G61" s="7">
        <v>302</v>
      </c>
      <c r="H61" s="7">
        <v>6258</v>
      </c>
      <c r="I61" s="7">
        <v>6334</v>
      </c>
      <c r="J61" s="7">
        <v>1686</v>
      </c>
      <c r="K61" s="7">
        <v>1237</v>
      </c>
      <c r="L61" s="7">
        <v>867</v>
      </c>
      <c r="M61" s="7">
        <v>451</v>
      </c>
      <c r="N61" s="7">
        <v>241</v>
      </c>
      <c r="O61" s="7">
        <v>4482</v>
      </c>
      <c r="P61" s="7">
        <v>4542</v>
      </c>
      <c r="Q61" s="7">
        <v>3788</v>
      </c>
      <c r="R61" s="7">
        <v>2953</v>
      </c>
      <c r="S61" s="7">
        <v>2264</v>
      </c>
      <c r="T61" s="7">
        <v>1192</v>
      </c>
      <c r="U61" s="7">
        <v>543</v>
      </c>
      <c r="V61" s="7">
        <v>10740</v>
      </c>
      <c r="W61" s="7">
        <v>10876</v>
      </c>
    </row>
    <row r="62" spans="1:23" x14ac:dyDescent="0.2">
      <c r="A62" s="14"/>
      <c r="B62" s="7" t="s">
        <v>15</v>
      </c>
      <c r="C62" s="7">
        <v>4952</v>
      </c>
      <c r="D62" s="7">
        <v>5761</v>
      </c>
      <c r="E62" s="7">
        <v>5548</v>
      </c>
      <c r="F62" s="7">
        <v>3403</v>
      </c>
      <c r="G62" s="7">
        <v>1316</v>
      </c>
      <c r="H62" s="7">
        <v>20980</v>
      </c>
      <c r="I62" s="7">
        <v>21217</v>
      </c>
      <c r="J62" s="7">
        <v>5506</v>
      </c>
      <c r="K62" s="7">
        <v>6075</v>
      </c>
      <c r="L62" s="7">
        <v>5029</v>
      </c>
      <c r="M62" s="7">
        <v>2974</v>
      </c>
      <c r="N62" s="7">
        <v>1084</v>
      </c>
      <c r="O62" s="7">
        <v>20668</v>
      </c>
      <c r="P62" s="7">
        <v>20890</v>
      </c>
      <c r="Q62" s="7">
        <v>10458</v>
      </c>
      <c r="R62" s="7">
        <v>11836</v>
      </c>
      <c r="S62" s="7">
        <v>10577</v>
      </c>
      <c r="T62" s="7">
        <v>6377</v>
      </c>
      <c r="U62" s="7">
        <v>2400</v>
      </c>
      <c r="V62" s="7">
        <v>41648</v>
      </c>
      <c r="W62" s="7">
        <v>42107</v>
      </c>
    </row>
    <row r="63" spans="1:23" x14ac:dyDescent="0.2">
      <c r="A63" s="14"/>
      <c r="B63" s="7" t="s">
        <v>16</v>
      </c>
      <c r="C63" s="7">
        <v>1040</v>
      </c>
      <c r="D63" s="7">
        <v>1219</v>
      </c>
      <c r="E63" s="7">
        <v>1396</v>
      </c>
      <c r="F63" s="7">
        <v>1129</v>
      </c>
      <c r="G63" s="7">
        <v>700</v>
      </c>
      <c r="H63" s="7">
        <v>5484</v>
      </c>
      <c r="I63" s="7">
        <v>5728</v>
      </c>
      <c r="J63" s="7">
        <v>1966</v>
      </c>
      <c r="K63" s="7">
        <v>1994</v>
      </c>
      <c r="L63" s="7">
        <v>2008</v>
      </c>
      <c r="M63" s="7">
        <v>1509</v>
      </c>
      <c r="N63" s="7">
        <v>747</v>
      </c>
      <c r="O63" s="7">
        <v>8224</v>
      </c>
      <c r="P63" s="7">
        <v>8470</v>
      </c>
      <c r="Q63" s="7">
        <v>3006</v>
      </c>
      <c r="R63" s="7">
        <v>3213</v>
      </c>
      <c r="S63" s="7">
        <v>3404</v>
      </c>
      <c r="T63" s="7">
        <v>2638</v>
      </c>
      <c r="U63" s="7">
        <v>1447</v>
      </c>
      <c r="V63" s="7">
        <v>13708</v>
      </c>
      <c r="W63" s="7">
        <v>14198</v>
      </c>
    </row>
    <row r="64" spans="1:23" x14ac:dyDescent="0.2">
      <c r="A64" s="14"/>
      <c r="B64" s="7" t="s">
        <v>17</v>
      </c>
      <c r="C64" s="7">
        <v>1603</v>
      </c>
      <c r="D64" s="7">
        <v>2649</v>
      </c>
      <c r="E64" s="7">
        <v>3292</v>
      </c>
      <c r="F64" s="7">
        <v>2905</v>
      </c>
      <c r="G64" s="7">
        <v>1788</v>
      </c>
      <c r="H64" s="7">
        <v>12237</v>
      </c>
      <c r="I64" s="7">
        <v>12791</v>
      </c>
      <c r="J64" s="7">
        <v>8203</v>
      </c>
      <c r="K64" s="7">
        <v>9200</v>
      </c>
      <c r="L64" s="7">
        <v>8983</v>
      </c>
      <c r="M64" s="7">
        <v>6260</v>
      </c>
      <c r="N64" s="7">
        <v>3205</v>
      </c>
      <c r="O64" s="7">
        <v>35851</v>
      </c>
      <c r="P64" s="7">
        <v>36643</v>
      </c>
      <c r="Q64" s="7">
        <v>9806</v>
      </c>
      <c r="R64" s="7">
        <v>11849</v>
      </c>
      <c r="S64" s="7">
        <v>12275</v>
      </c>
      <c r="T64" s="7">
        <v>9165</v>
      </c>
      <c r="U64" s="7">
        <v>4993</v>
      </c>
      <c r="V64" s="7">
        <v>48088</v>
      </c>
      <c r="W64" s="7">
        <v>49434</v>
      </c>
    </row>
    <row r="65" spans="1:23" x14ac:dyDescent="0.2">
      <c r="A65" s="14"/>
      <c r="B65" s="7" t="s">
        <v>18</v>
      </c>
      <c r="C65" s="7">
        <v>1041</v>
      </c>
      <c r="D65" s="7">
        <v>1566</v>
      </c>
      <c r="E65" s="7">
        <v>1652</v>
      </c>
      <c r="F65" s="7">
        <v>1168</v>
      </c>
      <c r="G65" s="7">
        <v>556</v>
      </c>
      <c r="H65" s="7">
        <v>5983</v>
      </c>
      <c r="I65" s="7">
        <v>6129</v>
      </c>
      <c r="J65" s="7">
        <v>4574</v>
      </c>
      <c r="K65" s="7">
        <v>5400</v>
      </c>
      <c r="L65" s="7">
        <v>4786</v>
      </c>
      <c r="M65" s="7">
        <v>3014</v>
      </c>
      <c r="N65" s="7">
        <v>1236</v>
      </c>
      <c r="O65" s="7">
        <v>19010</v>
      </c>
      <c r="P65" s="7">
        <v>19287</v>
      </c>
      <c r="Q65" s="7">
        <v>5615</v>
      </c>
      <c r="R65" s="7">
        <v>6966</v>
      </c>
      <c r="S65" s="7">
        <v>6438</v>
      </c>
      <c r="T65" s="7">
        <v>4182</v>
      </c>
      <c r="U65" s="7">
        <v>1792</v>
      </c>
      <c r="V65" s="7">
        <v>24993</v>
      </c>
      <c r="W65" s="7">
        <v>25416</v>
      </c>
    </row>
    <row r="66" spans="1:23" x14ac:dyDescent="0.2">
      <c r="A66" s="14"/>
      <c r="B66" s="7" t="s">
        <v>73</v>
      </c>
      <c r="C66" s="7">
        <v>349</v>
      </c>
      <c r="D66" s="7">
        <v>428</v>
      </c>
      <c r="E66" s="7">
        <v>420</v>
      </c>
      <c r="F66" s="7">
        <v>273</v>
      </c>
      <c r="G66" s="7">
        <v>166</v>
      </c>
      <c r="H66" s="7">
        <v>1636</v>
      </c>
      <c r="I66" s="7">
        <v>1669</v>
      </c>
      <c r="J66" s="7">
        <v>378</v>
      </c>
      <c r="K66" s="7">
        <v>420</v>
      </c>
      <c r="L66" s="7">
        <v>372</v>
      </c>
      <c r="M66" s="7">
        <v>263</v>
      </c>
      <c r="N66" s="7">
        <v>118</v>
      </c>
      <c r="O66" s="7">
        <v>1551</v>
      </c>
      <c r="P66" s="7">
        <v>1587</v>
      </c>
      <c r="Q66" s="7">
        <v>727</v>
      </c>
      <c r="R66" s="7">
        <v>848</v>
      </c>
      <c r="S66" s="7">
        <v>792</v>
      </c>
      <c r="T66" s="7">
        <v>536</v>
      </c>
      <c r="U66" s="7">
        <v>284</v>
      </c>
      <c r="V66" s="7">
        <v>3187</v>
      </c>
      <c r="W66" s="7">
        <v>3256</v>
      </c>
    </row>
    <row r="67" spans="1:23" x14ac:dyDescent="0.2">
      <c r="A67" s="14"/>
      <c r="B67" s="7" t="s">
        <v>20</v>
      </c>
      <c r="C67" s="7">
        <v>3104</v>
      </c>
      <c r="D67" s="7">
        <v>2665</v>
      </c>
      <c r="E67" s="7">
        <v>2764</v>
      </c>
      <c r="F67" s="7">
        <v>2044</v>
      </c>
      <c r="G67" s="7">
        <v>909</v>
      </c>
      <c r="H67" s="7">
        <v>11486</v>
      </c>
      <c r="I67" s="7">
        <v>11770</v>
      </c>
      <c r="J67" s="7">
        <v>8925</v>
      </c>
      <c r="K67" s="7">
        <v>7109</v>
      </c>
      <c r="L67" s="7">
        <v>6305</v>
      </c>
      <c r="M67" s="7">
        <v>3739</v>
      </c>
      <c r="N67" s="7">
        <v>1406</v>
      </c>
      <c r="O67" s="7">
        <v>27484</v>
      </c>
      <c r="P67" s="7">
        <v>27853</v>
      </c>
      <c r="Q67" s="7">
        <v>12029</v>
      </c>
      <c r="R67" s="7">
        <v>9774</v>
      </c>
      <c r="S67" s="7">
        <v>9069</v>
      </c>
      <c r="T67" s="7">
        <v>5783</v>
      </c>
      <c r="U67" s="7">
        <v>2315</v>
      </c>
      <c r="V67" s="7">
        <v>38970</v>
      </c>
      <c r="W67" s="7">
        <v>39623</v>
      </c>
    </row>
    <row r="68" spans="1:23" x14ac:dyDescent="0.2">
      <c r="A68" s="14"/>
      <c r="B68" s="7" t="s">
        <v>21</v>
      </c>
      <c r="C68" s="7">
        <v>735</v>
      </c>
      <c r="D68" s="7">
        <v>1358</v>
      </c>
      <c r="E68" s="7">
        <v>1524</v>
      </c>
      <c r="F68" s="7">
        <v>824</v>
      </c>
      <c r="G68" s="7">
        <v>226</v>
      </c>
      <c r="H68" s="7">
        <v>4667</v>
      </c>
      <c r="I68" s="7">
        <v>4702</v>
      </c>
      <c r="J68" s="7">
        <v>2390</v>
      </c>
      <c r="K68" s="7">
        <v>3406</v>
      </c>
      <c r="L68" s="7">
        <v>3057</v>
      </c>
      <c r="M68" s="7">
        <v>1282</v>
      </c>
      <c r="N68" s="7">
        <v>274</v>
      </c>
      <c r="O68" s="7">
        <v>10409</v>
      </c>
      <c r="P68" s="7">
        <v>10456</v>
      </c>
      <c r="Q68" s="7">
        <v>3125</v>
      </c>
      <c r="R68" s="7">
        <v>4764</v>
      </c>
      <c r="S68" s="7">
        <v>4581</v>
      </c>
      <c r="T68" s="7">
        <v>2106</v>
      </c>
      <c r="U68" s="7">
        <v>500</v>
      </c>
      <c r="V68" s="7">
        <v>15076</v>
      </c>
      <c r="W68" s="7">
        <v>15158</v>
      </c>
    </row>
    <row r="69" spans="1:23" x14ac:dyDescent="0.2">
      <c r="A69" s="14"/>
      <c r="B69" s="7" t="s">
        <v>22</v>
      </c>
      <c r="C69" s="7">
        <v>5599</v>
      </c>
      <c r="D69" s="7">
        <v>6348</v>
      </c>
      <c r="E69" s="7">
        <v>6877</v>
      </c>
      <c r="F69" s="7">
        <v>4585</v>
      </c>
      <c r="G69" s="7">
        <v>1489</v>
      </c>
      <c r="H69" s="7">
        <v>24898</v>
      </c>
      <c r="I69" s="7">
        <v>25129</v>
      </c>
      <c r="J69" s="7">
        <v>12859</v>
      </c>
      <c r="K69" s="7">
        <v>15045</v>
      </c>
      <c r="L69" s="7">
        <v>15504</v>
      </c>
      <c r="M69" s="7">
        <v>9268</v>
      </c>
      <c r="N69" s="7">
        <v>2720</v>
      </c>
      <c r="O69" s="7">
        <v>55396</v>
      </c>
      <c r="P69" s="7">
        <v>55788</v>
      </c>
      <c r="Q69" s="7">
        <v>18458</v>
      </c>
      <c r="R69" s="7">
        <v>21393</v>
      </c>
      <c r="S69" s="7">
        <v>22381</v>
      </c>
      <c r="T69" s="7">
        <v>13853</v>
      </c>
      <c r="U69" s="7">
        <v>4209</v>
      </c>
      <c r="V69" s="7">
        <v>80294</v>
      </c>
      <c r="W69" s="7">
        <v>80917</v>
      </c>
    </row>
    <row r="70" spans="1:23" x14ac:dyDescent="0.2">
      <c r="A70" s="14"/>
      <c r="B70" s="7" t="s">
        <v>61</v>
      </c>
      <c r="C70" s="7">
        <v>1105</v>
      </c>
      <c r="D70" s="7">
        <v>2887</v>
      </c>
      <c r="E70" s="7">
        <v>3628</v>
      </c>
      <c r="F70" s="7">
        <v>2328</v>
      </c>
      <c r="G70" s="7">
        <v>688</v>
      </c>
      <c r="H70" s="7">
        <v>10636</v>
      </c>
      <c r="I70" s="7">
        <v>10760</v>
      </c>
      <c r="J70" s="7">
        <v>2129</v>
      </c>
      <c r="K70" s="7">
        <v>4264</v>
      </c>
      <c r="L70" s="7">
        <v>4395</v>
      </c>
      <c r="M70" s="7">
        <v>2017</v>
      </c>
      <c r="N70" s="7">
        <v>472</v>
      </c>
      <c r="O70" s="7">
        <v>13277</v>
      </c>
      <c r="P70" s="7">
        <v>13375</v>
      </c>
      <c r="Q70" s="7">
        <v>3234</v>
      </c>
      <c r="R70" s="7">
        <v>7151</v>
      </c>
      <c r="S70" s="7">
        <v>8023</v>
      </c>
      <c r="T70" s="7">
        <v>4345</v>
      </c>
      <c r="U70" s="7">
        <v>1160</v>
      </c>
      <c r="V70" s="7">
        <v>23913</v>
      </c>
      <c r="W70" s="7">
        <v>24135</v>
      </c>
    </row>
    <row r="71" spans="1:23" x14ac:dyDescent="0.2">
      <c r="A71" s="14"/>
      <c r="B71" s="7" t="s">
        <v>23</v>
      </c>
      <c r="C71" s="7">
        <v>553</v>
      </c>
      <c r="D71" s="7">
        <v>1336</v>
      </c>
      <c r="E71" s="7">
        <v>1529</v>
      </c>
      <c r="F71" s="7">
        <v>623</v>
      </c>
      <c r="G71" s="7">
        <v>142</v>
      </c>
      <c r="H71" s="7">
        <v>4183</v>
      </c>
      <c r="I71" s="7">
        <v>4220</v>
      </c>
      <c r="J71" s="7">
        <v>931</v>
      </c>
      <c r="K71" s="7">
        <v>1852</v>
      </c>
      <c r="L71" s="7">
        <v>1751</v>
      </c>
      <c r="M71" s="7">
        <v>674</v>
      </c>
      <c r="N71" s="7">
        <v>164</v>
      </c>
      <c r="O71" s="7">
        <v>5372</v>
      </c>
      <c r="P71" s="7">
        <v>5417</v>
      </c>
      <c r="Q71" s="7">
        <v>1484</v>
      </c>
      <c r="R71" s="7">
        <v>3188</v>
      </c>
      <c r="S71" s="7">
        <v>3280</v>
      </c>
      <c r="T71" s="7">
        <v>1297</v>
      </c>
      <c r="U71" s="7">
        <v>306</v>
      </c>
      <c r="V71" s="7">
        <v>9555</v>
      </c>
      <c r="W71" s="7">
        <v>9637</v>
      </c>
    </row>
    <row r="72" spans="1:23" x14ac:dyDescent="0.2">
      <c r="A72" s="14"/>
      <c r="B72" s="7" t="s">
        <v>24</v>
      </c>
      <c r="C72" s="7">
        <v>1570</v>
      </c>
      <c r="D72" s="7">
        <v>1077</v>
      </c>
      <c r="E72" s="7">
        <v>728</v>
      </c>
      <c r="F72" s="7">
        <v>392</v>
      </c>
      <c r="G72" s="7">
        <v>166</v>
      </c>
      <c r="H72" s="7">
        <v>3933</v>
      </c>
      <c r="I72" s="7">
        <v>3971</v>
      </c>
      <c r="J72" s="7">
        <v>3190</v>
      </c>
      <c r="K72" s="7">
        <v>2435</v>
      </c>
      <c r="L72" s="7">
        <v>1617</v>
      </c>
      <c r="M72" s="7">
        <v>950</v>
      </c>
      <c r="N72" s="7">
        <v>357</v>
      </c>
      <c r="O72" s="7">
        <v>8549</v>
      </c>
      <c r="P72" s="7">
        <v>8634</v>
      </c>
      <c r="Q72" s="7">
        <v>4760</v>
      </c>
      <c r="R72" s="7">
        <v>3512</v>
      </c>
      <c r="S72" s="7">
        <v>2345</v>
      </c>
      <c r="T72" s="7">
        <v>1342</v>
      </c>
      <c r="U72" s="7">
        <v>523</v>
      </c>
      <c r="V72" s="7">
        <v>12482</v>
      </c>
      <c r="W72" s="7">
        <v>12605</v>
      </c>
    </row>
    <row r="73" spans="1:23" x14ac:dyDescent="0.2">
      <c r="A73" s="14"/>
      <c r="B73" s="7" t="s">
        <v>25</v>
      </c>
      <c r="C73" s="7">
        <v>901</v>
      </c>
      <c r="D73" s="7">
        <v>533</v>
      </c>
      <c r="E73" s="7">
        <v>412</v>
      </c>
      <c r="F73" s="7">
        <v>239</v>
      </c>
      <c r="G73" s="7">
        <v>98</v>
      </c>
      <c r="H73" s="7">
        <v>2183</v>
      </c>
      <c r="I73" s="7">
        <v>2205</v>
      </c>
      <c r="J73" s="7">
        <v>1194</v>
      </c>
      <c r="K73" s="7">
        <v>934</v>
      </c>
      <c r="L73" s="7">
        <v>654</v>
      </c>
      <c r="M73" s="7">
        <v>378</v>
      </c>
      <c r="N73" s="7">
        <v>170</v>
      </c>
      <c r="O73" s="7">
        <v>3330</v>
      </c>
      <c r="P73" s="7">
        <v>3355</v>
      </c>
      <c r="Q73" s="7">
        <v>2095</v>
      </c>
      <c r="R73" s="7">
        <v>1467</v>
      </c>
      <c r="S73" s="7">
        <v>1066</v>
      </c>
      <c r="T73" s="7">
        <v>617</v>
      </c>
      <c r="U73" s="7">
        <v>268</v>
      </c>
      <c r="V73" s="7">
        <v>5513</v>
      </c>
      <c r="W73" s="7">
        <v>5560</v>
      </c>
    </row>
    <row r="74" spans="1:23" x14ac:dyDescent="0.2">
      <c r="A74" s="14"/>
      <c r="B74" s="7" t="s">
        <v>26</v>
      </c>
      <c r="C74" s="7">
        <v>796</v>
      </c>
      <c r="D74" s="7">
        <v>533</v>
      </c>
      <c r="E74" s="7">
        <v>318</v>
      </c>
      <c r="F74" s="7">
        <v>174</v>
      </c>
      <c r="G74" s="7">
        <v>52</v>
      </c>
      <c r="H74" s="7">
        <v>1873</v>
      </c>
      <c r="I74" s="7">
        <v>1884</v>
      </c>
      <c r="J74" s="7">
        <v>1470</v>
      </c>
      <c r="K74" s="7">
        <v>1050</v>
      </c>
      <c r="L74" s="7">
        <v>737</v>
      </c>
      <c r="M74" s="7">
        <v>409</v>
      </c>
      <c r="N74" s="7">
        <v>152</v>
      </c>
      <c r="O74" s="7">
        <v>3818</v>
      </c>
      <c r="P74" s="7">
        <v>3844</v>
      </c>
      <c r="Q74" s="7">
        <v>2266</v>
      </c>
      <c r="R74" s="7">
        <v>1583</v>
      </c>
      <c r="S74" s="7">
        <v>1055</v>
      </c>
      <c r="T74" s="7">
        <v>583</v>
      </c>
      <c r="U74" s="7">
        <v>204</v>
      </c>
      <c r="V74" s="7">
        <v>5691</v>
      </c>
      <c r="W74" s="7">
        <v>5728</v>
      </c>
    </row>
    <row r="75" spans="1:23" x14ac:dyDescent="0.2">
      <c r="A75" s="14"/>
      <c r="B75" s="7" t="s">
        <v>74</v>
      </c>
      <c r="C75" s="7">
        <v>1093</v>
      </c>
      <c r="D75" s="7">
        <v>748</v>
      </c>
      <c r="E75" s="7">
        <v>299</v>
      </c>
      <c r="F75" s="7">
        <v>117</v>
      </c>
      <c r="G75" s="7">
        <v>58</v>
      </c>
      <c r="H75" s="7">
        <v>2315</v>
      </c>
      <c r="I75" s="7">
        <v>2371</v>
      </c>
      <c r="J75" s="7">
        <v>1653</v>
      </c>
      <c r="K75" s="7">
        <v>878</v>
      </c>
      <c r="L75" s="7">
        <v>331</v>
      </c>
      <c r="M75" s="7">
        <v>165</v>
      </c>
      <c r="N75" s="7">
        <v>88</v>
      </c>
      <c r="O75" s="7">
        <v>3115</v>
      </c>
      <c r="P75" s="7">
        <v>3159</v>
      </c>
      <c r="Q75" s="7">
        <v>2746</v>
      </c>
      <c r="R75" s="7">
        <v>1626</v>
      </c>
      <c r="S75" s="7">
        <v>630</v>
      </c>
      <c r="T75" s="7">
        <v>282</v>
      </c>
      <c r="U75" s="7">
        <v>146</v>
      </c>
      <c r="V75" s="7">
        <v>5430</v>
      </c>
      <c r="W75" s="7">
        <v>5530</v>
      </c>
    </row>
    <row r="76" spans="1:23" x14ac:dyDescent="0.2">
      <c r="A76" s="14"/>
      <c r="B76" s="7" t="s">
        <v>28</v>
      </c>
      <c r="C76" s="7">
        <v>898</v>
      </c>
      <c r="D76" s="7">
        <v>654</v>
      </c>
      <c r="E76" s="7">
        <v>560</v>
      </c>
      <c r="F76" s="7">
        <v>306</v>
      </c>
      <c r="G76" s="7">
        <v>104</v>
      </c>
      <c r="H76" s="7">
        <v>2522</v>
      </c>
      <c r="I76" s="7">
        <v>2545</v>
      </c>
      <c r="J76" s="7">
        <v>1283</v>
      </c>
      <c r="K76" s="7">
        <v>892</v>
      </c>
      <c r="L76" s="7">
        <v>595</v>
      </c>
      <c r="M76" s="7">
        <v>239</v>
      </c>
      <c r="N76" s="7">
        <v>88</v>
      </c>
      <c r="O76" s="7">
        <v>3097</v>
      </c>
      <c r="P76" s="7">
        <v>3114</v>
      </c>
      <c r="Q76" s="7">
        <v>2181</v>
      </c>
      <c r="R76" s="7">
        <v>1546</v>
      </c>
      <c r="S76" s="7">
        <v>1155</v>
      </c>
      <c r="T76" s="7">
        <v>545</v>
      </c>
      <c r="U76" s="7">
        <v>192</v>
      </c>
      <c r="V76" s="7">
        <v>5619</v>
      </c>
      <c r="W76" s="7">
        <v>5659</v>
      </c>
    </row>
    <row r="77" spans="1:23" x14ac:dyDescent="0.2">
      <c r="A77" s="14"/>
      <c r="B77" s="7" t="s">
        <v>29</v>
      </c>
      <c r="C77" s="7">
        <v>1459</v>
      </c>
      <c r="D77" s="7">
        <v>1607</v>
      </c>
      <c r="E77" s="7">
        <v>1428</v>
      </c>
      <c r="F77" s="7">
        <v>835</v>
      </c>
      <c r="G77" s="7">
        <v>289</v>
      </c>
      <c r="H77" s="7">
        <v>5618</v>
      </c>
      <c r="I77" s="7">
        <v>5710</v>
      </c>
      <c r="J77" s="7">
        <v>3085</v>
      </c>
      <c r="K77" s="7">
        <v>3296</v>
      </c>
      <c r="L77" s="7">
        <v>2701</v>
      </c>
      <c r="M77" s="7">
        <v>1424</v>
      </c>
      <c r="N77" s="7">
        <v>501</v>
      </c>
      <c r="O77" s="7">
        <v>11007</v>
      </c>
      <c r="P77" s="7">
        <v>11132</v>
      </c>
      <c r="Q77" s="7">
        <v>4544</v>
      </c>
      <c r="R77" s="7">
        <v>4903</v>
      </c>
      <c r="S77" s="7">
        <v>4129</v>
      </c>
      <c r="T77" s="7">
        <v>2259</v>
      </c>
      <c r="U77" s="7">
        <v>790</v>
      </c>
      <c r="V77" s="7">
        <v>16625</v>
      </c>
      <c r="W77" s="7">
        <v>16842</v>
      </c>
    </row>
    <row r="78" spans="1:23" x14ac:dyDescent="0.2">
      <c r="A78" s="14"/>
      <c r="B78" s="7" t="s">
        <v>30</v>
      </c>
      <c r="C78" s="7">
        <v>874</v>
      </c>
      <c r="D78" s="7">
        <v>1205</v>
      </c>
      <c r="E78" s="7">
        <v>1434</v>
      </c>
      <c r="F78" s="7">
        <v>1290</v>
      </c>
      <c r="G78" s="7">
        <v>700</v>
      </c>
      <c r="H78" s="7">
        <v>5503</v>
      </c>
      <c r="I78" s="7">
        <v>5682</v>
      </c>
      <c r="J78" s="7">
        <v>783</v>
      </c>
      <c r="K78" s="7">
        <v>882</v>
      </c>
      <c r="L78" s="7">
        <v>868</v>
      </c>
      <c r="M78" s="7">
        <v>721</v>
      </c>
      <c r="N78" s="7">
        <v>302</v>
      </c>
      <c r="O78" s="7">
        <v>3556</v>
      </c>
      <c r="P78" s="7">
        <v>3616</v>
      </c>
      <c r="Q78" s="7">
        <v>1657</v>
      </c>
      <c r="R78" s="7">
        <v>2087</v>
      </c>
      <c r="S78" s="7">
        <v>2302</v>
      </c>
      <c r="T78" s="7">
        <v>2011</v>
      </c>
      <c r="U78" s="7">
        <v>1002</v>
      </c>
      <c r="V78" s="7">
        <v>9059</v>
      </c>
      <c r="W78" s="7">
        <v>9298</v>
      </c>
    </row>
    <row r="79" spans="1:23" x14ac:dyDescent="0.2">
      <c r="A79" s="14"/>
      <c r="B79" s="7" t="s">
        <v>31</v>
      </c>
      <c r="C79" s="7">
        <v>1571</v>
      </c>
      <c r="D79" s="7">
        <v>2738</v>
      </c>
      <c r="E79" s="7">
        <v>3479</v>
      </c>
      <c r="F79" s="7">
        <v>3030</v>
      </c>
      <c r="G79" s="7">
        <v>1836</v>
      </c>
      <c r="H79" s="7">
        <v>12654</v>
      </c>
      <c r="I79" s="7">
        <v>13037</v>
      </c>
      <c r="J79" s="7">
        <v>2158</v>
      </c>
      <c r="K79" s="7">
        <v>2343</v>
      </c>
      <c r="L79" s="7">
        <v>2143</v>
      </c>
      <c r="M79" s="7">
        <v>1691</v>
      </c>
      <c r="N79" s="7">
        <v>810</v>
      </c>
      <c r="O79" s="7">
        <v>9145</v>
      </c>
      <c r="P79" s="7">
        <v>9307</v>
      </c>
      <c r="Q79" s="7">
        <v>3729</v>
      </c>
      <c r="R79" s="7">
        <v>5081</v>
      </c>
      <c r="S79" s="7">
        <v>5622</v>
      </c>
      <c r="T79" s="7">
        <v>4721</v>
      </c>
      <c r="U79" s="7">
        <v>2646</v>
      </c>
      <c r="V79" s="7">
        <v>21799</v>
      </c>
      <c r="W79" s="7">
        <v>22344</v>
      </c>
    </row>
    <row r="80" spans="1:23" x14ac:dyDescent="0.2">
      <c r="A80" s="14"/>
      <c r="B80" s="7" t="s">
        <v>32</v>
      </c>
      <c r="C80" s="7">
        <v>3184</v>
      </c>
      <c r="D80" s="7">
        <v>4305</v>
      </c>
      <c r="E80" s="7">
        <v>5855</v>
      </c>
      <c r="F80" s="7">
        <v>6255</v>
      </c>
      <c r="G80" s="7">
        <v>4924</v>
      </c>
      <c r="H80" s="7">
        <v>24523</v>
      </c>
      <c r="I80" s="7">
        <v>26573</v>
      </c>
      <c r="J80" s="7">
        <v>4150</v>
      </c>
      <c r="K80" s="7">
        <v>5708</v>
      </c>
      <c r="L80" s="7">
        <v>7389</v>
      </c>
      <c r="M80" s="7">
        <v>6973</v>
      </c>
      <c r="N80" s="7">
        <v>4743</v>
      </c>
      <c r="O80" s="7">
        <v>28963</v>
      </c>
      <c r="P80" s="7">
        <v>30513</v>
      </c>
      <c r="Q80" s="7">
        <v>7334</v>
      </c>
      <c r="R80" s="7">
        <v>10013</v>
      </c>
      <c r="S80" s="7">
        <v>13244</v>
      </c>
      <c r="T80" s="7">
        <v>13228</v>
      </c>
      <c r="U80" s="7">
        <v>9667</v>
      </c>
      <c r="V80" s="7">
        <v>53486</v>
      </c>
      <c r="W80" s="7">
        <v>57086</v>
      </c>
    </row>
    <row r="81" spans="1:23" x14ac:dyDescent="0.2">
      <c r="A81" s="14"/>
      <c r="B81" s="7" t="s">
        <v>54</v>
      </c>
      <c r="C81" s="7">
        <v>84626</v>
      </c>
      <c r="D81" s="7">
        <v>79222</v>
      </c>
      <c r="E81" s="7">
        <v>78674</v>
      </c>
      <c r="F81" s="7">
        <v>57902</v>
      </c>
      <c r="G81" s="7">
        <v>31251</v>
      </c>
      <c r="H81" s="7">
        <v>331675</v>
      </c>
      <c r="I81" s="7">
        <v>341016</v>
      </c>
      <c r="J81" s="7">
        <v>107387</v>
      </c>
      <c r="K81" s="7">
        <v>103789</v>
      </c>
      <c r="L81" s="7">
        <v>93989</v>
      </c>
      <c r="M81" s="7">
        <v>60796</v>
      </c>
      <c r="N81" s="7">
        <v>27285</v>
      </c>
      <c r="O81" s="7">
        <v>393246</v>
      </c>
      <c r="P81" s="7">
        <v>400340</v>
      </c>
      <c r="Q81" s="7">
        <v>192013</v>
      </c>
      <c r="R81" s="7">
        <v>183011</v>
      </c>
      <c r="S81" s="7">
        <v>172663</v>
      </c>
      <c r="T81" s="7">
        <v>118698</v>
      </c>
      <c r="U81" s="7">
        <v>58536</v>
      </c>
      <c r="V81" s="7">
        <v>724921</v>
      </c>
      <c r="W81" s="7">
        <v>741356</v>
      </c>
    </row>
    <row r="82" spans="1:23" x14ac:dyDescent="0.2">
      <c r="A82" s="14"/>
    </row>
    <row r="83" spans="1:23" x14ac:dyDescent="0.2">
      <c r="A83" s="14"/>
      <c r="I83" s="15"/>
    </row>
    <row r="84" spans="1:23" x14ac:dyDescent="0.2">
      <c r="A84" s="14"/>
      <c r="I84" s="15"/>
    </row>
    <row r="85" spans="1:23" x14ac:dyDescent="0.2">
      <c r="A85" s="14"/>
      <c r="I85" s="15"/>
    </row>
    <row r="86" spans="1:23" x14ac:dyDescent="0.2">
      <c r="A86" s="14"/>
      <c r="I86" s="15"/>
    </row>
    <row r="87" spans="1:23" x14ac:dyDescent="0.2">
      <c r="A87" s="14"/>
      <c r="I87" s="15"/>
    </row>
    <row r="88" spans="1:23" x14ac:dyDescent="0.2">
      <c r="I88" s="15"/>
    </row>
    <row r="89" spans="1:23" x14ac:dyDescent="0.2">
      <c r="I89" s="15"/>
    </row>
    <row r="90" spans="1:23" x14ac:dyDescent="0.2">
      <c r="I90" s="15"/>
    </row>
    <row r="91" spans="1:23" x14ac:dyDescent="0.2">
      <c r="I91" s="15"/>
    </row>
    <row r="92" spans="1:23" x14ac:dyDescent="0.2">
      <c r="I92" s="15"/>
    </row>
    <row r="93" spans="1:23" x14ac:dyDescent="0.2">
      <c r="I93" s="15"/>
    </row>
    <row r="94" spans="1:23" x14ac:dyDescent="0.2">
      <c r="I94" s="15"/>
    </row>
    <row r="95" spans="1:23" x14ac:dyDescent="0.2">
      <c r="I95" s="15"/>
    </row>
    <row r="96" spans="1:23" x14ac:dyDescent="0.2">
      <c r="I96" s="15"/>
    </row>
    <row r="97" spans="9:9" x14ac:dyDescent="0.2">
      <c r="I97" s="15"/>
    </row>
    <row r="98" spans="9:9" x14ac:dyDescent="0.2">
      <c r="I98" s="15"/>
    </row>
    <row r="99" spans="9:9" x14ac:dyDescent="0.2">
      <c r="I99" s="15"/>
    </row>
    <row r="100" spans="9:9" x14ac:dyDescent="0.2">
      <c r="I100" s="15"/>
    </row>
    <row r="101" spans="9:9" x14ac:dyDescent="0.2">
      <c r="I101" s="15"/>
    </row>
    <row r="102" spans="9:9" x14ac:dyDescent="0.2">
      <c r="I102" s="15"/>
    </row>
    <row r="103" spans="9:9" x14ac:dyDescent="0.2">
      <c r="I103" s="15"/>
    </row>
    <row r="104" spans="9:9" x14ac:dyDescent="0.2">
      <c r="I104" s="15"/>
    </row>
    <row r="105" spans="9:9" x14ac:dyDescent="0.2">
      <c r="I105" s="15"/>
    </row>
    <row r="106" spans="9:9" x14ac:dyDescent="0.2">
      <c r="I106" s="15"/>
    </row>
    <row r="107" spans="9:9" x14ac:dyDescent="0.2">
      <c r="I107" s="15"/>
    </row>
    <row r="108" spans="9:9" x14ac:dyDescent="0.2">
      <c r="I108" s="15"/>
    </row>
    <row r="109" spans="9:9" x14ac:dyDescent="0.2">
      <c r="I109" s="15"/>
    </row>
    <row r="110" spans="9:9" x14ac:dyDescent="0.2">
      <c r="I110" s="15"/>
    </row>
    <row r="111" spans="9:9" x14ac:dyDescent="0.2">
      <c r="I111" s="15"/>
    </row>
    <row r="112" spans="9:9" x14ac:dyDescent="0.2">
      <c r="I112" s="15"/>
    </row>
    <row r="113" spans="9:9" x14ac:dyDescent="0.2">
      <c r="I113" s="15"/>
    </row>
    <row r="114" spans="9:9" x14ac:dyDescent="0.2">
      <c r="I114" s="15"/>
    </row>
    <row r="115" spans="9:9" x14ac:dyDescent="0.2">
      <c r="I115" s="15"/>
    </row>
    <row r="116" spans="9:9" x14ac:dyDescent="0.2">
      <c r="I116" s="15"/>
    </row>
    <row r="117" spans="9:9" x14ac:dyDescent="0.2">
      <c r="I117" s="15"/>
    </row>
    <row r="118" spans="9:9" x14ac:dyDescent="0.2">
      <c r="I118" s="15"/>
    </row>
    <row r="119" spans="9:9" x14ac:dyDescent="0.2">
      <c r="I119" s="15"/>
    </row>
  </sheetData>
  <phoneticPr fontId="3"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82"/>
  <sheetViews>
    <sheetView topLeftCell="A19" workbookViewId="0">
      <selection activeCell="A2" sqref="A2"/>
    </sheetView>
  </sheetViews>
  <sheetFormatPr defaultColWidth="9.140625" defaultRowHeight="11.25" x14ac:dyDescent="0.2"/>
  <cols>
    <col min="1" max="1" width="9.140625" style="11"/>
    <col min="2" max="2" width="26.5703125" style="7" bestFit="1" customWidth="1"/>
    <col min="3" max="16384" width="9.140625" style="7"/>
  </cols>
  <sheetData>
    <row r="1" spans="1:24" x14ac:dyDescent="0.2">
      <c r="B1" s="11"/>
      <c r="C1" s="11"/>
      <c r="D1" s="11"/>
      <c r="E1" s="11"/>
      <c r="F1" s="11"/>
      <c r="G1" s="11"/>
      <c r="H1" s="11"/>
      <c r="I1" s="11"/>
      <c r="J1" s="11"/>
      <c r="K1" s="11"/>
      <c r="L1" s="11"/>
      <c r="M1" s="11"/>
      <c r="N1" s="11"/>
      <c r="O1" s="11"/>
      <c r="P1" s="11"/>
      <c r="Q1" s="11"/>
      <c r="R1" s="11"/>
      <c r="S1" s="11"/>
      <c r="T1" s="11"/>
      <c r="U1" s="11"/>
      <c r="V1" s="11"/>
      <c r="W1" s="11"/>
    </row>
    <row r="2" spans="1:24" x14ac:dyDescent="0.2">
      <c r="B2" s="11"/>
      <c r="C2" s="11"/>
      <c r="D2" s="11"/>
      <c r="E2" s="11"/>
      <c r="F2" s="11"/>
      <c r="G2" s="11"/>
      <c r="H2" s="11"/>
      <c r="I2" s="11"/>
      <c r="J2" s="11"/>
      <c r="K2" s="11"/>
      <c r="L2" s="11"/>
      <c r="M2" s="11"/>
      <c r="N2" s="11"/>
      <c r="O2" s="11"/>
      <c r="P2" s="11"/>
      <c r="Q2" s="11"/>
      <c r="R2" s="11"/>
      <c r="S2" s="11"/>
      <c r="T2" s="11"/>
      <c r="U2" s="11"/>
      <c r="V2" s="11"/>
      <c r="W2" s="11"/>
    </row>
    <row r="3" spans="1:24" x14ac:dyDescent="0.2">
      <c r="B3" s="11"/>
      <c r="C3" s="11" t="s">
        <v>39</v>
      </c>
      <c r="D3" s="11"/>
      <c r="E3" s="11"/>
      <c r="F3" s="11"/>
      <c r="G3" s="11"/>
      <c r="H3" s="11"/>
      <c r="I3" s="11"/>
      <c r="J3" s="11" t="s">
        <v>43</v>
      </c>
      <c r="K3" s="11"/>
      <c r="L3" s="11"/>
      <c r="M3" s="11"/>
      <c r="N3" s="11"/>
      <c r="O3" s="11"/>
      <c r="P3" s="11"/>
      <c r="Q3" s="11" t="s">
        <v>54</v>
      </c>
      <c r="R3" s="11"/>
      <c r="S3" s="11"/>
      <c r="T3" s="11"/>
      <c r="U3" s="11"/>
      <c r="V3" s="11"/>
      <c r="W3" s="11"/>
      <c r="X3" s="11"/>
    </row>
    <row r="4" spans="1:24" x14ac:dyDescent="0.2">
      <c r="B4" s="10"/>
      <c r="C4" s="11" t="s">
        <v>33</v>
      </c>
      <c r="D4" s="11" t="s">
        <v>34</v>
      </c>
      <c r="E4" s="11" t="s">
        <v>35</v>
      </c>
      <c r="F4" s="11" t="s">
        <v>36</v>
      </c>
      <c r="G4" s="11" t="s">
        <v>37</v>
      </c>
      <c r="H4" s="11" t="s">
        <v>47</v>
      </c>
      <c r="I4" s="11" t="s">
        <v>58</v>
      </c>
      <c r="J4" s="11" t="s">
        <v>33</v>
      </c>
      <c r="K4" s="11" t="s">
        <v>34</v>
      </c>
      <c r="L4" s="11" t="s">
        <v>35</v>
      </c>
      <c r="M4" s="11" t="s">
        <v>36</v>
      </c>
      <c r="N4" s="11" t="s">
        <v>37</v>
      </c>
      <c r="O4" s="11" t="s">
        <v>47</v>
      </c>
      <c r="P4" s="12" t="s">
        <v>58</v>
      </c>
      <c r="Q4" s="11" t="s">
        <v>33</v>
      </c>
      <c r="R4" s="11" t="s">
        <v>34</v>
      </c>
      <c r="S4" s="11" t="s">
        <v>35</v>
      </c>
      <c r="T4" s="11" t="s">
        <v>36</v>
      </c>
      <c r="U4" s="11" t="s">
        <v>37</v>
      </c>
      <c r="V4" s="11" t="s">
        <v>47</v>
      </c>
      <c r="W4" s="12" t="s">
        <v>58</v>
      </c>
      <c r="X4" s="12"/>
    </row>
    <row r="5" spans="1:24" x14ac:dyDescent="0.2">
      <c r="A5" s="14"/>
      <c r="B5" s="10" t="s">
        <v>0</v>
      </c>
      <c r="C5" s="95">
        <f>IF(OR(C47=1,C47=2),"x",ROUND(C47/$I47*100,1))</f>
        <v>26.3</v>
      </c>
      <c r="D5" s="95">
        <f t="shared" ref="D5:H5" si="0">IF(OR(D47=1,D47=2),"x",ROUND(D47/$I47*100,1))</f>
        <v>22</v>
      </c>
      <c r="E5" s="95">
        <f t="shared" si="0"/>
        <v>20.100000000000001</v>
      </c>
      <c r="F5" s="95">
        <f t="shared" si="0"/>
        <v>16.899999999999999</v>
      </c>
      <c r="G5" s="95">
        <f t="shared" si="0"/>
        <v>11.4</v>
      </c>
      <c r="H5" s="95">
        <f t="shared" si="0"/>
        <v>96.7</v>
      </c>
      <c r="I5" s="7">
        <f>ROUND(I47,0)</f>
        <v>20510</v>
      </c>
      <c r="J5" s="95">
        <f>IF(OR(J47=1,J47=2),"x",ROUND(J47/$P47*100,1))</f>
        <v>29.4</v>
      </c>
      <c r="K5" s="95">
        <f t="shared" ref="K5:O5" si="1">IF(OR(K47=1,K47=2),"x",ROUND(K47/$P47*100,1))</f>
        <v>23</v>
      </c>
      <c r="L5" s="95">
        <f t="shared" si="1"/>
        <v>20</v>
      </c>
      <c r="M5" s="95">
        <f t="shared" si="1"/>
        <v>15.3</v>
      </c>
      <c r="N5" s="95">
        <f t="shared" si="1"/>
        <v>9.6999999999999993</v>
      </c>
      <c r="O5" s="95">
        <f t="shared" si="1"/>
        <v>97.4</v>
      </c>
      <c r="P5" s="7">
        <f>ROUND(P47,0)</f>
        <v>27468</v>
      </c>
      <c r="Q5" s="95">
        <f>IF(OR(Q47=1,Q47=2),"x",ROUND(Q47/$W47*100,1))</f>
        <v>28.1</v>
      </c>
      <c r="R5" s="95">
        <f t="shared" ref="R5:V5" si="2">IF(OR(R47=1,R47=2),"x",ROUND(R47/$W47*100,1))</f>
        <v>22.6</v>
      </c>
      <c r="S5" s="95">
        <f t="shared" si="2"/>
        <v>20</v>
      </c>
      <c r="T5" s="95">
        <f t="shared" si="2"/>
        <v>16</v>
      </c>
      <c r="U5" s="95">
        <f t="shared" si="2"/>
        <v>10.4</v>
      </c>
      <c r="V5" s="95">
        <f t="shared" si="2"/>
        <v>97.1</v>
      </c>
      <c r="W5" s="7">
        <f>ROUND(W47,0)</f>
        <v>47978</v>
      </c>
      <c r="X5" s="5"/>
    </row>
    <row r="6" spans="1:24" x14ac:dyDescent="0.2">
      <c r="A6" s="14"/>
      <c r="B6" s="10" t="s">
        <v>1</v>
      </c>
      <c r="C6" s="95">
        <f t="shared" ref="C6:H6" si="3">IF(OR(C48=1,C48=2),"x",ROUND(C48/$I48*100,1))</f>
        <v>34.299999999999997</v>
      </c>
      <c r="D6" s="95">
        <f t="shared" si="3"/>
        <v>23.3</v>
      </c>
      <c r="E6" s="95">
        <f t="shared" si="3"/>
        <v>17.5</v>
      </c>
      <c r="F6" s="95">
        <f t="shared" si="3"/>
        <v>13.2</v>
      </c>
      <c r="G6" s="95">
        <f t="shared" si="3"/>
        <v>8.9</v>
      </c>
      <c r="H6" s="95">
        <f t="shared" si="3"/>
        <v>97.2</v>
      </c>
      <c r="I6" s="7">
        <f t="shared" ref="I6:I39" si="4">ROUND(I48,0)</f>
        <v>19160</v>
      </c>
      <c r="J6" s="95">
        <f t="shared" ref="J6:O6" si="5">IF(OR(J48=1,J48=2),"x",ROUND(J48/$P48*100,1))</f>
        <v>35.299999999999997</v>
      </c>
      <c r="K6" s="95">
        <f t="shared" si="5"/>
        <v>25.5</v>
      </c>
      <c r="L6" s="95">
        <f t="shared" si="5"/>
        <v>18.2</v>
      </c>
      <c r="M6" s="95">
        <f t="shared" si="5"/>
        <v>11.8</v>
      </c>
      <c r="N6" s="95">
        <f t="shared" si="5"/>
        <v>7.4</v>
      </c>
      <c r="O6" s="95">
        <f t="shared" si="5"/>
        <v>98.1</v>
      </c>
      <c r="P6" s="7">
        <f t="shared" ref="P6:P39" si="6">ROUND(P48,0)</f>
        <v>17981</v>
      </c>
      <c r="Q6" s="95">
        <f t="shared" ref="Q6:V6" si="7">IF(OR(Q48=1,Q48=2),"x",ROUND(Q48/$W48*100,1))</f>
        <v>34.799999999999997</v>
      </c>
      <c r="R6" s="95">
        <f t="shared" si="7"/>
        <v>24.3</v>
      </c>
      <c r="S6" s="95">
        <f t="shared" si="7"/>
        <v>17.8</v>
      </c>
      <c r="T6" s="95">
        <f t="shared" si="7"/>
        <v>12.5</v>
      </c>
      <c r="U6" s="95">
        <f t="shared" si="7"/>
        <v>8.1999999999999993</v>
      </c>
      <c r="V6" s="95">
        <f t="shared" si="7"/>
        <v>97.6</v>
      </c>
      <c r="W6" s="7">
        <f t="shared" ref="W6:W39" si="8">ROUND(W48,0)</f>
        <v>37141</v>
      </c>
      <c r="X6" s="5"/>
    </row>
    <row r="7" spans="1:24" x14ac:dyDescent="0.2">
      <c r="A7" s="14"/>
      <c r="B7" s="10" t="s">
        <v>2</v>
      </c>
      <c r="C7" s="95">
        <f t="shared" ref="C7:H7" si="9">IF(OR(C49=1,C49=2),"x",ROUND(C49/$I49*100,1))</f>
        <v>31.7</v>
      </c>
      <c r="D7" s="95">
        <f t="shared" si="9"/>
        <v>20.3</v>
      </c>
      <c r="E7" s="95">
        <f t="shared" si="9"/>
        <v>18.399999999999999</v>
      </c>
      <c r="F7" s="95">
        <f t="shared" si="9"/>
        <v>15.3</v>
      </c>
      <c r="G7" s="95">
        <f t="shared" si="9"/>
        <v>10.9</v>
      </c>
      <c r="H7" s="95">
        <f t="shared" si="9"/>
        <v>96.6</v>
      </c>
      <c r="I7" s="7">
        <f t="shared" si="4"/>
        <v>19994</v>
      </c>
      <c r="J7" s="95">
        <f t="shared" ref="J7:O7" si="10">IF(OR(J49=1,J49=2),"x",ROUND(J49/$P49*100,1))</f>
        <v>37.799999999999997</v>
      </c>
      <c r="K7" s="95">
        <f t="shared" si="10"/>
        <v>22</v>
      </c>
      <c r="L7" s="95">
        <f t="shared" si="10"/>
        <v>17.100000000000001</v>
      </c>
      <c r="M7" s="95">
        <f t="shared" si="10"/>
        <v>13.4</v>
      </c>
      <c r="N7" s="95">
        <f t="shared" si="10"/>
        <v>7.7</v>
      </c>
      <c r="O7" s="95">
        <f t="shared" si="10"/>
        <v>98.1</v>
      </c>
      <c r="P7" s="7">
        <f t="shared" si="6"/>
        <v>5626</v>
      </c>
      <c r="Q7" s="95">
        <f t="shared" ref="Q7:V7" si="11">IF(OR(Q49=1,Q49=2),"x",ROUND(Q49/$W49*100,1))</f>
        <v>33</v>
      </c>
      <c r="R7" s="95">
        <f t="shared" si="11"/>
        <v>20.7</v>
      </c>
      <c r="S7" s="95">
        <f t="shared" si="11"/>
        <v>18.100000000000001</v>
      </c>
      <c r="T7" s="95">
        <f t="shared" si="11"/>
        <v>14.9</v>
      </c>
      <c r="U7" s="95">
        <f t="shared" si="11"/>
        <v>10.199999999999999</v>
      </c>
      <c r="V7" s="95">
        <f t="shared" si="11"/>
        <v>96.9</v>
      </c>
      <c r="W7" s="7">
        <f t="shared" si="8"/>
        <v>25620</v>
      </c>
      <c r="X7" s="5"/>
    </row>
    <row r="8" spans="1:24" x14ac:dyDescent="0.2">
      <c r="A8" s="14"/>
      <c r="B8" s="10" t="s">
        <v>3</v>
      </c>
      <c r="C8" s="95">
        <f t="shared" ref="C8:H8" si="12">IF(OR(C50=1,C50=2),"x",ROUND(C50/$I50*100,1))</f>
        <v>24.9</v>
      </c>
      <c r="D8" s="95">
        <f t="shared" si="12"/>
        <v>21.8</v>
      </c>
      <c r="E8" s="95">
        <f t="shared" si="12"/>
        <v>21.7</v>
      </c>
      <c r="F8" s="95">
        <f t="shared" si="12"/>
        <v>18</v>
      </c>
      <c r="G8" s="95">
        <f t="shared" si="12"/>
        <v>10.6</v>
      </c>
      <c r="H8" s="95">
        <f t="shared" si="12"/>
        <v>97</v>
      </c>
      <c r="I8" s="7">
        <f t="shared" si="4"/>
        <v>2794</v>
      </c>
      <c r="J8" s="95">
        <f t="shared" ref="J8:O8" si="13">IF(OR(J50=1,J50=2),"x",ROUND(J50/$P50*100,1))</f>
        <v>25.1</v>
      </c>
      <c r="K8" s="95">
        <f t="shared" si="13"/>
        <v>24.8</v>
      </c>
      <c r="L8" s="95">
        <f t="shared" si="13"/>
        <v>22.1</v>
      </c>
      <c r="M8" s="95">
        <f t="shared" si="13"/>
        <v>16.100000000000001</v>
      </c>
      <c r="N8" s="95">
        <f t="shared" si="13"/>
        <v>9.8000000000000007</v>
      </c>
      <c r="O8" s="95">
        <f t="shared" si="13"/>
        <v>97.9</v>
      </c>
      <c r="P8" s="65">
        <f t="shared" si="6"/>
        <v>1111</v>
      </c>
      <c r="Q8" s="95">
        <f t="shared" ref="Q8:V8" si="14">IF(OR(Q50=1,Q50=2),"x",ROUND(Q50/$W50*100,1))</f>
        <v>25</v>
      </c>
      <c r="R8" s="95">
        <f t="shared" si="14"/>
        <v>22.7</v>
      </c>
      <c r="S8" s="95">
        <f t="shared" si="14"/>
        <v>21.8</v>
      </c>
      <c r="T8" s="95">
        <f t="shared" si="14"/>
        <v>17.399999999999999</v>
      </c>
      <c r="U8" s="95">
        <f t="shared" si="14"/>
        <v>10.4</v>
      </c>
      <c r="V8" s="95">
        <f t="shared" si="14"/>
        <v>97.3</v>
      </c>
      <c r="W8" s="7">
        <f t="shared" si="8"/>
        <v>3905</v>
      </c>
      <c r="X8" s="5"/>
    </row>
    <row r="9" spans="1:24" x14ac:dyDescent="0.2">
      <c r="A9" s="14"/>
      <c r="B9" s="10" t="s">
        <v>4</v>
      </c>
      <c r="C9" s="95">
        <f t="shared" ref="C9:H9" si="15">IF(OR(C51=1,C51=2),"x",ROUND(C51/$I51*100,1))</f>
        <v>44.4</v>
      </c>
      <c r="D9" s="95">
        <f t="shared" si="15"/>
        <v>21.2</v>
      </c>
      <c r="E9" s="95">
        <f t="shared" si="15"/>
        <v>15.6</v>
      </c>
      <c r="F9" s="95">
        <f t="shared" si="15"/>
        <v>10.7</v>
      </c>
      <c r="G9" s="95">
        <f t="shared" si="15"/>
        <v>6.2</v>
      </c>
      <c r="H9" s="95">
        <f t="shared" si="15"/>
        <v>98.1</v>
      </c>
      <c r="I9" s="7">
        <f t="shared" si="4"/>
        <v>38408</v>
      </c>
      <c r="J9" s="95">
        <f t="shared" ref="J9:O9" si="16">IF(OR(J51=1,J51=2),"x",ROUND(J51/$P51*100,1))</f>
        <v>46.7</v>
      </c>
      <c r="K9" s="95">
        <f t="shared" si="16"/>
        <v>22.5</v>
      </c>
      <c r="L9" s="95">
        <f t="shared" si="16"/>
        <v>15</v>
      </c>
      <c r="M9" s="95">
        <f t="shared" si="16"/>
        <v>9.1999999999999993</v>
      </c>
      <c r="N9" s="95">
        <f t="shared" si="16"/>
        <v>5.0999999999999996</v>
      </c>
      <c r="O9" s="95">
        <f t="shared" si="16"/>
        <v>98.6</v>
      </c>
      <c r="P9" s="7">
        <f t="shared" si="6"/>
        <v>26109</v>
      </c>
      <c r="Q9" s="95">
        <f t="shared" ref="Q9:V9" si="17">IF(OR(Q51=1,Q51=2),"x",ROUND(Q51/$W51*100,1))</f>
        <v>45.4</v>
      </c>
      <c r="R9" s="95">
        <f t="shared" si="17"/>
        <v>21.7</v>
      </c>
      <c r="S9" s="95">
        <f t="shared" si="17"/>
        <v>15.3</v>
      </c>
      <c r="T9" s="95">
        <f t="shared" si="17"/>
        <v>10.1</v>
      </c>
      <c r="U9" s="95">
        <f t="shared" si="17"/>
        <v>5.8</v>
      </c>
      <c r="V9" s="95">
        <f t="shared" si="17"/>
        <v>98.3</v>
      </c>
      <c r="W9" s="7">
        <f t="shared" si="8"/>
        <v>64517</v>
      </c>
      <c r="X9" s="5"/>
    </row>
    <row r="10" spans="1:24" x14ac:dyDescent="0.2">
      <c r="A10" s="14"/>
      <c r="B10" s="10" t="s">
        <v>5</v>
      </c>
      <c r="C10" s="95">
        <f t="shared" ref="C10:H10" si="18">IF(OR(C52=1,C52=2),"x",ROUND(C52/$I52*100,1))</f>
        <v>59.4</v>
      </c>
      <c r="D10" s="95">
        <f t="shared" si="18"/>
        <v>19.7</v>
      </c>
      <c r="E10" s="95">
        <f t="shared" si="18"/>
        <v>10.4</v>
      </c>
      <c r="F10" s="95">
        <f t="shared" si="18"/>
        <v>5.8</v>
      </c>
      <c r="G10" s="95">
        <f t="shared" si="18"/>
        <v>3.6</v>
      </c>
      <c r="H10" s="95">
        <f t="shared" si="18"/>
        <v>98.9</v>
      </c>
      <c r="I10" s="7">
        <f t="shared" si="4"/>
        <v>6493</v>
      </c>
      <c r="J10" s="95">
        <f t="shared" ref="J10:O10" si="19">IF(OR(J52=1,J52=2),"x",ROUND(J52/$P52*100,1))</f>
        <v>58.6</v>
      </c>
      <c r="K10" s="95">
        <f t="shared" si="19"/>
        <v>21.3</v>
      </c>
      <c r="L10" s="95">
        <f t="shared" si="19"/>
        <v>12.4</v>
      </c>
      <c r="M10" s="95">
        <f t="shared" si="19"/>
        <v>4.5999999999999996</v>
      </c>
      <c r="N10" s="95">
        <f t="shared" si="19"/>
        <v>2.2999999999999998</v>
      </c>
      <c r="O10" s="95">
        <f t="shared" si="19"/>
        <v>99.2</v>
      </c>
      <c r="P10" s="7">
        <f t="shared" si="6"/>
        <v>2950</v>
      </c>
      <c r="Q10" s="95">
        <f t="shared" ref="Q10:V10" si="20">IF(OR(Q52=1,Q52=2),"x",ROUND(Q52/$W52*100,1))</f>
        <v>59.1</v>
      </c>
      <c r="R10" s="95">
        <f t="shared" si="20"/>
        <v>20.2</v>
      </c>
      <c r="S10" s="95">
        <f t="shared" si="20"/>
        <v>11</v>
      </c>
      <c r="T10" s="95">
        <f t="shared" si="20"/>
        <v>5.4</v>
      </c>
      <c r="U10" s="95">
        <f t="shared" si="20"/>
        <v>3.2</v>
      </c>
      <c r="V10" s="95">
        <f t="shared" si="20"/>
        <v>99</v>
      </c>
      <c r="W10" s="7">
        <f t="shared" si="8"/>
        <v>9443</v>
      </c>
      <c r="X10" s="5"/>
    </row>
    <row r="11" spans="1:24" x14ac:dyDescent="0.2">
      <c r="A11" s="14"/>
      <c r="B11" s="10" t="s">
        <v>6</v>
      </c>
      <c r="C11" s="95">
        <f t="shared" ref="C11:H11" si="21">IF(OR(C53=1,C53=2),"x",ROUND(C53/$I53*100,1))</f>
        <v>15.7</v>
      </c>
      <c r="D11" s="95">
        <f t="shared" si="21"/>
        <v>22.6</v>
      </c>
      <c r="E11" s="95">
        <f t="shared" si="21"/>
        <v>27.1</v>
      </c>
      <c r="F11" s="95">
        <f t="shared" si="21"/>
        <v>21.6</v>
      </c>
      <c r="G11" s="95">
        <f t="shared" si="21"/>
        <v>10.6</v>
      </c>
      <c r="H11" s="95">
        <f t="shared" si="21"/>
        <v>97.6</v>
      </c>
      <c r="I11" s="7">
        <f t="shared" si="4"/>
        <v>8860</v>
      </c>
      <c r="J11" s="95">
        <f t="shared" ref="J11:O11" si="22">IF(OR(J53=1,J53=2),"x",ROUND(J53/$P53*100,1))</f>
        <v>22.2</v>
      </c>
      <c r="K11" s="95">
        <f t="shared" si="22"/>
        <v>26.9</v>
      </c>
      <c r="L11" s="95">
        <f t="shared" si="22"/>
        <v>25</v>
      </c>
      <c r="M11" s="95">
        <f t="shared" si="22"/>
        <v>17.600000000000001</v>
      </c>
      <c r="N11" s="95">
        <f t="shared" si="22"/>
        <v>7</v>
      </c>
      <c r="O11" s="95">
        <f t="shared" si="22"/>
        <v>98.6</v>
      </c>
      <c r="P11" s="7">
        <f t="shared" si="6"/>
        <v>6585</v>
      </c>
      <c r="Q11" s="95">
        <f t="shared" ref="Q11:V11" si="23">IF(OR(Q53=1,Q53=2),"x",ROUND(Q53/$W53*100,1))</f>
        <v>18.5</v>
      </c>
      <c r="R11" s="95">
        <f t="shared" si="23"/>
        <v>24.4</v>
      </c>
      <c r="S11" s="95">
        <f t="shared" si="23"/>
        <v>26.2</v>
      </c>
      <c r="T11" s="95">
        <f t="shared" si="23"/>
        <v>19.899999999999999</v>
      </c>
      <c r="U11" s="95">
        <f t="shared" si="23"/>
        <v>9</v>
      </c>
      <c r="V11" s="95">
        <f t="shared" si="23"/>
        <v>98</v>
      </c>
      <c r="W11" s="7">
        <f t="shared" si="8"/>
        <v>15445</v>
      </c>
      <c r="X11" s="5"/>
    </row>
    <row r="12" spans="1:24" x14ac:dyDescent="0.2">
      <c r="A12" s="14"/>
      <c r="B12" s="67" t="s">
        <v>168</v>
      </c>
      <c r="C12" s="95">
        <f t="shared" ref="C12:H12" si="24">IF(OR(C54=1,C54=2),"x",ROUND(C54/$I54*100,1))</f>
        <v>16.7</v>
      </c>
      <c r="D12" s="95">
        <f t="shared" si="24"/>
        <v>20.6</v>
      </c>
      <c r="E12" s="95">
        <f t="shared" si="24"/>
        <v>22.6</v>
      </c>
      <c r="F12" s="95">
        <f t="shared" si="24"/>
        <v>20.8</v>
      </c>
      <c r="G12" s="95">
        <f t="shared" si="24"/>
        <v>14.5</v>
      </c>
      <c r="H12" s="95">
        <f t="shared" si="24"/>
        <v>95.3</v>
      </c>
      <c r="I12" s="7">
        <f t="shared" si="4"/>
        <v>3652</v>
      </c>
      <c r="J12" s="95">
        <f t="shared" ref="J12:O12" si="25">IF(OR(J54=1,J54=2),"x",ROUND(J54/$P54*100,1))</f>
        <v>17.399999999999999</v>
      </c>
      <c r="K12" s="95">
        <f t="shared" si="25"/>
        <v>26.3</v>
      </c>
      <c r="L12" s="95">
        <f t="shared" si="25"/>
        <v>21.5</v>
      </c>
      <c r="M12" s="95">
        <f t="shared" si="25"/>
        <v>19.8</v>
      </c>
      <c r="N12" s="95">
        <f t="shared" si="25"/>
        <v>12.6</v>
      </c>
      <c r="O12" s="95">
        <f t="shared" si="25"/>
        <v>97.6</v>
      </c>
      <c r="P12" s="7">
        <f t="shared" si="6"/>
        <v>293</v>
      </c>
      <c r="Q12" s="95">
        <f t="shared" ref="Q12:V12" si="26">IF(OR(Q54=1,Q54=2),"x",ROUND(Q54/$W54*100,1))</f>
        <v>16.8</v>
      </c>
      <c r="R12" s="95">
        <f t="shared" si="26"/>
        <v>21.1</v>
      </c>
      <c r="S12" s="95">
        <f t="shared" si="26"/>
        <v>22.6</v>
      </c>
      <c r="T12" s="95">
        <f t="shared" si="26"/>
        <v>20.7</v>
      </c>
      <c r="U12" s="95">
        <f t="shared" si="26"/>
        <v>14.4</v>
      </c>
      <c r="V12" s="95">
        <f t="shared" si="26"/>
        <v>95.4</v>
      </c>
      <c r="W12" s="7">
        <f t="shared" si="8"/>
        <v>3945</v>
      </c>
      <c r="X12" s="5"/>
    </row>
    <row r="13" spans="1:24" x14ac:dyDescent="0.2">
      <c r="A13" s="14"/>
      <c r="B13" s="10" t="s">
        <v>8</v>
      </c>
      <c r="C13" s="95">
        <f t="shared" ref="C13:H13" si="27">IF(OR(C55=1,C55=2),"x",ROUND(C55/$I55*100,1))</f>
        <v>6.2</v>
      </c>
      <c r="D13" s="95">
        <f t="shared" si="27"/>
        <v>16.7</v>
      </c>
      <c r="E13" s="95">
        <f t="shared" si="27"/>
        <v>25.4</v>
      </c>
      <c r="F13" s="95">
        <f t="shared" si="27"/>
        <v>27.8</v>
      </c>
      <c r="G13" s="95">
        <f t="shared" si="27"/>
        <v>18.8</v>
      </c>
      <c r="H13" s="95">
        <f t="shared" si="27"/>
        <v>94.9</v>
      </c>
      <c r="I13" s="7">
        <f t="shared" si="4"/>
        <v>5728</v>
      </c>
      <c r="J13" s="95">
        <f t="shared" ref="J13:O13" si="28">IF(OR(J55=1,J55=2),"x",ROUND(J55/$P55*100,1))</f>
        <v>10.199999999999999</v>
      </c>
      <c r="K13" s="95">
        <f t="shared" si="28"/>
        <v>21.3</v>
      </c>
      <c r="L13" s="95">
        <f t="shared" si="28"/>
        <v>27.9</v>
      </c>
      <c r="M13" s="95">
        <f t="shared" si="28"/>
        <v>25.3</v>
      </c>
      <c r="N13" s="95">
        <f t="shared" si="28"/>
        <v>12.4</v>
      </c>
      <c r="O13" s="95">
        <f t="shared" si="28"/>
        <v>97.1</v>
      </c>
      <c r="P13" s="7">
        <f t="shared" si="6"/>
        <v>3383</v>
      </c>
      <c r="Q13" s="95">
        <f t="shared" ref="Q13:V13" si="29">IF(OR(Q55=1,Q55=2),"x",ROUND(Q55/$W55*100,1))</f>
        <v>7.7</v>
      </c>
      <c r="R13" s="95">
        <f t="shared" si="29"/>
        <v>18.399999999999999</v>
      </c>
      <c r="S13" s="95">
        <f t="shared" si="29"/>
        <v>26.3</v>
      </c>
      <c r="T13" s="95">
        <f t="shared" si="29"/>
        <v>26.8</v>
      </c>
      <c r="U13" s="95">
        <f t="shared" si="29"/>
        <v>16.399999999999999</v>
      </c>
      <c r="V13" s="95">
        <f t="shared" si="29"/>
        <v>95.7</v>
      </c>
      <c r="W13" s="7">
        <f t="shared" si="8"/>
        <v>9111</v>
      </c>
      <c r="X13" s="5"/>
    </row>
    <row r="14" spans="1:24" x14ac:dyDescent="0.2">
      <c r="A14" s="14"/>
      <c r="B14" s="10" t="s">
        <v>9</v>
      </c>
      <c r="C14" s="95" t="str">
        <f t="shared" ref="C14:H14" si="30">IF(OR(C56=1,C56=2),"x",ROUND(C56/$I56*100,1))</f>
        <v>x</v>
      </c>
      <c r="D14" s="95">
        <f t="shared" si="30"/>
        <v>18.8</v>
      </c>
      <c r="E14" s="95">
        <f t="shared" si="30"/>
        <v>18.8</v>
      </c>
      <c r="F14" s="95">
        <f t="shared" si="30"/>
        <v>18.8</v>
      </c>
      <c r="G14" s="95">
        <f t="shared" si="30"/>
        <v>34.4</v>
      </c>
      <c r="H14" s="95">
        <f t="shared" si="30"/>
        <v>93.8</v>
      </c>
      <c r="I14" s="7">
        <f t="shared" si="4"/>
        <v>32</v>
      </c>
      <c r="J14" s="95">
        <f t="shared" ref="J14:O14" si="31">IF(OR(J56=1,J56=2),"x",ROUND(J56/$P56*100,1))</f>
        <v>18.3</v>
      </c>
      <c r="K14" s="95">
        <f t="shared" si="31"/>
        <v>29.2</v>
      </c>
      <c r="L14" s="95">
        <f t="shared" si="31"/>
        <v>20.8</v>
      </c>
      <c r="M14" s="95">
        <f t="shared" si="31"/>
        <v>22.1</v>
      </c>
      <c r="N14" s="95">
        <f t="shared" si="31"/>
        <v>8.3000000000000007</v>
      </c>
      <c r="O14" s="95">
        <f t="shared" si="31"/>
        <v>98.7</v>
      </c>
      <c r="P14" s="7">
        <f t="shared" si="6"/>
        <v>312</v>
      </c>
      <c r="Q14" s="95">
        <f t="shared" ref="Q14:V14" si="32">IF(OR(Q56=1,Q56=2),"x",ROUND(Q56/$W56*100,1))</f>
        <v>16.899999999999999</v>
      </c>
      <c r="R14" s="95">
        <f t="shared" si="32"/>
        <v>28.2</v>
      </c>
      <c r="S14" s="95">
        <f t="shared" si="32"/>
        <v>20.6</v>
      </c>
      <c r="T14" s="95">
        <f t="shared" si="32"/>
        <v>21.8</v>
      </c>
      <c r="U14" s="95">
        <f t="shared" si="32"/>
        <v>10.8</v>
      </c>
      <c r="V14" s="95">
        <f t="shared" si="32"/>
        <v>98.3</v>
      </c>
      <c r="W14" s="7">
        <f t="shared" si="8"/>
        <v>344</v>
      </c>
      <c r="X14" s="5"/>
    </row>
    <row r="15" spans="1:24" x14ac:dyDescent="0.2">
      <c r="A15" s="14"/>
      <c r="B15" s="10" t="s">
        <v>10</v>
      </c>
      <c r="C15" s="95">
        <f t="shared" ref="C15:H15" si="33">IF(OR(C57=1,C57=2),"x",ROUND(C57/$I57*100,1))</f>
        <v>12.6</v>
      </c>
      <c r="D15" s="95">
        <f t="shared" si="33"/>
        <v>23</v>
      </c>
      <c r="E15" s="95">
        <f t="shared" si="33"/>
        <v>25.2</v>
      </c>
      <c r="F15" s="95">
        <f t="shared" si="33"/>
        <v>21.8</v>
      </c>
      <c r="G15" s="95">
        <f t="shared" si="33"/>
        <v>12.8</v>
      </c>
      <c r="H15" s="95">
        <f t="shared" si="33"/>
        <v>95.3</v>
      </c>
      <c r="I15" s="7">
        <f t="shared" si="4"/>
        <v>2234</v>
      </c>
      <c r="J15" s="95">
        <f t="shared" ref="J15:O15" si="34">IF(OR(J57=1,J57=2),"x",ROUND(J57/$P57*100,1))</f>
        <v>14.5</v>
      </c>
      <c r="K15" s="95">
        <f t="shared" si="34"/>
        <v>22.3</v>
      </c>
      <c r="L15" s="95">
        <f t="shared" si="34"/>
        <v>22.5</v>
      </c>
      <c r="M15" s="95">
        <f t="shared" si="34"/>
        <v>22.3</v>
      </c>
      <c r="N15" s="95">
        <f t="shared" si="34"/>
        <v>13.8</v>
      </c>
      <c r="O15" s="95">
        <f t="shared" si="34"/>
        <v>95.3</v>
      </c>
      <c r="P15" s="7">
        <f t="shared" si="6"/>
        <v>1424</v>
      </c>
      <c r="Q15" s="95">
        <f t="shared" ref="Q15:V15" si="35">IF(OR(Q57=1,Q57=2),"x",ROUND(Q57/$W57*100,1))</f>
        <v>13.3</v>
      </c>
      <c r="R15" s="95">
        <f t="shared" si="35"/>
        <v>22.7</v>
      </c>
      <c r="S15" s="95">
        <f t="shared" si="35"/>
        <v>24.1</v>
      </c>
      <c r="T15" s="95">
        <f t="shared" si="35"/>
        <v>22</v>
      </c>
      <c r="U15" s="95">
        <f t="shared" si="35"/>
        <v>13.2</v>
      </c>
      <c r="V15" s="95">
        <f t="shared" si="35"/>
        <v>95.3</v>
      </c>
      <c r="W15" s="7">
        <f t="shared" si="8"/>
        <v>3658</v>
      </c>
      <c r="X15" s="5"/>
    </row>
    <row r="16" spans="1:24" x14ac:dyDescent="0.2">
      <c r="A16" s="14"/>
      <c r="B16" s="10" t="s">
        <v>11</v>
      </c>
      <c r="C16" s="95">
        <f t="shared" ref="C16:H16" si="36">IF(OR(C58=1,C58=2),"x",ROUND(C58/$I58*100,1))</f>
        <v>18</v>
      </c>
      <c r="D16" s="95">
        <f t="shared" si="36"/>
        <v>27.7</v>
      </c>
      <c r="E16" s="95">
        <f t="shared" si="36"/>
        <v>28.6</v>
      </c>
      <c r="F16" s="95">
        <f t="shared" si="36"/>
        <v>17.8</v>
      </c>
      <c r="G16" s="95">
        <f t="shared" si="36"/>
        <v>6.6</v>
      </c>
      <c r="H16" s="95">
        <f t="shared" si="36"/>
        <v>98.7</v>
      </c>
      <c r="I16" s="7">
        <f t="shared" si="4"/>
        <v>18208</v>
      </c>
      <c r="J16" s="95">
        <f t="shared" ref="J16:O16" si="37">IF(OR(J58=1,J58=2),"x",ROUND(J58/$P58*100,1))</f>
        <v>21.4</v>
      </c>
      <c r="K16" s="95">
        <f t="shared" si="37"/>
        <v>27.5</v>
      </c>
      <c r="L16" s="95">
        <f t="shared" si="37"/>
        <v>27</v>
      </c>
      <c r="M16" s="95">
        <f t="shared" si="37"/>
        <v>16.399999999999999</v>
      </c>
      <c r="N16" s="95">
        <f t="shared" si="37"/>
        <v>6.7</v>
      </c>
      <c r="O16" s="95">
        <f t="shared" si="37"/>
        <v>98.9</v>
      </c>
      <c r="P16" s="7">
        <f t="shared" si="6"/>
        <v>12353</v>
      </c>
      <c r="Q16" s="95">
        <f t="shared" ref="Q16:V16" si="38">IF(OR(Q58=1,Q58=2),"x",ROUND(Q58/$W58*100,1))</f>
        <v>19.3</v>
      </c>
      <c r="R16" s="95">
        <f t="shared" si="38"/>
        <v>27.6</v>
      </c>
      <c r="S16" s="95">
        <f t="shared" si="38"/>
        <v>27.9</v>
      </c>
      <c r="T16" s="95">
        <f t="shared" si="38"/>
        <v>17.2</v>
      </c>
      <c r="U16" s="95">
        <f t="shared" si="38"/>
        <v>6.6</v>
      </c>
      <c r="V16" s="95">
        <f t="shared" si="38"/>
        <v>98.8</v>
      </c>
      <c r="W16" s="7">
        <f t="shared" si="8"/>
        <v>30561</v>
      </c>
      <c r="X16" s="5"/>
    </row>
    <row r="17" spans="1:24" x14ac:dyDescent="0.2">
      <c r="A17" s="14"/>
      <c r="B17" s="10" t="s">
        <v>12</v>
      </c>
      <c r="C17" s="95">
        <f t="shared" ref="C17:H17" si="39">IF(OR(C59=1,C59=2),"x",ROUND(C59/$I59*100,1))</f>
        <v>36.299999999999997</v>
      </c>
      <c r="D17" s="95">
        <f t="shared" si="39"/>
        <v>27.9</v>
      </c>
      <c r="E17" s="95">
        <f t="shared" si="39"/>
        <v>19.600000000000001</v>
      </c>
      <c r="F17" s="95">
        <f t="shared" si="39"/>
        <v>11</v>
      </c>
      <c r="G17" s="95">
        <f t="shared" si="39"/>
        <v>4.3</v>
      </c>
      <c r="H17" s="95">
        <f t="shared" si="39"/>
        <v>99.1</v>
      </c>
      <c r="I17" s="7">
        <f t="shared" si="4"/>
        <v>12233</v>
      </c>
      <c r="J17" s="95">
        <f t="shared" ref="J17:O17" si="40">IF(OR(J59=1,J59=2),"x",ROUND(J59/$P59*100,1))</f>
        <v>43.6</v>
      </c>
      <c r="K17" s="95">
        <f t="shared" si="40"/>
        <v>25.7</v>
      </c>
      <c r="L17" s="95">
        <f t="shared" si="40"/>
        <v>17.600000000000001</v>
      </c>
      <c r="M17" s="95">
        <f t="shared" si="40"/>
        <v>8.6999999999999993</v>
      </c>
      <c r="N17" s="95">
        <f t="shared" si="40"/>
        <v>3.7</v>
      </c>
      <c r="O17" s="95">
        <f t="shared" si="40"/>
        <v>99.3</v>
      </c>
      <c r="P17" s="7">
        <f t="shared" si="6"/>
        <v>5463</v>
      </c>
      <c r="Q17" s="95">
        <f t="shared" ref="Q17:V17" si="41">IF(OR(Q59=1,Q59=2),"x",ROUND(Q59/$W59*100,1))</f>
        <v>38.5</v>
      </c>
      <c r="R17" s="95">
        <f t="shared" si="41"/>
        <v>27.2</v>
      </c>
      <c r="S17" s="95">
        <f t="shared" si="41"/>
        <v>19</v>
      </c>
      <c r="T17" s="95">
        <f t="shared" si="41"/>
        <v>10.3</v>
      </c>
      <c r="U17" s="95">
        <f t="shared" si="41"/>
        <v>4.0999999999999996</v>
      </c>
      <c r="V17" s="95">
        <f t="shared" si="41"/>
        <v>99.2</v>
      </c>
      <c r="W17" s="7">
        <f t="shared" si="8"/>
        <v>17696</v>
      </c>
      <c r="X17" s="5"/>
    </row>
    <row r="18" spans="1:24" x14ac:dyDescent="0.2">
      <c r="A18" s="14"/>
      <c r="B18" s="10" t="s">
        <v>13</v>
      </c>
      <c r="C18" s="95">
        <f t="shared" ref="C18:H18" si="42">IF(OR(C60=1,C60=2),"x",ROUND(C60/$I60*100,1))</f>
        <v>25.9</v>
      </c>
      <c r="D18" s="95">
        <f t="shared" si="42"/>
        <v>27</v>
      </c>
      <c r="E18" s="95">
        <f t="shared" si="42"/>
        <v>24.3</v>
      </c>
      <c r="F18" s="95">
        <f t="shared" si="42"/>
        <v>15.6</v>
      </c>
      <c r="G18" s="95">
        <f t="shared" si="42"/>
        <v>6.3</v>
      </c>
      <c r="H18" s="95">
        <f t="shared" si="42"/>
        <v>99.1</v>
      </c>
      <c r="I18" s="7">
        <f t="shared" si="4"/>
        <v>15533</v>
      </c>
      <c r="J18" s="95">
        <f t="shared" ref="J18:O18" si="43">IF(OR(J60=1,J60=2),"x",ROUND(J60/$P60*100,1))</f>
        <v>36.9</v>
      </c>
      <c r="K18" s="95">
        <f t="shared" si="43"/>
        <v>27.6</v>
      </c>
      <c r="L18" s="95">
        <f t="shared" si="43"/>
        <v>20.2</v>
      </c>
      <c r="M18" s="95">
        <f t="shared" si="43"/>
        <v>11.1</v>
      </c>
      <c r="N18" s="95">
        <f t="shared" si="43"/>
        <v>3.7</v>
      </c>
      <c r="O18" s="95">
        <f t="shared" si="43"/>
        <v>99.4</v>
      </c>
      <c r="P18" s="7">
        <f t="shared" si="6"/>
        <v>12917</v>
      </c>
      <c r="Q18" s="95">
        <f t="shared" ref="Q18:V18" si="44">IF(OR(Q60=1,Q60=2),"x",ROUND(Q60/$W60*100,1))</f>
        <v>30.9</v>
      </c>
      <c r="R18" s="95">
        <f t="shared" si="44"/>
        <v>27.2</v>
      </c>
      <c r="S18" s="95">
        <f t="shared" si="44"/>
        <v>22.4</v>
      </c>
      <c r="T18" s="95">
        <f t="shared" si="44"/>
        <v>13.5</v>
      </c>
      <c r="U18" s="95">
        <f t="shared" si="44"/>
        <v>5.0999999999999996</v>
      </c>
      <c r="V18" s="95">
        <f t="shared" si="44"/>
        <v>99.2</v>
      </c>
      <c r="W18" s="7">
        <f t="shared" si="8"/>
        <v>28450</v>
      </c>
      <c r="X18" s="5"/>
    </row>
    <row r="19" spans="1:24" x14ac:dyDescent="0.2">
      <c r="A19" s="14"/>
      <c r="B19" s="10" t="s">
        <v>14</v>
      </c>
      <c r="C19" s="95">
        <f t="shared" ref="C19:H19" si="45">IF(OR(C61=1,C61=2),"x",ROUND(C61/$I61*100,1))</f>
        <v>34.4</v>
      </c>
      <c r="D19" s="95">
        <f t="shared" si="45"/>
        <v>26.1</v>
      </c>
      <c r="E19" s="95">
        <f t="shared" si="45"/>
        <v>20.7</v>
      </c>
      <c r="F19" s="95">
        <f t="shared" si="45"/>
        <v>12.7</v>
      </c>
      <c r="G19" s="95">
        <f t="shared" si="45"/>
        <v>4.9000000000000004</v>
      </c>
      <c r="H19" s="95">
        <f t="shared" si="45"/>
        <v>98.8</v>
      </c>
      <c r="I19" s="7">
        <f t="shared" si="4"/>
        <v>6678</v>
      </c>
      <c r="J19" s="95">
        <f t="shared" ref="J19:O19" si="46">IF(OR(J61=1,J61=2),"x",ROUND(J61/$P61*100,1))</f>
        <v>38.6</v>
      </c>
      <c r="K19" s="95">
        <f t="shared" si="46"/>
        <v>26.2</v>
      </c>
      <c r="L19" s="95">
        <f t="shared" si="46"/>
        <v>19.2</v>
      </c>
      <c r="M19" s="95">
        <f t="shared" si="46"/>
        <v>10.7</v>
      </c>
      <c r="N19" s="95">
        <f t="shared" si="46"/>
        <v>4.4000000000000004</v>
      </c>
      <c r="O19" s="95">
        <f t="shared" si="46"/>
        <v>99.1</v>
      </c>
      <c r="P19" s="7">
        <f t="shared" si="6"/>
        <v>4984</v>
      </c>
      <c r="Q19" s="95">
        <f t="shared" ref="Q19:V19" si="47">IF(OR(Q61=1,Q61=2),"x",ROUND(Q61/$W61*100,1))</f>
        <v>36.200000000000003</v>
      </c>
      <c r="R19" s="95">
        <f t="shared" si="47"/>
        <v>26.2</v>
      </c>
      <c r="S19" s="95">
        <f t="shared" si="47"/>
        <v>20.100000000000001</v>
      </c>
      <c r="T19" s="95">
        <f t="shared" si="47"/>
        <v>11.8</v>
      </c>
      <c r="U19" s="95">
        <f t="shared" si="47"/>
        <v>4.7</v>
      </c>
      <c r="V19" s="95">
        <f t="shared" si="47"/>
        <v>98.9</v>
      </c>
      <c r="W19" s="7">
        <f t="shared" si="8"/>
        <v>11662</v>
      </c>
      <c r="X19" s="5"/>
    </row>
    <row r="20" spans="1:24" x14ac:dyDescent="0.2">
      <c r="A20" s="14"/>
      <c r="B20" s="10" t="s">
        <v>15</v>
      </c>
      <c r="C20" s="95">
        <f t="shared" ref="C20:H20" si="48">IF(OR(C62=1,C62=2),"x",ROUND(C62/$I62*100,1))</f>
        <v>24.4</v>
      </c>
      <c r="D20" s="95">
        <f t="shared" si="48"/>
        <v>28.3</v>
      </c>
      <c r="E20" s="95">
        <f t="shared" si="48"/>
        <v>25.1</v>
      </c>
      <c r="F20" s="95">
        <f t="shared" si="48"/>
        <v>15.6</v>
      </c>
      <c r="G20" s="95">
        <f t="shared" si="48"/>
        <v>5.8</v>
      </c>
      <c r="H20" s="95">
        <f t="shared" si="48"/>
        <v>99.1</v>
      </c>
      <c r="I20" s="7">
        <f t="shared" si="4"/>
        <v>21450</v>
      </c>
      <c r="J20" s="95">
        <f t="shared" ref="J20:O20" si="49">IF(OR(J62=1,J62=2),"x",ROUND(J62/$P62*100,1))</f>
        <v>28</v>
      </c>
      <c r="K20" s="95">
        <f t="shared" si="49"/>
        <v>29.2</v>
      </c>
      <c r="L20" s="95">
        <f t="shared" si="49"/>
        <v>23.8</v>
      </c>
      <c r="M20" s="95">
        <f t="shared" si="49"/>
        <v>13.6</v>
      </c>
      <c r="N20" s="95">
        <f t="shared" si="49"/>
        <v>4.8</v>
      </c>
      <c r="O20" s="95">
        <f t="shared" si="49"/>
        <v>99.3</v>
      </c>
      <c r="P20" s="7">
        <f t="shared" si="6"/>
        <v>21391</v>
      </c>
      <c r="Q20" s="95">
        <f t="shared" ref="Q20:V20" si="50">IF(OR(Q62=1,Q62=2),"x",ROUND(Q62/$W62*100,1))</f>
        <v>26.2</v>
      </c>
      <c r="R20" s="95">
        <f t="shared" si="50"/>
        <v>28.8</v>
      </c>
      <c r="S20" s="95">
        <f t="shared" si="50"/>
        <v>24.4</v>
      </c>
      <c r="T20" s="95">
        <f t="shared" si="50"/>
        <v>14.6</v>
      </c>
      <c r="U20" s="95">
        <f t="shared" si="50"/>
        <v>5.3</v>
      </c>
      <c r="V20" s="95">
        <f t="shared" si="50"/>
        <v>99.2</v>
      </c>
      <c r="W20" s="7">
        <f t="shared" si="8"/>
        <v>42841</v>
      </c>
      <c r="X20" s="5"/>
    </row>
    <row r="21" spans="1:24" x14ac:dyDescent="0.2">
      <c r="A21" s="14"/>
      <c r="B21" s="10" t="s">
        <v>16</v>
      </c>
      <c r="C21" s="95">
        <f t="shared" ref="C21:H21" si="51">IF(OR(C63=1,C63=2),"x",ROUND(C63/$I63*100,1))</f>
        <v>18.5</v>
      </c>
      <c r="D21" s="95">
        <f t="shared" si="51"/>
        <v>23.8</v>
      </c>
      <c r="E21" s="95">
        <f t="shared" si="51"/>
        <v>24.1</v>
      </c>
      <c r="F21" s="95">
        <f t="shared" si="51"/>
        <v>18.899999999999999</v>
      </c>
      <c r="G21" s="95">
        <f t="shared" si="51"/>
        <v>11.3</v>
      </c>
      <c r="H21" s="95">
        <f t="shared" si="51"/>
        <v>96.5</v>
      </c>
      <c r="I21" s="7">
        <f t="shared" si="4"/>
        <v>6068</v>
      </c>
      <c r="J21" s="95">
        <f t="shared" ref="J21:O21" si="52">IF(OR(J63=1,J63=2),"x",ROUND(J63/$P63*100,1))</f>
        <v>23.4</v>
      </c>
      <c r="K21" s="95">
        <f t="shared" si="52"/>
        <v>24.2</v>
      </c>
      <c r="L21" s="95">
        <f t="shared" si="52"/>
        <v>24</v>
      </c>
      <c r="M21" s="95">
        <f t="shared" si="52"/>
        <v>16.8</v>
      </c>
      <c r="N21" s="95">
        <f t="shared" si="52"/>
        <v>8.8000000000000007</v>
      </c>
      <c r="O21" s="95">
        <f t="shared" si="52"/>
        <v>97.3</v>
      </c>
      <c r="P21" s="7">
        <f t="shared" si="6"/>
        <v>8691</v>
      </c>
      <c r="Q21" s="95">
        <f t="shared" ref="Q21:V21" si="53">IF(OR(Q63=1,Q63=2),"x",ROUND(Q63/$W63*100,1))</f>
        <v>21.4</v>
      </c>
      <c r="R21" s="95">
        <f t="shared" si="53"/>
        <v>24</v>
      </c>
      <c r="S21" s="95">
        <f t="shared" si="53"/>
        <v>24</v>
      </c>
      <c r="T21" s="95">
        <f t="shared" si="53"/>
        <v>17.7</v>
      </c>
      <c r="U21" s="95">
        <f t="shared" si="53"/>
        <v>9.8000000000000007</v>
      </c>
      <c r="V21" s="95">
        <f t="shared" si="53"/>
        <v>97</v>
      </c>
      <c r="W21" s="7">
        <f t="shared" si="8"/>
        <v>14759</v>
      </c>
      <c r="X21" s="5"/>
    </row>
    <row r="22" spans="1:24" x14ac:dyDescent="0.2">
      <c r="A22" s="14"/>
      <c r="B22" s="10" t="s">
        <v>17</v>
      </c>
      <c r="C22" s="95">
        <f t="shared" ref="C22:H22" si="54">IF(OR(C64=1,C64=2),"x",ROUND(C64/$I64*100,1))</f>
        <v>11.8</v>
      </c>
      <c r="D22" s="95">
        <f t="shared" si="54"/>
        <v>21.8</v>
      </c>
      <c r="E22" s="95">
        <f t="shared" si="54"/>
        <v>25.9</v>
      </c>
      <c r="F22" s="95">
        <f t="shared" si="54"/>
        <v>22.5</v>
      </c>
      <c r="G22" s="95">
        <f t="shared" si="54"/>
        <v>14.4</v>
      </c>
      <c r="H22" s="95">
        <f t="shared" si="54"/>
        <v>96.5</v>
      </c>
      <c r="I22" s="7">
        <f t="shared" si="4"/>
        <v>12700</v>
      </c>
      <c r="J22" s="95">
        <f t="shared" ref="J22:O22" si="55">IF(OR(J64=1,J64=2),"x",ROUND(J64/$P64*100,1))</f>
        <v>22.2</v>
      </c>
      <c r="K22" s="95">
        <f t="shared" si="55"/>
        <v>26.4</v>
      </c>
      <c r="L22" s="95">
        <f t="shared" si="55"/>
        <v>24.5</v>
      </c>
      <c r="M22" s="95">
        <f t="shared" si="55"/>
        <v>17.100000000000001</v>
      </c>
      <c r="N22" s="95">
        <f t="shared" si="55"/>
        <v>8.1</v>
      </c>
      <c r="O22" s="95">
        <f t="shared" si="55"/>
        <v>98.3</v>
      </c>
      <c r="P22" s="7">
        <f t="shared" si="6"/>
        <v>37028</v>
      </c>
      <c r="Q22" s="95">
        <f t="shared" ref="Q22:V22" si="56">IF(OR(Q64=1,Q64=2),"x",ROUND(Q64/$W64*100,1))</f>
        <v>19.5</v>
      </c>
      <c r="R22" s="95">
        <f t="shared" si="56"/>
        <v>25.2</v>
      </c>
      <c r="S22" s="95">
        <f t="shared" si="56"/>
        <v>24.9</v>
      </c>
      <c r="T22" s="95">
        <f t="shared" si="56"/>
        <v>18.5</v>
      </c>
      <c r="U22" s="95">
        <f t="shared" si="56"/>
        <v>9.6999999999999993</v>
      </c>
      <c r="V22" s="95">
        <f t="shared" si="56"/>
        <v>97.8</v>
      </c>
      <c r="W22" s="7">
        <f t="shared" si="8"/>
        <v>49728</v>
      </c>
      <c r="X22" s="5"/>
    </row>
    <row r="23" spans="1:24" x14ac:dyDescent="0.2">
      <c r="A23" s="14"/>
      <c r="B23" s="10" t="s">
        <v>18</v>
      </c>
      <c r="C23" s="95">
        <f t="shared" ref="C23:H23" si="57">IF(OR(C65=1,C65=2),"x",ROUND(C65/$I65*100,1))</f>
        <v>16.100000000000001</v>
      </c>
      <c r="D23" s="95">
        <f t="shared" si="57"/>
        <v>25.2</v>
      </c>
      <c r="E23" s="95">
        <f t="shared" si="57"/>
        <v>27.8</v>
      </c>
      <c r="F23" s="95">
        <f t="shared" si="57"/>
        <v>19.899999999999999</v>
      </c>
      <c r="G23" s="95">
        <f t="shared" si="57"/>
        <v>9.1</v>
      </c>
      <c r="H23" s="95">
        <f t="shared" si="57"/>
        <v>98.1</v>
      </c>
      <c r="I23" s="7">
        <f t="shared" si="4"/>
        <v>6428</v>
      </c>
      <c r="J23" s="95">
        <f t="shared" ref="J23:O23" si="58">IF(OR(J65=1,J65=2),"x",ROUND(J65/$P65*100,1))</f>
        <v>22.5</v>
      </c>
      <c r="K23" s="95">
        <f t="shared" si="58"/>
        <v>28.4</v>
      </c>
      <c r="L23" s="95">
        <f t="shared" si="58"/>
        <v>25.9</v>
      </c>
      <c r="M23" s="95">
        <f t="shared" si="58"/>
        <v>15.8</v>
      </c>
      <c r="N23" s="95">
        <f t="shared" si="58"/>
        <v>6.1</v>
      </c>
      <c r="O23" s="95">
        <f t="shared" si="58"/>
        <v>98.7</v>
      </c>
      <c r="P23" s="7">
        <f t="shared" si="6"/>
        <v>20086</v>
      </c>
      <c r="Q23" s="95">
        <f t="shared" ref="Q23:V23" si="59">IF(OR(Q65=1,Q65=2),"x",ROUND(Q65/$W65*100,1))</f>
        <v>21</v>
      </c>
      <c r="R23" s="95">
        <f t="shared" si="59"/>
        <v>27.6</v>
      </c>
      <c r="S23" s="95">
        <f t="shared" si="59"/>
        <v>26.4</v>
      </c>
      <c r="T23" s="95">
        <f t="shared" si="59"/>
        <v>16.8</v>
      </c>
      <c r="U23" s="95">
        <f t="shared" si="59"/>
        <v>6.9</v>
      </c>
      <c r="V23" s="95">
        <f t="shared" si="59"/>
        <v>98.6</v>
      </c>
      <c r="W23" s="7">
        <f t="shared" si="8"/>
        <v>26514</v>
      </c>
      <c r="X23" s="5"/>
    </row>
    <row r="24" spans="1:24" x14ac:dyDescent="0.2">
      <c r="A24" s="14"/>
      <c r="B24" s="10" t="s">
        <v>19</v>
      </c>
      <c r="C24" s="95">
        <f t="shared" ref="C24:H24" si="60">IF(OR(C66=1,C66=2),"x",ROUND(C66/$I66*100,1))</f>
        <v>22.3</v>
      </c>
      <c r="D24" s="95">
        <f t="shared" si="60"/>
        <v>26.5</v>
      </c>
      <c r="E24" s="95">
        <f t="shared" si="60"/>
        <v>21.8</v>
      </c>
      <c r="F24" s="95">
        <f t="shared" si="60"/>
        <v>18.3</v>
      </c>
      <c r="G24" s="95">
        <f t="shared" si="60"/>
        <v>8.6999999999999993</v>
      </c>
      <c r="H24" s="95">
        <f t="shared" si="60"/>
        <v>97.6</v>
      </c>
      <c r="I24" s="7">
        <f t="shared" si="4"/>
        <v>1731</v>
      </c>
      <c r="J24" s="95">
        <f t="shared" ref="J24:O24" si="61">IF(OR(J66=1,J66=2),"x",ROUND(J66/$P66*100,1))</f>
        <v>25.6</v>
      </c>
      <c r="K24" s="95">
        <f t="shared" si="61"/>
        <v>25.1</v>
      </c>
      <c r="L24" s="95">
        <f t="shared" si="61"/>
        <v>23.8</v>
      </c>
      <c r="M24" s="95">
        <f t="shared" si="61"/>
        <v>15.6</v>
      </c>
      <c r="N24" s="95">
        <f t="shared" si="61"/>
        <v>7.2</v>
      </c>
      <c r="O24" s="95">
        <f t="shared" si="61"/>
        <v>97.3</v>
      </c>
      <c r="P24" s="7">
        <f t="shared" si="6"/>
        <v>1687</v>
      </c>
      <c r="Q24" s="95">
        <f t="shared" ref="Q24:V24" si="62">IF(OR(Q66=1,Q66=2),"x",ROUND(Q66/$W66*100,1))</f>
        <v>23.9</v>
      </c>
      <c r="R24" s="95">
        <f t="shared" si="62"/>
        <v>25.8</v>
      </c>
      <c r="S24" s="95">
        <f t="shared" si="62"/>
        <v>22.8</v>
      </c>
      <c r="T24" s="95">
        <f t="shared" si="62"/>
        <v>16.899999999999999</v>
      </c>
      <c r="U24" s="95">
        <f t="shared" si="62"/>
        <v>8</v>
      </c>
      <c r="V24" s="95">
        <f t="shared" si="62"/>
        <v>97.4</v>
      </c>
      <c r="W24" s="7">
        <f t="shared" si="8"/>
        <v>3418</v>
      </c>
      <c r="X24" s="5"/>
    </row>
    <row r="25" spans="1:24" x14ac:dyDescent="0.2">
      <c r="A25" s="14"/>
      <c r="B25" s="10" t="s">
        <v>20</v>
      </c>
      <c r="C25" s="95">
        <f t="shared" ref="C25:H25" si="63">IF(OR(C67=1,C67=2),"x",ROUND(C67/$I67*100,1))</f>
        <v>27.3</v>
      </c>
      <c r="D25" s="95">
        <f t="shared" si="63"/>
        <v>23.7</v>
      </c>
      <c r="E25" s="95">
        <f t="shared" si="63"/>
        <v>23.9</v>
      </c>
      <c r="F25" s="95">
        <f t="shared" si="63"/>
        <v>15.5</v>
      </c>
      <c r="G25" s="95">
        <f t="shared" si="63"/>
        <v>7.3</v>
      </c>
      <c r="H25" s="95">
        <f t="shared" si="63"/>
        <v>97.7</v>
      </c>
      <c r="I25" s="7">
        <f t="shared" si="4"/>
        <v>12015</v>
      </c>
      <c r="J25" s="95">
        <f t="shared" ref="J25:O25" si="64">IF(OR(J67=1,J67=2),"x",ROUND(J67/$P67*100,1))</f>
        <v>32.799999999999997</v>
      </c>
      <c r="K25" s="95">
        <f t="shared" si="64"/>
        <v>26.5</v>
      </c>
      <c r="L25" s="95">
        <f t="shared" si="64"/>
        <v>22.7</v>
      </c>
      <c r="M25" s="95">
        <f t="shared" si="64"/>
        <v>12.3</v>
      </c>
      <c r="N25" s="95">
        <f t="shared" si="64"/>
        <v>4.4000000000000004</v>
      </c>
      <c r="O25" s="95">
        <f t="shared" si="64"/>
        <v>98.6</v>
      </c>
      <c r="P25" s="7">
        <f t="shared" si="6"/>
        <v>29097</v>
      </c>
      <c r="Q25" s="95">
        <f t="shared" ref="Q25:V25" si="65">IF(OR(Q67=1,Q67=2),"x",ROUND(Q67/$W67*100,1))</f>
        <v>31.2</v>
      </c>
      <c r="R25" s="95">
        <f t="shared" si="65"/>
        <v>25.7</v>
      </c>
      <c r="S25" s="95">
        <f t="shared" si="65"/>
        <v>23</v>
      </c>
      <c r="T25" s="95">
        <f t="shared" si="65"/>
        <v>13.2</v>
      </c>
      <c r="U25" s="95">
        <f t="shared" si="65"/>
        <v>5.2</v>
      </c>
      <c r="V25" s="95">
        <f t="shared" si="65"/>
        <v>98.4</v>
      </c>
      <c r="W25" s="7">
        <f t="shared" si="8"/>
        <v>41112</v>
      </c>
      <c r="X25" s="5"/>
    </row>
    <row r="26" spans="1:24" x14ac:dyDescent="0.2">
      <c r="A26" s="14"/>
      <c r="B26" s="10" t="s">
        <v>21</v>
      </c>
      <c r="C26" s="95">
        <f t="shared" ref="C26:H26" si="66">IF(OR(C68=1,C68=2),"x",ROUND(C68/$I68*100,1))</f>
        <v>14.3</v>
      </c>
      <c r="D26" s="95">
        <f t="shared" si="66"/>
        <v>30.6</v>
      </c>
      <c r="E26" s="95">
        <f t="shared" si="66"/>
        <v>31.1</v>
      </c>
      <c r="F26" s="95">
        <f t="shared" si="66"/>
        <v>18.600000000000001</v>
      </c>
      <c r="G26" s="95">
        <f t="shared" si="66"/>
        <v>5</v>
      </c>
      <c r="H26" s="95">
        <f t="shared" si="66"/>
        <v>99.6</v>
      </c>
      <c r="I26" s="7">
        <f t="shared" si="4"/>
        <v>4820</v>
      </c>
      <c r="J26" s="95">
        <f t="shared" ref="J26:O26" si="67">IF(OR(J68=1,J68=2),"x",ROUND(J68/$P68*100,1))</f>
        <v>21.7</v>
      </c>
      <c r="K26" s="95">
        <f t="shared" si="67"/>
        <v>33.4</v>
      </c>
      <c r="L26" s="95">
        <f t="shared" si="67"/>
        <v>29.6</v>
      </c>
      <c r="M26" s="95">
        <f t="shared" si="67"/>
        <v>12.6</v>
      </c>
      <c r="N26" s="95">
        <f t="shared" si="67"/>
        <v>2.4</v>
      </c>
      <c r="O26" s="95">
        <f t="shared" si="67"/>
        <v>99.7</v>
      </c>
      <c r="P26" s="7">
        <f t="shared" si="6"/>
        <v>10478</v>
      </c>
      <c r="Q26" s="95">
        <f t="shared" ref="Q26:V26" si="68">IF(OR(Q68=1,Q68=2),"x",ROUND(Q68/$W68*100,1))</f>
        <v>19.3</v>
      </c>
      <c r="R26" s="95">
        <f t="shared" si="68"/>
        <v>32.5</v>
      </c>
      <c r="S26" s="95">
        <f t="shared" si="68"/>
        <v>30.1</v>
      </c>
      <c r="T26" s="95">
        <f t="shared" si="68"/>
        <v>14.5</v>
      </c>
      <c r="U26" s="95">
        <f t="shared" si="68"/>
        <v>3.3</v>
      </c>
      <c r="V26" s="95">
        <f t="shared" si="68"/>
        <v>99.6</v>
      </c>
      <c r="W26" s="7">
        <f t="shared" si="8"/>
        <v>15298</v>
      </c>
      <c r="X26" s="5"/>
    </row>
    <row r="27" spans="1:24" x14ac:dyDescent="0.2">
      <c r="A27" s="14"/>
      <c r="B27" s="10" t="s">
        <v>22</v>
      </c>
      <c r="C27" s="95">
        <f t="shared" ref="C27:H27" si="69">IF(OR(C69=1,C69=2),"x",ROUND(C69/$I69*100,1))</f>
        <v>22.8</v>
      </c>
      <c r="D27" s="95">
        <f t="shared" si="69"/>
        <v>25.8</v>
      </c>
      <c r="E27" s="95">
        <f t="shared" si="69"/>
        <v>27.9</v>
      </c>
      <c r="F27" s="95">
        <f t="shared" si="69"/>
        <v>17.399999999999999</v>
      </c>
      <c r="G27" s="95">
        <f t="shared" si="69"/>
        <v>5.3</v>
      </c>
      <c r="H27" s="95">
        <f t="shared" si="69"/>
        <v>99.1</v>
      </c>
      <c r="I27" s="7">
        <f t="shared" si="4"/>
        <v>26111</v>
      </c>
      <c r="J27" s="95">
        <f t="shared" ref="J27:O27" si="70">IF(OR(J69=1,J69=2),"x",ROUND(J69/$P69*100,1))</f>
        <v>23.3</v>
      </c>
      <c r="K27" s="95">
        <f t="shared" si="70"/>
        <v>27.3</v>
      </c>
      <c r="L27" s="95">
        <f t="shared" si="70"/>
        <v>28.5</v>
      </c>
      <c r="M27" s="95">
        <f t="shared" si="70"/>
        <v>16.2</v>
      </c>
      <c r="N27" s="95">
        <f t="shared" si="70"/>
        <v>4.2</v>
      </c>
      <c r="O27" s="95">
        <f t="shared" si="70"/>
        <v>99.5</v>
      </c>
      <c r="P27" s="7">
        <f t="shared" si="6"/>
        <v>57538</v>
      </c>
      <c r="Q27" s="95">
        <f t="shared" ref="Q27:V27" si="71">IF(OR(Q69=1,Q69=2),"x",ROUND(Q69/$W69*100,1))</f>
        <v>23.2</v>
      </c>
      <c r="R27" s="95">
        <f t="shared" si="71"/>
        <v>26.8</v>
      </c>
      <c r="S27" s="95">
        <f t="shared" si="71"/>
        <v>28.3</v>
      </c>
      <c r="T27" s="95">
        <f t="shared" si="71"/>
        <v>16.600000000000001</v>
      </c>
      <c r="U27" s="95">
        <f t="shared" si="71"/>
        <v>4.5</v>
      </c>
      <c r="V27" s="95">
        <f t="shared" si="71"/>
        <v>99.4</v>
      </c>
      <c r="W27" s="7">
        <f t="shared" si="8"/>
        <v>83649</v>
      </c>
      <c r="X27" s="5"/>
    </row>
    <row r="28" spans="1:24" x14ac:dyDescent="0.2">
      <c r="A28" s="14"/>
      <c r="B28" s="10" t="s">
        <v>51</v>
      </c>
      <c r="C28" s="95">
        <f t="shared" ref="C28:H28" si="72">IF(OR(C70=1,C70=2),"x",ROUND(C70/$I70*100,1))</f>
        <v>10.7</v>
      </c>
      <c r="D28" s="95">
        <f t="shared" si="72"/>
        <v>27.2</v>
      </c>
      <c r="E28" s="95">
        <f t="shared" si="72"/>
        <v>34.700000000000003</v>
      </c>
      <c r="F28" s="95">
        <f t="shared" si="72"/>
        <v>20.6</v>
      </c>
      <c r="G28" s="95">
        <f t="shared" si="72"/>
        <v>5.6</v>
      </c>
      <c r="H28" s="95">
        <f t="shared" si="72"/>
        <v>98.9</v>
      </c>
      <c r="I28" s="7">
        <f t="shared" si="4"/>
        <v>11019</v>
      </c>
      <c r="J28" s="95">
        <f t="shared" ref="J28:O28" si="73">IF(OR(J70=1,J70=2),"x",ROUND(J70/$P70*100,1))</f>
        <v>15</v>
      </c>
      <c r="K28" s="95">
        <f t="shared" si="73"/>
        <v>33.1</v>
      </c>
      <c r="L28" s="95">
        <f t="shared" si="73"/>
        <v>32.9</v>
      </c>
      <c r="M28" s="95">
        <f t="shared" si="73"/>
        <v>15.3</v>
      </c>
      <c r="N28" s="95">
        <f t="shared" si="73"/>
        <v>3</v>
      </c>
      <c r="O28" s="95">
        <f t="shared" si="73"/>
        <v>99.3</v>
      </c>
      <c r="P28" s="7">
        <f t="shared" si="6"/>
        <v>14037</v>
      </c>
      <c r="Q28" s="95">
        <f t="shared" ref="Q28:V28" si="74">IF(OR(Q70=1,Q70=2),"x",ROUND(Q70/$W70*100,1))</f>
        <v>13.1</v>
      </c>
      <c r="R28" s="95">
        <f t="shared" si="74"/>
        <v>30.5</v>
      </c>
      <c r="S28" s="95">
        <f t="shared" si="74"/>
        <v>33.700000000000003</v>
      </c>
      <c r="T28" s="95">
        <f t="shared" si="74"/>
        <v>17.600000000000001</v>
      </c>
      <c r="U28" s="95">
        <f t="shared" si="74"/>
        <v>4.2</v>
      </c>
      <c r="V28" s="95">
        <f t="shared" si="74"/>
        <v>99.1</v>
      </c>
      <c r="W28" s="7">
        <f t="shared" si="8"/>
        <v>25056</v>
      </c>
      <c r="X28" s="5"/>
    </row>
    <row r="29" spans="1:24" x14ac:dyDescent="0.2">
      <c r="A29" s="14"/>
      <c r="B29" s="10" t="s">
        <v>23</v>
      </c>
      <c r="C29" s="95">
        <f t="shared" ref="C29:H29" si="75">IF(OR(C71=1,C71=2),"x",ROUND(C71/$I71*100,1))</f>
        <v>12.1</v>
      </c>
      <c r="D29" s="95">
        <f t="shared" si="75"/>
        <v>32.799999999999997</v>
      </c>
      <c r="E29" s="95">
        <f t="shared" si="75"/>
        <v>37.299999999999997</v>
      </c>
      <c r="F29" s="95">
        <f t="shared" si="75"/>
        <v>14.3</v>
      </c>
      <c r="G29" s="95">
        <f t="shared" si="75"/>
        <v>2.6</v>
      </c>
      <c r="H29" s="95">
        <f t="shared" si="75"/>
        <v>99.1</v>
      </c>
      <c r="I29" s="7">
        <f t="shared" si="4"/>
        <v>4306</v>
      </c>
      <c r="J29" s="95">
        <f t="shared" ref="J29:O29" si="76">IF(OR(J71=1,J71=2),"x",ROUND(J71/$P71*100,1))</f>
        <v>16.399999999999999</v>
      </c>
      <c r="K29" s="95">
        <f t="shared" si="76"/>
        <v>33.9</v>
      </c>
      <c r="L29" s="95">
        <f t="shared" si="76"/>
        <v>33.799999999999997</v>
      </c>
      <c r="M29" s="95">
        <f t="shared" si="76"/>
        <v>12.5</v>
      </c>
      <c r="N29" s="95">
        <f t="shared" si="76"/>
        <v>2.6</v>
      </c>
      <c r="O29" s="95">
        <f t="shared" si="76"/>
        <v>99.2</v>
      </c>
      <c r="P29" s="7">
        <f t="shared" si="6"/>
        <v>5491</v>
      </c>
      <c r="Q29" s="95">
        <f t="shared" ref="Q29:V29" si="77">IF(OR(Q71=1,Q71=2),"x",ROUND(Q71/$W71*100,1))</f>
        <v>14.5</v>
      </c>
      <c r="R29" s="95">
        <f t="shared" si="77"/>
        <v>33.4</v>
      </c>
      <c r="S29" s="95">
        <f t="shared" si="77"/>
        <v>35.299999999999997</v>
      </c>
      <c r="T29" s="95">
        <f t="shared" si="77"/>
        <v>13.3</v>
      </c>
      <c r="U29" s="95">
        <f t="shared" si="77"/>
        <v>2.6</v>
      </c>
      <c r="V29" s="95">
        <f t="shared" si="77"/>
        <v>99.2</v>
      </c>
      <c r="W29" s="7">
        <f t="shared" si="8"/>
        <v>9797</v>
      </c>
      <c r="X29" s="5"/>
    </row>
    <row r="30" spans="1:24" x14ac:dyDescent="0.2">
      <c r="A30" s="14"/>
      <c r="B30" s="10" t="s">
        <v>24</v>
      </c>
      <c r="C30" s="95">
        <f t="shared" ref="C30:H30" si="78">IF(OR(C72=1,C72=2),"x",ROUND(C72/$I72*100,1))</f>
        <v>41.1</v>
      </c>
      <c r="D30" s="95">
        <f t="shared" si="78"/>
        <v>27.6</v>
      </c>
      <c r="E30" s="95">
        <f t="shared" si="78"/>
        <v>17.7</v>
      </c>
      <c r="F30" s="95">
        <f t="shared" si="78"/>
        <v>9.8000000000000007</v>
      </c>
      <c r="G30" s="95">
        <f t="shared" si="78"/>
        <v>3.3</v>
      </c>
      <c r="H30" s="95">
        <f t="shared" si="78"/>
        <v>99.5</v>
      </c>
      <c r="I30" s="7">
        <f t="shared" si="4"/>
        <v>3960</v>
      </c>
      <c r="J30" s="95">
        <f t="shared" ref="J30:O30" si="79">IF(OR(J72=1,J72=2),"x",ROUND(J72/$P72*100,1))</f>
        <v>38.5</v>
      </c>
      <c r="K30" s="95">
        <f t="shared" si="79"/>
        <v>27.5</v>
      </c>
      <c r="L30" s="95">
        <f t="shared" si="79"/>
        <v>17.7</v>
      </c>
      <c r="M30" s="95">
        <f t="shared" si="79"/>
        <v>10.9</v>
      </c>
      <c r="N30" s="95">
        <f t="shared" si="79"/>
        <v>4.5</v>
      </c>
      <c r="O30" s="95">
        <f t="shared" si="79"/>
        <v>99.2</v>
      </c>
      <c r="P30" s="7">
        <f t="shared" si="6"/>
        <v>8271</v>
      </c>
      <c r="Q30" s="95">
        <f t="shared" ref="Q30:V30" si="80">IF(OR(Q72=1,Q72=2),"x",ROUND(Q72/$W72*100,1))</f>
        <v>39.4</v>
      </c>
      <c r="R30" s="95">
        <f t="shared" si="80"/>
        <v>27.5</v>
      </c>
      <c r="S30" s="95">
        <f t="shared" si="80"/>
        <v>17.7</v>
      </c>
      <c r="T30" s="95">
        <f t="shared" si="80"/>
        <v>10.6</v>
      </c>
      <c r="U30" s="95">
        <f t="shared" si="80"/>
        <v>4.0999999999999996</v>
      </c>
      <c r="V30" s="95">
        <f t="shared" si="80"/>
        <v>99.3</v>
      </c>
      <c r="W30" s="7">
        <f t="shared" si="8"/>
        <v>12231</v>
      </c>
      <c r="X30" s="5"/>
    </row>
    <row r="31" spans="1:24" x14ac:dyDescent="0.2">
      <c r="A31" s="14"/>
      <c r="B31" s="10" t="s">
        <v>25</v>
      </c>
      <c r="C31" s="95">
        <f t="shared" ref="C31:H31" si="81">IF(OR(C73=1,C73=2),"x",ROUND(C73/$I73*100,1))</f>
        <v>40.5</v>
      </c>
      <c r="D31" s="95">
        <f t="shared" si="81"/>
        <v>25.2</v>
      </c>
      <c r="E31" s="95">
        <f t="shared" si="81"/>
        <v>17.899999999999999</v>
      </c>
      <c r="F31" s="95">
        <f t="shared" si="81"/>
        <v>10.7</v>
      </c>
      <c r="G31" s="95">
        <f t="shared" si="81"/>
        <v>5.0999999999999996</v>
      </c>
      <c r="H31" s="95">
        <f t="shared" si="81"/>
        <v>99.4</v>
      </c>
      <c r="I31" s="7">
        <f t="shared" si="4"/>
        <v>2041</v>
      </c>
      <c r="J31" s="95">
        <f t="shared" ref="J31:O31" si="82">IF(OR(J73=1,J73=2),"x",ROUND(J73/$P73*100,1))</f>
        <v>39.299999999999997</v>
      </c>
      <c r="K31" s="95">
        <f t="shared" si="82"/>
        <v>25.2</v>
      </c>
      <c r="L31" s="95">
        <f t="shared" si="82"/>
        <v>18.899999999999999</v>
      </c>
      <c r="M31" s="95">
        <f t="shared" si="82"/>
        <v>11.3</v>
      </c>
      <c r="N31" s="95">
        <f t="shared" si="82"/>
        <v>4.5999999999999996</v>
      </c>
      <c r="O31" s="95">
        <f t="shared" si="82"/>
        <v>99.3</v>
      </c>
      <c r="P31" s="7">
        <f t="shared" si="6"/>
        <v>3078</v>
      </c>
      <c r="Q31" s="95">
        <f t="shared" ref="Q31:V31" si="83">IF(OR(Q73=1,Q73=2),"x",ROUND(Q73/$W73*100,1))</f>
        <v>39.799999999999997</v>
      </c>
      <c r="R31" s="95">
        <f t="shared" si="83"/>
        <v>25.2</v>
      </c>
      <c r="S31" s="95">
        <f t="shared" si="83"/>
        <v>18.5</v>
      </c>
      <c r="T31" s="95">
        <f t="shared" si="83"/>
        <v>11.1</v>
      </c>
      <c r="U31" s="95">
        <f t="shared" si="83"/>
        <v>4.8</v>
      </c>
      <c r="V31" s="95">
        <f t="shared" si="83"/>
        <v>99.3</v>
      </c>
      <c r="W31" s="7">
        <f t="shared" si="8"/>
        <v>5119</v>
      </c>
      <c r="X31" s="5"/>
    </row>
    <row r="32" spans="1:24" x14ac:dyDescent="0.2">
      <c r="A32" s="14"/>
      <c r="B32" s="10" t="s">
        <v>26</v>
      </c>
      <c r="C32" s="95">
        <f t="shared" ref="C32:H32" si="84">IF(OR(C74=1,C74=2),"x",ROUND(C74/$I74*100,1))</f>
        <v>43</v>
      </c>
      <c r="D32" s="95">
        <f t="shared" si="84"/>
        <v>27.9</v>
      </c>
      <c r="E32" s="95">
        <f t="shared" si="84"/>
        <v>17.100000000000001</v>
      </c>
      <c r="F32" s="95">
        <f t="shared" si="84"/>
        <v>7.4</v>
      </c>
      <c r="G32" s="95">
        <f t="shared" si="84"/>
        <v>3.8</v>
      </c>
      <c r="H32" s="95">
        <f t="shared" si="84"/>
        <v>99.2</v>
      </c>
      <c r="I32" s="7">
        <f t="shared" si="4"/>
        <v>1968</v>
      </c>
      <c r="J32" s="95">
        <f t="shared" ref="J32:O32" si="85">IF(OR(J74=1,J74=2),"x",ROUND(J74/$P74*100,1))</f>
        <v>38.299999999999997</v>
      </c>
      <c r="K32" s="95">
        <f t="shared" si="85"/>
        <v>27.5</v>
      </c>
      <c r="L32" s="95">
        <f t="shared" si="85"/>
        <v>18.7</v>
      </c>
      <c r="M32" s="95">
        <f t="shared" si="85"/>
        <v>10.8</v>
      </c>
      <c r="N32" s="95">
        <f t="shared" si="85"/>
        <v>4.0999999999999996</v>
      </c>
      <c r="O32" s="95">
        <f t="shared" si="85"/>
        <v>99.5</v>
      </c>
      <c r="P32" s="7">
        <f t="shared" si="6"/>
        <v>4121</v>
      </c>
      <c r="Q32" s="95">
        <f t="shared" ref="Q32:V32" si="86">IF(OR(Q74=1,Q74=2),"x",ROUND(Q74/$W74*100,1))</f>
        <v>39.799999999999997</v>
      </c>
      <c r="R32" s="95">
        <f t="shared" si="86"/>
        <v>27.7</v>
      </c>
      <c r="S32" s="95">
        <f t="shared" si="86"/>
        <v>18.2</v>
      </c>
      <c r="T32" s="95">
        <f t="shared" si="86"/>
        <v>9.6999999999999993</v>
      </c>
      <c r="U32" s="95">
        <f t="shared" si="86"/>
        <v>4</v>
      </c>
      <c r="V32" s="95">
        <f t="shared" si="86"/>
        <v>99.4</v>
      </c>
      <c r="W32" s="7">
        <f t="shared" si="8"/>
        <v>6089</v>
      </c>
      <c r="X32" s="5"/>
    </row>
    <row r="33" spans="1:24" x14ac:dyDescent="0.2">
      <c r="A33" s="14"/>
      <c r="B33" s="10" t="s">
        <v>27</v>
      </c>
      <c r="C33" s="95">
        <f t="shared" ref="C33:H33" si="87">IF(OR(C75=1,C75=2),"x",ROUND(C75/$I75*100,1))</f>
        <v>46.1</v>
      </c>
      <c r="D33" s="95">
        <f t="shared" si="87"/>
        <v>32.700000000000003</v>
      </c>
      <c r="E33" s="95">
        <f t="shared" si="87"/>
        <v>11.9</v>
      </c>
      <c r="F33" s="95">
        <f t="shared" si="87"/>
        <v>4.7</v>
      </c>
      <c r="G33" s="95">
        <f t="shared" si="87"/>
        <v>2.4</v>
      </c>
      <c r="H33" s="95">
        <f t="shared" si="87"/>
        <v>97.8</v>
      </c>
      <c r="I33" s="7">
        <f t="shared" si="4"/>
        <v>2637</v>
      </c>
      <c r="J33" s="95">
        <f t="shared" ref="J33:O33" si="88">IF(OR(J75=1,J75=2),"x",ROUND(J75/$P75*100,1))</f>
        <v>51.7</v>
      </c>
      <c r="K33" s="95">
        <f t="shared" si="88"/>
        <v>29.5</v>
      </c>
      <c r="L33" s="95">
        <f t="shared" si="88"/>
        <v>10.5</v>
      </c>
      <c r="M33" s="95">
        <f t="shared" si="88"/>
        <v>4.3</v>
      </c>
      <c r="N33" s="95">
        <f t="shared" si="88"/>
        <v>2.2999999999999998</v>
      </c>
      <c r="O33" s="95">
        <f t="shared" si="88"/>
        <v>98.2</v>
      </c>
      <c r="P33" s="7">
        <f t="shared" si="6"/>
        <v>3453</v>
      </c>
      <c r="Q33" s="95">
        <f t="shared" ref="Q33:V33" si="89">IF(OR(Q75=1,Q75=2),"x",ROUND(Q75/$W75*100,1))</f>
        <v>49.3</v>
      </c>
      <c r="R33" s="95">
        <f t="shared" si="89"/>
        <v>30.9</v>
      </c>
      <c r="S33" s="95">
        <f t="shared" si="89"/>
        <v>11.1</v>
      </c>
      <c r="T33" s="95">
        <f t="shared" si="89"/>
        <v>4.5</v>
      </c>
      <c r="U33" s="95">
        <f t="shared" si="89"/>
        <v>2.2999999999999998</v>
      </c>
      <c r="V33" s="95">
        <f t="shared" si="89"/>
        <v>98.1</v>
      </c>
      <c r="W33" s="7">
        <f t="shared" si="8"/>
        <v>6090</v>
      </c>
      <c r="X33" s="5"/>
    </row>
    <row r="34" spans="1:24" x14ac:dyDescent="0.2">
      <c r="A34" s="14"/>
      <c r="B34" s="10" t="s">
        <v>28</v>
      </c>
      <c r="C34" s="95">
        <f t="shared" ref="C34:H34" si="90">IF(OR(C76=1,C76=2),"x",ROUND(C76/$I76*100,1))</f>
        <v>36.299999999999997</v>
      </c>
      <c r="D34" s="95">
        <f t="shared" si="90"/>
        <v>27.1</v>
      </c>
      <c r="E34" s="95">
        <f t="shared" si="90"/>
        <v>21.6</v>
      </c>
      <c r="F34" s="95">
        <f t="shared" si="90"/>
        <v>10.199999999999999</v>
      </c>
      <c r="G34" s="95">
        <f t="shared" si="90"/>
        <v>4.3</v>
      </c>
      <c r="H34" s="95">
        <f t="shared" si="90"/>
        <v>99.5</v>
      </c>
      <c r="I34" s="7">
        <f t="shared" si="4"/>
        <v>2770</v>
      </c>
      <c r="J34" s="95">
        <f t="shared" ref="J34:O34" si="91">IF(OR(J76=1,J76=2),"x",ROUND(J76/$P76*100,1))</f>
        <v>41.4</v>
      </c>
      <c r="K34" s="95">
        <f t="shared" si="91"/>
        <v>29.1</v>
      </c>
      <c r="L34" s="95">
        <f t="shared" si="91"/>
        <v>18.7</v>
      </c>
      <c r="M34" s="95">
        <f t="shared" si="91"/>
        <v>7.4</v>
      </c>
      <c r="N34" s="95">
        <f t="shared" si="91"/>
        <v>2.7</v>
      </c>
      <c r="O34" s="95">
        <f t="shared" si="91"/>
        <v>99.3</v>
      </c>
      <c r="P34" s="7">
        <f t="shared" si="6"/>
        <v>3149</v>
      </c>
      <c r="Q34" s="95">
        <f t="shared" ref="Q34:V34" si="92">IF(OR(Q76=1,Q76=2),"x",ROUND(Q76/$W76*100,1))</f>
        <v>39</v>
      </c>
      <c r="R34" s="95">
        <f t="shared" si="92"/>
        <v>28.1</v>
      </c>
      <c r="S34" s="95">
        <f t="shared" si="92"/>
        <v>20</v>
      </c>
      <c r="T34" s="95">
        <f t="shared" si="92"/>
        <v>8.6999999999999993</v>
      </c>
      <c r="U34" s="95">
        <f t="shared" si="92"/>
        <v>3.5</v>
      </c>
      <c r="V34" s="95">
        <f t="shared" si="92"/>
        <v>99.4</v>
      </c>
      <c r="W34" s="7">
        <f t="shared" si="8"/>
        <v>5919</v>
      </c>
      <c r="X34" s="5"/>
    </row>
    <row r="35" spans="1:24" x14ac:dyDescent="0.2">
      <c r="A35" s="14"/>
      <c r="B35" s="10" t="s">
        <v>29</v>
      </c>
      <c r="C35" s="95">
        <f t="shared" ref="C35:H35" si="93">IF(OR(C77=1,C77=2),"x",ROUND(C77/$I77*100,1))</f>
        <v>26</v>
      </c>
      <c r="D35" s="95">
        <f t="shared" si="93"/>
        <v>28.3</v>
      </c>
      <c r="E35" s="95">
        <f t="shared" si="93"/>
        <v>24.5</v>
      </c>
      <c r="F35" s="95">
        <f t="shared" si="93"/>
        <v>14.2</v>
      </c>
      <c r="G35" s="95">
        <f t="shared" si="93"/>
        <v>5.6</v>
      </c>
      <c r="H35" s="95">
        <f t="shared" si="93"/>
        <v>98.6</v>
      </c>
      <c r="I35" s="7">
        <f t="shared" si="4"/>
        <v>5854</v>
      </c>
      <c r="J35" s="95">
        <f t="shared" ref="J35:O35" si="94">IF(OR(J77=1,J77=2),"x",ROUND(J77/$P77*100,1))</f>
        <v>27.3</v>
      </c>
      <c r="K35" s="95">
        <f t="shared" si="94"/>
        <v>31</v>
      </c>
      <c r="L35" s="95">
        <f t="shared" si="94"/>
        <v>23.2</v>
      </c>
      <c r="M35" s="95">
        <f t="shared" si="94"/>
        <v>12.9</v>
      </c>
      <c r="N35" s="95">
        <f t="shared" si="94"/>
        <v>4.5</v>
      </c>
      <c r="O35" s="95">
        <f t="shared" si="94"/>
        <v>98.9</v>
      </c>
      <c r="P35" s="7">
        <f t="shared" si="6"/>
        <v>11634</v>
      </c>
      <c r="Q35" s="95">
        <f t="shared" ref="Q35:V35" si="95">IF(OR(Q77=1,Q77=2),"x",ROUND(Q77/$W77*100,1))</f>
        <v>26.9</v>
      </c>
      <c r="R35" s="95">
        <f t="shared" si="95"/>
        <v>30.1</v>
      </c>
      <c r="S35" s="95">
        <f t="shared" si="95"/>
        <v>23.6</v>
      </c>
      <c r="T35" s="95">
        <f t="shared" si="95"/>
        <v>13.4</v>
      </c>
      <c r="U35" s="95">
        <f t="shared" si="95"/>
        <v>4.8</v>
      </c>
      <c r="V35" s="95">
        <f t="shared" si="95"/>
        <v>98.8</v>
      </c>
      <c r="W35" s="7">
        <f t="shared" si="8"/>
        <v>17488</v>
      </c>
      <c r="X35" s="5"/>
    </row>
    <row r="36" spans="1:24" x14ac:dyDescent="0.2">
      <c r="A36" s="14"/>
      <c r="B36" s="10" t="s">
        <v>30</v>
      </c>
      <c r="C36" s="95">
        <f t="shared" ref="C36:H36" si="96">IF(OR(C78=1,C78=2),"x",ROUND(C78/$I78*100,1))</f>
        <v>16.5</v>
      </c>
      <c r="D36" s="95">
        <f t="shared" si="96"/>
        <v>21.6</v>
      </c>
      <c r="E36" s="95">
        <f t="shared" si="96"/>
        <v>25.5</v>
      </c>
      <c r="F36" s="95">
        <f t="shared" si="96"/>
        <v>22.1</v>
      </c>
      <c r="G36" s="95">
        <f t="shared" si="96"/>
        <v>11.8</v>
      </c>
      <c r="H36" s="95">
        <f t="shared" si="96"/>
        <v>97.5</v>
      </c>
      <c r="I36" s="7">
        <f t="shared" si="4"/>
        <v>5461</v>
      </c>
      <c r="J36" s="95">
        <f t="shared" ref="J36:O36" si="97">IF(OR(J78=1,J78=2),"x",ROUND(J78/$P78*100,1))</f>
        <v>21.2</v>
      </c>
      <c r="K36" s="95">
        <f t="shared" si="97"/>
        <v>26.4</v>
      </c>
      <c r="L36" s="95">
        <f t="shared" si="97"/>
        <v>23.2</v>
      </c>
      <c r="M36" s="95">
        <f t="shared" si="97"/>
        <v>18.5</v>
      </c>
      <c r="N36" s="95">
        <f t="shared" si="97"/>
        <v>9</v>
      </c>
      <c r="O36" s="95">
        <f t="shared" si="97"/>
        <v>98.3</v>
      </c>
      <c r="P36" s="7">
        <f t="shared" si="6"/>
        <v>3558</v>
      </c>
      <c r="Q36" s="95">
        <f t="shared" ref="Q36:V36" si="98">IF(OR(Q78=1,Q78=2),"x",ROUND(Q78/$W78*100,1))</f>
        <v>18.3</v>
      </c>
      <c r="R36" s="95">
        <f t="shared" si="98"/>
        <v>23.5</v>
      </c>
      <c r="S36" s="95">
        <f t="shared" si="98"/>
        <v>24.6</v>
      </c>
      <c r="T36" s="95">
        <f t="shared" si="98"/>
        <v>20.7</v>
      </c>
      <c r="U36" s="95">
        <f t="shared" si="98"/>
        <v>10.7</v>
      </c>
      <c r="V36" s="95">
        <f t="shared" si="98"/>
        <v>97.8</v>
      </c>
      <c r="W36" s="7">
        <f t="shared" si="8"/>
        <v>9019</v>
      </c>
      <c r="X36" s="5"/>
    </row>
    <row r="37" spans="1:24" x14ac:dyDescent="0.2">
      <c r="A37" s="14"/>
      <c r="B37" s="10" t="s">
        <v>31</v>
      </c>
      <c r="C37" s="95">
        <f t="shared" ref="C37:H37" si="99">IF(OR(C79=1,C79=2),"x",ROUND(C79/$I79*100,1))</f>
        <v>13.4</v>
      </c>
      <c r="D37" s="95">
        <f t="shared" si="99"/>
        <v>20.8</v>
      </c>
      <c r="E37" s="95">
        <f t="shared" si="99"/>
        <v>26.3</v>
      </c>
      <c r="F37" s="95">
        <f t="shared" si="99"/>
        <v>23.6</v>
      </c>
      <c r="G37" s="95">
        <f t="shared" si="99"/>
        <v>13.5</v>
      </c>
      <c r="H37" s="95">
        <f t="shared" si="99"/>
        <v>97.5</v>
      </c>
      <c r="I37" s="7">
        <f t="shared" si="4"/>
        <v>12766</v>
      </c>
      <c r="J37" s="95">
        <f t="shared" ref="J37:O37" si="100">IF(OR(J79=1,J79=2),"x",ROUND(J79/$P79*100,1))</f>
        <v>24</v>
      </c>
      <c r="K37" s="95">
        <f t="shared" si="100"/>
        <v>25.5</v>
      </c>
      <c r="L37" s="95">
        <f t="shared" si="100"/>
        <v>24.6</v>
      </c>
      <c r="M37" s="95">
        <f t="shared" si="100"/>
        <v>16.899999999999999</v>
      </c>
      <c r="N37" s="95">
        <f t="shared" si="100"/>
        <v>7.3</v>
      </c>
      <c r="O37" s="95">
        <f t="shared" si="100"/>
        <v>98.4</v>
      </c>
      <c r="P37" s="7">
        <f t="shared" si="6"/>
        <v>8843</v>
      </c>
      <c r="Q37" s="95">
        <f t="shared" ref="Q37:V37" si="101">IF(OR(Q79=1,Q79=2),"x",ROUND(Q79/$W79*100,1))</f>
        <v>17.7</v>
      </c>
      <c r="R37" s="95">
        <f t="shared" si="101"/>
        <v>22.7</v>
      </c>
      <c r="S37" s="95">
        <f t="shared" si="101"/>
        <v>25.6</v>
      </c>
      <c r="T37" s="95">
        <f t="shared" si="101"/>
        <v>20.9</v>
      </c>
      <c r="U37" s="95">
        <f t="shared" si="101"/>
        <v>11</v>
      </c>
      <c r="V37" s="95">
        <f t="shared" si="101"/>
        <v>97.9</v>
      </c>
      <c r="W37" s="7">
        <f t="shared" si="8"/>
        <v>21609</v>
      </c>
      <c r="X37" s="5"/>
    </row>
    <row r="38" spans="1:24" x14ac:dyDescent="0.2">
      <c r="A38" s="14"/>
      <c r="B38" s="10" t="s">
        <v>32</v>
      </c>
      <c r="C38" s="95">
        <f t="shared" ref="C38:H38" si="102">IF(OR(C80=1,C80=2),"x",ROUND(C80/$I80*100,1))</f>
        <v>12.8</v>
      </c>
      <c r="D38" s="95">
        <f t="shared" si="102"/>
        <v>17</v>
      </c>
      <c r="E38" s="95">
        <f t="shared" si="102"/>
        <v>22.8</v>
      </c>
      <c r="F38" s="95">
        <f t="shared" si="102"/>
        <v>23.7</v>
      </c>
      <c r="G38" s="95">
        <f t="shared" si="102"/>
        <v>17.3</v>
      </c>
      <c r="H38" s="95">
        <f t="shared" si="102"/>
        <v>93.6</v>
      </c>
      <c r="I38" s="7">
        <f t="shared" si="4"/>
        <v>24404</v>
      </c>
      <c r="J38" s="95">
        <f t="shared" ref="J38:O38" si="103">IF(OR(J80=1,J80=2),"x",ROUND(J80/$P80*100,1))</f>
        <v>14</v>
      </c>
      <c r="K38" s="95">
        <f t="shared" si="103"/>
        <v>19.3</v>
      </c>
      <c r="L38" s="95">
        <f t="shared" si="103"/>
        <v>24.4</v>
      </c>
      <c r="M38" s="95">
        <f t="shared" si="103"/>
        <v>22.4</v>
      </c>
      <c r="N38" s="95">
        <f t="shared" si="103"/>
        <v>15.3</v>
      </c>
      <c r="O38" s="95">
        <f t="shared" si="103"/>
        <v>95.5</v>
      </c>
      <c r="P38" s="7">
        <f t="shared" si="6"/>
        <v>28080</v>
      </c>
      <c r="Q38" s="95">
        <f t="shared" ref="Q38:V38" si="104">IF(OR(Q80=1,Q80=2),"x",ROUND(Q80/$W80*100,1))</f>
        <v>13.4</v>
      </c>
      <c r="R38" s="95">
        <f t="shared" si="104"/>
        <v>18.2</v>
      </c>
      <c r="S38" s="95">
        <f t="shared" si="104"/>
        <v>23.7</v>
      </c>
      <c r="T38" s="95">
        <f t="shared" si="104"/>
        <v>23</v>
      </c>
      <c r="U38" s="95">
        <f t="shared" si="104"/>
        <v>16.2</v>
      </c>
      <c r="V38" s="95">
        <f t="shared" si="104"/>
        <v>94.6</v>
      </c>
      <c r="W38" s="7">
        <f t="shared" si="8"/>
        <v>52484</v>
      </c>
      <c r="X38" s="5"/>
    </row>
    <row r="39" spans="1:24" x14ac:dyDescent="0.2">
      <c r="A39" s="14"/>
      <c r="B39" s="10" t="s">
        <v>46</v>
      </c>
      <c r="C39" s="95">
        <f t="shared" ref="C39:H39" si="105">IF(OR(C81=1,C81=2),"x",ROUND(C81/$I81*100,1))</f>
        <v>25.9</v>
      </c>
      <c r="D39" s="95">
        <f t="shared" si="105"/>
        <v>23.8</v>
      </c>
      <c r="E39" s="95">
        <f t="shared" si="105"/>
        <v>22.9</v>
      </c>
      <c r="F39" s="95">
        <f t="shared" si="105"/>
        <v>16.600000000000001</v>
      </c>
      <c r="G39" s="95">
        <f t="shared" si="105"/>
        <v>8.6</v>
      </c>
      <c r="H39" s="95">
        <f t="shared" si="105"/>
        <v>97.7</v>
      </c>
      <c r="I39" s="7">
        <f t="shared" si="4"/>
        <v>349026</v>
      </c>
      <c r="J39" s="95">
        <f t="shared" ref="J39:O39" si="106">IF(OR(J81=1,J81=2),"x",ROUND(J81/$P81*100,1))</f>
        <v>27.7</v>
      </c>
      <c r="K39" s="95">
        <f t="shared" si="106"/>
        <v>26.3</v>
      </c>
      <c r="L39" s="95">
        <f t="shared" si="106"/>
        <v>23.5</v>
      </c>
      <c r="M39" s="95">
        <f t="shared" si="106"/>
        <v>14.7</v>
      </c>
      <c r="N39" s="95">
        <f t="shared" si="106"/>
        <v>6.4</v>
      </c>
      <c r="O39" s="95">
        <f t="shared" si="106"/>
        <v>98.5</v>
      </c>
      <c r="P39" s="7">
        <f t="shared" si="6"/>
        <v>408670</v>
      </c>
      <c r="Q39" s="95">
        <f t="shared" ref="Q39:V39" si="107">IF(OR(Q81=1,Q81=2),"x",ROUND(Q81/$W81*100,1))</f>
        <v>26.8</v>
      </c>
      <c r="R39" s="95">
        <f t="shared" si="107"/>
        <v>25.1</v>
      </c>
      <c r="S39" s="95">
        <f t="shared" si="107"/>
        <v>23.2</v>
      </c>
      <c r="T39" s="95">
        <f t="shared" si="107"/>
        <v>15.5</v>
      </c>
      <c r="U39" s="95">
        <f t="shared" si="107"/>
        <v>7.4</v>
      </c>
      <c r="V39" s="95">
        <f t="shared" si="107"/>
        <v>98.1</v>
      </c>
      <c r="W39" s="7">
        <f t="shared" si="8"/>
        <v>757696</v>
      </c>
      <c r="X39" s="5"/>
    </row>
    <row r="40" spans="1:24" x14ac:dyDescent="0.2">
      <c r="A40" s="14"/>
      <c r="C40" s="95"/>
      <c r="D40" s="95"/>
      <c r="E40" s="95"/>
      <c r="F40" s="95"/>
      <c r="G40" s="95"/>
      <c r="H40" s="95"/>
      <c r="J40" s="95"/>
      <c r="K40" s="95"/>
      <c r="L40" s="95"/>
      <c r="M40" s="95"/>
      <c r="N40" s="95"/>
      <c r="O40" s="95"/>
      <c r="Q40" s="95"/>
      <c r="R40" s="95"/>
      <c r="S40" s="95"/>
      <c r="T40" s="95"/>
      <c r="U40" s="95"/>
      <c r="V40" s="95"/>
    </row>
    <row r="41" spans="1:24" x14ac:dyDescent="0.2">
      <c r="A41" s="14"/>
    </row>
    <row r="42" spans="1:24" x14ac:dyDescent="0.2">
      <c r="A42" s="14"/>
    </row>
    <row r="43" spans="1:24" x14ac:dyDescent="0.2">
      <c r="A43" s="14"/>
    </row>
    <row r="44" spans="1:24" x14ac:dyDescent="0.2">
      <c r="A44" s="14"/>
      <c r="B44" s="7" t="s">
        <v>64</v>
      </c>
      <c r="C44" s="7" t="s">
        <v>42</v>
      </c>
      <c r="J44" s="7" t="s">
        <v>43</v>
      </c>
      <c r="Q44" s="7" t="s">
        <v>54</v>
      </c>
    </row>
    <row r="45" spans="1:24" x14ac:dyDescent="0.2">
      <c r="A45" s="14"/>
      <c r="C45" s="7" t="s">
        <v>33</v>
      </c>
      <c r="D45" s="7" t="s">
        <v>34</v>
      </c>
      <c r="E45" s="7" t="s">
        <v>35</v>
      </c>
      <c r="F45" s="7" t="s">
        <v>36</v>
      </c>
      <c r="G45" s="7" t="s">
        <v>37</v>
      </c>
      <c r="H45" s="7" t="s">
        <v>47</v>
      </c>
      <c r="I45" s="7" t="s">
        <v>54</v>
      </c>
      <c r="J45" s="7" t="s">
        <v>33</v>
      </c>
      <c r="K45" s="7" t="s">
        <v>34</v>
      </c>
      <c r="L45" s="7" t="s">
        <v>35</v>
      </c>
      <c r="M45" s="7" t="s">
        <v>36</v>
      </c>
      <c r="N45" s="7" t="s">
        <v>37</v>
      </c>
      <c r="O45" s="7" t="s">
        <v>47</v>
      </c>
      <c r="P45" s="7" t="s">
        <v>54</v>
      </c>
      <c r="Q45" s="7" t="s">
        <v>33</v>
      </c>
      <c r="R45" s="7" t="s">
        <v>34</v>
      </c>
      <c r="S45" s="7" t="s">
        <v>35</v>
      </c>
      <c r="T45" s="7" t="s">
        <v>36</v>
      </c>
      <c r="U45" s="7" t="s">
        <v>37</v>
      </c>
      <c r="V45" s="7" t="s">
        <v>47</v>
      </c>
      <c r="W45" s="7" t="s">
        <v>54</v>
      </c>
    </row>
    <row r="46" spans="1:24" x14ac:dyDescent="0.2">
      <c r="A46" s="14"/>
    </row>
    <row r="47" spans="1:24" x14ac:dyDescent="0.2">
      <c r="A47" s="14"/>
      <c r="B47" s="7" t="s">
        <v>0</v>
      </c>
      <c r="C47" s="7">
        <v>5404</v>
      </c>
      <c r="D47" s="7">
        <v>4513</v>
      </c>
      <c r="E47" s="7">
        <v>4115</v>
      </c>
      <c r="F47" s="7">
        <v>3464</v>
      </c>
      <c r="G47" s="7">
        <v>2335</v>
      </c>
      <c r="H47" s="7">
        <v>19831</v>
      </c>
      <c r="I47" s="7">
        <v>20510</v>
      </c>
      <c r="J47" s="7">
        <v>8067</v>
      </c>
      <c r="K47" s="7">
        <v>6315</v>
      </c>
      <c r="L47" s="7">
        <v>5503</v>
      </c>
      <c r="M47" s="7">
        <v>4198</v>
      </c>
      <c r="N47" s="7">
        <v>2677</v>
      </c>
      <c r="O47" s="7">
        <v>26760</v>
      </c>
      <c r="P47" s="7">
        <v>27468</v>
      </c>
      <c r="Q47" s="7">
        <v>13471</v>
      </c>
      <c r="R47" s="7">
        <v>10828</v>
      </c>
      <c r="S47" s="7">
        <v>9618</v>
      </c>
      <c r="T47" s="7">
        <v>7662</v>
      </c>
      <c r="U47" s="7">
        <v>5012</v>
      </c>
      <c r="V47" s="7">
        <v>46591</v>
      </c>
      <c r="W47" s="7">
        <v>47978</v>
      </c>
    </row>
    <row r="48" spans="1:24" x14ac:dyDescent="0.2">
      <c r="A48" s="14"/>
      <c r="B48" s="7" t="s">
        <v>1</v>
      </c>
      <c r="C48" s="7">
        <v>6568</v>
      </c>
      <c r="D48" s="7">
        <v>4456</v>
      </c>
      <c r="E48" s="7">
        <v>3361</v>
      </c>
      <c r="F48" s="7">
        <v>2520</v>
      </c>
      <c r="G48" s="7">
        <v>1714</v>
      </c>
      <c r="H48" s="7">
        <v>18619</v>
      </c>
      <c r="I48" s="7">
        <v>19160</v>
      </c>
      <c r="J48" s="7">
        <v>6346</v>
      </c>
      <c r="K48" s="7">
        <v>4581</v>
      </c>
      <c r="L48" s="7">
        <v>3266</v>
      </c>
      <c r="M48" s="7">
        <v>2115</v>
      </c>
      <c r="N48" s="7">
        <v>1325</v>
      </c>
      <c r="O48" s="7">
        <v>17633</v>
      </c>
      <c r="P48" s="7">
        <v>17981</v>
      </c>
      <c r="Q48" s="7">
        <v>12914</v>
      </c>
      <c r="R48" s="7">
        <v>9037</v>
      </c>
      <c r="S48" s="7">
        <v>6627</v>
      </c>
      <c r="T48" s="7">
        <v>4635</v>
      </c>
      <c r="U48" s="7">
        <v>3039</v>
      </c>
      <c r="V48" s="7">
        <v>36252</v>
      </c>
      <c r="W48" s="7">
        <v>37141</v>
      </c>
    </row>
    <row r="49" spans="1:23" x14ac:dyDescent="0.2">
      <c r="A49" s="14"/>
      <c r="B49" s="7" t="s">
        <v>2</v>
      </c>
      <c r="C49" s="7">
        <v>6331</v>
      </c>
      <c r="D49" s="7">
        <v>4058</v>
      </c>
      <c r="E49" s="7">
        <v>3676</v>
      </c>
      <c r="F49" s="7">
        <v>3056</v>
      </c>
      <c r="G49" s="7">
        <v>2188</v>
      </c>
      <c r="H49" s="7">
        <v>19309</v>
      </c>
      <c r="I49" s="7">
        <v>19994</v>
      </c>
      <c r="J49" s="7">
        <v>2128</v>
      </c>
      <c r="K49" s="7">
        <v>1239</v>
      </c>
      <c r="L49" s="7">
        <v>963</v>
      </c>
      <c r="M49" s="7">
        <v>756</v>
      </c>
      <c r="N49" s="7">
        <v>434</v>
      </c>
      <c r="O49" s="7">
        <v>5520</v>
      </c>
      <c r="P49" s="7">
        <v>5626</v>
      </c>
      <c r="Q49" s="7">
        <v>8459</v>
      </c>
      <c r="R49" s="7">
        <v>5297</v>
      </c>
      <c r="S49" s="7">
        <v>4639</v>
      </c>
      <c r="T49" s="7">
        <v>3812</v>
      </c>
      <c r="U49" s="7">
        <v>2622</v>
      </c>
      <c r="V49" s="7">
        <v>24829</v>
      </c>
      <c r="W49" s="7">
        <v>25620</v>
      </c>
    </row>
    <row r="50" spans="1:23" x14ac:dyDescent="0.2">
      <c r="A50" s="14"/>
      <c r="B50" s="7" t="s">
        <v>3</v>
      </c>
      <c r="C50" s="7">
        <v>696</v>
      </c>
      <c r="D50" s="7">
        <v>609</v>
      </c>
      <c r="E50" s="7">
        <v>606</v>
      </c>
      <c r="F50" s="7">
        <v>502</v>
      </c>
      <c r="G50" s="7">
        <v>297</v>
      </c>
      <c r="H50" s="7">
        <v>2710</v>
      </c>
      <c r="I50" s="7">
        <v>2794</v>
      </c>
      <c r="J50" s="7">
        <v>279</v>
      </c>
      <c r="K50" s="7">
        <v>276</v>
      </c>
      <c r="L50" s="7">
        <v>245</v>
      </c>
      <c r="M50" s="7">
        <v>179</v>
      </c>
      <c r="N50" s="7">
        <v>109</v>
      </c>
      <c r="O50" s="7">
        <v>1088</v>
      </c>
      <c r="P50" s="7">
        <v>1111</v>
      </c>
      <c r="Q50" s="7">
        <v>975</v>
      </c>
      <c r="R50" s="7">
        <v>885</v>
      </c>
      <c r="S50" s="7">
        <v>851</v>
      </c>
      <c r="T50" s="7">
        <v>681</v>
      </c>
      <c r="U50" s="7">
        <v>406</v>
      </c>
      <c r="V50" s="7">
        <v>3798</v>
      </c>
      <c r="W50" s="7">
        <v>3905</v>
      </c>
    </row>
    <row r="51" spans="1:23" x14ac:dyDescent="0.2">
      <c r="A51" s="14"/>
      <c r="B51" s="7" t="s">
        <v>4</v>
      </c>
      <c r="C51" s="7">
        <v>17063</v>
      </c>
      <c r="D51" s="7">
        <v>8147</v>
      </c>
      <c r="E51" s="7">
        <v>5977</v>
      </c>
      <c r="F51" s="7">
        <v>4112</v>
      </c>
      <c r="G51" s="7">
        <v>2379</v>
      </c>
      <c r="H51" s="7">
        <v>37678</v>
      </c>
      <c r="I51" s="7">
        <v>38408</v>
      </c>
      <c r="J51" s="7">
        <v>12203</v>
      </c>
      <c r="K51" s="7">
        <v>5875</v>
      </c>
      <c r="L51" s="7">
        <v>3921</v>
      </c>
      <c r="M51" s="7">
        <v>2413</v>
      </c>
      <c r="N51" s="7">
        <v>1338</v>
      </c>
      <c r="O51" s="7">
        <v>25750</v>
      </c>
      <c r="P51" s="7">
        <v>26109</v>
      </c>
      <c r="Q51" s="7">
        <v>29266</v>
      </c>
      <c r="R51" s="7">
        <v>14022</v>
      </c>
      <c r="S51" s="7">
        <v>9898</v>
      </c>
      <c r="T51" s="7">
        <v>6525</v>
      </c>
      <c r="U51" s="7">
        <v>3717</v>
      </c>
      <c r="V51" s="7">
        <v>63428</v>
      </c>
      <c r="W51" s="7">
        <v>64517</v>
      </c>
    </row>
    <row r="52" spans="1:23" x14ac:dyDescent="0.2">
      <c r="A52" s="14"/>
      <c r="B52" s="7" t="s">
        <v>5</v>
      </c>
      <c r="C52" s="7">
        <v>3855</v>
      </c>
      <c r="D52" s="7">
        <v>1281</v>
      </c>
      <c r="E52" s="7">
        <v>675</v>
      </c>
      <c r="F52" s="7">
        <v>377</v>
      </c>
      <c r="G52" s="7">
        <v>232</v>
      </c>
      <c r="H52" s="7">
        <v>6420</v>
      </c>
      <c r="I52" s="7">
        <v>6493</v>
      </c>
      <c r="J52" s="7">
        <v>1729</v>
      </c>
      <c r="K52" s="7">
        <v>628</v>
      </c>
      <c r="L52" s="7">
        <v>366</v>
      </c>
      <c r="M52" s="7">
        <v>135</v>
      </c>
      <c r="N52" s="7">
        <v>67</v>
      </c>
      <c r="O52" s="7">
        <v>2925</v>
      </c>
      <c r="P52" s="7">
        <v>2950</v>
      </c>
      <c r="Q52" s="7">
        <v>5584</v>
      </c>
      <c r="R52" s="7">
        <v>1909</v>
      </c>
      <c r="S52" s="7">
        <v>1041</v>
      </c>
      <c r="T52" s="7">
        <v>512</v>
      </c>
      <c r="U52" s="7">
        <v>299</v>
      </c>
      <c r="V52" s="7">
        <v>9345</v>
      </c>
      <c r="W52" s="7">
        <v>9443</v>
      </c>
    </row>
    <row r="53" spans="1:23" x14ac:dyDescent="0.2">
      <c r="A53" s="14"/>
      <c r="B53" s="7" t="s">
        <v>6</v>
      </c>
      <c r="C53" s="7">
        <v>1392</v>
      </c>
      <c r="D53" s="7">
        <v>2003</v>
      </c>
      <c r="E53" s="7">
        <v>2399</v>
      </c>
      <c r="F53" s="7">
        <v>1915</v>
      </c>
      <c r="G53" s="7">
        <v>938</v>
      </c>
      <c r="H53" s="7">
        <v>8647</v>
      </c>
      <c r="I53" s="7">
        <v>8860</v>
      </c>
      <c r="J53" s="7">
        <v>1459</v>
      </c>
      <c r="K53" s="7">
        <v>1771</v>
      </c>
      <c r="L53" s="7">
        <v>1648</v>
      </c>
      <c r="M53" s="7">
        <v>1159</v>
      </c>
      <c r="N53" s="7">
        <v>458</v>
      </c>
      <c r="O53" s="7">
        <v>6495</v>
      </c>
      <c r="P53" s="7">
        <v>6585</v>
      </c>
      <c r="Q53" s="7">
        <v>2851</v>
      </c>
      <c r="R53" s="7">
        <v>3774</v>
      </c>
      <c r="S53" s="7">
        <v>4047</v>
      </c>
      <c r="T53" s="7">
        <v>3074</v>
      </c>
      <c r="U53" s="7">
        <v>1396</v>
      </c>
      <c r="V53" s="7">
        <v>15142</v>
      </c>
      <c r="W53" s="7">
        <v>15445</v>
      </c>
    </row>
    <row r="54" spans="1:23" x14ac:dyDescent="0.2">
      <c r="A54" s="14"/>
      <c r="B54" s="67" t="s">
        <v>168</v>
      </c>
      <c r="C54" s="7">
        <v>610</v>
      </c>
      <c r="D54" s="7">
        <v>754</v>
      </c>
      <c r="E54" s="7">
        <v>827</v>
      </c>
      <c r="F54" s="7">
        <v>758</v>
      </c>
      <c r="G54" s="7">
        <v>530</v>
      </c>
      <c r="H54" s="7">
        <v>3479</v>
      </c>
      <c r="I54" s="7">
        <v>3652</v>
      </c>
      <c r="J54" s="7">
        <v>51</v>
      </c>
      <c r="K54" s="7">
        <v>77</v>
      </c>
      <c r="L54" s="7">
        <v>63</v>
      </c>
      <c r="M54" s="7">
        <v>58</v>
      </c>
      <c r="N54" s="7">
        <v>37</v>
      </c>
      <c r="O54" s="7">
        <v>286</v>
      </c>
      <c r="P54" s="7">
        <v>293</v>
      </c>
      <c r="Q54" s="7">
        <v>661</v>
      </c>
      <c r="R54" s="7">
        <v>831</v>
      </c>
      <c r="S54" s="7">
        <v>890</v>
      </c>
      <c r="T54" s="7">
        <v>816</v>
      </c>
      <c r="U54" s="7">
        <v>567</v>
      </c>
      <c r="V54" s="7">
        <v>3765</v>
      </c>
      <c r="W54" s="7">
        <v>3945</v>
      </c>
    </row>
    <row r="55" spans="1:23" x14ac:dyDescent="0.2">
      <c r="A55" s="14"/>
      <c r="B55" s="7" t="s">
        <v>8</v>
      </c>
      <c r="C55" s="7">
        <v>353</v>
      </c>
      <c r="D55" s="7">
        <v>959</v>
      </c>
      <c r="E55" s="7">
        <v>1454</v>
      </c>
      <c r="F55" s="7">
        <v>1591</v>
      </c>
      <c r="G55" s="7">
        <v>1078</v>
      </c>
      <c r="H55" s="7">
        <v>5435</v>
      </c>
      <c r="I55" s="7">
        <v>5728</v>
      </c>
      <c r="J55" s="7">
        <v>345</v>
      </c>
      <c r="K55" s="7">
        <v>719</v>
      </c>
      <c r="L55" s="7">
        <v>945</v>
      </c>
      <c r="M55" s="7">
        <v>855</v>
      </c>
      <c r="N55" s="7">
        <v>420</v>
      </c>
      <c r="O55" s="7">
        <v>3284</v>
      </c>
      <c r="P55" s="7">
        <v>3383</v>
      </c>
      <c r="Q55" s="7">
        <v>698</v>
      </c>
      <c r="R55" s="7">
        <v>1678</v>
      </c>
      <c r="S55" s="7">
        <v>2399</v>
      </c>
      <c r="T55" s="7">
        <v>2446</v>
      </c>
      <c r="U55" s="7">
        <v>1498</v>
      </c>
      <c r="V55" s="7">
        <v>8719</v>
      </c>
      <c r="W55" s="7">
        <v>9111</v>
      </c>
    </row>
    <row r="56" spans="1:23" x14ac:dyDescent="0.2">
      <c r="A56" s="14"/>
      <c r="B56" s="7" t="s">
        <v>9</v>
      </c>
      <c r="C56" s="7">
        <v>1</v>
      </c>
      <c r="D56" s="7">
        <v>6</v>
      </c>
      <c r="E56" s="7">
        <v>6</v>
      </c>
      <c r="F56" s="7">
        <v>6</v>
      </c>
      <c r="G56" s="7">
        <v>11</v>
      </c>
      <c r="H56" s="7">
        <v>30</v>
      </c>
      <c r="I56" s="7">
        <v>32</v>
      </c>
      <c r="J56" s="7">
        <v>57</v>
      </c>
      <c r="K56" s="7">
        <v>91</v>
      </c>
      <c r="L56" s="7">
        <v>65</v>
      </c>
      <c r="M56" s="7">
        <v>69</v>
      </c>
      <c r="N56" s="7">
        <v>26</v>
      </c>
      <c r="O56" s="7">
        <v>308</v>
      </c>
      <c r="P56" s="7">
        <v>312</v>
      </c>
      <c r="Q56" s="7">
        <v>58</v>
      </c>
      <c r="R56" s="7">
        <v>97</v>
      </c>
      <c r="S56" s="7">
        <v>71</v>
      </c>
      <c r="T56" s="7">
        <v>75</v>
      </c>
      <c r="U56" s="7">
        <v>37</v>
      </c>
      <c r="V56" s="7">
        <v>338</v>
      </c>
      <c r="W56" s="7">
        <v>344</v>
      </c>
    </row>
    <row r="57" spans="1:23" x14ac:dyDescent="0.2">
      <c r="A57" s="14"/>
      <c r="B57" s="7" t="s">
        <v>10</v>
      </c>
      <c r="C57" s="7">
        <v>282</v>
      </c>
      <c r="D57" s="7">
        <v>513</v>
      </c>
      <c r="E57" s="7">
        <v>562</v>
      </c>
      <c r="F57" s="7">
        <v>487</v>
      </c>
      <c r="G57" s="7">
        <v>285</v>
      </c>
      <c r="H57" s="7">
        <v>2129</v>
      </c>
      <c r="I57" s="7">
        <v>2234</v>
      </c>
      <c r="J57" s="7">
        <v>206</v>
      </c>
      <c r="K57" s="7">
        <v>317</v>
      </c>
      <c r="L57" s="7">
        <v>320</v>
      </c>
      <c r="M57" s="7">
        <v>317</v>
      </c>
      <c r="N57" s="7">
        <v>197</v>
      </c>
      <c r="O57" s="7">
        <v>1357</v>
      </c>
      <c r="P57" s="7">
        <v>1424</v>
      </c>
      <c r="Q57" s="7">
        <v>488</v>
      </c>
      <c r="R57" s="7">
        <v>830</v>
      </c>
      <c r="S57" s="7">
        <v>882</v>
      </c>
      <c r="T57" s="7">
        <v>804</v>
      </c>
      <c r="U57" s="7">
        <v>482</v>
      </c>
      <c r="V57" s="7">
        <v>3486</v>
      </c>
      <c r="W57" s="7">
        <v>3658</v>
      </c>
    </row>
    <row r="58" spans="1:23" x14ac:dyDescent="0.2">
      <c r="A58" s="14"/>
      <c r="B58" s="7" t="s">
        <v>11</v>
      </c>
      <c r="C58" s="7">
        <v>3269</v>
      </c>
      <c r="D58" s="7">
        <v>5047</v>
      </c>
      <c r="E58" s="7">
        <v>5206</v>
      </c>
      <c r="F58" s="7">
        <v>3239</v>
      </c>
      <c r="G58" s="7">
        <v>1207</v>
      </c>
      <c r="H58" s="7">
        <v>17968</v>
      </c>
      <c r="I58" s="7">
        <v>18208</v>
      </c>
      <c r="J58" s="7">
        <v>2640</v>
      </c>
      <c r="K58" s="7">
        <v>3396</v>
      </c>
      <c r="L58" s="7">
        <v>3331</v>
      </c>
      <c r="M58" s="7">
        <v>2031</v>
      </c>
      <c r="N58" s="7">
        <v>824</v>
      </c>
      <c r="O58" s="7">
        <v>12222</v>
      </c>
      <c r="P58" s="7">
        <v>12353</v>
      </c>
      <c r="Q58" s="7">
        <v>5909</v>
      </c>
      <c r="R58" s="7">
        <v>8443</v>
      </c>
      <c r="S58" s="7">
        <v>8537</v>
      </c>
      <c r="T58" s="7">
        <v>5270</v>
      </c>
      <c r="U58" s="7">
        <v>2031</v>
      </c>
      <c r="V58" s="7">
        <v>30190</v>
      </c>
      <c r="W58" s="7">
        <v>30561</v>
      </c>
    </row>
    <row r="59" spans="1:23" x14ac:dyDescent="0.2">
      <c r="A59" s="14"/>
      <c r="B59" s="7" t="s">
        <v>12</v>
      </c>
      <c r="C59" s="7">
        <v>4439</v>
      </c>
      <c r="D59" s="7">
        <v>3409</v>
      </c>
      <c r="E59" s="7">
        <v>2402</v>
      </c>
      <c r="F59" s="7">
        <v>1345</v>
      </c>
      <c r="G59" s="7">
        <v>528</v>
      </c>
      <c r="H59" s="7">
        <v>12123</v>
      </c>
      <c r="I59" s="7">
        <v>12233</v>
      </c>
      <c r="J59" s="7">
        <v>2382</v>
      </c>
      <c r="K59" s="7">
        <v>1406</v>
      </c>
      <c r="L59" s="7">
        <v>962</v>
      </c>
      <c r="M59" s="7">
        <v>475</v>
      </c>
      <c r="N59" s="7">
        <v>200</v>
      </c>
      <c r="O59" s="7">
        <v>5425</v>
      </c>
      <c r="P59" s="7">
        <v>5463</v>
      </c>
      <c r="Q59" s="7">
        <v>6821</v>
      </c>
      <c r="R59" s="7">
        <v>4815</v>
      </c>
      <c r="S59" s="7">
        <v>3364</v>
      </c>
      <c r="T59" s="7">
        <v>1820</v>
      </c>
      <c r="U59" s="7">
        <v>728</v>
      </c>
      <c r="V59" s="7">
        <v>17548</v>
      </c>
      <c r="W59" s="7">
        <v>17696</v>
      </c>
    </row>
    <row r="60" spans="1:23" x14ac:dyDescent="0.2">
      <c r="A60" s="14"/>
      <c r="B60" s="7" t="s">
        <v>13</v>
      </c>
      <c r="C60" s="7">
        <v>4030</v>
      </c>
      <c r="D60" s="7">
        <v>4188</v>
      </c>
      <c r="E60" s="7">
        <v>3774</v>
      </c>
      <c r="F60" s="7">
        <v>2422</v>
      </c>
      <c r="G60" s="7">
        <v>976</v>
      </c>
      <c r="H60" s="7">
        <v>15390</v>
      </c>
      <c r="I60" s="7">
        <v>15533</v>
      </c>
      <c r="J60" s="7">
        <v>4763</v>
      </c>
      <c r="K60" s="7">
        <v>3564</v>
      </c>
      <c r="L60" s="7">
        <v>2613</v>
      </c>
      <c r="M60" s="7">
        <v>1430</v>
      </c>
      <c r="N60" s="7">
        <v>473</v>
      </c>
      <c r="O60" s="7">
        <v>12843</v>
      </c>
      <c r="P60" s="7">
        <v>12917</v>
      </c>
      <c r="Q60" s="7">
        <v>8793</v>
      </c>
      <c r="R60" s="7">
        <v>7752</v>
      </c>
      <c r="S60" s="7">
        <v>6387</v>
      </c>
      <c r="T60" s="7">
        <v>3852</v>
      </c>
      <c r="U60" s="7">
        <v>1449</v>
      </c>
      <c r="V60" s="7">
        <v>28233</v>
      </c>
      <c r="W60" s="7">
        <v>28450</v>
      </c>
    </row>
    <row r="61" spans="1:23" x14ac:dyDescent="0.2">
      <c r="A61" s="14"/>
      <c r="B61" s="7" t="s">
        <v>14</v>
      </c>
      <c r="C61" s="7">
        <v>2294</v>
      </c>
      <c r="D61" s="7">
        <v>1746</v>
      </c>
      <c r="E61" s="7">
        <v>1385</v>
      </c>
      <c r="F61" s="7">
        <v>848</v>
      </c>
      <c r="G61" s="7">
        <v>328</v>
      </c>
      <c r="H61" s="7">
        <v>6601</v>
      </c>
      <c r="I61" s="7">
        <v>6678</v>
      </c>
      <c r="J61" s="7">
        <v>1926</v>
      </c>
      <c r="K61" s="7">
        <v>1307</v>
      </c>
      <c r="L61" s="7">
        <v>955</v>
      </c>
      <c r="M61" s="7">
        <v>532</v>
      </c>
      <c r="N61" s="7">
        <v>218</v>
      </c>
      <c r="O61" s="7">
        <v>4938</v>
      </c>
      <c r="P61" s="7">
        <v>4984</v>
      </c>
      <c r="Q61" s="7">
        <v>4220</v>
      </c>
      <c r="R61" s="7">
        <v>3053</v>
      </c>
      <c r="S61" s="7">
        <v>2340</v>
      </c>
      <c r="T61" s="7">
        <v>1380</v>
      </c>
      <c r="U61" s="7">
        <v>546</v>
      </c>
      <c r="V61" s="7">
        <v>11539</v>
      </c>
      <c r="W61" s="7">
        <v>11662</v>
      </c>
    </row>
    <row r="62" spans="1:23" x14ac:dyDescent="0.2">
      <c r="A62" s="14"/>
      <c r="B62" s="7" t="s">
        <v>15</v>
      </c>
      <c r="C62" s="7">
        <v>5235</v>
      </c>
      <c r="D62" s="7">
        <v>6068</v>
      </c>
      <c r="E62" s="7">
        <v>5380</v>
      </c>
      <c r="F62" s="7">
        <v>3339</v>
      </c>
      <c r="G62" s="7">
        <v>1237</v>
      </c>
      <c r="H62" s="7">
        <v>21259</v>
      </c>
      <c r="I62" s="7">
        <v>21450</v>
      </c>
      <c r="J62" s="7">
        <v>5979</v>
      </c>
      <c r="K62" s="7">
        <v>6249</v>
      </c>
      <c r="L62" s="7">
        <v>5086</v>
      </c>
      <c r="M62" s="7">
        <v>2904</v>
      </c>
      <c r="N62" s="7">
        <v>1018</v>
      </c>
      <c r="O62" s="7">
        <v>21236</v>
      </c>
      <c r="P62" s="7">
        <v>21391</v>
      </c>
      <c r="Q62" s="7">
        <v>11214</v>
      </c>
      <c r="R62" s="7">
        <v>12317</v>
      </c>
      <c r="S62" s="7">
        <v>10466</v>
      </c>
      <c r="T62" s="7">
        <v>6243</v>
      </c>
      <c r="U62" s="7">
        <v>2255</v>
      </c>
      <c r="V62" s="7">
        <v>42495</v>
      </c>
      <c r="W62" s="7">
        <v>42841</v>
      </c>
    </row>
    <row r="63" spans="1:23" x14ac:dyDescent="0.2">
      <c r="A63" s="14"/>
      <c r="B63" s="7" t="s">
        <v>16</v>
      </c>
      <c r="C63" s="7">
        <v>1120</v>
      </c>
      <c r="D63" s="7">
        <v>1443</v>
      </c>
      <c r="E63" s="7">
        <v>1464</v>
      </c>
      <c r="F63" s="7">
        <v>1148</v>
      </c>
      <c r="G63" s="7">
        <v>683</v>
      </c>
      <c r="H63" s="7">
        <v>5858</v>
      </c>
      <c r="I63" s="7">
        <v>6068</v>
      </c>
      <c r="J63" s="7">
        <v>2035</v>
      </c>
      <c r="K63" s="7">
        <v>2104</v>
      </c>
      <c r="L63" s="7">
        <v>2085</v>
      </c>
      <c r="M63" s="7">
        <v>1464</v>
      </c>
      <c r="N63" s="7">
        <v>765</v>
      </c>
      <c r="O63" s="7">
        <v>8453</v>
      </c>
      <c r="P63" s="7">
        <v>8691</v>
      </c>
      <c r="Q63" s="7">
        <v>3155</v>
      </c>
      <c r="R63" s="7">
        <v>3547</v>
      </c>
      <c r="S63" s="7">
        <v>3549</v>
      </c>
      <c r="T63" s="7">
        <v>2612</v>
      </c>
      <c r="U63" s="7">
        <v>1448</v>
      </c>
      <c r="V63" s="7">
        <v>14311</v>
      </c>
      <c r="W63" s="7">
        <v>14759</v>
      </c>
    </row>
    <row r="64" spans="1:23" x14ac:dyDescent="0.2">
      <c r="A64" s="14"/>
      <c r="B64" s="7" t="s">
        <v>17</v>
      </c>
      <c r="C64" s="7">
        <v>1494</v>
      </c>
      <c r="D64" s="7">
        <v>2771</v>
      </c>
      <c r="E64" s="7">
        <v>3289</v>
      </c>
      <c r="F64" s="7">
        <v>2862</v>
      </c>
      <c r="G64" s="7">
        <v>1834</v>
      </c>
      <c r="H64" s="7">
        <v>12250</v>
      </c>
      <c r="I64" s="7">
        <v>12700</v>
      </c>
      <c r="J64" s="7">
        <v>8214</v>
      </c>
      <c r="K64" s="7">
        <v>9778</v>
      </c>
      <c r="L64" s="7">
        <v>9090</v>
      </c>
      <c r="M64" s="7">
        <v>6323</v>
      </c>
      <c r="N64" s="7">
        <v>2989</v>
      </c>
      <c r="O64" s="7">
        <v>36394</v>
      </c>
      <c r="P64" s="7">
        <v>37028</v>
      </c>
      <c r="Q64" s="7">
        <v>9708</v>
      </c>
      <c r="R64" s="7">
        <v>12549</v>
      </c>
      <c r="S64" s="7">
        <v>12379</v>
      </c>
      <c r="T64" s="7">
        <v>9185</v>
      </c>
      <c r="U64" s="7">
        <v>4823</v>
      </c>
      <c r="V64" s="7">
        <v>48644</v>
      </c>
      <c r="W64" s="7">
        <v>49728</v>
      </c>
    </row>
    <row r="65" spans="1:23" x14ac:dyDescent="0.2">
      <c r="A65" s="14"/>
      <c r="B65" s="7" t="s">
        <v>18</v>
      </c>
      <c r="C65" s="7">
        <v>1032</v>
      </c>
      <c r="D65" s="7">
        <v>1620</v>
      </c>
      <c r="E65" s="7">
        <v>1788</v>
      </c>
      <c r="F65" s="7">
        <v>1279</v>
      </c>
      <c r="G65" s="7">
        <v>586</v>
      </c>
      <c r="H65" s="7">
        <v>6305</v>
      </c>
      <c r="I65" s="7">
        <v>6428</v>
      </c>
      <c r="J65" s="7">
        <v>4527</v>
      </c>
      <c r="K65" s="7">
        <v>5698</v>
      </c>
      <c r="L65" s="7">
        <v>5200</v>
      </c>
      <c r="M65" s="7">
        <v>3168</v>
      </c>
      <c r="N65" s="7">
        <v>1235</v>
      </c>
      <c r="O65" s="7">
        <v>19828</v>
      </c>
      <c r="P65" s="7">
        <v>20086</v>
      </c>
      <c r="Q65" s="7">
        <v>5559</v>
      </c>
      <c r="R65" s="7">
        <v>7318</v>
      </c>
      <c r="S65" s="7">
        <v>6988</v>
      </c>
      <c r="T65" s="7">
        <v>4447</v>
      </c>
      <c r="U65" s="7">
        <v>1821</v>
      </c>
      <c r="V65" s="7">
        <v>26133</v>
      </c>
      <c r="W65" s="7">
        <v>26514</v>
      </c>
    </row>
    <row r="66" spans="1:23" x14ac:dyDescent="0.2">
      <c r="A66" s="14"/>
      <c r="B66" s="7" t="s">
        <v>73</v>
      </c>
      <c r="C66" s="7">
        <v>386</v>
      </c>
      <c r="D66" s="7">
        <v>459</v>
      </c>
      <c r="E66" s="7">
        <v>377</v>
      </c>
      <c r="F66" s="7">
        <v>316</v>
      </c>
      <c r="G66" s="7">
        <v>151</v>
      </c>
      <c r="H66" s="7">
        <v>1689</v>
      </c>
      <c r="I66" s="7">
        <v>1731</v>
      </c>
      <c r="J66" s="7">
        <v>432</v>
      </c>
      <c r="K66" s="7">
        <v>423</v>
      </c>
      <c r="L66" s="7">
        <v>401</v>
      </c>
      <c r="M66" s="7">
        <v>263</v>
      </c>
      <c r="N66" s="7">
        <v>122</v>
      </c>
      <c r="O66" s="7">
        <v>1641</v>
      </c>
      <c r="P66" s="7">
        <v>1687</v>
      </c>
      <c r="Q66" s="7">
        <v>818</v>
      </c>
      <c r="R66" s="7">
        <v>882</v>
      </c>
      <c r="S66" s="7">
        <v>778</v>
      </c>
      <c r="T66" s="7">
        <v>579</v>
      </c>
      <c r="U66" s="7">
        <v>273</v>
      </c>
      <c r="V66" s="7">
        <v>3330</v>
      </c>
      <c r="W66" s="7">
        <v>3418</v>
      </c>
    </row>
    <row r="67" spans="1:23" x14ac:dyDescent="0.2">
      <c r="A67" s="14"/>
      <c r="B67" s="7" t="s">
        <v>20</v>
      </c>
      <c r="C67" s="7">
        <v>3283</v>
      </c>
      <c r="D67" s="7">
        <v>2851</v>
      </c>
      <c r="E67" s="7">
        <v>2877</v>
      </c>
      <c r="F67" s="7">
        <v>1859</v>
      </c>
      <c r="G67" s="7">
        <v>872</v>
      </c>
      <c r="H67" s="7">
        <v>11742</v>
      </c>
      <c r="I67" s="7">
        <v>12015</v>
      </c>
      <c r="J67" s="7">
        <v>9557</v>
      </c>
      <c r="K67" s="7">
        <v>7710</v>
      </c>
      <c r="L67" s="7">
        <v>6596</v>
      </c>
      <c r="M67" s="7">
        <v>3571</v>
      </c>
      <c r="N67" s="7">
        <v>1266</v>
      </c>
      <c r="O67" s="7">
        <v>28700</v>
      </c>
      <c r="P67" s="7">
        <v>29097</v>
      </c>
      <c r="Q67" s="7">
        <v>12840</v>
      </c>
      <c r="R67" s="7">
        <v>10561</v>
      </c>
      <c r="S67" s="7">
        <v>9473</v>
      </c>
      <c r="T67" s="7">
        <v>5430</v>
      </c>
      <c r="U67" s="7">
        <v>2138</v>
      </c>
      <c r="V67" s="7">
        <v>40442</v>
      </c>
      <c r="W67" s="7">
        <v>41112</v>
      </c>
    </row>
    <row r="68" spans="1:23" x14ac:dyDescent="0.2">
      <c r="A68" s="14"/>
      <c r="B68" s="7" t="s">
        <v>21</v>
      </c>
      <c r="C68" s="7">
        <v>688</v>
      </c>
      <c r="D68" s="7">
        <v>1474</v>
      </c>
      <c r="E68" s="7">
        <v>1499</v>
      </c>
      <c r="F68" s="7">
        <v>896</v>
      </c>
      <c r="G68" s="7">
        <v>242</v>
      </c>
      <c r="H68" s="7">
        <v>4799</v>
      </c>
      <c r="I68" s="7">
        <v>4820</v>
      </c>
      <c r="J68" s="7">
        <v>2272</v>
      </c>
      <c r="K68" s="7">
        <v>3497</v>
      </c>
      <c r="L68" s="7">
        <v>3099</v>
      </c>
      <c r="M68" s="7">
        <v>1321</v>
      </c>
      <c r="N68" s="7">
        <v>256</v>
      </c>
      <c r="O68" s="7">
        <v>10445</v>
      </c>
      <c r="P68" s="7">
        <v>10478</v>
      </c>
      <c r="Q68" s="7">
        <v>2960</v>
      </c>
      <c r="R68" s="7">
        <v>4971</v>
      </c>
      <c r="S68" s="7">
        <v>4598</v>
      </c>
      <c r="T68" s="7">
        <v>2217</v>
      </c>
      <c r="U68" s="7">
        <v>498</v>
      </c>
      <c r="V68" s="7">
        <v>15244</v>
      </c>
      <c r="W68" s="7">
        <v>15298</v>
      </c>
    </row>
    <row r="69" spans="1:23" x14ac:dyDescent="0.2">
      <c r="A69" s="14"/>
      <c r="B69" s="7" t="s">
        <v>22</v>
      </c>
      <c r="C69" s="7">
        <v>5946</v>
      </c>
      <c r="D69" s="7">
        <v>6724</v>
      </c>
      <c r="E69" s="7">
        <v>7290</v>
      </c>
      <c r="F69" s="7">
        <v>4541</v>
      </c>
      <c r="G69" s="7">
        <v>1381</v>
      </c>
      <c r="H69" s="7">
        <v>25882</v>
      </c>
      <c r="I69" s="7">
        <v>26111</v>
      </c>
      <c r="J69" s="7">
        <v>13423</v>
      </c>
      <c r="K69" s="7">
        <v>15725</v>
      </c>
      <c r="L69" s="7">
        <v>16390</v>
      </c>
      <c r="M69" s="7">
        <v>9309</v>
      </c>
      <c r="N69" s="7">
        <v>2389</v>
      </c>
      <c r="O69" s="7">
        <v>57236</v>
      </c>
      <c r="P69" s="7">
        <v>57538</v>
      </c>
      <c r="Q69" s="7">
        <v>19369</v>
      </c>
      <c r="R69" s="7">
        <v>22449</v>
      </c>
      <c r="S69" s="7">
        <v>23680</v>
      </c>
      <c r="T69" s="7">
        <v>13850</v>
      </c>
      <c r="U69" s="7">
        <v>3770</v>
      </c>
      <c r="V69" s="7">
        <v>83118</v>
      </c>
      <c r="W69" s="7">
        <v>83649</v>
      </c>
    </row>
    <row r="70" spans="1:23" x14ac:dyDescent="0.2">
      <c r="A70" s="14"/>
      <c r="B70" s="7" t="s">
        <v>61</v>
      </c>
      <c r="C70" s="7">
        <v>1180</v>
      </c>
      <c r="D70" s="7">
        <v>2992</v>
      </c>
      <c r="E70" s="7">
        <v>3829</v>
      </c>
      <c r="F70" s="7">
        <v>2273</v>
      </c>
      <c r="G70" s="7">
        <v>620</v>
      </c>
      <c r="H70" s="7">
        <v>10894</v>
      </c>
      <c r="I70" s="7">
        <v>11019</v>
      </c>
      <c r="J70" s="7">
        <v>2108</v>
      </c>
      <c r="K70" s="7">
        <v>4643</v>
      </c>
      <c r="L70" s="7">
        <v>4614</v>
      </c>
      <c r="M70" s="7">
        <v>2142</v>
      </c>
      <c r="N70" s="7">
        <v>425</v>
      </c>
      <c r="O70" s="7">
        <v>13932</v>
      </c>
      <c r="P70" s="7">
        <v>14037</v>
      </c>
      <c r="Q70" s="7">
        <v>3288</v>
      </c>
      <c r="R70" s="7">
        <v>7635</v>
      </c>
      <c r="S70" s="7">
        <v>8443</v>
      </c>
      <c r="T70" s="7">
        <v>4415</v>
      </c>
      <c r="U70" s="7">
        <v>1045</v>
      </c>
      <c r="V70" s="7">
        <v>24826</v>
      </c>
      <c r="W70" s="7">
        <v>25056</v>
      </c>
    </row>
    <row r="71" spans="1:23" x14ac:dyDescent="0.2">
      <c r="A71" s="14"/>
      <c r="B71" s="7" t="s">
        <v>23</v>
      </c>
      <c r="C71" s="7">
        <v>521</v>
      </c>
      <c r="D71" s="7">
        <v>1412</v>
      </c>
      <c r="E71" s="7">
        <v>1607</v>
      </c>
      <c r="F71" s="7">
        <v>616</v>
      </c>
      <c r="G71" s="7">
        <v>113</v>
      </c>
      <c r="H71" s="7">
        <v>4269</v>
      </c>
      <c r="I71" s="7">
        <v>4306</v>
      </c>
      <c r="J71" s="7">
        <v>901</v>
      </c>
      <c r="K71" s="7">
        <v>1862</v>
      </c>
      <c r="L71" s="7">
        <v>1854</v>
      </c>
      <c r="M71" s="7">
        <v>687</v>
      </c>
      <c r="N71" s="7">
        <v>144</v>
      </c>
      <c r="O71" s="7">
        <v>5448</v>
      </c>
      <c r="P71" s="7">
        <v>5491</v>
      </c>
      <c r="Q71" s="7">
        <v>1422</v>
      </c>
      <c r="R71" s="7">
        <v>3274</v>
      </c>
      <c r="S71" s="7">
        <v>3461</v>
      </c>
      <c r="T71" s="7">
        <v>1303</v>
      </c>
      <c r="U71" s="7">
        <v>257</v>
      </c>
      <c r="V71" s="7">
        <v>9717</v>
      </c>
      <c r="W71" s="7">
        <v>9797</v>
      </c>
    </row>
    <row r="72" spans="1:23" x14ac:dyDescent="0.2">
      <c r="A72" s="14"/>
      <c r="B72" s="7" t="s">
        <v>24</v>
      </c>
      <c r="C72" s="7">
        <v>1627</v>
      </c>
      <c r="D72" s="7">
        <v>1092</v>
      </c>
      <c r="E72" s="7">
        <v>702</v>
      </c>
      <c r="F72" s="7">
        <v>387</v>
      </c>
      <c r="G72" s="7">
        <v>132</v>
      </c>
      <c r="H72" s="7">
        <v>3940</v>
      </c>
      <c r="I72" s="7">
        <v>3960</v>
      </c>
      <c r="J72" s="7">
        <v>3188</v>
      </c>
      <c r="K72" s="7">
        <v>2275</v>
      </c>
      <c r="L72" s="7">
        <v>1468</v>
      </c>
      <c r="M72" s="7">
        <v>905</v>
      </c>
      <c r="N72" s="7">
        <v>370</v>
      </c>
      <c r="O72" s="7">
        <v>8206</v>
      </c>
      <c r="P72" s="7">
        <v>8271</v>
      </c>
      <c r="Q72" s="7">
        <v>4815</v>
      </c>
      <c r="R72" s="7">
        <v>3367</v>
      </c>
      <c r="S72" s="7">
        <v>2170</v>
      </c>
      <c r="T72" s="7">
        <v>1292</v>
      </c>
      <c r="U72" s="7">
        <v>502</v>
      </c>
      <c r="V72" s="7">
        <v>12146</v>
      </c>
      <c r="W72" s="7">
        <v>12231</v>
      </c>
    </row>
    <row r="73" spans="1:23" x14ac:dyDescent="0.2">
      <c r="A73" s="14"/>
      <c r="B73" s="7" t="s">
        <v>25</v>
      </c>
      <c r="C73" s="7">
        <v>826</v>
      </c>
      <c r="D73" s="7">
        <v>515</v>
      </c>
      <c r="E73" s="7">
        <v>365</v>
      </c>
      <c r="F73" s="7">
        <v>218</v>
      </c>
      <c r="G73" s="7">
        <v>104</v>
      </c>
      <c r="H73" s="7">
        <v>2028</v>
      </c>
      <c r="I73" s="7">
        <v>2041</v>
      </c>
      <c r="J73" s="7">
        <v>1209</v>
      </c>
      <c r="K73" s="7">
        <v>776</v>
      </c>
      <c r="L73" s="7">
        <v>582</v>
      </c>
      <c r="M73" s="7">
        <v>348</v>
      </c>
      <c r="N73" s="7">
        <v>142</v>
      </c>
      <c r="O73" s="7">
        <v>3057</v>
      </c>
      <c r="P73" s="7">
        <v>3078</v>
      </c>
      <c r="Q73" s="7">
        <v>2035</v>
      </c>
      <c r="R73" s="7">
        <v>1291</v>
      </c>
      <c r="S73" s="7">
        <v>947</v>
      </c>
      <c r="T73" s="7">
        <v>566</v>
      </c>
      <c r="U73" s="7">
        <v>246</v>
      </c>
      <c r="V73" s="7">
        <v>5085</v>
      </c>
      <c r="W73" s="7">
        <v>5119</v>
      </c>
    </row>
    <row r="74" spans="1:23" x14ac:dyDescent="0.2">
      <c r="A74" s="14"/>
      <c r="B74" s="7" t="s">
        <v>26</v>
      </c>
      <c r="C74" s="7">
        <v>846</v>
      </c>
      <c r="D74" s="7">
        <v>550</v>
      </c>
      <c r="E74" s="7">
        <v>336</v>
      </c>
      <c r="F74" s="7">
        <v>146</v>
      </c>
      <c r="G74" s="7">
        <v>74</v>
      </c>
      <c r="H74" s="7">
        <v>1952</v>
      </c>
      <c r="I74" s="7">
        <v>1968</v>
      </c>
      <c r="J74" s="7">
        <v>1580</v>
      </c>
      <c r="K74" s="7">
        <v>1135</v>
      </c>
      <c r="L74" s="7">
        <v>772</v>
      </c>
      <c r="M74" s="7">
        <v>444</v>
      </c>
      <c r="N74" s="7">
        <v>170</v>
      </c>
      <c r="O74" s="7">
        <v>4101</v>
      </c>
      <c r="P74" s="7">
        <v>4121</v>
      </c>
      <c r="Q74" s="7">
        <v>2426</v>
      </c>
      <c r="R74" s="7">
        <v>1685</v>
      </c>
      <c r="S74" s="7">
        <v>1108</v>
      </c>
      <c r="T74" s="7">
        <v>590</v>
      </c>
      <c r="U74" s="7">
        <v>244</v>
      </c>
      <c r="V74" s="7">
        <v>6053</v>
      </c>
      <c r="W74" s="7">
        <v>6089</v>
      </c>
    </row>
    <row r="75" spans="1:23" x14ac:dyDescent="0.2">
      <c r="A75" s="14"/>
      <c r="B75" s="7" t="s">
        <v>74</v>
      </c>
      <c r="C75" s="7">
        <v>1216</v>
      </c>
      <c r="D75" s="7">
        <v>861</v>
      </c>
      <c r="E75" s="7">
        <v>315</v>
      </c>
      <c r="F75" s="7">
        <v>125</v>
      </c>
      <c r="G75" s="7">
        <v>63</v>
      </c>
      <c r="H75" s="7">
        <v>2580</v>
      </c>
      <c r="I75" s="7">
        <v>2637</v>
      </c>
      <c r="J75" s="7">
        <v>1786</v>
      </c>
      <c r="K75" s="7">
        <v>1020</v>
      </c>
      <c r="L75" s="7">
        <v>361</v>
      </c>
      <c r="M75" s="7">
        <v>147</v>
      </c>
      <c r="N75" s="7">
        <v>78</v>
      </c>
      <c r="O75" s="7">
        <v>3392</v>
      </c>
      <c r="P75" s="7">
        <v>3453</v>
      </c>
      <c r="Q75" s="7">
        <v>3002</v>
      </c>
      <c r="R75" s="7">
        <v>1881</v>
      </c>
      <c r="S75" s="7">
        <v>676</v>
      </c>
      <c r="T75" s="7">
        <v>272</v>
      </c>
      <c r="U75" s="7">
        <v>141</v>
      </c>
      <c r="V75" s="7">
        <v>5972</v>
      </c>
      <c r="W75" s="7">
        <v>6090</v>
      </c>
    </row>
    <row r="76" spans="1:23" x14ac:dyDescent="0.2">
      <c r="A76" s="14"/>
      <c r="B76" s="7" t="s">
        <v>28</v>
      </c>
      <c r="C76" s="7">
        <v>1006</v>
      </c>
      <c r="D76" s="7">
        <v>750</v>
      </c>
      <c r="E76" s="7">
        <v>598</v>
      </c>
      <c r="F76" s="7">
        <v>283</v>
      </c>
      <c r="G76" s="7">
        <v>119</v>
      </c>
      <c r="H76" s="7">
        <v>2756</v>
      </c>
      <c r="I76" s="7">
        <v>2770</v>
      </c>
      <c r="J76" s="7">
        <v>1305</v>
      </c>
      <c r="K76" s="7">
        <v>916</v>
      </c>
      <c r="L76" s="7">
        <v>588</v>
      </c>
      <c r="M76" s="7">
        <v>233</v>
      </c>
      <c r="N76" s="7">
        <v>86</v>
      </c>
      <c r="O76" s="7">
        <v>3128</v>
      </c>
      <c r="P76" s="7">
        <v>3149</v>
      </c>
      <c r="Q76" s="7">
        <v>2311</v>
      </c>
      <c r="R76" s="7">
        <v>1666</v>
      </c>
      <c r="S76" s="7">
        <v>1186</v>
      </c>
      <c r="T76" s="7">
        <v>516</v>
      </c>
      <c r="U76" s="7">
        <v>205</v>
      </c>
      <c r="V76" s="7">
        <v>5884</v>
      </c>
      <c r="W76" s="7">
        <v>5919</v>
      </c>
    </row>
    <row r="77" spans="1:23" x14ac:dyDescent="0.2">
      <c r="A77" s="14"/>
      <c r="B77" s="7" t="s">
        <v>29</v>
      </c>
      <c r="C77" s="7">
        <v>1523</v>
      </c>
      <c r="D77" s="7">
        <v>1658</v>
      </c>
      <c r="E77" s="7">
        <v>1432</v>
      </c>
      <c r="F77" s="7">
        <v>831</v>
      </c>
      <c r="G77" s="7">
        <v>327</v>
      </c>
      <c r="H77" s="7">
        <v>5771</v>
      </c>
      <c r="I77" s="7">
        <v>5854</v>
      </c>
      <c r="J77" s="7">
        <v>3177</v>
      </c>
      <c r="K77" s="7">
        <v>3602</v>
      </c>
      <c r="L77" s="7">
        <v>2701</v>
      </c>
      <c r="M77" s="7">
        <v>1506</v>
      </c>
      <c r="N77" s="7">
        <v>520</v>
      </c>
      <c r="O77" s="7">
        <v>11506</v>
      </c>
      <c r="P77" s="7">
        <v>11634</v>
      </c>
      <c r="Q77" s="7">
        <v>4700</v>
      </c>
      <c r="R77" s="7">
        <v>5260</v>
      </c>
      <c r="S77" s="7">
        <v>4133</v>
      </c>
      <c r="T77" s="7">
        <v>2337</v>
      </c>
      <c r="U77" s="7">
        <v>847</v>
      </c>
      <c r="V77" s="7">
        <v>17277</v>
      </c>
      <c r="W77" s="7">
        <v>17488</v>
      </c>
    </row>
    <row r="78" spans="1:23" x14ac:dyDescent="0.2">
      <c r="A78" s="14"/>
      <c r="B78" s="7" t="s">
        <v>30</v>
      </c>
      <c r="C78" s="7">
        <v>899</v>
      </c>
      <c r="D78" s="7">
        <v>1180</v>
      </c>
      <c r="E78" s="7">
        <v>1392</v>
      </c>
      <c r="F78" s="7">
        <v>1209</v>
      </c>
      <c r="G78" s="7">
        <v>647</v>
      </c>
      <c r="H78" s="7">
        <v>5327</v>
      </c>
      <c r="I78" s="7">
        <v>5461</v>
      </c>
      <c r="J78" s="7">
        <v>753</v>
      </c>
      <c r="K78" s="7">
        <v>940</v>
      </c>
      <c r="L78" s="7">
        <v>826</v>
      </c>
      <c r="M78" s="7">
        <v>658</v>
      </c>
      <c r="N78" s="7">
        <v>319</v>
      </c>
      <c r="O78" s="7">
        <v>3496</v>
      </c>
      <c r="P78" s="7">
        <v>3558</v>
      </c>
      <c r="Q78" s="7">
        <v>1652</v>
      </c>
      <c r="R78" s="7">
        <v>2120</v>
      </c>
      <c r="S78" s="7">
        <v>2218</v>
      </c>
      <c r="T78" s="7">
        <v>1867</v>
      </c>
      <c r="U78" s="7">
        <v>966</v>
      </c>
      <c r="V78" s="7">
        <v>8823</v>
      </c>
      <c r="W78" s="7">
        <v>9019</v>
      </c>
    </row>
    <row r="79" spans="1:23" x14ac:dyDescent="0.2">
      <c r="A79" s="14"/>
      <c r="B79" s="7" t="s">
        <v>31</v>
      </c>
      <c r="C79" s="7">
        <v>1709</v>
      </c>
      <c r="D79" s="7">
        <v>2652</v>
      </c>
      <c r="E79" s="7">
        <v>3359</v>
      </c>
      <c r="F79" s="7">
        <v>3013</v>
      </c>
      <c r="G79" s="7">
        <v>1718</v>
      </c>
      <c r="H79" s="7">
        <v>12451</v>
      </c>
      <c r="I79" s="7">
        <v>12766</v>
      </c>
      <c r="J79" s="7">
        <v>2119</v>
      </c>
      <c r="K79" s="7">
        <v>2254</v>
      </c>
      <c r="L79" s="7">
        <v>2178</v>
      </c>
      <c r="M79" s="7">
        <v>1498</v>
      </c>
      <c r="N79" s="7">
        <v>649</v>
      </c>
      <c r="O79" s="7">
        <v>8698</v>
      </c>
      <c r="P79" s="7">
        <v>8843</v>
      </c>
      <c r="Q79" s="7">
        <v>3828</v>
      </c>
      <c r="R79" s="7">
        <v>4906</v>
      </c>
      <c r="S79" s="7">
        <v>5537</v>
      </c>
      <c r="T79" s="7">
        <v>4511</v>
      </c>
      <c r="U79" s="7">
        <v>2367</v>
      </c>
      <c r="V79" s="7">
        <v>21149</v>
      </c>
      <c r="W79" s="7">
        <v>21609</v>
      </c>
    </row>
    <row r="80" spans="1:23" x14ac:dyDescent="0.2">
      <c r="A80" s="14"/>
      <c r="B80" s="7" t="s">
        <v>32</v>
      </c>
      <c r="C80" s="7">
        <v>3127</v>
      </c>
      <c r="D80" s="7">
        <v>4138</v>
      </c>
      <c r="E80" s="7">
        <v>5559</v>
      </c>
      <c r="F80" s="7">
        <v>5795</v>
      </c>
      <c r="G80" s="7">
        <v>4221</v>
      </c>
      <c r="H80" s="7">
        <v>22840</v>
      </c>
      <c r="I80" s="7">
        <v>24404</v>
      </c>
      <c r="J80" s="7">
        <v>3923</v>
      </c>
      <c r="K80" s="7">
        <v>5425</v>
      </c>
      <c r="L80" s="7">
        <v>6865</v>
      </c>
      <c r="M80" s="7">
        <v>6300</v>
      </c>
      <c r="N80" s="7">
        <v>4297</v>
      </c>
      <c r="O80" s="7">
        <v>26810</v>
      </c>
      <c r="P80" s="7">
        <v>28080</v>
      </c>
      <c r="Q80" s="7">
        <v>7050</v>
      </c>
      <c r="R80" s="7">
        <v>9563</v>
      </c>
      <c r="S80" s="7">
        <v>12424</v>
      </c>
      <c r="T80" s="7">
        <v>12095</v>
      </c>
      <c r="U80" s="7">
        <v>8518</v>
      </c>
      <c r="V80" s="7">
        <v>49650</v>
      </c>
      <c r="W80" s="7">
        <v>52484</v>
      </c>
    </row>
    <row r="81" spans="1:23" x14ac:dyDescent="0.2">
      <c r="A81" s="14"/>
      <c r="B81" s="7" t="s">
        <v>54</v>
      </c>
      <c r="C81" s="7">
        <v>90251</v>
      </c>
      <c r="D81" s="7">
        <v>82899</v>
      </c>
      <c r="E81" s="7">
        <v>79883</v>
      </c>
      <c r="F81" s="7">
        <v>57778</v>
      </c>
      <c r="G81" s="7">
        <v>30150</v>
      </c>
      <c r="H81" s="7">
        <v>340961</v>
      </c>
      <c r="I81" s="7">
        <v>349026</v>
      </c>
      <c r="J81" s="7">
        <v>113069</v>
      </c>
      <c r="K81" s="7">
        <v>107594</v>
      </c>
      <c r="L81" s="7">
        <v>95922</v>
      </c>
      <c r="M81" s="7">
        <v>59913</v>
      </c>
      <c r="N81" s="7">
        <v>26043</v>
      </c>
      <c r="O81" s="7">
        <v>402541</v>
      </c>
      <c r="P81" s="7">
        <v>408670</v>
      </c>
      <c r="Q81" s="7">
        <v>203320</v>
      </c>
      <c r="R81" s="7">
        <v>190493</v>
      </c>
      <c r="S81" s="7">
        <v>175805</v>
      </c>
      <c r="T81" s="7">
        <v>117691</v>
      </c>
      <c r="U81" s="7">
        <v>56193</v>
      </c>
      <c r="V81" s="7">
        <v>743502</v>
      </c>
      <c r="W81" s="7">
        <v>757696</v>
      </c>
    </row>
    <row r="82" spans="1:23" x14ac:dyDescent="0.2">
      <c r="A82" s="14"/>
    </row>
  </sheetData>
  <phoneticPr fontId="3"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A82"/>
  <sheetViews>
    <sheetView topLeftCell="A19" workbookViewId="0">
      <selection activeCell="A2" sqref="A2"/>
    </sheetView>
  </sheetViews>
  <sheetFormatPr defaultColWidth="9.140625" defaultRowHeight="11.25" x14ac:dyDescent="0.2"/>
  <cols>
    <col min="1" max="1" width="9.140625" style="11"/>
    <col min="2" max="2" width="26.5703125" style="7" bestFit="1" customWidth="1"/>
    <col min="3" max="9" width="9.140625" style="8"/>
    <col min="10" max="10" width="9.140625" style="7"/>
    <col min="11" max="17" width="9.140625" style="8"/>
    <col min="18" max="18" width="9.140625" style="7"/>
    <col min="19" max="25" width="9.140625" style="8"/>
    <col min="26" max="26" width="9.140625" style="7"/>
    <col min="27" max="27" width="15" style="7" customWidth="1"/>
    <col min="28" max="16384" width="9.140625" style="7"/>
  </cols>
  <sheetData>
    <row r="1" spans="1:27" x14ac:dyDescent="0.2">
      <c r="B1" s="11"/>
      <c r="C1" s="14"/>
      <c r="D1" s="14"/>
      <c r="E1" s="14"/>
      <c r="F1" s="14"/>
      <c r="G1" s="14"/>
      <c r="H1" s="14"/>
      <c r="I1" s="14"/>
      <c r="J1" s="11"/>
      <c r="K1" s="14"/>
      <c r="L1" s="14"/>
      <c r="M1" s="14"/>
      <c r="N1" s="14"/>
      <c r="O1" s="14"/>
      <c r="P1" s="14"/>
      <c r="Q1" s="14"/>
      <c r="R1" s="11"/>
      <c r="S1" s="14"/>
      <c r="T1" s="14"/>
      <c r="U1" s="14"/>
      <c r="V1" s="14"/>
      <c r="W1" s="14"/>
      <c r="X1" s="14"/>
      <c r="Y1" s="14"/>
      <c r="Z1" s="11"/>
    </row>
    <row r="2" spans="1:27" x14ac:dyDescent="0.2">
      <c r="B2" s="11"/>
      <c r="C2" s="14"/>
      <c r="D2" s="14"/>
      <c r="E2" s="14"/>
      <c r="F2" s="14"/>
      <c r="G2" s="14"/>
      <c r="H2" s="14"/>
      <c r="I2" s="14"/>
      <c r="J2" s="11"/>
      <c r="K2" s="14"/>
      <c r="L2" s="14"/>
      <c r="M2" s="14"/>
      <c r="N2" s="14"/>
      <c r="O2" s="14"/>
      <c r="P2" s="14"/>
      <c r="Q2" s="14"/>
      <c r="R2" s="11"/>
      <c r="S2" s="14"/>
      <c r="T2" s="14"/>
      <c r="U2" s="14"/>
      <c r="V2" s="14"/>
      <c r="W2" s="14"/>
      <c r="X2" s="14"/>
      <c r="Y2" s="14"/>
      <c r="Z2" s="11"/>
    </row>
    <row r="3" spans="1:27" x14ac:dyDescent="0.2">
      <c r="B3" s="11"/>
      <c r="C3" s="14" t="s">
        <v>39</v>
      </c>
      <c r="D3" s="14"/>
      <c r="E3" s="14"/>
      <c r="F3" s="14"/>
      <c r="G3" s="14"/>
      <c r="H3" s="14"/>
      <c r="I3" s="14"/>
      <c r="J3" s="11"/>
      <c r="K3" s="14" t="s">
        <v>43</v>
      </c>
      <c r="L3" s="14"/>
      <c r="M3" s="14"/>
      <c r="N3" s="14"/>
      <c r="O3" s="14"/>
      <c r="P3" s="14"/>
      <c r="Q3" s="14"/>
      <c r="R3" s="11"/>
      <c r="S3" s="14" t="s">
        <v>54</v>
      </c>
      <c r="T3" s="14"/>
      <c r="U3" s="14"/>
      <c r="V3" s="14"/>
      <c r="W3" s="14"/>
      <c r="X3" s="14"/>
      <c r="Y3" s="14"/>
      <c r="Z3" s="11"/>
      <c r="AA3" s="11"/>
    </row>
    <row r="4" spans="1:27" x14ac:dyDescent="0.2">
      <c r="B4" s="10"/>
      <c r="C4" s="4" t="s">
        <v>69</v>
      </c>
      <c r="D4" s="14" t="s">
        <v>33</v>
      </c>
      <c r="E4" s="14" t="s">
        <v>34</v>
      </c>
      <c r="F4" s="14" t="s">
        <v>35</v>
      </c>
      <c r="G4" s="14" t="s">
        <v>36</v>
      </c>
      <c r="H4" s="14" t="s">
        <v>37</v>
      </c>
      <c r="I4" s="14" t="s">
        <v>47</v>
      </c>
      <c r="J4" s="11" t="s">
        <v>58</v>
      </c>
      <c r="K4" s="4" t="s">
        <v>69</v>
      </c>
      <c r="L4" s="14" t="s">
        <v>33</v>
      </c>
      <c r="M4" s="14" t="s">
        <v>34</v>
      </c>
      <c r="N4" s="14" t="s">
        <v>35</v>
      </c>
      <c r="O4" s="14" t="s">
        <v>36</v>
      </c>
      <c r="P4" s="14" t="s">
        <v>37</v>
      </c>
      <c r="Q4" s="14" t="s">
        <v>47</v>
      </c>
      <c r="R4" s="12" t="s">
        <v>58</v>
      </c>
      <c r="S4" s="14" t="s">
        <v>69</v>
      </c>
      <c r="T4" s="14" t="s">
        <v>33</v>
      </c>
      <c r="U4" s="14" t="s">
        <v>34</v>
      </c>
      <c r="V4" s="14" t="s">
        <v>35</v>
      </c>
      <c r="W4" s="14" t="s">
        <v>36</v>
      </c>
      <c r="X4" s="14" t="s">
        <v>37</v>
      </c>
      <c r="Y4" s="14" t="s">
        <v>47</v>
      </c>
      <c r="Z4" s="12" t="s">
        <v>58</v>
      </c>
      <c r="AA4" s="12"/>
    </row>
    <row r="5" spans="1:27" x14ac:dyDescent="0.2">
      <c r="A5" s="14"/>
      <c r="B5" s="10" t="s">
        <v>0</v>
      </c>
      <c r="C5" s="95">
        <f>IF(OR(C47=1,C47=2),"x",ROUND(C47/$J47*100,1))</f>
        <v>7.3</v>
      </c>
      <c r="D5" s="95">
        <f t="shared" ref="D5:I5" si="0">IF(OR(D47=1,D47=2),"x",ROUND(D47/$J47*100,1))</f>
        <v>18.600000000000001</v>
      </c>
      <c r="E5" s="95">
        <f t="shared" si="0"/>
        <v>23</v>
      </c>
      <c r="F5" s="95">
        <f t="shared" si="0"/>
        <v>21.5</v>
      </c>
      <c r="G5" s="95">
        <f t="shared" si="0"/>
        <v>16.3</v>
      </c>
      <c r="H5" s="95">
        <f t="shared" si="0"/>
        <v>10.7</v>
      </c>
      <c r="I5" s="95">
        <f t="shared" si="0"/>
        <v>97.3</v>
      </c>
      <c r="J5" s="54">
        <f>ROUND(J47,0)</f>
        <v>23100</v>
      </c>
      <c r="K5" s="95">
        <f>IF(OR(K47=1,K47=2),"x",ROUND(K47/$R47*100,1))</f>
        <v>8.3000000000000007</v>
      </c>
      <c r="L5" s="95">
        <f t="shared" ref="L5:Q5" si="1">IF(OR(L47=1,L47=2),"x",ROUND(L47/$R47*100,1))</f>
        <v>21.1</v>
      </c>
      <c r="M5" s="95">
        <f t="shared" si="1"/>
        <v>23.6</v>
      </c>
      <c r="N5" s="95">
        <f t="shared" si="1"/>
        <v>21.2</v>
      </c>
      <c r="O5" s="95">
        <f t="shared" si="1"/>
        <v>15.1</v>
      </c>
      <c r="P5" s="95">
        <f t="shared" si="1"/>
        <v>8.6</v>
      </c>
      <c r="Q5" s="95">
        <f t="shared" si="1"/>
        <v>98</v>
      </c>
      <c r="R5" s="54">
        <f>ROUND(R47,0)</f>
        <v>29628</v>
      </c>
      <c r="S5" s="95">
        <f>IF(OR(S47=1,S47=2),"x",ROUND(S47/$Z47*100,1))</f>
        <v>7.9</v>
      </c>
      <c r="T5" s="95">
        <f t="shared" ref="T5:Y5" si="2">IF((T47&lt;=2),"x",ROUND(T47/$Z47*100,1))</f>
        <v>20</v>
      </c>
      <c r="U5" s="95">
        <f t="shared" si="2"/>
        <v>23.3</v>
      </c>
      <c r="V5" s="95">
        <f t="shared" si="2"/>
        <v>21.3</v>
      </c>
      <c r="W5" s="95">
        <f t="shared" si="2"/>
        <v>15.6</v>
      </c>
      <c r="X5" s="95">
        <f t="shared" si="2"/>
        <v>9.6</v>
      </c>
      <c r="Y5" s="95">
        <f t="shared" si="2"/>
        <v>97.7</v>
      </c>
      <c r="Z5" s="54">
        <f>ROUND(Z47,0)</f>
        <v>52728</v>
      </c>
      <c r="AA5" s="5"/>
    </row>
    <row r="6" spans="1:27" x14ac:dyDescent="0.2">
      <c r="A6" s="14"/>
      <c r="B6" s="10" t="s">
        <v>1</v>
      </c>
      <c r="C6" s="95">
        <f t="shared" ref="C6:I6" si="3">IF(OR(C48=1,C48=2),"x",ROUND(C48/$J48*100,1))</f>
        <v>9.3000000000000007</v>
      </c>
      <c r="D6" s="95">
        <f t="shared" si="3"/>
        <v>24.6</v>
      </c>
      <c r="E6" s="95">
        <f t="shared" si="3"/>
        <v>24.1</v>
      </c>
      <c r="F6" s="95">
        <f t="shared" si="3"/>
        <v>18.399999999999999</v>
      </c>
      <c r="G6" s="95">
        <f t="shared" si="3"/>
        <v>13</v>
      </c>
      <c r="H6" s="95">
        <f t="shared" si="3"/>
        <v>8.4</v>
      </c>
      <c r="I6" s="95">
        <f t="shared" si="3"/>
        <v>97.7</v>
      </c>
      <c r="J6" s="54">
        <f t="shared" ref="J6:J39" si="4">ROUND(J48,0)</f>
        <v>21124</v>
      </c>
      <c r="K6" s="95">
        <f t="shared" ref="K6:Q6" si="5">IF(OR(K48=1,K48=2),"x",ROUND(K48/$R48*100,1))</f>
        <v>8.6999999999999993</v>
      </c>
      <c r="L6" s="95">
        <f t="shared" si="5"/>
        <v>25.8</v>
      </c>
      <c r="M6" s="95">
        <f t="shared" si="5"/>
        <v>25.5</v>
      </c>
      <c r="N6" s="95">
        <f t="shared" si="5"/>
        <v>19.2</v>
      </c>
      <c r="O6" s="95">
        <f t="shared" si="5"/>
        <v>12.1</v>
      </c>
      <c r="P6" s="95">
        <f t="shared" si="5"/>
        <v>6.8</v>
      </c>
      <c r="Q6" s="95">
        <f t="shared" si="5"/>
        <v>98.2</v>
      </c>
      <c r="R6" s="54">
        <f t="shared" ref="R6:R39" si="6">ROUND(R48,0)</f>
        <v>19255</v>
      </c>
      <c r="S6" s="95">
        <f t="shared" ref="S6:S39" si="7">IF(OR(S48=1,S48=2),"x",ROUND(S48/$Z48*100,1))</f>
        <v>9</v>
      </c>
      <c r="T6" s="95">
        <f t="shared" ref="T6:Y6" si="8">IF((T48&lt;=2),"x",ROUND(T48/$Z48*100,1))</f>
        <v>25.2</v>
      </c>
      <c r="U6" s="95">
        <f t="shared" si="8"/>
        <v>24.8</v>
      </c>
      <c r="V6" s="95">
        <f t="shared" si="8"/>
        <v>18.8</v>
      </c>
      <c r="W6" s="95">
        <f t="shared" si="8"/>
        <v>12.6</v>
      </c>
      <c r="X6" s="95">
        <f t="shared" si="8"/>
        <v>7.6</v>
      </c>
      <c r="Y6" s="95">
        <f t="shared" si="8"/>
        <v>97.9</v>
      </c>
      <c r="Z6" s="54">
        <f t="shared" ref="Z6:Z39" si="9">ROUND(Z48,0)</f>
        <v>40379</v>
      </c>
      <c r="AA6" s="5"/>
    </row>
    <row r="7" spans="1:27" x14ac:dyDescent="0.2">
      <c r="A7" s="14"/>
      <c r="B7" s="10" t="s">
        <v>2</v>
      </c>
      <c r="C7" s="95">
        <f t="shared" ref="C7:I7" si="10">IF(OR(C49=1,C49=2),"x",ROUND(C49/$J49*100,1))</f>
        <v>10.199999999999999</v>
      </c>
      <c r="D7" s="95">
        <f t="shared" si="10"/>
        <v>21.8</v>
      </c>
      <c r="E7" s="95">
        <f t="shared" si="10"/>
        <v>21.7</v>
      </c>
      <c r="F7" s="95">
        <f t="shared" si="10"/>
        <v>18.399999999999999</v>
      </c>
      <c r="G7" s="95">
        <f t="shared" si="10"/>
        <v>14.9</v>
      </c>
      <c r="H7" s="95">
        <f t="shared" si="10"/>
        <v>10.1</v>
      </c>
      <c r="I7" s="95">
        <f t="shared" si="10"/>
        <v>97.2</v>
      </c>
      <c r="J7" s="54">
        <f t="shared" si="4"/>
        <v>21934</v>
      </c>
      <c r="K7" s="95">
        <f t="shared" ref="K7:Q7" si="11">IF(OR(K49=1,K49=2),"x",ROUND(K49/$R49*100,1))</f>
        <v>11.9</v>
      </c>
      <c r="L7" s="95">
        <f t="shared" si="11"/>
        <v>26.1</v>
      </c>
      <c r="M7" s="95">
        <f t="shared" si="11"/>
        <v>23.8</v>
      </c>
      <c r="N7" s="95">
        <f t="shared" si="11"/>
        <v>17</v>
      </c>
      <c r="O7" s="95">
        <f t="shared" si="11"/>
        <v>11.9</v>
      </c>
      <c r="P7" s="95">
        <f t="shared" si="11"/>
        <v>7.4</v>
      </c>
      <c r="Q7" s="95">
        <f t="shared" si="11"/>
        <v>98.1</v>
      </c>
      <c r="R7" s="54">
        <f t="shared" si="6"/>
        <v>5852</v>
      </c>
      <c r="S7" s="95">
        <f t="shared" si="7"/>
        <v>10.6</v>
      </c>
      <c r="T7" s="95">
        <f t="shared" ref="T7:Y7" si="12">IF((T49&lt;=2),"x",ROUND(T49/$Z49*100,1))</f>
        <v>22.7</v>
      </c>
      <c r="U7" s="95">
        <f t="shared" si="12"/>
        <v>22.1</v>
      </c>
      <c r="V7" s="95">
        <f t="shared" si="12"/>
        <v>18.100000000000001</v>
      </c>
      <c r="W7" s="95">
        <f t="shared" si="12"/>
        <v>14.3</v>
      </c>
      <c r="X7" s="95">
        <f t="shared" si="12"/>
        <v>9.6</v>
      </c>
      <c r="Y7" s="95">
        <f t="shared" si="12"/>
        <v>97.4</v>
      </c>
      <c r="Z7" s="54">
        <f t="shared" si="9"/>
        <v>27786</v>
      </c>
      <c r="AA7" s="5"/>
    </row>
    <row r="8" spans="1:27" x14ac:dyDescent="0.2">
      <c r="A8" s="14"/>
      <c r="B8" s="10" t="s">
        <v>3</v>
      </c>
      <c r="C8" s="95">
        <f t="shared" ref="C8:I8" si="13">IF(OR(C50=1,C50=2),"x",ROUND(C50/$J50*100,1))</f>
        <v>7.6</v>
      </c>
      <c r="D8" s="95">
        <f t="shared" si="13"/>
        <v>17.399999999999999</v>
      </c>
      <c r="E8" s="95">
        <f t="shared" si="13"/>
        <v>23.1</v>
      </c>
      <c r="F8" s="95">
        <f t="shared" si="13"/>
        <v>22.7</v>
      </c>
      <c r="G8" s="95">
        <f t="shared" si="13"/>
        <v>16.8</v>
      </c>
      <c r="H8" s="95">
        <f t="shared" si="13"/>
        <v>9.6999999999999993</v>
      </c>
      <c r="I8" s="95">
        <f t="shared" si="13"/>
        <v>97.2</v>
      </c>
      <c r="J8" s="54">
        <f t="shared" si="4"/>
        <v>3055</v>
      </c>
      <c r="K8" s="95">
        <f t="shared" ref="K8:Q8" si="14">IF(OR(K50=1,K50=2),"x",ROUND(K50/$R50*100,1))</f>
        <v>7.7</v>
      </c>
      <c r="L8" s="95">
        <f t="shared" si="14"/>
        <v>16.8</v>
      </c>
      <c r="M8" s="95">
        <f t="shared" si="14"/>
        <v>24.4</v>
      </c>
      <c r="N8" s="95">
        <f t="shared" si="14"/>
        <v>22.6</v>
      </c>
      <c r="O8" s="95">
        <f t="shared" si="14"/>
        <v>16.600000000000001</v>
      </c>
      <c r="P8" s="95">
        <f t="shared" si="14"/>
        <v>8.9</v>
      </c>
      <c r="Q8" s="95">
        <f t="shared" si="14"/>
        <v>97.1</v>
      </c>
      <c r="R8" s="54">
        <f t="shared" si="6"/>
        <v>1228</v>
      </c>
      <c r="S8" s="95">
        <f t="shared" si="7"/>
        <v>7.6</v>
      </c>
      <c r="T8" s="95">
        <f t="shared" ref="T8:Y8" si="15">IF((T50&lt;=2),"x",ROUND(T50/$Z50*100,1))</f>
        <v>17.2</v>
      </c>
      <c r="U8" s="95">
        <f t="shared" si="15"/>
        <v>23.5</v>
      </c>
      <c r="V8" s="95">
        <f t="shared" si="15"/>
        <v>22.7</v>
      </c>
      <c r="W8" s="95">
        <f t="shared" si="15"/>
        <v>16.7</v>
      </c>
      <c r="X8" s="95">
        <f t="shared" si="15"/>
        <v>9.5</v>
      </c>
      <c r="Y8" s="95">
        <f t="shared" si="15"/>
        <v>97.2</v>
      </c>
      <c r="Z8" s="54">
        <f t="shared" si="9"/>
        <v>4283</v>
      </c>
      <c r="AA8" s="5"/>
    </row>
    <row r="9" spans="1:27" x14ac:dyDescent="0.2">
      <c r="A9" s="14"/>
      <c r="B9" s="10" t="s">
        <v>4</v>
      </c>
      <c r="C9" s="95">
        <f t="shared" ref="C9:I9" si="16">IF(OR(C51=1,C51=2),"x",ROUND(C51/$J51*100,1))</f>
        <v>17.3</v>
      </c>
      <c r="D9" s="95">
        <f t="shared" si="16"/>
        <v>27.4</v>
      </c>
      <c r="E9" s="95">
        <f t="shared" si="16"/>
        <v>21.3</v>
      </c>
      <c r="F9" s="95">
        <f t="shared" si="16"/>
        <v>15.4</v>
      </c>
      <c r="G9" s="95">
        <f t="shared" si="16"/>
        <v>10.5</v>
      </c>
      <c r="H9" s="95">
        <f t="shared" si="16"/>
        <v>6.5</v>
      </c>
      <c r="I9" s="95">
        <f t="shared" si="16"/>
        <v>98.4</v>
      </c>
      <c r="J9" s="54">
        <f t="shared" si="4"/>
        <v>41552</v>
      </c>
      <c r="K9" s="95">
        <f t="shared" ref="K9:Q9" si="17">IF(OR(K51=1,K51=2),"x",ROUND(K51/$R51*100,1))</f>
        <v>16.600000000000001</v>
      </c>
      <c r="L9" s="95">
        <f t="shared" si="17"/>
        <v>28.8</v>
      </c>
      <c r="M9" s="95">
        <f t="shared" si="17"/>
        <v>23</v>
      </c>
      <c r="N9" s="95">
        <f t="shared" si="17"/>
        <v>15.7</v>
      </c>
      <c r="O9" s="95">
        <f t="shared" si="17"/>
        <v>9.5</v>
      </c>
      <c r="P9" s="95">
        <f t="shared" si="17"/>
        <v>5.2</v>
      </c>
      <c r="Q9" s="95">
        <f t="shared" si="17"/>
        <v>98.7</v>
      </c>
      <c r="R9" s="54">
        <f t="shared" si="6"/>
        <v>28251</v>
      </c>
      <c r="S9" s="95">
        <f t="shared" si="7"/>
        <v>17</v>
      </c>
      <c r="T9" s="95">
        <f t="shared" ref="T9:Y9" si="18">IF((T51&lt;=2),"x",ROUND(T51/$Z51*100,1))</f>
        <v>27.9</v>
      </c>
      <c r="U9" s="95">
        <f t="shared" si="18"/>
        <v>22</v>
      </c>
      <c r="V9" s="95">
        <f t="shared" si="18"/>
        <v>15.5</v>
      </c>
      <c r="W9" s="95">
        <f t="shared" si="18"/>
        <v>10.1</v>
      </c>
      <c r="X9" s="95">
        <f t="shared" si="18"/>
        <v>6</v>
      </c>
      <c r="Y9" s="95">
        <f t="shared" si="18"/>
        <v>98.5</v>
      </c>
      <c r="Z9" s="54">
        <f t="shared" si="9"/>
        <v>69803</v>
      </c>
      <c r="AA9" s="5"/>
    </row>
    <row r="10" spans="1:27" x14ac:dyDescent="0.2">
      <c r="A10" s="14"/>
      <c r="B10" s="10" t="s">
        <v>5</v>
      </c>
      <c r="C10" s="95">
        <f t="shared" ref="C10:I10" si="19">IF(OR(C52=1,C52=2),"x",ROUND(C52/$J52*100,1))</f>
        <v>30</v>
      </c>
      <c r="D10" s="95">
        <f t="shared" si="19"/>
        <v>29.3</v>
      </c>
      <c r="E10" s="95">
        <f t="shared" si="19"/>
        <v>20.3</v>
      </c>
      <c r="F10" s="95">
        <f t="shared" si="19"/>
        <v>11.1</v>
      </c>
      <c r="G10" s="95">
        <f t="shared" si="19"/>
        <v>5.5</v>
      </c>
      <c r="H10" s="95">
        <f t="shared" si="19"/>
        <v>3.1</v>
      </c>
      <c r="I10" s="95">
        <f t="shared" si="19"/>
        <v>99.2</v>
      </c>
      <c r="J10" s="54">
        <f t="shared" si="4"/>
        <v>7369</v>
      </c>
      <c r="K10" s="95">
        <f t="shared" ref="K10:Q10" si="20">IF(OR(K52=1,K52=2),"x",ROUND(K52/$R52*100,1))</f>
        <v>27.7</v>
      </c>
      <c r="L10" s="95">
        <f t="shared" si="20"/>
        <v>31.9</v>
      </c>
      <c r="M10" s="95">
        <f t="shared" si="20"/>
        <v>20.100000000000001</v>
      </c>
      <c r="N10" s="95">
        <f t="shared" si="20"/>
        <v>12</v>
      </c>
      <c r="O10" s="95">
        <f t="shared" si="20"/>
        <v>5.3</v>
      </c>
      <c r="P10" s="95">
        <f t="shared" si="20"/>
        <v>2.2999999999999998</v>
      </c>
      <c r="Q10" s="95">
        <f t="shared" si="20"/>
        <v>99.3</v>
      </c>
      <c r="R10" s="54">
        <f t="shared" si="6"/>
        <v>3444</v>
      </c>
      <c r="S10" s="95">
        <f t="shared" si="7"/>
        <v>29.3</v>
      </c>
      <c r="T10" s="95">
        <f t="shared" ref="T10:Y10" si="21">IF((T52&lt;=2),"x",ROUND(T52/$Z52*100,1))</f>
        <v>30.1</v>
      </c>
      <c r="U10" s="95">
        <f t="shared" si="21"/>
        <v>20.2</v>
      </c>
      <c r="V10" s="95">
        <f t="shared" si="21"/>
        <v>11.4</v>
      </c>
      <c r="W10" s="95">
        <f t="shared" si="21"/>
        <v>5.4</v>
      </c>
      <c r="X10" s="95">
        <f t="shared" si="21"/>
        <v>2.8</v>
      </c>
      <c r="Y10" s="95">
        <f t="shared" si="21"/>
        <v>99.3</v>
      </c>
      <c r="Z10" s="54">
        <f t="shared" si="9"/>
        <v>10813</v>
      </c>
      <c r="AA10" s="5"/>
    </row>
    <row r="11" spans="1:27" x14ac:dyDescent="0.2">
      <c r="A11" s="14"/>
      <c r="B11" s="10" t="s">
        <v>6</v>
      </c>
      <c r="C11" s="95">
        <f t="shared" ref="C11:I11" si="22">IF(OR(C53=1,C53=2),"x",ROUND(C53/$J53*100,1))</f>
        <v>4.0999999999999996</v>
      </c>
      <c r="D11" s="95">
        <f t="shared" si="22"/>
        <v>11.5</v>
      </c>
      <c r="E11" s="95">
        <f t="shared" si="22"/>
        <v>22.6</v>
      </c>
      <c r="F11" s="95">
        <f t="shared" si="22"/>
        <v>27.8</v>
      </c>
      <c r="G11" s="95">
        <f t="shared" si="22"/>
        <v>21</v>
      </c>
      <c r="H11" s="95">
        <f t="shared" si="22"/>
        <v>10.4</v>
      </c>
      <c r="I11" s="95">
        <f t="shared" si="22"/>
        <v>97.4</v>
      </c>
      <c r="J11" s="54">
        <f t="shared" si="4"/>
        <v>8529</v>
      </c>
      <c r="K11" s="95">
        <f t="shared" ref="K11:Q11" si="23">IF(OR(K53=1,K53=2),"x",ROUND(K53/$R53*100,1))</f>
        <v>6.9</v>
      </c>
      <c r="L11" s="95">
        <f t="shared" si="23"/>
        <v>14.2</v>
      </c>
      <c r="M11" s="95">
        <f t="shared" si="23"/>
        <v>26.9</v>
      </c>
      <c r="N11" s="95">
        <f t="shared" si="23"/>
        <v>26</v>
      </c>
      <c r="O11" s="95">
        <f t="shared" si="23"/>
        <v>16.899999999999999</v>
      </c>
      <c r="P11" s="95">
        <f t="shared" si="23"/>
        <v>7.6</v>
      </c>
      <c r="Q11" s="95">
        <f t="shared" si="23"/>
        <v>98.5</v>
      </c>
      <c r="R11" s="54">
        <f t="shared" si="6"/>
        <v>6715</v>
      </c>
      <c r="S11" s="95">
        <f t="shared" si="7"/>
        <v>5.3</v>
      </c>
      <c r="T11" s="95">
        <f t="shared" ref="T11:Y11" si="24">IF((T53&lt;=2),"x",ROUND(T53/$Z53*100,1))</f>
        <v>12.7</v>
      </c>
      <c r="U11" s="95">
        <f t="shared" si="24"/>
        <v>24.5</v>
      </c>
      <c r="V11" s="95">
        <f t="shared" si="24"/>
        <v>27</v>
      </c>
      <c r="W11" s="95">
        <f t="shared" si="24"/>
        <v>19.2</v>
      </c>
      <c r="X11" s="95">
        <f t="shared" si="24"/>
        <v>9.1</v>
      </c>
      <c r="Y11" s="95">
        <f t="shared" si="24"/>
        <v>97.9</v>
      </c>
      <c r="Z11" s="54">
        <f t="shared" si="9"/>
        <v>15244</v>
      </c>
      <c r="AA11" s="5"/>
    </row>
    <row r="12" spans="1:27" x14ac:dyDescent="0.2">
      <c r="A12" s="14"/>
      <c r="B12" s="67" t="s">
        <v>168</v>
      </c>
      <c r="C12" s="95">
        <f t="shared" ref="C12:I12" si="25">IF(OR(C54=1,C54=2),"x",ROUND(C54/$J54*100,1))</f>
        <v>3.6</v>
      </c>
      <c r="D12" s="95">
        <f t="shared" si="25"/>
        <v>13.2</v>
      </c>
      <c r="E12" s="95">
        <f t="shared" si="25"/>
        <v>20.8</v>
      </c>
      <c r="F12" s="95">
        <f t="shared" si="25"/>
        <v>24.5</v>
      </c>
      <c r="G12" s="95">
        <f t="shared" si="25"/>
        <v>21.2</v>
      </c>
      <c r="H12" s="95">
        <f t="shared" si="25"/>
        <v>13.1</v>
      </c>
      <c r="I12" s="95">
        <f t="shared" si="25"/>
        <v>96.4</v>
      </c>
      <c r="J12" s="54">
        <f t="shared" si="4"/>
        <v>3413</v>
      </c>
      <c r="K12" s="95">
        <f t="shared" ref="K12:Q12" si="26">IF(OR(K54=1,K54=2),"x",ROUND(K54/$R54*100,1))</f>
        <v>3</v>
      </c>
      <c r="L12" s="95">
        <f t="shared" si="26"/>
        <v>13.3</v>
      </c>
      <c r="M12" s="95">
        <f t="shared" si="26"/>
        <v>23.3</v>
      </c>
      <c r="N12" s="95">
        <f t="shared" si="26"/>
        <v>27.4</v>
      </c>
      <c r="O12" s="95">
        <f t="shared" si="26"/>
        <v>21.1</v>
      </c>
      <c r="P12" s="95">
        <f t="shared" si="26"/>
        <v>8.1</v>
      </c>
      <c r="Q12" s="95">
        <f t="shared" si="26"/>
        <v>96.3</v>
      </c>
      <c r="R12" s="54">
        <f t="shared" si="6"/>
        <v>270</v>
      </c>
      <c r="S12" s="95">
        <f t="shared" si="7"/>
        <v>3.6</v>
      </c>
      <c r="T12" s="95">
        <f t="shared" ref="T12:Y12" si="27">IF((T54&lt;=2),"x",ROUND(T54/$Z54*100,1))</f>
        <v>13.2</v>
      </c>
      <c r="U12" s="95">
        <f t="shared" si="27"/>
        <v>21</v>
      </c>
      <c r="V12" s="95">
        <f t="shared" si="27"/>
        <v>24.7</v>
      </c>
      <c r="W12" s="95">
        <f t="shared" si="27"/>
        <v>21.2</v>
      </c>
      <c r="X12" s="95">
        <f t="shared" si="27"/>
        <v>12.7</v>
      </c>
      <c r="Y12" s="95">
        <f t="shared" si="27"/>
        <v>96.4</v>
      </c>
      <c r="Z12" s="54">
        <f t="shared" si="9"/>
        <v>3683</v>
      </c>
      <c r="AA12" s="5"/>
    </row>
    <row r="13" spans="1:27" x14ac:dyDescent="0.2">
      <c r="A13" s="14"/>
      <c r="B13" s="10" t="s">
        <v>8</v>
      </c>
      <c r="C13" s="95">
        <f t="shared" ref="C13:I13" si="28">IF(OR(C55=1,C55=2),"x",ROUND(C55/$J55*100,1))</f>
        <v>1.3</v>
      </c>
      <c r="D13" s="95">
        <f t="shared" si="28"/>
        <v>5.7</v>
      </c>
      <c r="E13" s="95">
        <f t="shared" si="28"/>
        <v>18.5</v>
      </c>
      <c r="F13" s="95">
        <f t="shared" si="28"/>
        <v>27.4</v>
      </c>
      <c r="G13" s="95">
        <f t="shared" si="28"/>
        <v>27</v>
      </c>
      <c r="H13" s="95">
        <f t="shared" si="28"/>
        <v>15.9</v>
      </c>
      <c r="I13" s="95">
        <f t="shared" si="28"/>
        <v>95.8</v>
      </c>
      <c r="J13" s="54">
        <f t="shared" si="4"/>
        <v>5985</v>
      </c>
      <c r="K13" s="95">
        <f t="shared" ref="K13:Q13" si="29">IF(OR(K55=1,K55=2),"x",ROUND(K55/$R55*100,1))</f>
        <v>1.8</v>
      </c>
      <c r="L13" s="95">
        <f t="shared" si="29"/>
        <v>9.6999999999999993</v>
      </c>
      <c r="M13" s="95">
        <f t="shared" si="29"/>
        <v>24.7</v>
      </c>
      <c r="N13" s="95">
        <f t="shared" si="29"/>
        <v>28.8</v>
      </c>
      <c r="O13" s="95">
        <f t="shared" si="29"/>
        <v>21.3</v>
      </c>
      <c r="P13" s="95">
        <f t="shared" si="29"/>
        <v>11.2</v>
      </c>
      <c r="Q13" s="95">
        <f t="shared" si="29"/>
        <v>97.4</v>
      </c>
      <c r="R13" s="54">
        <f t="shared" si="6"/>
        <v>3374</v>
      </c>
      <c r="S13" s="95">
        <f t="shared" si="7"/>
        <v>1.5</v>
      </c>
      <c r="T13" s="95">
        <f t="shared" ref="T13:Y13" si="30">IF((T55&lt;=2),"x",ROUND(T55/$Z55*100,1))</f>
        <v>7.2</v>
      </c>
      <c r="U13" s="95">
        <f t="shared" si="30"/>
        <v>20.7</v>
      </c>
      <c r="V13" s="95">
        <f t="shared" si="30"/>
        <v>27.9</v>
      </c>
      <c r="W13" s="95">
        <f t="shared" si="30"/>
        <v>24.9</v>
      </c>
      <c r="X13" s="95">
        <f t="shared" si="30"/>
        <v>14.2</v>
      </c>
      <c r="Y13" s="95">
        <f t="shared" si="30"/>
        <v>96.4</v>
      </c>
      <c r="Z13" s="54">
        <f t="shared" si="9"/>
        <v>9359</v>
      </c>
      <c r="AA13" s="5"/>
    </row>
    <row r="14" spans="1:27" x14ac:dyDescent="0.2">
      <c r="A14" s="14"/>
      <c r="B14" s="10" t="s">
        <v>9</v>
      </c>
      <c r="C14" s="95">
        <f t="shared" ref="C14:I14" si="31">IF(OR(C56=1,C56=2),"x",ROUND(C56/$J56*100,1))</f>
        <v>0</v>
      </c>
      <c r="D14" s="95">
        <f t="shared" si="31"/>
        <v>0</v>
      </c>
      <c r="E14" s="95">
        <f t="shared" si="31"/>
        <v>17.600000000000001</v>
      </c>
      <c r="F14" s="95">
        <f t="shared" si="31"/>
        <v>26.5</v>
      </c>
      <c r="G14" s="95">
        <f t="shared" si="31"/>
        <v>32.4</v>
      </c>
      <c r="H14" s="95">
        <f t="shared" si="31"/>
        <v>20.6</v>
      </c>
      <c r="I14" s="95">
        <f t="shared" si="31"/>
        <v>97.1</v>
      </c>
      <c r="J14" s="54">
        <f t="shared" si="4"/>
        <v>34</v>
      </c>
      <c r="K14" s="95">
        <f t="shared" ref="K14:Q14" si="32">IF(OR(K56=1,K56=2),"x",ROUND(K56/$R56*100,1))</f>
        <v>2.2000000000000002</v>
      </c>
      <c r="L14" s="95">
        <f t="shared" si="32"/>
        <v>19.100000000000001</v>
      </c>
      <c r="M14" s="95">
        <f t="shared" si="32"/>
        <v>25</v>
      </c>
      <c r="N14" s="95">
        <f t="shared" si="32"/>
        <v>25.3</v>
      </c>
      <c r="O14" s="95">
        <f t="shared" si="32"/>
        <v>17.3</v>
      </c>
      <c r="P14" s="95">
        <f t="shared" si="32"/>
        <v>9.6</v>
      </c>
      <c r="Q14" s="95">
        <f t="shared" si="32"/>
        <v>98.5</v>
      </c>
      <c r="R14" s="54">
        <f t="shared" si="6"/>
        <v>324</v>
      </c>
      <c r="S14" s="95">
        <f t="shared" si="7"/>
        <v>2</v>
      </c>
      <c r="T14" s="95">
        <f t="shared" ref="T14:Y14" si="33">IF((T56&lt;=2),"x",ROUND(T56/$Z56*100,1))</f>
        <v>17.3</v>
      </c>
      <c r="U14" s="95">
        <f t="shared" si="33"/>
        <v>24.3</v>
      </c>
      <c r="V14" s="95">
        <f t="shared" si="33"/>
        <v>25.4</v>
      </c>
      <c r="W14" s="95">
        <f t="shared" si="33"/>
        <v>18.7</v>
      </c>
      <c r="X14" s="95">
        <f t="shared" si="33"/>
        <v>10.6</v>
      </c>
      <c r="Y14" s="95">
        <f t="shared" si="33"/>
        <v>98.3</v>
      </c>
      <c r="Z14" s="54">
        <f t="shared" si="9"/>
        <v>358</v>
      </c>
      <c r="AA14" s="5"/>
    </row>
    <row r="15" spans="1:27" x14ac:dyDescent="0.2">
      <c r="A15" s="14"/>
      <c r="B15" s="10" t="s">
        <v>10</v>
      </c>
      <c r="C15" s="95">
        <f t="shared" ref="C15:I15" si="34">IF(OR(C57=1,C57=2),"x",ROUND(C57/$J57*100,1))</f>
        <v>1.6</v>
      </c>
      <c r="D15" s="95">
        <f t="shared" si="34"/>
        <v>13.2</v>
      </c>
      <c r="E15" s="95">
        <f t="shared" si="34"/>
        <v>22.6</v>
      </c>
      <c r="F15" s="95">
        <f t="shared" si="34"/>
        <v>26.9</v>
      </c>
      <c r="G15" s="95">
        <f t="shared" si="34"/>
        <v>20.5</v>
      </c>
      <c r="H15" s="95">
        <f t="shared" si="34"/>
        <v>11.8</v>
      </c>
      <c r="I15" s="95">
        <f t="shared" si="34"/>
        <v>96.7</v>
      </c>
      <c r="J15" s="54">
        <f t="shared" si="4"/>
        <v>2365</v>
      </c>
      <c r="K15" s="95">
        <f t="shared" ref="K15:Q15" si="35">IF(OR(K57=1,K57=2),"x",ROUND(K57/$R57*100,1))</f>
        <v>2.5</v>
      </c>
      <c r="L15" s="95">
        <f t="shared" si="35"/>
        <v>12.2</v>
      </c>
      <c r="M15" s="95">
        <f t="shared" si="35"/>
        <v>21.8</v>
      </c>
      <c r="N15" s="95">
        <f t="shared" si="35"/>
        <v>25.6</v>
      </c>
      <c r="O15" s="95">
        <f t="shared" si="35"/>
        <v>20.7</v>
      </c>
      <c r="P15" s="95">
        <f t="shared" si="35"/>
        <v>13</v>
      </c>
      <c r="Q15" s="95">
        <f t="shared" si="35"/>
        <v>95.8</v>
      </c>
      <c r="R15" s="54">
        <f t="shared" si="6"/>
        <v>1443</v>
      </c>
      <c r="S15" s="95">
        <f t="shared" si="7"/>
        <v>1.9</v>
      </c>
      <c r="T15" s="95">
        <f t="shared" ref="T15:Y15" si="36">IF((T57&lt;=2),"x",ROUND(T57/$Z57*100,1))</f>
        <v>12.8</v>
      </c>
      <c r="U15" s="95">
        <f t="shared" si="36"/>
        <v>22.3</v>
      </c>
      <c r="V15" s="95">
        <f t="shared" si="36"/>
        <v>26.4</v>
      </c>
      <c r="W15" s="95">
        <f t="shared" si="36"/>
        <v>20.6</v>
      </c>
      <c r="X15" s="95">
        <f t="shared" si="36"/>
        <v>12.3</v>
      </c>
      <c r="Y15" s="95">
        <f t="shared" si="36"/>
        <v>96.3</v>
      </c>
      <c r="Z15" s="54">
        <f t="shared" si="9"/>
        <v>3808</v>
      </c>
      <c r="AA15" s="5"/>
    </row>
    <row r="16" spans="1:27" x14ac:dyDescent="0.2">
      <c r="A16" s="14"/>
      <c r="B16" s="10" t="s">
        <v>11</v>
      </c>
      <c r="C16" s="95">
        <f t="shared" ref="C16:I16" si="37">IF(OR(C58=1,C58=2),"x",ROUND(C58/$J58*100,1))</f>
        <v>3.5</v>
      </c>
      <c r="D16" s="95">
        <f t="shared" si="37"/>
        <v>12.9</v>
      </c>
      <c r="E16" s="95">
        <f t="shared" si="37"/>
        <v>26.7</v>
      </c>
      <c r="F16" s="95">
        <f t="shared" si="37"/>
        <v>29.7</v>
      </c>
      <c r="G16" s="95">
        <f t="shared" si="37"/>
        <v>18.899999999999999</v>
      </c>
      <c r="H16" s="95">
        <f t="shared" si="37"/>
        <v>6.9</v>
      </c>
      <c r="I16" s="95">
        <f t="shared" si="37"/>
        <v>98.6</v>
      </c>
      <c r="J16" s="54">
        <f t="shared" si="4"/>
        <v>18434</v>
      </c>
      <c r="K16" s="95">
        <f t="shared" ref="K16:Q16" si="38">IF(OR(K58=1,K58=2),"x",ROUND(K58/$R58*100,1))</f>
        <v>4.3</v>
      </c>
      <c r="L16" s="95">
        <f t="shared" si="38"/>
        <v>14.6</v>
      </c>
      <c r="M16" s="95">
        <f t="shared" si="38"/>
        <v>27.4</v>
      </c>
      <c r="N16" s="95">
        <f t="shared" si="38"/>
        <v>27.8</v>
      </c>
      <c r="O16" s="95">
        <f t="shared" si="38"/>
        <v>18.3</v>
      </c>
      <c r="P16" s="95">
        <f t="shared" si="38"/>
        <v>6.4</v>
      </c>
      <c r="Q16" s="95">
        <f t="shared" si="38"/>
        <v>98.8</v>
      </c>
      <c r="R16" s="54">
        <f t="shared" si="6"/>
        <v>12537</v>
      </c>
      <c r="S16" s="95">
        <f t="shared" si="7"/>
        <v>3.8</v>
      </c>
      <c r="T16" s="95">
        <f t="shared" ref="T16:Y16" si="39">IF((T58&lt;=2),"x",ROUND(T58/$Z58*100,1))</f>
        <v>13.6</v>
      </c>
      <c r="U16" s="95">
        <f t="shared" si="39"/>
        <v>27</v>
      </c>
      <c r="V16" s="95">
        <f t="shared" si="39"/>
        <v>28.9</v>
      </c>
      <c r="W16" s="95">
        <f t="shared" si="39"/>
        <v>18.7</v>
      </c>
      <c r="X16" s="95">
        <f t="shared" si="39"/>
        <v>6.7</v>
      </c>
      <c r="Y16" s="95">
        <f t="shared" si="39"/>
        <v>98.7</v>
      </c>
      <c r="Z16" s="54">
        <f t="shared" si="9"/>
        <v>30971</v>
      </c>
      <c r="AA16" s="5"/>
    </row>
    <row r="17" spans="1:27" x14ac:dyDescent="0.2">
      <c r="A17" s="14"/>
      <c r="B17" s="10" t="s">
        <v>12</v>
      </c>
      <c r="C17" s="95">
        <f t="shared" ref="C17:I17" si="40">IF(OR(C59=1,C59=2),"x",ROUND(C59/$J59*100,1))</f>
        <v>8</v>
      </c>
      <c r="D17" s="95">
        <f t="shared" si="40"/>
        <v>28</v>
      </c>
      <c r="E17" s="95">
        <f t="shared" si="40"/>
        <v>28.2</v>
      </c>
      <c r="F17" s="95">
        <f t="shared" si="40"/>
        <v>19.8</v>
      </c>
      <c r="G17" s="95">
        <f t="shared" si="40"/>
        <v>10.6</v>
      </c>
      <c r="H17" s="95">
        <f t="shared" si="40"/>
        <v>4.5</v>
      </c>
      <c r="I17" s="95">
        <f t="shared" si="40"/>
        <v>99.1</v>
      </c>
      <c r="J17" s="54">
        <f t="shared" si="4"/>
        <v>14007</v>
      </c>
      <c r="K17" s="95">
        <f t="shared" ref="K17:Q17" si="41">IF(OR(K59=1,K59=2),"x",ROUND(K59/$R59*100,1))</f>
        <v>11.4</v>
      </c>
      <c r="L17" s="95">
        <f t="shared" si="41"/>
        <v>30.8</v>
      </c>
      <c r="M17" s="95">
        <f t="shared" si="41"/>
        <v>28.4</v>
      </c>
      <c r="N17" s="95">
        <f t="shared" si="41"/>
        <v>17.7</v>
      </c>
      <c r="O17" s="95">
        <f t="shared" si="41"/>
        <v>8.1</v>
      </c>
      <c r="P17" s="95">
        <f t="shared" si="41"/>
        <v>2.9</v>
      </c>
      <c r="Q17" s="95">
        <f t="shared" si="41"/>
        <v>99.3</v>
      </c>
      <c r="R17" s="54">
        <f t="shared" si="6"/>
        <v>6307</v>
      </c>
      <c r="S17" s="95">
        <f t="shared" si="7"/>
        <v>9.1</v>
      </c>
      <c r="T17" s="95">
        <f t="shared" ref="T17:Y17" si="42">IF((T59&lt;=2),"x",ROUND(T59/$Z59*100,1))</f>
        <v>28.8</v>
      </c>
      <c r="U17" s="95">
        <f t="shared" si="42"/>
        <v>28.2</v>
      </c>
      <c r="V17" s="95">
        <f t="shared" si="42"/>
        <v>19.100000000000001</v>
      </c>
      <c r="W17" s="95">
        <f t="shared" si="42"/>
        <v>9.8000000000000007</v>
      </c>
      <c r="X17" s="95">
        <f t="shared" si="42"/>
        <v>4</v>
      </c>
      <c r="Y17" s="95">
        <f t="shared" si="42"/>
        <v>99.1</v>
      </c>
      <c r="Z17" s="54">
        <f t="shared" si="9"/>
        <v>20314</v>
      </c>
      <c r="AA17" s="5"/>
    </row>
    <row r="18" spans="1:27" x14ac:dyDescent="0.2">
      <c r="A18" s="14"/>
      <c r="B18" s="10" t="s">
        <v>13</v>
      </c>
      <c r="C18" s="95">
        <f t="shared" ref="C18:I18" si="43">IF(OR(C60=1,C60=2),"x",ROUND(C60/$J60*100,1))</f>
        <v>5.3</v>
      </c>
      <c r="D18" s="95">
        <f t="shared" si="43"/>
        <v>20.9</v>
      </c>
      <c r="E18" s="95">
        <f t="shared" si="43"/>
        <v>27</v>
      </c>
      <c r="F18" s="95">
        <f t="shared" si="43"/>
        <v>24.7</v>
      </c>
      <c r="G18" s="95">
        <f t="shared" si="43"/>
        <v>15.3</v>
      </c>
      <c r="H18" s="95">
        <f t="shared" si="43"/>
        <v>5.6</v>
      </c>
      <c r="I18" s="95">
        <f t="shared" si="43"/>
        <v>98.9</v>
      </c>
      <c r="J18" s="54">
        <f t="shared" si="4"/>
        <v>15901</v>
      </c>
      <c r="K18" s="95">
        <f t="shared" ref="K18:Q18" si="44">IF(OR(K60=1,K60=2),"x",ROUND(K60/$R60*100,1))</f>
        <v>9</v>
      </c>
      <c r="L18" s="95">
        <f t="shared" si="44"/>
        <v>26.7</v>
      </c>
      <c r="M18" s="95">
        <f t="shared" si="44"/>
        <v>27.8</v>
      </c>
      <c r="N18" s="95">
        <f t="shared" si="44"/>
        <v>21.1</v>
      </c>
      <c r="O18" s="95">
        <f t="shared" si="44"/>
        <v>11.3</v>
      </c>
      <c r="P18" s="95">
        <f t="shared" si="44"/>
        <v>3.5</v>
      </c>
      <c r="Q18" s="95">
        <f t="shared" si="44"/>
        <v>99.4</v>
      </c>
      <c r="R18" s="54">
        <f t="shared" si="6"/>
        <v>13324</v>
      </c>
      <c r="S18" s="95">
        <f t="shared" si="7"/>
        <v>7</v>
      </c>
      <c r="T18" s="95">
        <f t="shared" ref="T18:Y18" si="45">IF((T60&lt;=2),"x",ROUND(T60/$Z60*100,1))</f>
        <v>23.6</v>
      </c>
      <c r="U18" s="95">
        <f t="shared" si="45"/>
        <v>27.4</v>
      </c>
      <c r="V18" s="95">
        <f t="shared" si="45"/>
        <v>23.1</v>
      </c>
      <c r="W18" s="95">
        <f t="shared" si="45"/>
        <v>13.5</v>
      </c>
      <c r="X18" s="95">
        <f t="shared" si="45"/>
        <v>4.7</v>
      </c>
      <c r="Y18" s="95">
        <f t="shared" si="45"/>
        <v>99.1</v>
      </c>
      <c r="Z18" s="54">
        <f t="shared" si="9"/>
        <v>29225</v>
      </c>
      <c r="AA18" s="5"/>
    </row>
    <row r="19" spans="1:27" x14ac:dyDescent="0.2">
      <c r="A19" s="14"/>
      <c r="B19" s="10" t="s">
        <v>14</v>
      </c>
      <c r="C19" s="95">
        <f t="shared" ref="C19:I19" si="46">IF(OR(C61=1,C61=2),"x",ROUND(C61/$J61*100,1))</f>
        <v>8.3000000000000007</v>
      </c>
      <c r="D19" s="95">
        <f t="shared" si="46"/>
        <v>24.2</v>
      </c>
      <c r="E19" s="95">
        <f t="shared" si="46"/>
        <v>27.9</v>
      </c>
      <c r="F19" s="95">
        <f t="shared" si="46"/>
        <v>21.7</v>
      </c>
      <c r="G19" s="95">
        <f t="shared" si="46"/>
        <v>11.9</v>
      </c>
      <c r="H19" s="95">
        <f t="shared" si="46"/>
        <v>4.8</v>
      </c>
      <c r="I19" s="95">
        <f t="shared" si="46"/>
        <v>98.6</v>
      </c>
      <c r="J19" s="54">
        <f t="shared" si="4"/>
        <v>7180</v>
      </c>
      <c r="K19" s="95">
        <f t="shared" ref="K19:Q19" si="47">IF(OR(K61=1,K61=2),"x",ROUND(K61/$R61*100,1))</f>
        <v>10.8</v>
      </c>
      <c r="L19" s="95">
        <f t="shared" si="47"/>
        <v>27.7</v>
      </c>
      <c r="M19" s="95">
        <f t="shared" si="47"/>
        <v>26.4</v>
      </c>
      <c r="N19" s="95">
        <f t="shared" si="47"/>
        <v>18.7</v>
      </c>
      <c r="O19" s="95">
        <f t="shared" si="47"/>
        <v>11.3</v>
      </c>
      <c r="P19" s="95">
        <f t="shared" si="47"/>
        <v>4.2</v>
      </c>
      <c r="Q19" s="95">
        <f t="shared" si="47"/>
        <v>99.1</v>
      </c>
      <c r="R19" s="54">
        <f t="shared" si="6"/>
        <v>5449</v>
      </c>
      <c r="S19" s="95">
        <f t="shared" si="7"/>
        <v>9.4</v>
      </c>
      <c r="T19" s="95">
        <f t="shared" ref="T19:Y19" si="48">IF((T61&lt;=2),"x",ROUND(T61/$Z61*100,1))</f>
        <v>25.7</v>
      </c>
      <c r="U19" s="95">
        <f t="shared" si="48"/>
        <v>27.2</v>
      </c>
      <c r="V19" s="95">
        <f t="shared" si="48"/>
        <v>20.399999999999999</v>
      </c>
      <c r="W19" s="95">
        <f t="shared" si="48"/>
        <v>11.6</v>
      </c>
      <c r="X19" s="95">
        <f t="shared" si="48"/>
        <v>4.5</v>
      </c>
      <c r="Y19" s="95">
        <f t="shared" si="48"/>
        <v>98.8</v>
      </c>
      <c r="Z19" s="54">
        <f t="shared" si="9"/>
        <v>12629</v>
      </c>
      <c r="AA19" s="5"/>
    </row>
    <row r="20" spans="1:27" x14ac:dyDescent="0.2">
      <c r="A20" s="14"/>
      <c r="B20" s="10" t="s">
        <v>15</v>
      </c>
      <c r="C20" s="95">
        <f t="shared" ref="C20:I20" si="49">IF(OR(C62=1,C62=2),"x",ROUND(C62/$J62*100,1))</f>
        <v>6.6</v>
      </c>
      <c r="D20" s="95">
        <f t="shared" si="49"/>
        <v>19.2</v>
      </c>
      <c r="E20" s="95">
        <f t="shared" si="49"/>
        <v>27.9</v>
      </c>
      <c r="F20" s="95">
        <f t="shared" si="49"/>
        <v>25.1</v>
      </c>
      <c r="G20" s="95">
        <f t="shared" si="49"/>
        <v>15.1</v>
      </c>
      <c r="H20" s="95">
        <f t="shared" si="49"/>
        <v>5.3</v>
      </c>
      <c r="I20" s="95">
        <f t="shared" si="49"/>
        <v>99.2</v>
      </c>
      <c r="J20" s="54">
        <f t="shared" si="4"/>
        <v>22247</v>
      </c>
      <c r="K20" s="95">
        <f t="shared" ref="K20:Q20" si="50">IF(OR(K62=1,K62=2),"x",ROUND(K62/$R62*100,1))</f>
        <v>7.3</v>
      </c>
      <c r="L20" s="95">
        <f t="shared" si="50"/>
        <v>21.4</v>
      </c>
      <c r="M20" s="95">
        <f t="shared" si="50"/>
        <v>29</v>
      </c>
      <c r="N20" s="95">
        <f t="shared" si="50"/>
        <v>23.8</v>
      </c>
      <c r="O20" s="95">
        <f t="shared" si="50"/>
        <v>13.7</v>
      </c>
      <c r="P20" s="95">
        <f t="shared" si="50"/>
        <v>4.3</v>
      </c>
      <c r="Q20" s="95">
        <f t="shared" si="50"/>
        <v>99.3</v>
      </c>
      <c r="R20" s="54">
        <f t="shared" si="6"/>
        <v>22899</v>
      </c>
      <c r="S20" s="95">
        <f t="shared" si="7"/>
        <v>7</v>
      </c>
      <c r="T20" s="95">
        <f t="shared" ref="T20:Y20" si="51">IF((T62&lt;=2),"x",ROUND(T62/$Z62*100,1))</f>
        <v>20.3</v>
      </c>
      <c r="U20" s="95">
        <f t="shared" si="51"/>
        <v>28.5</v>
      </c>
      <c r="V20" s="95">
        <f t="shared" si="51"/>
        <v>24.4</v>
      </c>
      <c r="W20" s="95">
        <f t="shared" si="51"/>
        <v>14.4</v>
      </c>
      <c r="X20" s="95">
        <f t="shared" si="51"/>
        <v>4.7</v>
      </c>
      <c r="Y20" s="95">
        <f t="shared" si="51"/>
        <v>99.3</v>
      </c>
      <c r="Z20" s="54">
        <f t="shared" si="9"/>
        <v>45146</v>
      </c>
      <c r="AA20" s="5"/>
    </row>
    <row r="21" spans="1:27" x14ac:dyDescent="0.2">
      <c r="A21" s="14"/>
      <c r="B21" s="10" t="s">
        <v>16</v>
      </c>
      <c r="C21" s="95">
        <f t="shared" ref="C21:I21" si="52">IF(OR(C63=1,C63=2),"x",ROUND(C63/$J63*100,1))</f>
        <v>4.0999999999999996</v>
      </c>
      <c r="D21" s="95">
        <f t="shared" si="52"/>
        <v>12.2</v>
      </c>
      <c r="E21" s="95">
        <f t="shared" si="52"/>
        <v>22.5</v>
      </c>
      <c r="F21" s="95">
        <f t="shared" si="52"/>
        <v>26.6</v>
      </c>
      <c r="G21" s="95">
        <f t="shared" si="52"/>
        <v>20.6</v>
      </c>
      <c r="H21" s="95">
        <f t="shared" si="52"/>
        <v>10.9</v>
      </c>
      <c r="I21" s="95">
        <f t="shared" si="52"/>
        <v>96.8</v>
      </c>
      <c r="J21" s="54">
        <f t="shared" si="4"/>
        <v>5758</v>
      </c>
      <c r="K21" s="95">
        <f t="shared" ref="K21:Q21" si="53">IF(OR(K63=1,K63=2),"x",ROUND(K63/$R63*100,1))</f>
        <v>6.3</v>
      </c>
      <c r="L21" s="95">
        <f t="shared" si="53"/>
        <v>16.7</v>
      </c>
      <c r="M21" s="95">
        <f t="shared" si="53"/>
        <v>24.9</v>
      </c>
      <c r="N21" s="95">
        <f t="shared" si="53"/>
        <v>23.8</v>
      </c>
      <c r="O21" s="95">
        <f t="shared" si="53"/>
        <v>17.3</v>
      </c>
      <c r="P21" s="95">
        <f t="shared" si="53"/>
        <v>8.5</v>
      </c>
      <c r="Q21" s="95">
        <f t="shared" si="53"/>
        <v>97.5</v>
      </c>
      <c r="R21" s="54">
        <f t="shared" si="6"/>
        <v>8503</v>
      </c>
      <c r="S21" s="95">
        <f t="shared" si="7"/>
        <v>5.4</v>
      </c>
      <c r="T21" s="95">
        <f t="shared" ref="T21:Y21" si="54">IF((T63&lt;=2),"x",ROUND(T63/$Z63*100,1))</f>
        <v>14.9</v>
      </c>
      <c r="U21" s="95">
        <f t="shared" si="54"/>
        <v>23.9</v>
      </c>
      <c r="V21" s="95">
        <f t="shared" si="54"/>
        <v>24.9</v>
      </c>
      <c r="W21" s="95">
        <f t="shared" si="54"/>
        <v>18.600000000000001</v>
      </c>
      <c r="X21" s="95">
        <f t="shared" si="54"/>
        <v>9.4</v>
      </c>
      <c r="Y21" s="95">
        <f t="shared" si="54"/>
        <v>97.2</v>
      </c>
      <c r="Z21" s="54">
        <f t="shared" si="9"/>
        <v>14261</v>
      </c>
      <c r="AA21" s="5"/>
    </row>
    <row r="22" spans="1:27" x14ac:dyDescent="0.2">
      <c r="A22" s="14"/>
      <c r="B22" s="10" t="s">
        <v>17</v>
      </c>
      <c r="C22" s="95">
        <f t="shared" ref="C22:I22" si="55">IF(OR(C64=1,C64=2),"x",ROUND(C64/$J64*100,1))</f>
        <v>2.8</v>
      </c>
      <c r="D22" s="95">
        <f t="shared" si="55"/>
        <v>9.1999999999999993</v>
      </c>
      <c r="E22" s="95">
        <f t="shared" si="55"/>
        <v>21.6</v>
      </c>
      <c r="F22" s="95">
        <f t="shared" si="55"/>
        <v>27.4</v>
      </c>
      <c r="G22" s="95">
        <f t="shared" si="55"/>
        <v>23.3</v>
      </c>
      <c r="H22" s="95">
        <f t="shared" si="55"/>
        <v>12.2</v>
      </c>
      <c r="I22" s="95">
        <f t="shared" si="55"/>
        <v>96.5</v>
      </c>
      <c r="J22" s="54">
        <f t="shared" si="4"/>
        <v>14311</v>
      </c>
      <c r="K22" s="95">
        <f t="shared" ref="K22:Q22" si="56">IF(OR(K64=1,K64=2),"x",ROUND(K64/$R64*100,1))</f>
        <v>6.1</v>
      </c>
      <c r="L22" s="95">
        <f t="shared" si="56"/>
        <v>15.6</v>
      </c>
      <c r="M22" s="95">
        <f t="shared" si="56"/>
        <v>26.3</v>
      </c>
      <c r="N22" s="95">
        <f t="shared" si="56"/>
        <v>25.9</v>
      </c>
      <c r="O22" s="95">
        <f t="shared" si="56"/>
        <v>17</v>
      </c>
      <c r="P22" s="95">
        <f t="shared" si="56"/>
        <v>7.3</v>
      </c>
      <c r="Q22" s="95">
        <f t="shared" si="56"/>
        <v>98.2</v>
      </c>
      <c r="R22" s="54">
        <f t="shared" si="6"/>
        <v>38769</v>
      </c>
      <c r="S22" s="95">
        <f t="shared" si="7"/>
        <v>5.2</v>
      </c>
      <c r="T22" s="95">
        <f t="shared" ref="T22:Y22" si="57">IF((T64&lt;=2),"x",ROUND(T64/$Z64*100,1))</f>
        <v>13.9</v>
      </c>
      <c r="U22" s="95">
        <f t="shared" si="57"/>
        <v>25.1</v>
      </c>
      <c r="V22" s="95">
        <f t="shared" si="57"/>
        <v>26.3</v>
      </c>
      <c r="W22" s="95">
        <f t="shared" si="57"/>
        <v>18.7</v>
      </c>
      <c r="X22" s="95">
        <f t="shared" si="57"/>
        <v>8.6</v>
      </c>
      <c r="Y22" s="95">
        <f t="shared" si="57"/>
        <v>97.7</v>
      </c>
      <c r="Z22" s="54">
        <f t="shared" si="9"/>
        <v>53080</v>
      </c>
      <c r="AA22" s="5"/>
    </row>
    <row r="23" spans="1:27" x14ac:dyDescent="0.2">
      <c r="A23" s="14"/>
      <c r="B23" s="10" t="s">
        <v>18</v>
      </c>
      <c r="C23" s="95">
        <f t="shared" ref="C23:I23" si="58">IF(OR(C65=1,C65=2),"x",ROUND(C65/$J65*100,1))</f>
        <v>3.8</v>
      </c>
      <c r="D23" s="95">
        <f t="shared" si="58"/>
        <v>11</v>
      </c>
      <c r="E23" s="95">
        <f t="shared" si="58"/>
        <v>25.5</v>
      </c>
      <c r="F23" s="95">
        <f t="shared" si="58"/>
        <v>29.3</v>
      </c>
      <c r="G23" s="95">
        <f t="shared" si="58"/>
        <v>20</v>
      </c>
      <c r="H23" s="95">
        <f t="shared" si="58"/>
        <v>8.4</v>
      </c>
      <c r="I23" s="95">
        <f t="shared" si="58"/>
        <v>97.9</v>
      </c>
      <c r="J23" s="54">
        <f t="shared" si="4"/>
        <v>6678</v>
      </c>
      <c r="K23" s="95">
        <f t="shared" ref="K23:Q23" si="59">IF(OR(K65=1,K65=2),"x",ROUND(K65/$R65*100,1))</f>
        <v>5.7</v>
      </c>
      <c r="L23" s="95">
        <f t="shared" si="59"/>
        <v>16</v>
      </c>
      <c r="M23" s="95">
        <f t="shared" si="59"/>
        <v>27.5</v>
      </c>
      <c r="N23" s="95">
        <f t="shared" si="59"/>
        <v>26.9</v>
      </c>
      <c r="O23" s="95">
        <f t="shared" si="59"/>
        <v>16.399999999999999</v>
      </c>
      <c r="P23" s="95">
        <f t="shared" si="59"/>
        <v>6.1</v>
      </c>
      <c r="Q23" s="95">
        <f t="shared" si="59"/>
        <v>98.6</v>
      </c>
      <c r="R23" s="54">
        <f t="shared" si="6"/>
        <v>20499</v>
      </c>
      <c r="S23" s="95">
        <f t="shared" si="7"/>
        <v>5.3</v>
      </c>
      <c r="T23" s="95">
        <f t="shared" ref="T23:Y23" si="60">IF((T65&lt;=2),"x",ROUND(T65/$Z65*100,1))</f>
        <v>14.8</v>
      </c>
      <c r="U23" s="95">
        <f t="shared" si="60"/>
        <v>27</v>
      </c>
      <c r="V23" s="95">
        <f t="shared" si="60"/>
        <v>27.5</v>
      </c>
      <c r="W23" s="95">
        <f t="shared" si="60"/>
        <v>17.3</v>
      </c>
      <c r="X23" s="95">
        <f t="shared" si="60"/>
        <v>6.6</v>
      </c>
      <c r="Y23" s="95">
        <f t="shared" si="60"/>
        <v>98.4</v>
      </c>
      <c r="Z23" s="54">
        <f t="shared" si="9"/>
        <v>27177</v>
      </c>
      <c r="AA23" s="5"/>
    </row>
    <row r="24" spans="1:27" x14ac:dyDescent="0.2">
      <c r="A24" s="14"/>
      <c r="B24" s="10" t="s">
        <v>19</v>
      </c>
      <c r="C24" s="95">
        <f t="shared" ref="C24:I24" si="61">IF(OR(C66=1,C66=2),"x",ROUND(C66/$J66*100,1))</f>
        <v>5.8</v>
      </c>
      <c r="D24" s="95">
        <f t="shared" si="61"/>
        <v>16.7</v>
      </c>
      <c r="E24" s="95">
        <f t="shared" si="61"/>
        <v>28.4</v>
      </c>
      <c r="F24" s="95">
        <f t="shared" si="61"/>
        <v>24.6</v>
      </c>
      <c r="G24" s="95">
        <f t="shared" si="61"/>
        <v>13.9</v>
      </c>
      <c r="H24" s="95">
        <f t="shared" si="61"/>
        <v>7.6</v>
      </c>
      <c r="I24" s="95">
        <f t="shared" si="61"/>
        <v>97</v>
      </c>
      <c r="J24" s="54">
        <f t="shared" si="4"/>
        <v>2091</v>
      </c>
      <c r="K24" s="95">
        <f t="shared" ref="K24:Q24" si="62">IF(OR(K66=1,K66=2),"x",ROUND(K66/$R66*100,1))</f>
        <v>6.7</v>
      </c>
      <c r="L24" s="95">
        <f t="shared" si="62"/>
        <v>17.8</v>
      </c>
      <c r="M24" s="95">
        <f t="shared" si="62"/>
        <v>30.1</v>
      </c>
      <c r="N24" s="95">
        <f t="shared" si="62"/>
        <v>23.3</v>
      </c>
      <c r="O24" s="95">
        <f t="shared" si="62"/>
        <v>13.7</v>
      </c>
      <c r="P24" s="95">
        <f t="shared" si="62"/>
        <v>5.4</v>
      </c>
      <c r="Q24" s="95">
        <f t="shared" si="62"/>
        <v>96.9</v>
      </c>
      <c r="R24" s="54">
        <f t="shared" si="6"/>
        <v>2176</v>
      </c>
      <c r="S24" s="95">
        <f t="shared" si="7"/>
        <v>6.2</v>
      </c>
      <c r="T24" s="95">
        <f t="shared" ref="T24:Y24" si="63">IF((T66&lt;=2),"x",ROUND(T66/$Z66*100,1))</f>
        <v>17.3</v>
      </c>
      <c r="U24" s="95">
        <f t="shared" si="63"/>
        <v>29.3</v>
      </c>
      <c r="V24" s="95">
        <f t="shared" si="63"/>
        <v>23.9</v>
      </c>
      <c r="W24" s="95">
        <f t="shared" si="63"/>
        <v>13.8</v>
      </c>
      <c r="X24" s="95">
        <f t="shared" si="63"/>
        <v>6.5</v>
      </c>
      <c r="Y24" s="95">
        <f t="shared" si="63"/>
        <v>97</v>
      </c>
      <c r="Z24" s="54">
        <f t="shared" si="9"/>
        <v>4267</v>
      </c>
      <c r="AA24" s="5"/>
    </row>
    <row r="25" spans="1:27" x14ac:dyDescent="0.2">
      <c r="A25" s="14"/>
      <c r="B25" s="10" t="s">
        <v>20</v>
      </c>
      <c r="C25" s="95">
        <f t="shared" ref="C25:I25" si="64">IF(OR(C67=1,C67=2),"x",ROUND(C67/$J67*100,1))</f>
        <v>11.8</v>
      </c>
      <c r="D25" s="95">
        <f t="shared" si="64"/>
        <v>14.2</v>
      </c>
      <c r="E25" s="95">
        <f t="shared" si="64"/>
        <v>23.8</v>
      </c>
      <c r="F25" s="95">
        <f t="shared" si="64"/>
        <v>24.5</v>
      </c>
      <c r="G25" s="95">
        <f t="shared" si="64"/>
        <v>15.7</v>
      </c>
      <c r="H25" s="95">
        <f t="shared" si="64"/>
        <v>7.7</v>
      </c>
      <c r="I25" s="95">
        <f t="shared" si="64"/>
        <v>97.6</v>
      </c>
      <c r="J25" s="54">
        <f t="shared" si="4"/>
        <v>11855</v>
      </c>
      <c r="K25" s="95">
        <f t="shared" ref="K25:Q25" si="65">IF(OR(K67=1,K67=2),"x",ROUND(K67/$R67*100,1))</f>
        <v>13.4</v>
      </c>
      <c r="L25" s="95">
        <f t="shared" si="65"/>
        <v>19.3</v>
      </c>
      <c r="M25" s="95">
        <f t="shared" si="65"/>
        <v>26.5</v>
      </c>
      <c r="N25" s="95">
        <f t="shared" si="65"/>
        <v>22.8</v>
      </c>
      <c r="O25" s="95">
        <f t="shared" si="65"/>
        <v>12.4</v>
      </c>
      <c r="P25" s="95">
        <f t="shared" si="65"/>
        <v>4.4000000000000004</v>
      </c>
      <c r="Q25" s="95">
        <f t="shared" si="65"/>
        <v>98.8</v>
      </c>
      <c r="R25" s="54">
        <f t="shared" si="6"/>
        <v>30929</v>
      </c>
      <c r="S25" s="95">
        <f t="shared" si="7"/>
        <v>13</v>
      </c>
      <c r="T25" s="95">
        <f t="shared" ref="T25:Y25" si="66">IF((T67&lt;=2),"x",ROUND(T67/$Z67*100,1))</f>
        <v>17.899999999999999</v>
      </c>
      <c r="U25" s="95">
        <f t="shared" si="66"/>
        <v>25.7</v>
      </c>
      <c r="V25" s="95">
        <f t="shared" si="66"/>
        <v>23.3</v>
      </c>
      <c r="W25" s="95">
        <f t="shared" si="66"/>
        <v>13.3</v>
      </c>
      <c r="X25" s="95">
        <f t="shared" si="66"/>
        <v>5.3</v>
      </c>
      <c r="Y25" s="95">
        <f t="shared" si="66"/>
        <v>98.5</v>
      </c>
      <c r="Z25" s="54">
        <f t="shared" si="9"/>
        <v>42784</v>
      </c>
      <c r="AA25" s="5"/>
    </row>
    <row r="26" spans="1:27" x14ac:dyDescent="0.2">
      <c r="A26" s="14"/>
      <c r="B26" s="10" t="s">
        <v>21</v>
      </c>
      <c r="C26" s="95">
        <f t="shared" ref="C26:I26" si="67">IF(OR(C68=1,C68=2),"x",ROUND(C68/$J68*100,1))</f>
        <v>4.0999999999999996</v>
      </c>
      <c r="D26" s="95">
        <f t="shared" si="67"/>
        <v>10.7</v>
      </c>
      <c r="E26" s="95">
        <f t="shared" si="67"/>
        <v>25.6</v>
      </c>
      <c r="F26" s="95">
        <f t="shared" si="67"/>
        <v>30.4</v>
      </c>
      <c r="G26" s="95">
        <f t="shared" si="67"/>
        <v>20.8</v>
      </c>
      <c r="H26" s="95">
        <f t="shared" si="67"/>
        <v>7.2</v>
      </c>
      <c r="I26" s="95">
        <f t="shared" si="67"/>
        <v>98.9</v>
      </c>
      <c r="J26" s="54">
        <f t="shared" si="4"/>
        <v>4970</v>
      </c>
      <c r="K26" s="95">
        <f t="shared" ref="K26:Q26" si="68">IF(OR(K68=1,K68=2),"x",ROUND(K68/$R68*100,1))</f>
        <v>6.4</v>
      </c>
      <c r="L26" s="95">
        <f t="shared" si="68"/>
        <v>15.2</v>
      </c>
      <c r="M26" s="95">
        <f t="shared" si="68"/>
        <v>30.7</v>
      </c>
      <c r="N26" s="95">
        <f t="shared" si="68"/>
        <v>29.5</v>
      </c>
      <c r="O26" s="95">
        <f t="shared" si="68"/>
        <v>14</v>
      </c>
      <c r="P26" s="95">
        <f t="shared" si="68"/>
        <v>3.6</v>
      </c>
      <c r="Q26" s="95">
        <f t="shared" si="68"/>
        <v>99.4</v>
      </c>
      <c r="R26" s="54">
        <f t="shared" si="6"/>
        <v>10292</v>
      </c>
      <c r="S26" s="95">
        <f t="shared" si="7"/>
        <v>5.7</v>
      </c>
      <c r="T26" s="95">
        <f t="shared" ref="T26:Y26" si="69">IF((T68&lt;=2),"x",ROUND(T68/$Z68*100,1))</f>
        <v>13.7</v>
      </c>
      <c r="U26" s="95">
        <f t="shared" si="69"/>
        <v>29</v>
      </c>
      <c r="V26" s="95">
        <f t="shared" si="69"/>
        <v>29.8</v>
      </c>
      <c r="W26" s="95">
        <f t="shared" si="69"/>
        <v>16.2</v>
      </c>
      <c r="X26" s="95">
        <f t="shared" si="69"/>
        <v>4.8</v>
      </c>
      <c r="Y26" s="95">
        <f t="shared" si="69"/>
        <v>99.2</v>
      </c>
      <c r="Z26" s="54">
        <f t="shared" si="9"/>
        <v>15262</v>
      </c>
      <c r="AA26" s="5"/>
    </row>
    <row r="27" spans="1:27" x14ac:dyDescent="0.2">
      <c r="A27" s="14"/>
      <c r="B27" s="10" t="s">
        <v>22</v>
      </c>
      <c r="C27" s="95">
        <f t="shared" ref="C27:I27" si="70">IF(OR(C69=1,C69=2),"x",ROUND(C69/$J69*100,1))</f>
        <v>7.3</v>
      </c>
      <c r="D27" s="95">
        <f t="shared" si="70"/>
        <v>15.1</v>
      </c>
      <c r="E27" s="95">
        <f t="shared" si="70"/>
        <v>25.5</v>
      </c>
      <c r="F27" s="95">
        <f t="shared" si="70"/>
        <v>27.5</v>
      </c>
      <c r="G27" s="95">
        <f t="shared" si="70"/>
        <v>18.399999999999999</v>
      </c>
      <c r="H27" s="95">
        <f t="shared" si="70"/>
        <v>5.4</v>
      </c>
      <c r="I27" s="95">
        <f t="shared" si="70"/>
        <v>99.1</v>
      </c>
      <c r="J27" s="54">
        <f t="shared" si="4"/>
        <v>25438</v>
      </c>
      <c r="K27" s="95">
        <f t="shared" ref="K27:Q27" si="71">IF(OR(K69=1,K69=2),"x",ROUND(K69/$R69*100,1))</f>
        <v>7.2</v>
      </c>
      <c r="L27" s="95">
        <f t="shared" si="71"/>
        <v>16.2</v>
      </c>
      <c r="M27" s="95">
        <f t="shared" si="71"/>
        <v>27.2</v>
      </c>
      <c r="N27" s="95">
        <f t="shared" si="71"/>
        <v>28.2</v>
      </c>
      <c r="O27" s="95">
        <f t="shared" si="71"/>
        <v>16.5</v>
      </c>
      <c r="P27" s="95">
        <f t="shared" si="71"/>
        <v>4.0999999999999996</v>
      </c>
      <c r="Q27" s="95">
        <f t="shared" si="71"/>
        <v>99.4</v>
      </c>
      <c r="R27" s="54">
        <f t="shared" si="6"/>
        <v>58599</v>
      </c>
      <c r="S27" s="95">
        <f t="shared" si="7"/>
        <v>7.2</v>
      </c>
      <c r="T27" s="95">
        <f t="shared" ref="T27:Y27" si="72">IF((T69&lt;=2),"x",ROUND(T69/$Z69*100,1))</f>
        <v>15.9</v>
      </c>
      <c r="U27" s="95">
        <f t="shared" si="72"/>
        <v>26.7</v>
      </c>
      <c r="V27" s="95">
        <f t="shared" si="72"/>
        <v>28</v>
      </c>
      <c r="W27" s="95">
        <f t="shared" si="72"/>
        <v>17.100000000000001</v>
      </c>
      <c r="X27" s="95">
        <f t="shared" si="72"/>
        <v>4.5</v>
      </c>
      <c r="Y27" s="95">
        <f t="shared" si="72"/>
        <v>99.3</v>
      </c>
      <c r="Z27" s="54">
        <f t="shared" si="9"/>
        <v>84037</v>
      </c>
      <c r="AA27" s="5"/>
    </row>
    <row r="28" spans="1:27" x14ac:dyDescent="0.2">
      <c r="A28" s="14"/>
      <c r="B28" s="10" t="s">
        <v>51</v>
      </c>
      <c r="C28" s="95">
        <f t="shared" ref="C28:I28" si="73">IF(OR(C70=1,C70=2),"x",ROUND(C70/$J70*100,1))</f>
        <v>1.3</v>
      </c>
      <c r="D28" s="95">
        <f t="shared" si="73"/>
        <v>7.7</v>
      </c>
      <c r="E28" s="95">
        <f t="shared" si="73"/>
        <v>26.7</v>
      </c>
      <c r="F28" s="95">
        <f t="shared" si="73"/>
        <v>35.4</v>
      </c>
      <c r="G28" s="95">
        <f t="shared" si="73"/>
        <v>21.6</v>
      </c>
      <c r="H28" s="95">
        <f t="shared" si="73"/>
        <v>6.2</v>
      </c>
      <c r="I28" s="95">
        <f t="shared" si="73"/>
        <v>98.9</v>
      </c>
      <c r="J28" s="54">
        <f t="shared" si="4"/>
        <v>10683</v>
      </c>
      <c r="K28" s="95">
        <f t="shared" ref="K28:Q28" si="74">IF(OR(K70=1,K70=2),"x",ROUND(K70/$R70*100,1))</f>
        <v>1.8</v>
      </c>
      <c r="L28" s="95">
        <f t="shared" si="74"/>
        <v>12.3</v>
      </c>
      <c r="M28" s="95">
        <f t="shared" si="74"/>
        <v>33</v>
      </c>
      <c r="N28" s="95">
        <f t="shared" si="74"/>
        <v>33.9</v>
      </c>
      <c r="O28" s="95">
        <f t="shared" si="74"/>
        <v>14.9</v>
      </c>
      <c r="P28" s="95">
        <f t="shared" si="74"/>
        <v>3.3</v>
      </c>
      <c r="Q28" s="95">
        <f t="shared" si="74"/>
        <v>99.2</v>
      </c>
      <c r="R28" s="54">
        <f t="shared" si="6"/>
        <v>13545</v>
      </c>
      <c r="S28" s="95">
        <f t="shared" si="7"/>
        <v>1.6</v>
      </c>
      <c r="T28" s="95">
        <f t="shared" ref="T28:Y28" si="75">IF((T70&lt;=2),"x",ROUND(T70/$Z70*100,1))</f>
        <v>10.3</v>
      </c>
      <c r="U28" s="95">
        <f t="shared" si="75"/>
        <v>30.2</v>
      </c>
      <c r="V28" s="95">
        <f t="shared" si="75"/>
        <v>34.5</v>
      </c>
      <c r="W28" s="95">
        <f t="shared" si="75"/>
        <v>17.899999999999999</v>
      </c>
      <c r="X28" s="95">
        <f t="shared" si="75"/>
        <v>4.5999999999999996</v>
      </c>
      <c r="Y28" s="95">
        <f t="shared" si="75"/>
        <v>99.1</v>
      </c>
      <c r="Z28" s="54">
        <f t="shared" si="9"/>
        <v>24228</v>
      </c>
      <c r="AA28" s="5"/>
    </row>
    <row r="29" spans="1:27" x14ac:dyDescent="0.2">
      <c r="A29" s="14"/>
      <c r="B29" s="10" t="s">
        <v>23</v>
      </c>
      <c r="C29" s="95">
        <f t="shared" ref="C29:I29" si="76">IF(OR(C71=1,C71=2),"x",ROUND(C71/$J71*100,1))</f>
        <v>2.2000000000000002</v>
      </c>
      <c r="D29" s="95">
        <f t="shared" si="76"/>
        <v>9.8000000000000007</v>
      </c>
      <c r="E29" s="95">
        <f t="shared" si="76"/>
        <v>30.7</v>
      </c>
      <c r="F29" s="95">
        <f t="shared" si="76"/>
        <v>36.6</v>
      </c>
      <c r="G29" s="95">
        <f t="shared" si="76"/>
        <v>16.3</v>
      </c>
      <c r="H29" s="95">
        <f t="shared" si="76"/>
        <v>3.7</v>
      </c>
      <c r="I29" s="95">
        <f t="shared" si="76"/>
        <v>99.3</v>
      </c>
      <c r="J29" s="54">
        <f t="shared" si="4"/>
        <v>4412</v>
      </c>
      <c r="K29" s="95">
        <f t="shared" ref="K29:Q29" si="77">IF(OR(K71=1,K71=2),"x",ROUND(K71/$R71*100,1))</f>
        <v>3.5</v>
      </c>
      <c r="L29" s="95">
        <f t="shared" si="77"/>
        <v>12.3</v>
      </c>
      <c r="M29" s="95">
        <f t="shared" si="77"/>
        <v>33.799999999999997</v>
      </c>
      <c r="N29" s="95">
        <f t="shared" si="77"/>
        <v>33.1</v>
      </c>
      <c r="O29" s="95">
        <f t="shared" si="77"/>
        <v>14.1</v>
      </c>
      <c r="P29" s="95">
        <f t="shared" si="77"/>
        <v>2.6</v>
      </c>
      <c r="Q29" s="95">
        <f t="shared" si="77"/>
        <v>99.4</v>
      </c>
      <c r="R29" s="54">
        <f t="shared" si="6"/>
        <v>5610</v>
      </c>
      <c r="S29" s="95">
        <f t="shared" si="7"/>
        <v>2.9</v>
      </c>
      <c r="T29" s="95">
        <f t="shared" ref="T29:Y29" si="78">IF((T71&lt;=2),"x",ROUND(T71/$Z71*100,1))</f>
        <v>11.2</v>
      </c>
      <c r="U29" s="95">
        <f t="shared" si="78"/>
        <v>32.5</v>
      </c>
      <c r="V29" s="95">
        <f t="shared" si="78"/>
        <v>34.6</v>
      </c>
      <c r="W29" s="95">
        <f t="shared" si="78"/>
        <v>15.1</v>
      </c>
      <c r="X29" s="95">
        <f t="shared" si="78"/>
        <v>3.1</v>
      </c>
      <c r="Y29" s="95">
        <f t="shared" si="78"/>
        <v>99.4</v>
      </c>
      <c r="Z29" s="54">
        <f t="shared" si="9"/>
        <v>10022</v>
      </c>
      <c r="AA29" s="5"/>
    </row>
    <row r="30" spans="1:27" x14ac:dyDescent="0.2">
      <c r="A30" s="14"/>
      <c r="B30" s="10" t="s">
        <v>24</v>
      </c>
      <c r="C30" s="95">
        <f t="shared" ref="C30:I30" si="79">IF(OR(C72=1,C72=2),"x",ROUND(C72/$J72*100,1))</f>
        <v>7.2</v>
      </c>
      <c r="D30" s="95">
        <f t="shared" si="79"/>
        <v>33</v>
      </c>
      <c r="E30" s="95">
        <f t="shared" si="79"/>
        <v>28.9</v>
      </c>
      <c r="F30" s="95">
        <f t="shared" si="79"/>
        <v>17.899999999999999</v>
      </c>
      <c r="G30" s="95">
        <f t="shared" si="79"/>
        <v>9</v>
      </c>
      <c r="H30" s="95">
        <f t="shared" si="79"/>
        <v>3.4</v>
      </c>
      <c r="I30" s="95">
        <f t="shared" si="79"/>
        <v>99.4</v>
      </c>
      <c r="J30" s="54">
        <f t="shared" si="4"/>
        <v>3888</v>
      </c>
      <c r="K30" s="95">
        <f t="shared" ref="K30:Q30" si="80">IF(OR(K72=1,K72=2),"x",ROUND(K72/$R72*100,1))</f>
        <v>7.5</v>
      </c>
      <c r="L30" s="95">
        <f t="shared" si="80"/>
        <v>31.9</v>
      </c>
      <c r="M30" s="95">
        <f t="shared" si="80"/>
        <v>28.7</v>
      </c>
      <c r="N30" s="95">
        <f t="shared" si="80"/>
        <v>18.3</v>
      </c>
      <c r="O30" s="95">
        <f t="shared" si="80"/>
        <v>9.6999999999999993</v>
      </c>
      <c r="P30" s="95">
        <f t="shared" si="80"/>
        <v>3.3</v>
      </c>
      <c r="Q30" s="95">
        <f t="shared" si="80"/>
        <v>99.4</v>
      </c>
      <c r="R30" s="54">
        <f t="shared" si="6"/>
        <v>8436</v>
      </c>
      <c r="S30" s="95">
        <f t="shared" si="7"/>
        <v>7.4</v>
      </c>
      <c r="T30" s="95">
        <f t="shared" ref="T30:Y30" si="81">IF((T72&lt;=2),"x",ROUND(T72/$Z72*100,1))</f>
        <v>32.200000000000003</v>
      </c>
      <c r="U30" s="95">
        <f t="shared" si="81"/>
        <v>28.8</v>
      </c>
      <c r="V30" s="95">
        <f t="shared" si="81"/>
        <v>18.2</v>
      </c>
      <c r="W30" s="95">
        <f t="shared" si="81"/>
        <v>9.5</v>
      </c>
      <c r="X30" s="95">
        <f t="shared" si="81"/>
        <v>3.3</v>
      </c>
      <c r="Y30" s="95">
        <f t="shared" si="81"/>
        <v>99.4</v>
      </c>
      <c r="Z30" s="54">
        <f t="shared" si="9"/>
        <v>12324</v>
      </c>
      <c r="AA30" s="5"/>
    </row>
    <row r="31" spans="1:27" x14ac:dyDescent="0.2">
      <c r="A31" s="14"/>
      <c r="B31" s="10" t="s">
        <v>25</v>
      </c>
      <c r="C31" s="95">
        <f t="shared" ref="C31:I31" si="82">IF(OR(C73=1,C73=2),"x",ROUND(C73/$J73*100,1))</f>
        <v>9.3000000000000007</v>
      </c>
      <c r="D31" s="95">
        <f t="shared" si="82"/>
        <v>32.5</v>
      </c>
      <c r="E31" s="95">
        <f t="shared" si="82"/>
        <v>26.2</v>
      </c>
      <c r="F31" s="95">
        <f t="shared" si="82"/>
        <v>16.8</v>
      </c>
      <c r="G31" s="95">
        <f t="shared" si="82"/>
        <v>9.8000000000000007</v>
      </c>
      <c r="H31" s="95">
        <f t="shared" si="82"/>
        <v>4.3</v>
      </c>
      <c r="I31" s="95">
        <f t="shared" si="82"/>
        <v>99</v>
      </c>
      <c r="J31" s="54">
        <f t="shared" si="4"/>
        <v>2016</v>
      </c>
      <c r="K31" s="95">
        <f t="shared" ref="K31:Q31" si="83">IF(OR(K73=1,K73=2),"x",ROUND(K73/$R73*100,1))</f>
        <v>9.4</v>
      </c>
      <c r="L31" s="95">
        <f t="shared" si="83"/>
        <v>29.6</v>
      </c>
      <c r="M31" s="95">
        <f t="shared" si="83"/>
        <v>26.2</v>
      </c>
      <c r="N31" s="95">
        <f t="shared" si="83"/>
        <v>18.899999999999999</v>
      </c>
      <c r="O31" s="95">
        <f t="shared" si="83"/>
        <v>10.9</v>
      </c>
      <c r="P31" s="95">
        <f t="shared" si="83"/>
        <v>4.3</v>
      </c>
      <c r="Q31" s="95">
        <f t="shared" si="83"/>
        <v>99.4</v>
      </c>
      <c r="R31" s="54">
        <f t="shared" si="6"/>
        <v>3039</v>
      </c>
      <c r="S31" s="95">
        <f t="shared" si="7"/>
        <v>9.4</v>
      </c>
      <c r="T31" s="95">
        <f t="shared" ref="T31:Y31" si="84">IF((T73&lt;=2),"x",ROUND(T73/$Z73*100,1))</f>
        <v>30.8</v>
      </c>
      <c r="U31" s="95">
        <f t="shared" si="84"/>
        <v>26.2</v>
      </c>
      <c r="V31" s="95">
        <f t="shared" si="84"/>
        <v>18.100000000000001</v>
      </c>
      <c r="W31" s="95">
        <f t="shared" si="84"/>
        <v>10.4</v>
      </c>
      <c r="X31" s="95">
        <f t="shared" si="84"/>
        <v>4.3</v>
      </c>
      <c r="Y31" s="95">
        <f t="shared" si="84"/>
        <v>99.2</v>
      </c>
      <c r="Z31" s="54">
        <f t="shared" si="9"/>
        <v>5055</v>
      </c>
      <c r="AA31" s="5"/>
    </row>
    <row r="32" spans="1:27" x14ac:dyDescent="0.2">
      <c r="A32" s="14"/>
      <c r="B32" s="10" t="s">
        <v>26</v>
      </c>
      <c r="C32" s="95">
        <f t="shared" ref="C32:I32" si="85">IF(OR(C74=1,C74=2),"x",ROUND(C74/$J74*100,1))</f>
        <v>9</v>
      </c>
      <c r="D32" s="95">
        <f t="shared" si="85"/>
        <v>32.299999999999997</v>
      </c>
      <c r="E32" s="95">
        <f t="shared" si="85"/>
        <v>28.2</v>
      </c>
      <c r="F32" s="95">
        <f t="shared" si="85"/>
        <v>18</v>
      </c>
      <c r="G32" s="95">
        <f t="shared" si="85"/>
        <v>8.1999999999999993</v>
      </c>
      <c r="H32" s="95">
        <f t="shared" si="85"/>
        <v>3.5</v>
      </c>
      <c r="I32" s="95">
        <f t="shared" si="85"/>
        <v>99.2</v>
      </c>
      <c r="J32" s="54">
        <f t="shared" si="4"/>
        <v>2238</v>
      </c>
      <c r="K32" s="95">
        <f t="shared" ref="K32:Q32" si="86">IF(OR(K74=1,K74=2),"x",ROUND(K74/$R74*100,1))</f>
        <v>8.1999999999999993</v>
      </c>
      <c r="L32" s="95">
        <f t="shared" si="86"/>
        <v>29.2</v>
      </c>
      <c r="M32" s="95">
        <f t="shared" si="86"/>
        <v>28.4</v>
      </c>
      <c r="N32" s="95">
        <f t="shared" si="86"/>
        <v>19.100000000000001</v>
      </c>
      <c r="O32" s="95">
        <f t="shared" si="86"/>
        <v>10.1</v>
      </c>
      <c r="P32" s="95">
        <f t="shared" si="86"/>
        <v>4.3</v>
      </c>
      <c r="Q32" s="95">
        <f t="shared" si="86"/>
        <v>99.2</v>
      </c>
      <c r="R32" s="54">
        <f t="shared" si="6"/>
        <v>4326</v>
      </c>
      <c r="S32" s="95">
        <f t="shared" si="7"/>
        <v>8.5</v>
      </c>
      <c r="T32" s="95">
        <f t="shared" ref="T32:Y32" si="87">IF((T74&lt;=2),"x",ROUND(T74/$Z74*100,1))</f>
        <v>30.3</v>
      </c>
      <c r="U32" s="95">
        <f t="shared" si="87"/>
        <v>28.3</v>
      </c>
      <c r="V32" s="95">
        <f t="shared" si="87"/>
        <v>18.7</v>
      </c>
      <c r="W32" s="95">
        <f t="shared" si="87"/>
        <v>9.4</v>
      </c>
      <c r="X32" s="95">
        <f t="shared" si="87"/>
        <v>4</v>
      </c>
      <c r="Y32" s="95">
        <f t="shared" si="87"/>
        <v>99.2</v>
      </c>
      <c r="Z32" s="54">
        <f t="shared" si="9"/>
        <v>6564</v>
      </c>
      <c r="AA32" s="5"/>
    </row>
    <row r="33" spans="1:27" x14ac:dyDescent="0.2">
      <c r="A33" s="14"/>
      <c r="B33" s="10" t="s">
        <v>27</v>
      </c>
      <c r="C33" s="95">
        <f t="shared" ref="C33:I33" si="88">IF(OR(C75=1,C75=2),"x",ROUND(C75/$J75*100,1))</f>
        <v>13.7</v>
      </c>
      <c r="D33" s="95">
        <f t="shared" si="88"/>
        <v>36.5</v>
      </c>
      <c r="E33" s="95">
        <f t="shared" si="88"/>
        <v>29.4</v>
      </c>
      <c r="F33" s="95">
        <f t="shared" si="88"/>
        <v>11.1</v>
      </c>
      <c r="G33" s="95">
        <f t="shared" si="88"/>
        <v>4.2</v>
      </c>
      <c r="H33" s="95">
        <f t="shared" si="88"/>
        <v>2.2999999999999998</v>
      </c>
      <c r="I33" s="95">
        <f t="shared" si="88"/>
        <v>97.2</v>
      </c>
      <c r="J33" s="54">
        <f t="shared" si="4"/>
        <v>2529</v>
      </c>
      <c r="K33" s="95">
        <f t="shared" ref="K33:Q33" si="89">IF(OR(K75=1,K75=2),"x",ROUND(K75/$R75*100,1))</f>
        <v>14</v>
      </c>
      <c r="L33" s="95">
        <f t="shared" si="89"/>
        <v>41.5</v>
      </c>
      <c r="M33" s="95">
        <f t="shared" si="89"/>
        <v>26</v>
      </c>
      <c r="N33" s="95">
        <f t="shared" si="89"/>
        <v>10.3</v>
      </c>
      <c r="O33" s="95">
        <f t="shared" si="89"/>
        <v>4.0999999999999996</v>
      </c>
      <c r="P33" s="95">
        <f t="shared" si="89"/>
        <v>2.1</v>
      </c>
      <c r="Q33" s="95">
        <f t="shared" si="89"/>
        <v>98</v>
      </c>
      <c r="R33" s="54">
        <f t="shared" si="6"/>
        <v>3383</v>
      </c>
      <c r="S33" s="95">
        <f t="shared" si="7"/>
        <v>13.9</v>
      </c>
      <c r="T33" s="95">
        <f t="shared" ref="T33:Y33" si="90">IF((T75&lt;=2),"x",ROUND(T75/$Z75*100,1))</f>
        <v>39.4</v>
      </c>
      <c r="U33" s="95">
        <f t="shared" si="90"/>
        <v>27.5</v>
      </c>
      <c r="V33" s="95">
        <f t="shared" si="90"/>
        <v>10.6</v>
      </c>
      <c r="W33" s="95">
        <f t="shared" si="90"/>
        <v>4.0999999999999996</v>
      </c>
      <c r="X33" s="95">
        <f t="shared" si="90"/>
        <v>2.2000000000000002</v>
      </c>
      <c r="Y33" s="95">
        <f t="shared" si="90"/>
        <v>97.7</v>
      </c>
      <c r="Z33" s="54">
        <f t="shared" si="9"/>
        <v>5912</v>
      </c>
      <c r="AA33" s="5"/>
    </row>
    <row r="34" spans="1:27" x14ac:dyDescent="0.2">
      <c r="A34" s="14"/>
      <c r="B34" s="10" t="s">
        <v>28</v>
      </c>
      <c r="C34" s="95">
        <f t="shared" ref="C34:I34" si="91">IF(OR(C76=1,C76=2),"x",ROUND(C76/$J76*100,1))</f>
        <v>8.9</v>
      </c>
      <c r="D34" s="95">
        <f t="shared" si="91"/>
        <v>27.9</v>
      </c>
      <c r="E34" s="95">
        <f t="shared" si="91"/>
        <v>27.5</v>
      </c>
      <c r="F34" s="95">
        <f t="shared" si="91"/>
        <v>19.899999999999999</v>
      </c>
      <c r="G34" s="95">
        <f t="shared" si="91"/>
        <v>10.6</v>
      </c>
      <c r="H34" s="95">
        <f t="shared" si="91"/>
        <v>4.0999999999999996</v>
      </c>
      <c r="I34" s="95">
        <f t="shared" si="91"/>
        <v>98.9</v>
      </c>
      <c r="J34" s="54">
        <f t="shared" si="4"/>
        <v>2637</v>
      </c>
      <c r="K34" s="95">
        <f t="shared" ref="K34:Q34" si="92">IF(OR(K76=1,K76=2),"x",ROUND(K76/$R76*100,1))</f>
        <v>10.8</v>
      </c>
      <c r="L34" s="95">
        <f t="shared" si="92"/>
        <v>30.6</v>
      </c>
      <c r="M34" s="95">
        <f t="shared" si="92"/>
        <v>27.9</v>
      </c>
      <c r="N34" s="95">
        <f t="shared" si="92"/>
        <v>19</v>
      </c>
      <c r="O34" s="95">
        <f t="shared" si="92"/>
        <v>8.1</v>
      </c>
      <c r="P34" s="95">
        <f t="shared" si="92"/>
        <v>2.8</v>
      </c>
      <c r="Q34" s="95">
        <f t="shared" si="92"/>
        <v>99.2</v>
      </c>
      <c r="R34" s="54">
        <f t="shared" si="6"/>
        <v>3282</v>
      </c>
      <c r="S34" s="95">
        <f t="shared" si="7"/>
        <v>10</v>
      </c>
      <c r="T34" s="95">
        <f t="shared" ref="T34:Y34" si="93">IF((T76&lt;=2),"x",ROUND(T76/$Z76*100,1))</f>
        <v>29.4</v>
      </c>
      <c r="U34" s="95">
        <f t="shared" si="93"/>
        <v>27.7</v>
      </c>
      <c r="V34" s="95">
        <f t="shared" si="93"/>
        <v>19.399999999999999</v>
      </c>
      <c r="W34" s="95">
        <f t="shared" si="93"/>
        <v>9.1999999999999993</v>
      </c>
      <c r="X34" s="95">
        <f t="shared" si="93"/>
        <v>3.4</v>
      </c>
      <c r="Y34" s="95">
        <f t="shared" si="93"/>
        <v>99.1</v>
      </c>
      <c r="Z34" s="54">
        <f t="shared" si="9"/>
        <v>5919</v>
      </c>
      <c r="AA34" s="5"/>
    </row>
    <row r="35" spans="1:27" x14ac:dyDescent="0.2">
      <c r="A35" s="14"/>
      <c r="B35" s="10" t="s">
        <v>29</v>
      </c>
      <c r="C35" s="95">
        <f t="shared" ref="C35:I35" si="94">IF(OR(C77=1,C77=2),"x",ROUND(C77/$J77*100,1))</f>
        <v>5.8</v>
      </c>
      <c r="D35" s="95">
        <f t="shared" si="94"/>
        <v>20</v>
      </c>
      <c r="E35" s="95">
        <f t="shared" si="94"/>
        <v>26</v>
      </c>
      <c r="F35" s="95">
        <f t="shared" si="94"/>
        <v>23.9</v>
      </c>
      <c r="G35" s="95">
        <f t="shared" si="94"/>
        <v>15.2</v>
      </c>
      <c r="H35" s="95">
        <f t="shared" si="94"/>
        <v>7.2</v>
      </c>
      <c r="I35" s="95">
        <f t="shared" si="94"/>
        <v>98.2</v>
      </c>
      <c r="J35" s="54">
        <f t="shared" si="4"/>
        <v>5918</v>
      </c>
      <c r="K35" s="95">
        <f t="shared" ref="K35:Q35" si="95">IF(OR(K77=1,K77=2),"x",ROUND(K77/$R77*100,1))</f>
        <v>6.8</v>
      </c>
      <c r="L35" s="95">
        <f t="shared" si="95"/>
        <v>21.6</v>
      </c>
      <c r="M35" s="95">
        <f t="shared" si="95"/>
        <v>28.2</v>
      </c>
      <c r="N35" s="95">
        <f t="shared" si="95"/>
        <v>23.4</v>
      </c>
      <c r="O35" s="95">
        <f t="shared" si="95"/>
        <v>13.3</v>
      </c>
      <c r="P35" s="95">
        <f t="shared" si="95"/>
        <v>5.7</v>
      </c>
      <c r="Q35" s="95">
        <f t="shared" si="95"/>
        <v>99</v>
      </c>
      <c r="R35" s="54">
        <f t="shared" si="6"/>
        <v>11977</v>
      </c>
      <c r="S35" s="95">
        <f t="shared" si="7"/>
        <v>6.5</v>
      </c>
      <c r="T35" s="95">
        <f t="shared" ref="T35:Y35" si="96">IF((T77&lt;=2),"x",ROUND(T77/$Z77*100,1))</f>
        <v>21.1</v>
      </c>
      <c r="U35" s="95">
        <f t="shared" si="96"/>
        <v>27.5</v>
      </c>
      <c r="V35" s="95">
        <f t="shared" si="96"/>
        <v>23.6</v>
      </c>
      <c r="W35" s="95">
        <f t="shared" si="96"/>
        <v>13.9</v>
      </c>
      <c r="X35" s="95">
        <f t="shared" si="96"/>
        <v>6.2</v>
      </c>
      <c r="Y35" s="95">
        <f t="shared" si="96"/>
        <v>98.7</v>
      </c>
      <c r="Z35" s="54">
        <f t="shared" si="9"/>
        <v>17895</v>
      </c>
      <c r="AA35" s="5"/>
    </row>
    <row r="36" spans="1:27" x14ac:dyDescent="0.2">
      <c r="A36" s="14"/>
      <c r="B36" s="10" t="s">
        <v>30</v>
      </c>
      <c r="C36" s="95">
        <f t="shared" ref="C36:I36" si="97">IF(OR(C78=1,C78=2),"x",ROUND(C78/$J78*100,1))</f>
        <v>3.6</v>
      </c>
      <c r="D36" s="95">
        <f t="shared" si="97"/>
        <v>13.1</v>
      </c>
      <c r="E36" s="95">
        <f t="shared" si="97"/>
        <v>23.2</v>
      </c>
      <c r="F36" s="95">
        <f t="shared" si="97"/>
        <v>26</v>
      </c>
      <c r="G36" s="95">
        <f t="shared" si="97"/>
        <v>21.9</v>
      </c>
      <c r="H36" s="95">
        <f t="shared" si="97"/>
        <v>10.1</v>
      </c>
      <c r="I36" s="95">
        <f t="shared" si="97"/>
        <v>97.9</v>
      </c>
      <c r="J36" s="54">
        <f t="shared" si="4"/>
        <v>5530</v>
      </c>
      <c r="K36" s="95">
        <f t="shared" ref="K36:Q36" si="98">IF(OR(K78=1,K78=2),"x",ROUND(K78/$R78*100,1))</f>
        <v>4.2</v>
      </c>
      <c r="L36" s="95">
        <f t="shared" si="98"/>
        <v>16.600000000000001</v>
      </c>
      <c r="M36" s="95">
        <f t="shared" si="98"/>
        <v>25.7</v>
      </c>
      <c r="N36" s="95">
        <f t="shared" si="98"/>
        <v>25.2</v>
      </c>
      <c r="O36" s="95">
        <f t="shared" si="98"/>
        <v>18.7</v>
      </c>
      <c r="P36" s="95">
        <f t="shared" si="98"/>
        <v>8.1999999999999993</v>
      </c>
      <c r="Q36" s="95">
        <f t="shared" si="98"/>
        <v>98.6</v>
      </c>
      <c r="R36" s="54">
        <f t="shared" si="6"/>
        <v>3311</v>
      </c>
      <c r="S36" s="95">
        <f t="shared" si="7"/>
        <v>3.8</v>
      </c>
      <c r="T36" s="95">
        <f t="shared" ref="T36:Y36" si="99">IF((T78&lt;=2),"x",ROUND(T78/$Z78*100,1))</f>
        <v>14.4</v>
      </c>
      <c r="U36" s="95">
        <f t="shared" si="99"/>
        <v>24.1</v>
      </c>
      <c r="V36" s="95">
        <f t="shared" si="99"/>
        <v>25.7</v>
      </c>
      <c r="W36" s="95">
        <f t="shared" si="99"/>
        <v>20.7</v>
      </c>
      <c r="X36" s="95">
        <f t="shared" si="99"/>
        <v>9.4</v>
      </c>
      <c r="Y36" s="95">
        <f t="shared" si="99"/>
        <v>98.2</v>
      </c>
      <c r="Z36" s="54">
        <f t="shared" si="9"/>
        <v>8841</v>
      </c>
      <c r="AA36" s="5"/>
    </row>
    <row r="37" spans="1:27" x14ac:dyDescent="0.2">
      <c r="A37" s="14"/>
      <c r="B37" s="10" t="s">
        <v>31</v>
      </c>
      <c r="C37" s="95">
        <f t="shared" ref="C37:I37" si="100">IF(OR(C79=1,C79=2),"x",ROUND(C79/$J79*100,1))</f>
        <v>2.9</v>
      </c>
      <c r="D37" s="95">
        <f t="shared" si="100"/>
        <v>9.3000000000000007</v>
      </c>
      <c r="E37" s="95">
        <f t="shared" si="100"/>
        <v>19.8</v>
      </c>
      <c r="F37" s="95">
        <f t="shared" si="100"/>
        <v>27</v>
      </c>
      <c r="G37" s="95">
        <f t="shared" si="100"/>
        <v>23.8</v>
      </c>
      <c r="H37" s="95">
        <f t="shared" si="100"/>
        <v>14.3</v>
      </c>
      <c r="I37" s="95">
        <f t="shared" si="100"/>
        <v>97.1</v>
      </c>
      <c r="J37" s="54">
        <f t="shared" si="4"/>
        <v>12736</v>
      </c>
      <c r="K37" s="95">
        <f t="shared" ref="K37:Q37" si="101">IF(OR(K79=1,K79=2),"x",ROUND(K79/$R79*100,1))</f>
        <v>7.6</v>
      </c>
      <c r="L37" s="95">
        <f t="shared" si="101"/>
        <v>16</v>
      </c>
      <c r="M37" s="95">
        <f t="shared" si="101"/>
        <v>25.6</v>
      </c>
      <c r="N37" s="95">
        <f t="shared" si="101"/>
        <v>24.6</v>
      </c>
      <c r="O37" s="95">
        <f t="shared" si="101"/>
        <v>16.399999999999999</v>
      </c>
      <c r="P37" s="95">
        <f t="shared" si="101"/>
        <v>8.1</v>
      </c>
      <c r="Q37" s="95">
        <f t="shared" si="101"/>
        <v>98.3</v>
      </c>
      <c r="R37" s="54">
        <f t="shared" si="6"/>
        <v>8568</v>
      </c>
      <c r="S37" s="95">
        <f t="shared" si="7"/>
        <v>4.8</v>
      </c>
      <c r="T37" s="95">
        <f t="shared" ref="T37:Y37" si="102">IF((T79&lt;=2),"x",ROUND(T79/$Z79*100,1))</f>
        <v>12</v>
      </c>
      <c r="U37" s="95">
        <f t="shared" si="102"/>
        <v>22.1</v>
      </c>
      <c r="V37" s="95">
        <f t="shared" si="102"/>
        <v>26</v>
      </c>
      <c r="W37" s="95">
        <f t="shared" si="102"/>
        <v>20.8</v>
      </c>
      <c r="X37" s="95">
        <f t="shared" si="102"/>
        <v>11.8</v>
      </c>
      <c r="Y37" s="95">
        <f t="shared" si="102"/>
        <v>97.6</v>
      </c>
      <c r="Z37" s="54">
        <f t="shared" si="9"/>
        <v>21304</v>
      </c>
      <c r="AA37" s="5"/>
    </row>
    <row r="38" spans="1:27" x14ac:dyDescent="0.2">
      <c r="A38" s="14"/>
      <c r="B38" s="10" t="s">
        <v>32</v>
      </c>
      <c r="C38" s="95">
        <f t="shared" ref="C38:I38" si="103">IF(OR(C80=1,C80=2),"x",ROUND(C80/$J80*100,1))</f>
        <v>4</v>
      </c>
      <c r="D38" s="95">
        <f t="shared" si="103"/>
        <v>8.3000000000000007</v>
      </c>
      <c r="E38" s="95">
        <f t="shared" si="103"/>
        <v>17.8</v>
      </c>
      <c r="F38" s="95">
        <f t="shared" si="103"/>
        <v>23.5</v>
      </c>
      <c r="G38" s="95">
        <f t="shared" si="103"/>
        <v>24</v>
      </c>
      <c r="H38" s="95">
        <f t="shared" si="103"/>
        <v>16.2</v>
      </c>
      <c r="I38" s="95">
        <f t="shared" si="103"/>
        <v>93.8</v>
      </c>
      <c r="J38" s="54">
        <f t="shared" si="4"/>
        <v>22147</v>
      </c>
      <c r="K38" s="95">
        <f t="shared" ref="K38:Q38" si="104">IF(OR(K80=1,K80=2),"x",ROUND(K80/$R80*100,1))</f>
        <v>4.9000000000000004</v>
      </c>
      <c r="L38" s="95">
        <f t="shared" si="104"/>
        <v>9.4</v>
      </c>
      <c r="M38" s="95">
        <f t="shared" si="104"/>
        <v>19.7</v>
      </c>
      <c r="N38" s="95">
        <f t="shared" si="104"/>
        <v>24.7</v>
      </c>
      <c r="O38" s="95">
        <f t="shared" si="104"/>
        <v>23.2</v>
      </c>
      <c r="P38" s="95">
        <f t="shared" si="104"/>
        <v>14.1</v>
      </c>
      <c r="Q38" s="95">
        <f t="shared" si="104"/>
        <v>96</v>
      </c>
      <c r="R38" s="54">
        <f t="shared" si="6"/>
        <v>25739</v>
      </c>
      <c r="S38" s="95">
        <f t="shared" si="7"/>
        <v>4.5</v>
      </c>
      <c r="T38" s="95">
        <f t="shared" ref="T38:Y38" si="105">IF((T80&lt;=2),"x",ROUND(T80/$Z80*100,1))</f>
        <v>8.9</v>
      </c>
      <c r="U38" s="95">
        <f t="shared" si="105"/>
        <v>18.8</v>
      </c>
      <c r="V38" s="95">
        <f t="shared" si="105"/>
        <v>24.2</v>
      </c>
      <c r="W38" s="95">
        <f t="shared" si="105"/>
        <v>23.6</v>
      </c>
      <c r="X38" s="95">
        <f t="shared" si="105"/>
        <v>15.1</v>
      </c>
      <c r="Y38" s="95">
        <f t="shared" si="105"/>
        <v>95</v>
      </c>
      <c r="Z38" s="54">
        <f t="shared" si="9"/>
        <v>47886</v>
      </c>
      <c r="AA38" s="5"/>
    </row>
    <row r="39" spans="1:27" x14ac:dyDescent="0.2">
      <c r="A39" s="14"/>
      <c r="B39" s="10" t="s">
        <v>46</v>
      </c>
      <c r="C39" s="95">
        <f t="shared" ref="C39:I39" si="106">IF(OR(C81=1,C81=2),"x",ROUND(C81/$J81*100,1))</f>
        <v>7.9</v>
      </c>
      <c r="D39" s="95">
        <f t="shared" si="106"/>
        <v>18.100000000000001</v>
      </c>
      <c r="E39" s="95">
        <f t="shared" si="106"/>
        <v>23.9</v>
      </c>
      <c r="F39" s="95">
        <f t="shared" si="106"/>
        <v>23.2</v>
      </c>
      <c r="G39" s="95">
        <f t="shared" si="106"/>
        <v>16.5</v>
      </c>
      <c r="H39" s="95">
        <f t="shared" si="106"/>
        <v>8.3000000000000007</v>
      </c>
      <c r="I39" s="95">
        <f t="shared" si="106"/>
        <v>97.9</v>
      </c>
      <c r="J39" s="54">
        <f t="shared" si="4"/>
        <v>362064</v>
      </c>
      <c r="K39" s="95">
        <f t="shared" ref="K39:Q39" si="107">IF(OR(K81=1,K81=2),"x",ROUND(K81/$R81*100,1))</f>
        <v>8.1999999999999993</v>
      </c>
      <c r="L39" s="95">
        <f t="shared" si="107"/>
        <v>19.5</v>
      </c>
      <c r="M39" s="95">
        <f t="shared" si="107"/>
        <v>26.3</v>
      </c>
      <c r="N39" s="95">
        <f t="shared" si="107"/>
        <v>23.8</v>
      </c>
      <c r="O39" s="95">
        <f t="shared" si="107"/>
        <v>14.7</v>
      </c>
      <c r="P39" s="95">
        <f t="shared" si="107"/>
        <v>6</v>
      </c>
      <c r="Q39" s="95">
        <f t="shared" si="107"/>
        <v>98.6</v>
      </c>
      <c r="R39" s="54">
        <f t="shared" si="6"/>
        <v>421283</v>
      </c>
      <c r="S39" s="95">
        <f t="shared" si="7"/>
        <v>8</v>
      </c>
      <c r="T39" s="95">
        <f t="shared" ref="T39:Y39" si="108">IF((T81&lt;=2),"x",ROUND(T81/$Z81*100,1))</f>
        <v>18.899999999999999</v>
      </c>
      <c r="U39" s="95">
        <f t="shared" si="108"/>
        <v>25.2</v>
      </c>
      <c r="V39" s="95">
        <f t="shared" si="108"/>
        <v>23.5</v>
      </c>
      <c r="W39" s="95">
        <f t="shared" si="108"/>
        <v>15.5</v>
      </c>
      <c r="X39" s="95">
        <f t="shared" si="108"/>
        <v>7.1</v>
      </c>
      <c r="Y39" s="95">
        <f t="shared" si="108"/>
        <v>98.3</v>
      </c>
      <c r="Z39" s="54">
        <f t="shared" si="9"/>
        <v>783347</v>
      </c>
      <c r="AA39" s="5"/>
    </row>
    <row r="40" spans="1:27" x14ac:dyDescent="0.2">
      <c r="A40" s="14"/>
      <c r="AA40" s="5"/>
    </row>
    <row r="41" spans="1:27" x14ac:dyDescent="0.2">
      <c r="A41" s="14"/>
      <c r="AA41" s="5"/>
    </row>
    <row r="42" spans="1:27" x14ac:dyDescent="0.2">
      <c r="A42" s="14"/>
      <c r="B42" s="7" t="s">
        <v>64</v>
      </c>
      <c r="AA42" s="5"/>
    </row>
    <row r="43" spans="1:27" x14ac:dyDescent="0.2">
      <c r="A43" s="14"/>
      <c r="AA43" s="5"/>
    </row>
    <row r="44" spans="1:27" x14ac:dyDescent="0.2">
      <c r="A44" s="14"/>
      <c r="C44" s="8" t="s">
        <v>42</v>
      </c>
      <c r="K44" s="8" t="s">
        <v>43</v>
      </c>
      <c r="S44" s="8" t="s">
        <v>54</v>
      </c>
      <c r="AA44" s="5"/>
    </row>
    <row r="45" spans="1:27" x14ac:dyDescent="0.2">
      <c r="A45" s="14"/>
      <c r="C45" s="8" t="s">
        <v>69</v>
      </c>
      <c r="D45" s="8" t="s">
        <v>33</v>
      </c>
      <c r="E45" s="8" t="s">
        <v>34</v>
      </c>
      <c r="F45" s="8" t="s">
        <v>35</v>
      </c>
      <c r="G45" s="8" t="s">
        <v>36</v>
      </c>
      <c r="H45" s="8" t="s">
        <v>37</v>
      </c>
      <c r="I45" s="8" t="s">
        <v>47</v>
      </c>
      <c r="J45" s="7" t="s">
        <v>54</v>
      </c>
      <c r="K45" s="8" t="s">
        <v>69</v>
      </c>
      <c r="L45" s="8" t="s">
        <v>33</v>
      </c>
      <c r="M45" s="8" t="s">
        <v>34</v>
      </c>
      <c r="N45" s="8" t="s">
        <v>35</v>
      </c>
      <c r="O45" s="8" t="s">
        <v>36</v>
      </c>
      <c r="P45" s="8" t="s">
        <v>37</v>
      </c>
      <c r="Q45" s="8" t="s">
        <v>47</v>
      </c>
      <c r="R45" s="7" t="s">
        <v>54</v>
      </c>
      <c r="S45" s="8" t="s">
        <v>69</v>
      </c>
      <c r="T45" s="8" t="s">
        <v>33</v>
      </c>
      <c r="U45" s="8" t="s">
        <v>34</v>
      </c>
      <c r="V45" s="8" t="s">
        <v>35</v>
      </c>
      <c r="W45" s="8" t="s">
        <v>36</v>
      </c>
      <c r="X45" s="8" t="s">
        <v>37</v>
      </c>
      <c r="Y45" s="8" t="s">
        <v>47</v>
      </c>
      <c r="Z45" s="7" t="s">
        <v>54</v>
      </c>
      <c r="AA45" s="5"/>
    </row>
    <row r="46" spans="1:27" x14ac:dyDescent="0.2">
      <c r="A46" s="14"/>
      <c r="C46" s="8" t="s">
        <v>71</v>
      </c>
      <c r="D46" s="8" t="s">
        <v>71</v>
      </c>
      <c r="E46" s="8" t="s">
        <v>71</v>
      </c>
      <c r="F46" s="8" t="s">
        <v>71</v>
      </c>
      <c r="G46" s="8" t="s">
        <v>71</v>
      </c>
      <c r="H46" s="8" t="s">
        <v>71</v>
      </c>
      <c r="I46" s="8" t="s">
        <v>71</v>
      </c>
      <c r="J46" s="7" t="s">
        <v>71</v>
      </c>
      <c r="K46" s="8" t="s">
        <v>71</v>
      </c>
      <c r="L46" s="8" t="s">
        <v>71</v>
      </c>
      <c r="M46" s="8" t="s">
        <v>71</v>
      </c>
      <c r="N46" s="8" t="s">
        <v>71</v>
      </c>
      <c r="O46" s="8" t="s">
        <v>71</v>
      </c>
      <c r="P46" s="8" t="s">
        <v>71</v>
      </c>
      <c r="Q46" s="8" t="s">
        <v>71</v>
      </c>
      <c r="R46" s="7" t="s">
        <v>71</v>
      </c>
      <c r="S46" s="8" t="s">
        <v>71</v>
      </c>
      <c r="T46" s="8" t="s">
        <v>71</v>
      </c>
      <c r="U46" s="8" t="s">
        <v>71</v>
      </c>
      <c r="V46" s="8" t="s">
        <v>71</v>
      </c>
      <c r="W46" s="8" t="s">
        <v>71</v>
      </c>
      <c r="X46" s="8" t="s">
        <v>71</v>
      </c>
      <c r="Y46" s="8" t="s">
        <v>71</v>
      </c>
      <c r="Z46" s="7" t="s">
        <v>71</v>
      </c>
      <c r="AA46" s="5"/>
    </row>
    <row r="47" spans="1:27" x14ac:dyDescent="0.2">
      <c r="A47" s="14"/>
      <c r="B47" s="7" t="s">
        <v>0</v>
      </c>
      <c r="C47" s="8">
        <v>1682</v>
      </c>
      <c r="D47" s="8">
        <v>4299</v>
      </c>
      <c r="E47" s="8">
        <v>5306</v>
      </c>
      <c r="F47" s="8">
        <v>4957</v>
      </c>
      <c r="G47" s="8">
        <v>3761</v>
      </c>
      <c r="H47" s="8">
        <v>2479</v>
      </c>
      <c r="I47" s="8">
        <v>22484</v>
      </c>
      <c r="J47" s="7">
        <v>23100</v>
      </c>
      <c r="K47" s="8">
        <v>2460</v>
      </c>
      <c r="L47" s="8">
        <v>6252</v>
      </c>
      <c r="M47" s="8">
        <v>6982</v>
      </c>
      <c r="N47" s="8">
        <v>6291</v>
      </c>
      <c r="O47" s="8">
        <v>4474</v>
      </c>
      <c r="P47" s="8">
        <v>2562</v>
      </c>
      <c r="Q47" s="8">
        <v>29021</v>
      </c>
      <c r="R47" s="7">
        <v>29628</v>
      </c>
      <c r="S47" s="8">
        <v>4142</v>
      </c>
      <c r="T47" s="8">
        <v>10551</v>
      </c>
      <c r="U47" s="8">
        <v>12288</v>
      </c>
      <c r="V47" s="8">
        <v>11248</v>
      </c>
      <c r="W47" s="8">
        <v>8235</v>
      </c>
      <c r="X47" s="8">
        <v>5041</v>
      </c>
      <c r="Y47" s="8">
        <v>51505</v>
      </c>
      <c r="Z47" s="7">
        <v>52728</v>
      </c>
      <c r="AA47" s="5"/>
    </row>
    <row r="48" spans="1:27" x14ac:dyDescent="0.2">
      <c r="A48" s="14"/>
      <c r="B48" s="7" t="s">
        <v>1</v>
      </c>
      <c r="C48" s="8">
        <v>1957</v>
      </c>
      <c r="D48" s="8">
        <v>5194</v>
      </c>
      <c r="E48" s="8">
        <v>5097</v>
      </c>
      <c r="F48" s="8">
        <v>3879</v>
      </c>
      <c r="G48" s="8">
        <v>2736</v>
      </c>
      <c r="H48" s="8">
        <v>1767</v>
      </c>
      <c r="I48" s="8">
        <v>20630</v>
      </c>
      <c r="J48" s="7">
        <v>21124</v>
      </c>
      <c r="K48" s="8">
        <v>1669</v>
      </c>
      <c r="L48" s="8">
        <v>4963</v>
      </c>
      <c r="M48" s="8">
        <v>4912</v>
      </c>
      <c r="N48" s="8">
        <v>3701</v>
      </c>
      <c r="O48" s="8">
        <v>2339</v>
      </c>
      <c r="P48" s="8">
        <v>1315</v>
      </c>
      <c r="Q48" s="8">
        <v>18899</v>
      </c>
      <c r="R48" s="7">
        <v>19255</v>
      </c>
      <c r="S48" s="8">
        <v>3626</v>
      </c>
      <c r="T48" s="8">
        <v>10157</v>
      </c>
      <c r="U48" s="8">
        <v>10009</v>
      </c>
      <c r="V48" s="8">
        <v>7580</v>
      </c>
      <c r="W48" s="8">
        <v>5075</v>
      </c>
      <c r="X48" s="8">
        <v>3082</v>
      </c>
      <c r="Y48" s="8">
        <v>39529</v>
      </c>
      <c r="Z48" s="7">
        <v>40379</v>
      </c>
      <c r="AA48" s="5"/>
    </row>
    <row r="49" spans="1:27" x14ac:dyDescent="0.2">
      <c r="A49" s="14"/>
      <c r="B49" s="7" t="s">
        <v>2</v>
      </c>
      <c r="C49" s="8">
        <v>2238</v>
      </c>
      <c r="D49" s="8">
        <v>4780</v>
      </c>
      <c r="E49" s="8">
        <v>4761</v>
      </c>
      <c r="F49" s="8">
        <v>4043</v>
      </c>
      <c r="G49" s="8">
        <v>3264</v>
      </c>
      <c r="H49" s="8">
        <v>2225</v>
      </c>
      <c r="I49" s="8">
        <v>21311</v>
      </c>
      <c r="J49" s="7">
        <v>21934</v>
      </c>
      <c r="K49" s="8">
        <v>696</v>
      </c>
      <c r="L49" s="8">
        <v>1530</v>
      </c>
      <c r="M49" s="8">
        <v>1392</v>
      </c>
      <c r="N49" s="8">
        <v>993</v>
      </c>
      <c r="O49" s="8">
        <v>696</v>
      </c>
      <c r="P49" s="8">
        <v>432</v>
      </c>
      <c r="Q49" s="8">
        <v>5739</v>
      </c>
      <c r="R49" s="7">
        <v>5852</v>
      </c>
      <c r="S49" s="8">
        <v>2934</v>
      </c>
      <c r="T49" s="8">
        <v>6310</v>
      </c>
      <c r="U49" s="8">
        <v>6153</v>
      </c>
      <c r="V49" s="8">
        <v>5036</v>
      </c>
      <c r="W49" s="8">
        <v>3960</v>
      </c>
      <c r="X49" s="8">
        <v>2657</v>
      </c>
      <c r="Y49" s="8">
        <v>27050</v>
      </c>
      <c r="Z49" s="7">
        <v>27786</v>
      </c>
      <c r="AA49" s="5"/>
    </row>
    <row r="50" spans="1:27" x14ac:dyDescent="0.2">
      <c r="A50" s="14"/>
      <c r="B50" s="7" t="s">
        <v>3</v>
      </c>
      <c r="C50" s="8">
        <v>231</v>
      </c>
      <c r="D50" s="8">
        <v>531</v>
      </c>
      <c r="E50" s="8">
        <v>705</v>
      </c>
      <c r="F50" s="8">
        <v>693</v>
      </c>
      <c r="G50" s="8">
        <v>513</v>
      </c>
      <c r="H50" s="8">
        <v>297</v>
      </c>
      <c r="I50" s="8">
        <v>2970</v>
      </c>
      <c r="J50" s="7">
        <v>3055</v>
      </c>
      <c r="K50" s="8">
        <v>95</v>
      </c>
      <c r="L50" s="8">
        <v>206</v>
      </c>
      <c r="M50" s="8">
        <v>300</v>
      </c>
      <c r="N50" s="8">
        <v>278</v>
      </c>
      <c r="O50" s="8">
        <v>204</v>
      </c>
      <c r="P50" s="8">
        <v>109</v>
      </c>
      <c r="Q50" s="8">
        <v>1192</v>
      </c>
      <c r="R50" s="7">
        <v>1228</v>
      </c>
      <c r="S50" s="8">
        <v>326</v>
      </c>
      <c r="T50" s="8">
        <v>737</v>
      </c>
      <c r="U50" s="8">
        <v>1005</v>
      </c>
      <c r="V50" s="8">
        <v>971</v>
      </c>
      <c r="W50" s="8">
        <v>717</v>
      </c>
      <c r="X50" s="8">
        <v>406</v>
      </c>
      <c r="Y50" s="8">
        <v>4162</v>
      </c>
      <c r="Z50" s="7">
        <v>4283</v>
      </c>
      <c r="AA50" s="5"/>
    </row>
    <row r="51" spans="1:27" x14ac:dyDescent="0.2">
      <c r="A51" s="14"/>
      <c r="B51" s="7" t="s">
        <v>4</v>
      </c>
      <c r="C51" s="8">
        <v>7169</v>
      </c>
      <c r="D51" s="8">
        <v>11371</v>
      </c>
      <c r="E51" s="8">
        <v>8857</v>
      </c>
      <c r="F51" s="8">
        <v>6405</v>
      </c>
      <c r="G51" s="8">
        <v>4361</v>
      </c>
      <c r="H51" s="8">
        <v>2713</v>
      </c>
      <c r="I51" s="8">
        <v>40876</v>
      </c>
      <c r="J51" s="7">
        <v>41552</v>
      </c>
      <c r="K51" s="8">
        <v>4676</v>
      </c>
      <c r="L51" s="8">
        <v>8130</v>
      </c>
      <c r="M51" s="8">
        <v>6492</v>
      </c>
      <c r="N51" s="8">
        <v>4438</v>
      </c>
      <c r="O51" s="8">
        <v>2685</v>
      </c>
      <c r="P51" s="8">
        <v>1456</v>
      </c>
      <c r="Q51" s="8">
        <v>27877</v>
      </c>
      <c r="R51" s="7">
        <v>28251</v>
      </c>
      <c r="S51" s="8">
        <v>11845</v>
      </c>
      <c r="T51" s="8">
        <v>19501</v>
      </c>
      <c r="U51" s="8">
        <v>15349</v>
      </c>
      <c r="V51" s="8">
        <v>10843</v>
      </c>
      <c r="W51" s="8">
        <v>7046</v>
      </c>
      <c r="X51" s="8">
        <v>4169</v>
      </c>
      <c r="Y51" s="8">
        <v>68753</v>
      </c>
      <c r="Z51" s="7">
        <v>69803</v>
      </c>
      <c r="AA51" s="5"/>
    </row>
    <row r="52" spans="1:27" x14ac:dyDescent="0.2">
      <c r="A52" s="14"/>
      <c r="B52" s="7" t="s">
        <v>5</v>
      </c>
      <c r="C52" s="8">
        <v>2212</v>
      </c>
      <c r="D52" s="8">
        <v>2158</v>
      </c>
      <c r="E52" s="8">
        <v>1494</v>
      </c>
      <c r="F52" s="8">
        <v>818</v>
      </c>
      <c r="G52" s="8">
        <v>404</v>
      </c>
      <c r="H52" s="8">
        <v>225</v>
      </c>
      <c r="I52" s="8">
        <v>7311</v>
      </c>
      <c r="J52" s="7">
        <v>7369</v>
      </c>
      <c r="K52" s="8">
        <v>954</v>
      </c>
      <c r="L52" s="8">
        <v>1097</v>
      </c>
      <c r="M52" s="8">
        <v>693</v>
      </c>
      <c r="N52" s="8">
        <v>413</v>
      </c>
      <c r="O52" s="8">
        <v>184</v>
      </c>
      <c r="P52" s="8">
        <v>80</v>
      </c>
      <c r="Q52" s="8">
        <v>3421</v>
      </c>
      <c r="R52" s="7">
        <v>3444</v>
      </c>
      <c r="S52" s="8">
        <v>3166</v>
      </c>
      <c r="T52" s="8">
        <v>3255</v>
      </c>
      <c r="U52" s="8">
        <v>2187</v>
      </c>
      <c r="V52" s="8">
        <v>1231</v>
      </c>
      <c r="W52" s="8">
        <v>588</v>
      </c>
      <c r="X52" s="8">
        <v>305</v>
      </c>
      <c r="Y52" s="8">
        <v>10732</v>
      </c>
      <c r="Z52" s="7">
        <v>10813</v>
      </c>
      <c r="AA52" s="5"/>
    </row>
    <row r="53" spans="1:27" x14ac:dyDescent="0.2">
      <c r="A53" s="14"/>
      <c r="B53" s="7" t="s">
        <v>6</v>
      </c>
      <c r="C53" s="8">
        <v>350</v>
      </c>
      <c r="D53" s="8">
        <v>980</v>
      </c>
      <c r="E53" s="8">
        <v>1929</v>
      </c>
      <c r="F53" s="8">
        <v>2372</v>
      </c>
      <c r="G53" s="8">
        <v>1790</v>
      </c>
      <c r="H53" s="8">
        <v>885</v>
      </c>
      <c r="I53" s="8">
        <v>8306</v>
      </c>
      <c r="J53" s="7">
        <v>8529</v>
      </c>
      <c r="K53" s="8">
        <v>463</v>
      </c>
      <c r="L53" s="8">
        <v>954</v>
      </c>
      <c r="M53" s="8">
        <v>1804</v>
      </c>
      <c r="N53" s="8">
        <v>1745</v>
      </c>
      <c r="O53" s="8">
        <v>1137</v>
      </c>
      <c r="P53" s="8">
        <v>509</v>
      </c>
      <c r="Q53" s="8">
        <v>6612</v>
      </c>
      <c r="R53" s="7">
        <v>6715</v>
      </c>
      <c r="S53" s="8">
        <v>813</v>
      </c>
      <c r="T53" s="8">
        <v>1934</v>
      </c>
      <c r="U53" s="8">
        <v>3733</v>
      </c>
      <c r="V53" s="8">
        <v>4117</v>
      </c>
      <c r="W53" s="8">
        <v>2927</v>
      </c>
      <c r="X53" s="8">
        <v>1394</v>
      </c>
      <c r="Y53" s="8">
        <v>14918</v>
      </c>
      <c r="Z53" s="7">
        <v>15244</v>
      </c>
      <c r="AA53" s="5"/>
    </row>
    <row r="54" spans="1:27" x14ac:dyDescent="0.2">
      <c r="A54" s="14"/>
      <c r="B54" s="67" t="s">
        <v>168</v>
      </c>
      <c r="C54" s="8">
        <v>123</v>
      </c>
      <c r="D54" s="8">
        <v>450</v>
      </c>
      <c r="E54" s="8">
        <v>711</v>
      </c>
      <c r="F54" s="8">
        <v>836</v>
      </c>
      <c r="G54" s="8">
        <v>724</v>
      </c>
      <c r="H54" s="8">
        <v>447</v>
      </c>
      <c r="I54" s="8">
        <v>3291</v>
      </c>
      <c r="J54" s="7">
        <v>3413</v>
      </c>
      <c r="K54" s="8">
        <v>8</v>
      </c>
      <c r="L54" s="8">
        <v>36</v>
      </c>
      <c r="M54" s="8">
        <v>63</v>
      </c>
      <c r="N54" s="8">
        <v>74</v>
      </c>
      <c r="O54" s="8">
        <v>57</v>
      </c>
      <c r="P54" s="8">
        <v>22</v>
      </c>
      <c r="Q54" s="8">
        <v>260</v>
      </c>
      <c r="R54" s="7">
        <v>270</v>
      </c>
      <c r="S54" s="8">
        <v>131</v>
      </c>
      <c r="T54" s="8">
        <v>486</v>
      </c>
      <c r="U54" s="8">
        <v>774</v>
      </c>
      <c r="V54" s="8">
        <v>910</v>
      </c>
      <c r="W54" s="8">
        <v>781</v>
      </c>
      <c r="X54" s="8">
        <v>469</v>
      </c>
      <c r="Y54" s="8">
        <v>3551</v>
      </c>
      <c r="Z54" s="7">
        <v>3683</v>
      </c>
      <c r="AA54" s="5"/>
    </row>
    <row r="55" spans="1:27" x14ac:dyDescent="0.2">
      <c r="A55" s="14"/>
      <c r="B55" s="7" t="s">
        <v>8</v>
      </c>
      <c r="C55" s="8">
        <v>80</v>
      </c>
      <c r="D55" s="8">
        <v>344</v>
      </c>
      <c r="E55" s="8">
        <v>1109</v>
      </c>
      <c r="F55" s="8">
        <v>1637</v>
      </c>
      <c r="G55" s="8">
        <v>1613</v>
      </c>
      <c r="H55" s="8">
        <v>952</v>
      </c>
      <c r="I55" s="8">
        <v>5735</v>
      </c>
      <c r="J55" s="7">
        <v>5985</v>
      </c>
      <c r="K55" s="8">
        <v>60</v>
      </c>
      <c r="L55" s="8">
        <v>326</v>
      </c>
      <c r="M55" s="8">
        <v>832</v>
      </c>
      <c r="N55" s="8">
        <v>973</v>
      </c>
      <c r="O55" s="8">
        <v>717</v>
      </c>
      <c r="P55" s="8">
        <v>379</v>
      </c>
      <c r="Q55" s="8">
        <v>3287</v>
      </c>
      <c r="R55" s="7">
        <v>3374</v>
      </c>
      <c r="S55" s="8">
        <v>140</v>
      </c>
      <c r="T55" s="8">
        <v>670</v>
      </c>
      <c r="U55" s="8">
        <v>1941</v>
      </c>
      <c r="V55" s="8">
        <v>2610</v>
      </c>
      <c r="W55" s="8">
        <v>2330</v>
      </c>
      <c r="X55" s="8">
        <v>1331</v>
      </c>
      <c r="Y55" s="8">
        <v>9022</v>
      </c>
      <c r="Z55" s="7">
        <v>9359</v>
      </c>
      <c r="AA55" s="5"/>
    </row>
    <row r="56" spans="1:27" x14ac:dyDescent="0.2">
      <c r="A56" s="14"/>
      <c r="B56" s="7" t="s">
        <v>9</v>
      </c>
      <c r="C56" s="8">
        <v>0</v>
      </c>
      <c r="D56" s="8">
        <v>0</v>
      </c>
      <c r="E56" s="8">
        <v>6</v>
      </c>
      <c r="F56" s="8">
        <v>9</v>
      </c>
      <c r="G56" s="8">
        <v>11</v>
      </c>
      <c r="H56" s="8">
        <v>7</v>
      </c>
      <c r="I56" s="8">
        <v>33</v>
      </c>
      <c r="J56" s="7">
        <v>34</v>
      </c>
      <c r="K56" s="8">
        <v>7</v>
      </c>
      <c r="L56" s="8">
        <v>62</v>
      </c>
      <c r="M56" s="8">
        <v>81</v>
      </c>
      <c r="N56" s="8">
        <v>82</v>
      </c>
      <c r="O56" s="8">
        <v>56</v>
      </c>
      <c r="P56" s="8">
        <v>31</v>
      </c>
      <c r="Q56" s="8">
        <v>319</v>
      </c>
      <c r="R56" s="7">
        <v>324</v>
      </c>
      <c r="S56" s="8">
        <v>7</v>
      </c>
      <c r="T56" s="8">
        <v>62</v>
      </c>
      <c r="U56" s="8">
        <v>87</v>
      </c>
      <c r="V56" s="8">
        <v>91</v>
      </c>
      <c r="W56" s="8">
        <v>67</v>
      </c>
      <c r="X56" s="8">
        <v>38</v>
      </c>
      <c r="Y56" s="8">
        <v>352</v>
      </c>
      <c r="Z56" s="7">
        <v>358</v>
      </c>
      <c r="AA56" s="5"/>
    </row>
    <row r="57" spans="1:27" x14ac:dyDescent="0.2">
      <c r="A57" s="14"/>
      <c r="B57" s="7" t="s">
        <v>10</v>
      </c>
      <c r="C57" s="8">
        <v>38</v>
      </c>
      <c r="D57" s="8">
        <v>311</v>
      </c>
      <c r="E57" s="8">
        <v>535</v>
      </c>
      <c r="F57" s="8">
        <v>636</v>
      </c>
      <c r="G57" s="8">
        <v>486</v>
      </c>
      <c r="H57" s="8">
        <v>280</v>
      </c>
      <c r="I57" s="8">
        <v>2286</v>
      </c>
      <c r="J57" s="7">
        <v>2365</v>
      </c>
      <c r="K57" s="8">
        <v>36</v>
      </c>
      <c r="L57" s="8">
        <v>176</v>
      </c>
      <c r="M57" s="8">
        <v>315</v>
      </c>
      <c r="N57" s="8">
        <v>369</v>
      </c>
      <c r="O57" s="8">
        <v>299</v>
      </c>
      <c r="P57" s="8">
        <v>187</v>
      </c>
      <c r="Q57" s="8">
        <v>1382</v>
      </c>
      <c r="R57" s="7">
        <v>1443</v>
      </c>
      <c r="S57" s="8">
        <v>74</v>
      </c>
      <c r="T57" s="8">
        <v>487</v>
      </c>
      <c r="U57" s="8">
        <v>850</v>
      </c>
      <c r="V57" s="8">
        <v>1005</v>
      </c>
      <c r="W57" s="8">
        <v>785</v>
      </c>
      <c r="X57" s="8">
        <v>467</v>
      </c>
      <c r="Y57" s="8">
        <v>3668</v>
      </c>
      <c r="Z57" s="7">
        <v>3808</v>
      </c>
      <c r="AA57" s="5"/>
    </row>
    <row r="58" spans="1:27" x14ac:dyDescent="0.2">
      <c r="A58" s="14"/>
      <c r="B58" s="7" t="s">
        <v>11</v>
      </c>
      <c r="C58" s="8">
        <v>644</v>
      </c>
      <c r="D58" s="8">
        <v>2370</v>
      </c>
      <c r="E58" s="8">
        <v>4922</v>
      </c>
      <c r="F58" s="8">
        <v>5474</v>
      </c>
      <c r="G58" s="8">
        <v>3492</v>
      </c>
      <c r="H58" s="8">
        <v>1281</v>
      </c>
      <c r="I58" s="8">
        <v>18183</v>
      </c>
      <c r="J58" s="7">
        <v>18434</v>
      </c>
      <c r="K58" s="8">
        <v>545</v>
      </c>
      <c r="L58" s="8">
        <v>1829</v>
      </c>
      <c r="M58" s="8">
        <v>3431</v>
      </c>
      <c r="N58" s="8">
        <v>3483</v>
      </c>
      <c r="O58" s="8">
        <v>2292</v>
      </c>
      <c r="P58" s="8">
        <v>807</v>
      </c>
      <c r="Q58" s="8">
        <v>12387</v>
      </c>
      <c r="R58" s="7">
        <v>12537</v>
      </c>
      <c r="S58" s="8">
        <v>1189</v>
      </c>
      <c r="T58" s="8">
        <v>4199</v>
      </c>
      <c r="U58" s="8">
        <v>8353</v>
      </c>
      <c r="V58" s="8">
        <v>8957</v>
      </c>
      <c r="W58" s="8">
        <v>5784</v>
      </c>
      <c r="X58" s="8">
        <v>2088</v>
      </c>
      <c r="Y58" s="8">
        <v>30570</v>
      </c>
      <c r="Z58" s="7">
        <v>30971</v>
      </c>
      <c r="AA58" s="5"/>
    </row>
    <row r="59" spans="1:27" x14ac:dyDescent="0.2">
      <c r="A59" s="14"/>
      <c r="B59" s="7" t="s">
        <v>12</v>
      </c>
      <c r="C59" s="8">
        <v>1125</v>
      </c>
      <c r="D59" s="8">
        <v>3916</v>
      </c>
      <c r="E59" s="8">
        <v>3944</v>
      </c>
      <c r="F59" s="8">
        <v>2770</v>
      </c>
      <c r="G59" s="8">
        <v>1487</v>
      </c>
      <c r="H59" s="8">
        <v>632</v>
      </c>
      <c r="I59" s="8">
        <v>13874</v>
      </c>
      <c r="J59" s="7">
        <v>14007</v>
      </c>
      <c r="K59" s="8">
        <v>721</v>
      </c>
      <c r="L59" s="8">
        <v>1941</v>
      </c>
      <c r="M59" s="8">
        <v>1791</v>
      </c>
      <c r="N59" s="8">
        <v>1115</v>
      </c>
      <c r="O59" s="8">
        <v>513</v>
      </c>
      <c r="P59" s="8">
        <v>184</v>
      </c>
      <c r="Q59" s="8">
        <v>6265</v>
      </c>
      <c r="R59" s="7">
        <v>6307</v>
      </c>
      <c r="S59" s="8">
        <v>1846</v>
      </c>
      <c r="T59" s="8">
        <v>5857</v>
      </c>
      <c r="U59" s="8">
        <v>5735</v>
      </c>
      <c r="V59" s="8">
        <v>3885</v>
      </c>
      <c r="W59" s="8">
        <v>2000</v>
      </c>
      <c r="X59" s="8">
        <v>816</v>
      </c>
      <c r="Y59" s="8">
        <v>20139</v>
      </c>
      <c r="Z59" s="7">
        <v>20314</v>
      </c>
      <c r="AA59" s="5"/>
    </row>
    <row r="60" spans="1:27" x14ac:dyDescent="0.2">
      <c r="A60" s="14"/>
      <c r="B60" s="7" t="s">
        <v>13</v>
      </c>
      <c r="C60" s="8">
        <v>843</v>
      </c>
      <c r="D60" s="8">
        <v>3324</v>
      </c>
      <c r="E60" s="8">
        <v>4293</v>
      </c>
      <c r="F60" s="8">
        <v>3932</v>
      </c>
      <c r="G60" s="8">
        <v>2437</v>
      </c>
      <c r="H60" s="8">
        <v>894</v>
      </c>
      <c r="I60" s="8">
        <v>15723</v>
      </c>
      <c r="J60" s="7">
        <v>15901</v>
      </c>
      <c r="K60" s="8">
        <v>1196</v>
      </c>
      <c r="L60" s="8">
        <v>3563</v>
      </c>
      <c r="M60" s="8">
        <v>3701</v>
      </c>
      <c r="N60" s="8">
        <v>2814</v>
      </c>
      <c r="O60" s="8">
        <v>1501</v>
      </c>
      <c r="P60" s="8">
        <v>473</v>
      </c>
      <c r="Q60" s="8">
        <v>13248</v>
      </c>
      <c r="R60" s="7">
        <v>13324</v>
      </c>
      <c r="S60" s="8">
        <v>2039</v>
      </c>
      <c r="T60" s="8">
        <v>6887</v>
      </c>
      <c r="U60" s="8">
        <v>7994</v>
      </c>
      <c r="V60" s="8">
        <v>6746</v>
      </c>
      <c r="W60" s="8">
        <v>3938</v>
      </c>
      <c r="X60" s="8">
        <v>1367</v>
      </c>
      <c r="Y60" s="8">
        <v>28971</v>
      </c>
      <c r="Z60" s="7">
        <v>29225</v>
      </c>
      <c r="AA60" s="5"/>
    </row>
    <row r="61" spans="1:27" x14ac:dyDescent="0.2">
      <c r="A61" s="14"/>
      <c r="B61" s="7" t="s">
        <v>14</v>
      </c>
      <c r="C61" s="8">
        <v>593</v>
      </c>
      <c r="D61" s="8">
        <v>1735</v>
      </c>
      <c r="E61" s="8">
        <v>2002</v>
      </c>
      <c r="F61" s="8">
        <v>1558</v>
      </c>
      <c r="G61" s="8">
        <v>852</v>
      </c>
      <c r="H61" s="8">
        <v>343</v>
      </c>
      <c r="I61" s="8">
        <v>7083</v>
      </c>
      <c r="J61" s="7">
        <v>7180</v>
      </c>
      <c r="K61" s="8">
        <v>589</v>
      </c>
      <c r="L61" s="8">
        <v>1507</v>
      </c>
      <c r="M61" s="8">
        <v>1438</v>
      </c>
      <c r="N61" s="8">
        <v>1021</v>
      </c>
      <c r="O61" s="8">
        <v>617</v>
      </c>
      <c r="P61" s="8">
        <v>227</v>
      </c>
      <c r="Q61" s="8">
        <v>5399</v>
      </c>
      <c r="R61" s="7">
        <v>5449</v>
      </c>
      <c r="S61" s="8">
        <v>1182</v>
      </c>
      <c r="T61" s="8">
        <v>3242</v>
      </c>
      <c r="U61" s="8">
        <v>3440</v>
      </c>
      <c r="V61" s="8">
        <v>2579</v>
      </c>
      <c r="W61" s="8">
        <v>1469</v>
      </c>
      <c r="X61" s="8">
        <v>570</v>
      </c>
      <c r="Y61" s="8">
        <v>12482</v>
      </c>
      <c r="Z61" s="7">
        <v>12629</v>
      </c>
      <c r="AA61" s="5"/>
    </row>
    <row r="62" spans="1:27" x14ac:dyDescent="0.2">
      <c r="A62" s="14"/>
      <c r="B62" s="7" t="s">
        <v>15</v>
      </c>
      <c r="C62" s="8">
        <v>1468</v>
      </c>
      <c r="D62" s="8">
        <v>4275</v>
      </c>
      <c r="E62" s="8">
        <v>6215</v>
      </c>
      <c r="F62" s="8">
        <v>5576</v>
      </c>
      <c r="G62" s="8">
        <v>3356</v>
      </c>
      <c r="H62" s="8">
        <v>1169</v>
      </c>
      <c r="I62" s="8">
        <v>22059</v>
      </c>
      <c r="J62" s="7">
        <v>22247</v>
      </c>
      <c r="K62" s="8">
        <v>1682</v>
      </c>
      <c r="L62" s="8">
        <v>4892</v>
      </c>
      <c r="M62" s="8">
        <v>6631</v>
      </c>
      <c r="N62" s="8">
        <v>5442</v>
      </c>
      <c r="O62" s="8">
        <v>3128</v>
      </c>
      <c r="P62" s="8">
        <v>975</v>
      </c>
      <c r="Q62" s="8">
        <v>22750</v>
      </c>
      <c r="R62" s="7">
        <v>22899</v>
      </c>
      <c r="S62" s="8">
        <v>3150</v>
      </c>
      <c r="T62" s="8">
        <v>9167</v>
      </c>
      <c r="U62" s="8">
        <v>12846</v>
      </c>
      <c r="V62" s="8">
        <v>11018</v>
      </c>
      <c r="W62" s="8">
        <v>6484</v>
      </c>
      <c r="X62" s="8">
        <v>2144</v>
      </c>
      <c r="Y62" s="8">
        <v>44809</v>
      </c>
      <c r="Z62" s="7">
        <v>45146</v>
      </c>
      <c r="AA62" s="5"/>
    </row>
    <row r="63" spans="1:27" x14ac:dyDescent="0.2">
      <c r="A63" s="14"/>
      <c r="B63" s="7" t="s">
        <v>16</v>
      </c>
      <c r="C63" s="8">
        <v>238</v>
      </c>
      <c r="D63" s="8">
        <v>701</v>
      </c>
      <c r="E63" s="8">
        <v>1293</v>
      </c>
      <c r="F63" s="8">
        <v>1533</v>
      </c>
      <c r="G63" s="8">
        <v>1184</v>
      </c>
      <c r="H63" s="8">
        <v>625</v>
      </c>
      <c r="I63" s="8">
        <v>5574</v>
      </c>
      <c r="J63" s="7">
        <v>5758</v>
      </c>
      <c r="K63" s="8">
        <v>537</v>
      </c>
      <c r="L63" s="8">
        <v>1424</v>
      </c>
      <c r="M63" s="8">
        <v>2115</v>
      </c>
      <c r="N63" s="8">
        <v>2024</v>
      </c>
      <c r="O63" s="8">
        <v>1470</v>
      </c>
      <c r="P63" s="8">
        <v>722</v>
      </c>
      <c r="Q63" s="8">
        <v>8292</v>
      </c>
      <c r="R63" s="7">
        <v>8503</v>
      </c>
      <c r="S63" s="8">
        <v>775</v>
      </c>
      <c r="T63" s="8">
        <v>2125</v>
      </c>
      <c r="U63" s="8">
        <v>3408</v>
      </c>
      <c r="V63" s="8">
        <v>3557</v>
      </c>
      <c r="W63" s="8">
        <v>2654</v>
      </c>
      <c r="X63" s="8">
        <v>1347</v>
      </c>
      <c r="Y63" s="8">
        <v>13866</v>
      </c>
      <c r="Z63" s="7">
        <v>14261</v>
      </c>
      <c r="AA63" s="5"/>
    </row>
    <row r="64" spans="1:27" x14ac:dyDescent="0.2">
      <c r="A64" s="14"/>
      <c r="B64" s="7" t="s">
        <v>17</v>
      </c>
      <c r="C64" s="8">
        <v>398</v>
      </c>
      <c r="D64" s="8">
        <v>1317</v>
      </c>
      <c r="E64" s="8">
        <v>3098</v>
      </c>
      <c r="F64" s="8">
        <v>3921</v>
      </c>
      <c r="G64" s="8">
        <v>3333</v>
      </c>
      <c r="H64" s="8">
        <v>1747</v>
      </c>
      <c r="I64" s="8">
        <v>13814</v>
      </c>
      <c r="J64" s="7">
        <v>14311</v>
      </c>
      <c r="K64" s="8">
        <v>2361</v>
      </c>
      <c r="L64" s="8">
        <v>6039</v>
      </c>
      <c r="M64" s="8">
        <v>10205</v>
      </c>
      <c r="N64" s="8">
        <v>10053</v>
      </c>
      <c r="O64" s="8">
        <v>6590</v>
      </c>
      <c r="P64" s="8">
        <v>2811</v>
      </c>
      <c r="Q64" s="8">
        <v>38059</v>
      </c>
      <c r="R64" s="7">
        <v>38769</v>
      </c>
      <c r="S64" s="8">
        <v>2759</v>
      </c>
      <c r="T64" s="8">
        <v>7356</v>
      </c>
      <c r="U64" s="8">
        <v>13303</v>
      </c>
      <c r="V64" s="8">
        <v>13974</v>
      </c>
      <c r="W64" s="8">
        <v>9923</v>
      </c>
      <c r="X64" s="8">
        <v>4558</v>
      </c>
      <c r="Y64" s="8">
        <v>51873</v>
      </c>
      <c r="Z64" s="7">
        <v>53080</v>
      </c>
      <c r="AA64" s="5"/>
    </row>
    <row r="65" spans="1:27" x14ac:dyDescent="0.2">
      <c r="A65" s="14"/>
      <c r="B65" s="7" t="s">
        <v>18</v>
      </c>
      <c r="C65" s="8">
        <v>254</v>
      </c>
      <c r="D65" s="8">
        <v>735</v>
      </c>
      <c r="E65" s="8">
        <v>1700</v>
      </c>
      <c r="F65" s="8">
        <v>1955</v>
      </c>
      <c r="G65" s="8">
        <v>1335</v>
      </c>
      <c r="H65" s="8">
        <v>558</v>
      </c>
      <c r="I65" s="8">
        <v>6537</v>
      </c>
      <c r="J65" s="7">
        <v>6678</v>
      </c>
      <c r="K65" s="8">
        <v>1173</v>
      </c>
      <c r="L65" s="8">
        <v>3277</v>
      </c>
      <c r="M65" s="8">
        <v>5644</v>
      </c>
      <c r="N65" s="8">
        <v>5515</v>
      </c>
      <c r="O65" s="8">
        <v>3361</v>
      </c>
      <c r="P65" s="8">
        <v>1248</v>
      </c>
      <c r="Q65" s="8">
        <v>20218</v>
      </c>
      <c r="R65" s="7">
        <v>20499</v>
      </c>
      <c r="S65" s="8">
        <v>1427</v>
      </c>
      <c r="T65" s="8">
        <v>4012</v>
      </c>
      <c r="U65" s="8">
        <v>7344</v>
      </c>
      <c r="V65" s="8">
        <v>7470</v>
      </c>
      <c r="W65" s="8">
        <v>4696</v>
      </c>
      <c r="X65" s="8">
        <v>1806</v>
      </c>
      <c r="Y65" s="8">
        <v>26755</v>
      </c>
      <c r="Z65" s="7">
        <v>27177</v>
      </c>
      <c r="AA65" s="5"/>
    </row>
    <row r="66" spans="1:27" x14ac:dyDescent="0.2">
      <c r="A66" s="14"/>
      <c r="B66" s="7" t="s">
        <v>73</v>
      </c>
      <c r="C66" s="8">
        <v>121</v>
      </c>
      <c r="D66" s="8">
        <v>350</v>
      </c>
      <c r="E66" s="8">
        <v>594</v>
      </c>
      <c r="F66" s="8">
        <v>514</v>
      </c>
      <c r="G66" s="8">
        <v>291</v>
      </c>
      <c r="H66" s="8">
        <v>159</v>
      </c>
      <c r="I66" s="8">
        <v>2029</v>
      </c>
      <c r="J66" s="7">
        <v>2091</v>
      </c>
      <c r="K66" s="8">
        <v>145</v>
      </c>
      <c r="L66" s="8">
        <v>387</v>
      </c>
      <c r="M66" s="8">
        <v>655</v>
      </c>
      <c r="N66" s="8">
        <v>506</v>
      </c>
      <c r="O66" s="8">
        <v>298</v>
      </c>
      <c r="P66" s="8">
        <v>118</v>
      </c>
      <c r="Q66" s="8">
        <v>2109</v>
      </c>
      <c r="R66" s="7">
        <v>2176</v>
      </c>
      <c r="S66" s="8">
        <v>266</v>
      </c>
      <c r="T66" s="8">
        <v>737</v>
      </c>
      <c r="U66" s="8">
        <v>1249</v>
      </c>
      <c r="V66" s="8">
        <v>1020</v>
      </c>
      <c r="W66" s="8">
        <v>589</v>
      </c>
      <c r="X66" s="8">
        <v>277</v>
      </c>
      <c r="Y66" s="8">
        <v>4138</v>
      </c>
      <c r="Z66" s="7">
        <v>4267</v>
      </c>
      <c r="AA66" s="5"/>
    </row>
    <row r="67" spans="1:27" x14ac:dyDescent="0.2">
      <c r="A67" s="14"/>
      <c r="B67" s="7" t="s">
        <v>20</v>
      </c>
      <c r="C67" s="8">
        <v>1398</v>
      </c>
      <c r="D67" s="8">
        <v>1689</v>
      </c>
      <c r="E67" s="8">
        <v>2817</v>
      </c>
      <c r="F67" s="8">
        <v>2899</v>
      </c>
      <c r="G67" s="8">
        <v>1856</v>
      </c>
      <c r="H67" s="8">
        <v>915</v>
      </c>
      <c r="I67" s="8">
        <v>11574</v>
      </c>
      <c r="J67" s="7">
        <v>11855</v>
      </c>
      <c r="K67" s="8">
        <v>4152</v>
      </c>
      <c r="L67" s="8">
        <v>5970</v>
      </c>
      <c r="M67" s="8">
        <v>8195</v>
      </c>
      <c r="N67" s="8">
        <v>7060</v>
      </c>
      <c r="O67" s="8">
        <v>3843</v>
      </c>
      <c r="P67" s="8">
        <v>1352</v>
      </c>
      <c r="Q67" s="8">
        <v>30572</v>
      </c>
      <c r="R67" s="7">
        <v>30929</v>
      </c>
      <c r="S67" s="8">
        <v>5550</v>
      </c>
      <c r="T67" s="8">
        <v>7659</v>
      </c>
      <c r="U67" s="8">
        <v>11012</v>
      </c>
      <c r="V67" s="8">
        <v>9959</v>
      </c>
      <c r="W67" s="8">
        <v>5699</v>
      </c>
      <c r="X67" s="8">
        <v>2267</v>
      </c>
      <c r="Y67" s="8">
        <v>42146</v>
      </c>
      <c r="Z67" s="7">
        <v>42784</v>
      </c>
      <c r="AA67" s="5"/>
    </row>
    <row r="68" spans="1:27" x14ac:dyDescent="0.2">
      <c r="A68" s="14"/>
      <c r="B68" s="7" t="s">
        <v>21</v>
      </c>
      <c r="C68" s="8">
        <v>206</v>
      </c>
      <c r="D68" s="8">
        <v>533</v>
      </c>
      <c r="E68" s="8">
        <v>1272</v>
      </c>
      <c r="F68" s="8">
        <v>1513</v>
      </c>
      <c r="G68" s="8">
        <v>1034</v>
      </c>
      <c r="H68" s="8">
        <v>357</v>
      </c>
      <c r="I68" s="8">
        <v>4915</v>
      </c>
      <c r="J68" s="7">
        <v>4970</v>
      </c>
      <c r="K68" s="8">
        <v>657</v>
      </c>
      <c r="L68" s="8">
        <v>1565</v>
      </c>
      <c r="M68" s="8">
        <v>3159</v>
      </c>
      <c r="N68" s="8">
        <v>3032</v>
      </c>
      <c r="O68" s="8">
        <v>1443</v>
      </c>
      <c r="P68" s="8">
        <v>374</v>
      </c>
      <c r="Q68" s="8">
        <v>10230</v>
      </c>
      <c r="R68" s="7">
        <v>10292</v>
      </c>
      <c r="S68" s="8">
        <v>863</v>
      </c>
      <c r="T68" s="8">
        <v>2098</v>
      </c>
      <c r="U68" s="8">
        <v>4431</v>
      </c>
      <c r="V68" s="8">
        <v>4545</v>
      </c>
      <c r="W68" s="8">
        <v>2477</v>
      </c>
      <c r="X68" s="8">
        <v>731</v>
      </c>
      <c r="Y68" s="8">
        <v>15145</v>
      </c>
      <c r="Z68" s="7">
        <v>15262</v>
      </c>
      <c r="AA68" s="5"/>
    </row>
    <row r="69" spans="1:27" x14ac:dyDescent="0.2">
      <c r="A69" s="14"/>
      <c r="B69" s="7" t="s">
        <v>22</v>
      </c>
      <c r="C69" s="8">
        <v>1849</v>
      </c>
      <c r="D69" s="8">
        <v>3832</v>
      </c>
      <c r="E69" s="8">
        <v>6494</v>
      </c>
      <c r="F69" s="8">
        <v>6983</v>
      </c>
      <c r="G69" s="8">
        <v>4687</v>
      </c>
      <c r="H69" s="8">
        <v>1375</v>
      </c>
      <c r="I69" s="8">
        <v>25220</v>
      </c>
      <c r="J69" s="7">
        <v>25438</v>
      </c>
      <c r="K69" s="8">
        <v>4212</v>
      </c>
      <c r="L69" s="8">
        <v>9496</v>
      </c>
      <c r="M69" s="8">
        <v>15952</v>
      </c>
      <c r="N69" s="8">
        <v>16531</v>
      </c>
      <c r="O69" s="8">
        <v>9693</v>
      </c>
      <c r="P69" s="8">
        <v>2383</v>
      </c>
      <c r="Q69" s="8">
        <v>58267</v>
      </c>
      <c r="R69" s="7">
        <v>58599</v>
      </c>
      <c r="S69" s="8">
        <v>6061</v>
      </c>
      <c r="T69" s="8">
        <v>13328</v>
      </c>
      <c r="U69" s="8">
        <v>22446</v>
      </c>
      <c r="V69" s="8">
        <v>23514</v>
      </c>
      <c r="W69" s="8">
        <v>14380</v>
      </c>
      <c r="X69" s="8">
        <v>3758</v>
      </c>
      <c r="Y69" s="8">
        <v>83487</v>
      </c>
      <c r="Z69" s="7">
        <v>84037</v>
      </c>
      <c r="AA69" s="5"/>
    </row>
    <row r="70" spans="1:27" x14ac:dyDescent="0.2">
      <c r="A70" s="14"/>
      <c r="B70" s="7" t="s">
        <v>61</v>
      </c>
      <c r="C70" s="8">
        <v>142</v>
      </c>
      <c r="D70" s="8">
        <v>822</v>
      </c>
      <c r="E70" s="8">
        <v>2852</v>
      </c>
      <c r="F70" s="8">
        <v>3777</v>
      </c>
      <c r="G70" s="8">
        <v>2303</v>
      </c>
      <c r="H70" s="8">
        <v>666</v>
      </c>
      <c r="I70" s="8">
        <v>10562</v>
      </c>
      <c r="J70" s="7">
        <v>10683</v>
      </c>
      <c r="K70" s="8">
        <v>244</v>
      </c>
      <c r="L70" s="8">
        <v>1670</v>
      </c>
      <c r="M70" s="8">
        <v>4470</v>
      </c>
      <c r="N70" s="8">
        <v>4590</v>
      </c>
      <c r="O70" s="8">
        <v>2022</v>
      </c>
      <c r="P70" s="8">
        <v>444</v>
      </c>
      <c r="Q70" s="8">
        <v>13440</v>
      </c>
      <c r="R70" s="7">
        <v>13545</v>
      </c>
      <c r="S70" s="8">
        <v>386</v>
      </c>
      <c r="T70" s="8">
        <v>2492</v>
      </c>
      <c r="U70" s="8">
        <v>7322</v>
      </c>
      <c r="V70" s="8">
        <v>8367</v>
      </c>
      <c r="W70" s="8">
        <v>4325</v>
      </c>
      <c r="X70" s="8">
        <v>1110</v>
      </c>
      <c r="Y70" s="8">
        <v>24002</v>
      </c>
      <c r="Z70" s="7">
        <v>24228</v>
      </c>
      <c r="AA70" s="5"/>
    </row>
    <row r="71" spans="1:27" x14ac:dyDescent="0.2">
      <c r="A71" s="14"/>
      <c r="B71" s="7" t="s">
        <v>23</v>
      </c>
      <c r="C71" s="8">
        <v>96</v>
      </c>
      <c r="D71" s="8">
        <v>433</v>
      </c>
      <c r="E71" s="8">
        <v>1356</v>
      </c>
      <c r="F71" s="8">
        <v>1613</v>
      </c>
      <c r="G71" s="8">
        <v>721</v>
      </c>
      <c r="H71" s="8">
        <v>164</v>
      </c>
      <c r="I71" s="8">
        <v>4383</v>
      </c>
      <c r="J71" s="7">
        <v>4412</v>
      </c>
      <c r="K71" s="8">
        <v>196</v>
      </c>
      <c r="L71" s="8">
        <v>690</v>
      </c>
      <c r="M71" s="8">
        <v>1898</v>
      </c>
      <c r="N71" s="8">
        <v>1855</v>
      </c>
      <c r="O71" s="8">
        <v>789</v>
      </c>
      <c r="P71" s="8">
        <v>147</v>
      </c>
      <c r="Q71" s="8">
        <v>5575</v>
      </c>
      <c r="R71" s="7">
        <v>5610</v>
      </c>
      <c r="S71" s="8">
        <v>292</v>
      </c>
      <c r="T71" s="8">
        <v>1123</v>
      </c>
      <c r="U71" s="8">
        <v>3254</v>
      </c>
      <c r="V71" s="8">
        <v>3468</v>
      </c>
      <c r="W71" s="8">
        <v>1510</v>
      </c>
      <c r="X71" s="8">
        <v>311</v>
      </c>
      <c r="Y71" s="8">
        <v>9958</v>
      </c>
      <c r="Z71" s="7">
        <v>10022</v>
      </c>
      <c r="AA71" s="5"/>
    </row>
    <row r="72" spans="1:27" x14ac:dyDescent="0.2">
      <c r="A72" s="14"/>
      <c r="B72" s="7" t="s">
        <v>24</v>
      </c>
      <c r="C72" s="8">
        <v>278</v>
      </c>
      <c r="D72" s="8">
        <v>1284</v>
      </c>
      <c r="E72" s="8">
        <v>1124</v>
      </c>
      <c r="F72" s="8">
        <v>697</v>
      </c>
      <c r="G72" s="8">
        <v>351</v>
      </c>
      <c r="H72" s="8">
        <v>132</v>
      </c>
      <c r="I72" s="8">
        <v>3866</v>
      </c>
      <c r="J72" s="7">
        <v>3888</v>
      </c>
      <c r="K72" s="8">
        <v>634</v>
      </c>
      <c r="L72" s="8">
        <v>2689</v>
      </c>
      <c r="M72" s="8">
        <v>2423</v>
      </c>
      <c r="N72" s="8">
        <v>1546</v>
      </c>
      <c r="O72" s="8">
        <v>817</v>
      </c>
      <c r="P72" s="8">
        <v>278</v>
      </c>
      <c r="Q72" s="8">
        <v>8387</v>
      </c>
      <c r="R72" s="7">
        <v>8436</v>
      </c>
      <c r="S72" s="8">
        <v>912</v>
      </c>
      <c r="T72" s="8">
        <v>3973</v>
      </c>
      <c r="U72" s="8">
        <v>3547</v>
      </c>
      <c r="V72" s="8">
        <v>2243</v>
      </c>
      <c r="W72" s="8">
        <v>1168</v>
      </c>
      <c r="X72" s="8">
        <v>410</v>
      </c>
      <c r="Y72" s="8">
        <v>12253</v>
      </c>
      <c r="Z72" s="7">
        <v>12324</v>
      </c>
      <c r="AA72" s="5"/>
    </row>
    <row r="73" spans="1:27" x14ac:dyDescent="0.2">
      <c r="A73" s="14"/>
      <c r="B73" s="7" t="s">
        <v>25</v>
      </c>
      <c r="C73" s="8">
        <v>188</v>
      </c>
      <c r="D73" s="8">
        <v>656</v>
      </c>
      <c r="E73" s="8">
        <v>529</v>
      </c>
      <c r="F73" s="8">
        <v>339</v>
      </c>
      <c r="G73" s="8">
        <v>198</v>
      </c>
      <c r="H73" s="8">
        <v>86</v>
      </c>
      <c r="I73" s="8">
        <v>1996</v>
      </c>
      <c r="J73" s="7">
        <v>2016</v>
      </c>
      <c r="K73" s="8">
        <v>286</v>
      </c>
      <c r="L73" s="8">
        <v>901</v>
      </c>
      <c r="M73" s="8">
        <v>796</v>
      </c>
      <c r="N73" s="8">
        <v>575</v>
      </c>
      <c r="O73" s="8">
        <v>330</v>
      </c>
      <c r="P73" s="8">
        <v>132</v>
      </c>
      <c r="Q73" s="8">
        <v>3020</v>
      </c>
      <c r="R73" s="7">
        <v>3039</v>
      </c>
      <c r="S73" s="8">
        <v>474</v>
      </c>
      <c r="T73" s="8">
        <v>1557</v>
      </c>
      <c r="U73" s="8">
        <v>1325</v>
      </c>
      <c r="V73" s="8">
        <v>914</v>
      </c>
      <c r="W73" s="8">
        <v>528</v>
      </c>
      <c r="X73" s="8">
        <v>218</v>
      </c>
      <c r="Y73" s="8">
        <v>5016</v>
      </c>
      <c r="Z73" s="7">
        <v>5055</v>
      </c>
      <c r="AA73" s="5"/>
    </row>
    <row r="74" spans="1:27" x14ac:dyDescent="0.2">
      <c r="A74" s="14"/>
      <c r="B74" s="7" t="s">
        <v>26</v>
      </c>
      <c r="C74" s="8">
        <v>202</v>
      </c>
      <c r="D74" s="8">
        <v>722</v>
      </c>
      <c r="E74" s="8">
        <v>632</v>
      </c>
      <c r="F74" s="8">
        <v>402</v>
      </c>
      <c r="G74" s="8">
        <v>184</v>
      </c>
      <c r="H74" s="8">
        <v>78</v>
      </c>
      <c r="I74" s="8">
        <v>2220</v>
      </c>
      <c r="J74" s="7">
        <v>2238</v>
      </c>
      <c r="K74" s="8">
        <v>353</v>
      </c>
      <c r="L74" s="8">
        <v>1264</v>
      </c>
      <c r="M74" s="8">
        <v>1227</v>
      </c>
      <c r="N74" s="8">
        <v>828</v>
      </c>
      <c r="O74" s="8">
        <v>435</v>
      </c>
      <c r="P74" s="8">
        <v>184</v>
      </c>
      <c r="Q74" s="8">
        <v>4291</v>
      </c>
      <c r="R74" s="7">
        <v>4326</v>
      </c>
      <c r="S74" s="8">
        <v>555</v>
      </c>
      <c r="T74" s="8">
        <v>1986</v>
      </c>
      <c r="U74" s="8">
        <v>1859</v>
      </c>
      <c r="V74" s="8">
        <v>1230</v>
      </c>
      <c r="W74" s="8">
        <v>619</v>
      </c>
      <c r="X74" s="8">
        <v>262</v>
      </c>
      <c r="Y74" s="8">
        <v>6511</v>
      </c>
      <c r="Z74" s="7">
        <v>6564</v>
      </c>
      <c r="AA74" s="5"/>
    </row>
    <row r="75" spans="1:27" x14ac:dyDescent="0.2">
      <c r="A75" s="14"/>
      <c r="B75" s="7" t="s">
        <v>74</v>
      </c>
      <c r="C75" s="8">
        <v>347</v>
      </c>
      <c r="D75" s="8">
        <v>924</v>
      </c>
      <c r="E75" s="8">
        <v>744</v>
      </c>
      <c r="F75" s="8">
        <v>280</v>
      </c>
      <c r="G75" s="8">
        <v>107</v>
      </c>
      <c r="H75" s="8">
        <v>57</v>
      </c>
      <c r="I75" s="8">
        <v>2459</v>
      </c>
      <c r="J75" s="7">
        <v>2529</v>
      </c>
      <c r="K75" s="8">
        <v>474</v>
      </c>
      <c r="L75" s="8">
        <v>1405</v>
      </c>
      <c r="M75" s="8">
        <v>879</v>
      </c>
      <c r="N75" s="8">
        <v>349</v>
      </c>
      <c r="O75" s="8">
        <v>138</v>
      </c>
      <c r="P75" s="8">
        <v>72</v>
      </c>
      <c r="Q75" s="8">
        <v>3317</v>
      </c>
      <c r="R75" s="7">
        <v>3383</v>
      </c>
      <c r="S75" s="8">
        <v>821</v>
      </c>
      <c r="T75" s="8">
        <v>2329</v>
      </c>
      <c r="U75" s="8">
        <v>1623</v>
      </c>
      <c r="V75" s="8">
        <v>629</v>
      </c>
      <c r="W75" s="8">
        <v>245</v>
      </c>
      <c r="X75" s="8">
        <v>129</v>
      </c>
      <c r="Y75" s="8">
        <v>5776</v>
      </c>
      <c r="Z75" s="7">
        <v>5912</v>
      </c>
      <c r="AA75" s="5"/>
    </row>
    <row r="76" spans="1:27" x14ac:dyDescent="0.2">
      <c r="A76" s="14"/>
      <c r="B76" s="7" t="s">
        <v>28</v>
      </c>
      <c r="C76" s="8">
        <v>235</v>
      </c>
      <c r="D76" s="8">
        <v>735</v>
      </c>
      <c r="E76" s="8">
        <v>724</v>
      </c>
      <c r="F76" s="8">
        <v>525</v>
      </c>
      <c r="G76" s="8">
        <v>280</v>
      </c>
      <c r="H76" s="8">
        <v>109</v>
      </c>
      <c r="I76" s="8">
        <v>2608</v>
      </c>
      <c r="J76" s="7">
        <v>2637</v>
      </c>
      <c r="K76" s="8">
        <v>356</v>
      </c>
      <c r="L76" s="8">
        <v>1004</v>
      </c>
      <c r="M76" s="8">
        <v>916</v>
      </c>
      <c r="N76" s="8">
        <v>623</v>
      </c>
      <c r="O76" s="8">
        <v>266</v>
      </c>
      <c r="P76" s="8">
        <v>92</v>
      </c>
      <c r="Q76" s="8">
        <v>3257</v>
      </c>
      <c r="R76" s="7">
        <v>3282</v>
      </c>
      <c r="S76" s="8">
        <v>591</v>
      </c>
      <c r="T76" s="8">
        <v>1739</v>
      </c>
      <c r="U76" s="8">
        <v>1640</v>
      </c>
      <c r="V76" s="8">
        <v>1148</v>
      </c>
      <c r="W76" s="8">
        <v>546</v>
      </c>
      <c r="X76" s="8">
        <v>201</v>
      </c>
      <c r="Y76" s="8">
        <v>5865</v>
      </c>
      <c r="Z76" s="7">
        <v>5919</v>
      </c>
      <c r="AA76" s="5"/>
    </row>
    <row r="77" spans="1:27" x14ac:dyDescent="0.2">
      <c r="A77" s="14"/>
      <c r="B77" s="7" t="s">
        <v>29</v>
      </c>
      <c r="C77" s="8">
        <v>345</v>
      </c>
      <c r="D77" s="8">
        <v>1186</v>
      </c>
      <c r="E77" s="8">
        <v>1541</v>
      </c>
      <c r="F77" s="8">
        <v>1414</v>
      </c>
      <c r="G77" s="8">
        <v>899</v>
      </c>
      <c r="H77" s="8">
        <v>428</v>
      </c>
      <c r="I77" s="8">
        <v>5813</v>
      </c>
      <c r="J77" s="7">
        <v>5918</v>
      </c>
      <c r="K77" s="8">
        <v>811</v>
      </c>
      <c r="L77" s="8">
        <v>2584</v>
      </c>
      <c r="M77" s="8">
        <v>3381</v>
      </c>
      <c r="N77" s="8">
        <v>2808</v>
      </c>
      <c r="O77" s="8">
        <v>1592</v>
      </c>
      <c r="P77" s="8">
        <v>682</v>
      </c>
      <c r="Q77" s="8">
        <v>11858</v>
      </c>
      <c r="R77" s="7">
        <v>11977</v>
      </c>
      <c r="S77" s="8">
        <v>1156</v>
      </c>
      <c r="T77" s="8">
        <v>3770</v>
      </c>
      <c r="U77" s="8">
        <v>4922</v>
      </c>
      <c r="V77" s="8">
        <v>4222</v>
      </c>
      <c r="W77" s="8">
        <v>2491</v>
      </c>
      <c r="X77" s="8">
        <v>1110</v>
      </c>
      <c r="Y77" s="8">
        <v>17671</v>
      </c>
      <c r="Z77" s="7">
        <v>17895</v>
      </c>
      <c r="AA77" s="5"/>
    </row>
    <row r="78" spans="1:27" x14ac:dyDescent="0.2">
      <c r="A78" s="14"/>
      <c r="B78" s="7" t="s">
        <v>30</v>
      </c>
      <c r="C78" s="8">
        <v>199</v>
      </c>
      <c r="D78" s="8">
        <v>727</v>
      </c>
      <c r="E78" s="8">
        <v>1285</v>
      </c>
      <c r="F78" s="8">
        <v>1437</v>
      </c>
      <c r="G78" s="8">
        <v>1209</v>
      </c>
      <c r="H78" s="8">
        <v>556</v>
      </c>
      <c r="I78" s="8">
        <v>5413</v>
      </c>
      <c r="J78" s="7">
        <v>5530</v>
      </c>
      <c r="K78" s="8">
        <v>139</v>
      </c>
      <c r="L78" s="8">
        <v>549</v>
      </c>
      <c r="M78" s="8">
        <v>850</v>
      </c>
      <c r="N78" s="8">
        <v>836</v>
      </c>
      <c r="O78" s="8">
        <v>620</v>
      </c>
      <c r="P78" s="8">
        <v>272</v>
      </c>
      <c r="Q78" s="8">
        <v>3266</v>
      </c>
      <c r="R78" s="7">
        <v>3311</v>
      </c>
      <c r="S78" s="8">
        <v>338</v>
      </c>
      <c r="T78" s="8">
        <v>1276</v>
      </c>
      <c r="U78" s="8">
        <v>2135</v>
      </c>
      <c r="V78" s="8">
        <v>2273</v>
      </c>
      <c r="W78" s="8">
        <v>1829</v>
      </c>
      <c r="X78" s="8">
        <v>828</v>
      </c>
      <c r="Y78" s="8">
        <v>8679</v>
      </c>
      <c r="Z78" s="7">
        <v>8841</v>
      </c>
      <c r="AA78" s="5"/>
    </row>
    <row r="79" spans="1:27" x14ac:dyDescent="0.2">
      <c r="A79" s="14"/>
      <c r="B79" s="7" t="s">
        <v>31</v>
      </c>
      <c r="C79" s="8">
        <v>366</v>
      </c>
      <c r="D79" s="8">
        <v>1184</v>
      </c>
      <c r="E79" s="8">
        <v>2522</v>
      </c>
      <c r="F79" s="8">
        <v>3443</v>
      </c>
      <c r="G79" s="8">
        <v>3034</v>
      </c>
      <c r="H79" s="8">
        <v>1817</v>
      </c>
      <c r="I79" s="8">
        <v>12366</v>
      </c>
      <c r="J79" s="7">
        <v>12736</v>
      </c>
      <c r="K79" s="8">
        <v>654</v>
      </c>
      <c r="L79" s="8">
        <v>1370</v>
      </c>
      <c r="M79" s="8">
        <v>2194</v>
      </c>
      <c r="N79" s="8">
        <v>2104</v>
      </c>
      <c r="O79" s="8">
        <v>1405</v>
      </c>
      <c r="P79" s="8">
        <v>697</v>
      </c>
      <c r="Q79" s="8">
        <v>8424</v>
      </c>
      <c r="R79" s="7">
        <v>8568</v>
      </c>
      <c r="S79" s="8">
        <v>1020</v>
      </c>
      <c r="T79" s="8">
        <v>2554</v>
      </c>
      <c r="U79" s="8">
        <v>4716</v>
      </c>
      <c r="V79" s="8">
        <v>5547</v>
      </c>
      <c r="W79" s="8">
        <v>4439</v>
      </c>
      <c r="X79" s="8">
        <v>2514</v>
      </c>
      <c r="Y79" s="8">
        <v>20790</v>
      </c>
      <c r="Z79" s="7">
        <v>21304</v>
      </c>
      <c r="AA79" s="5"/>
    </row>
    <row r="80" spans="1:27" x14ac:dyDescent="0.2">
      <c r="A80" s="14"/>
      <c r="B80" s="7" t="s">
        <v>32</v>
      </c>
      <c r="C80" s="8">
        <v>892</v>
      </c>
      <c r="D80" s="8">
        <v>1835</v>
      </c>
      <c r="E80" s="8">
        <v>3939</v>
      </c>
      <c r="F80" s="8">
        <v>5209</v>
      </c>
      <c r="G80" s="8">
        <v>5311</v>
      </c>
      <c r="H80" s="8">
        <v>3598</v>
      </c>
      <c r="I80" s="8">
        <v>20784</v>
      </c>
      <c r="J80" s="7">
        <v>22147</v>
      </c>
      <c r="K80" s="8">
        <v>1273</v>
      </c>
      <c r="L80" s="8">
        <v>2407</v>
      </c>
      <c r="M80" s="8">
        <v>5081</v>
      </c>
      <c r="N80" s="8">
        <v>6357</v>
      </c>
      <c r="O80" s="8">
        <v>5967</v>
      </c>
      <c r="P80" s="8">
        <v>3637</v>
      </c>
      <c r="Q80" s="8">
        <v>24722</v>
      </c>
      <c r="R80" s="7">
        <v>25739</v>
      </c>
      <c r="S80" s="8">
        <v>2165</v>
      </c>
      <c r="T80" s="8">
        <v>4242</v>
      </c>
      <c r="U80" s="8">
        <v>9020</v>
      </c>
      <c r="V80" s="8">
        <v>11566</v>
      </c>
      <c r="W80" s="8">
        <v>11278</v>
      </c>
      <c r="X80" s="8">
        <v>7235</v>
      </c>
      <c r="Y80" s="8">
        <v>45506</v>
      </c>
      <c r="Z80" s="7">
        <v>47886</v>
      </c>
      <c r="AA80" s="5"/>
    </row>
    <row r="81" spans="1:27" x14ac:dyDescent="0.2">
      <c r="A81" s="14"/>
      <c r="B81" s="7" t="s">
        <v>54</v>
      </c>
      <c r="C81" s="8">
        <v>28507</v>
      </c>
      <c r="D81" s="8">
        <v>65703</v>
      </c>
      <c r="E81" s="8">
        <v>86402</v>
      </c>
      <c r="F81" s="8">
        <v>84049</v>
      </c>
      <c r="G81" s="8">
        <v>59604</v>
      </c>
      <c r="H81" s="8">
        <v>30023</v>
      </c>
      <c r="I81" s="8">
        <v>354288</v>
      </c>
      <c r="J81" s="7">
        <v>362064</v>
      </c>
      <c r="K81" s="8">
        <v>34514</v>
      </c>
      <c r="L81" s="8">
        <v>82155</v>
      </c>
      <c r="M81" s="8">
        <v>110898</v>
      </c>
      <c r="N81" s="8">
        <v>100424</v>
      </c>
      <c r="O81" s="8">
        <v>61978</v>
      </c>
      <c r="P81" s="8">
        <v>25393</v>
      </c>
      <c r="Q81" s="8">
        <v>415362</v>
      </c>
      <c r="R81" s="7">
        <v>421283</v>
      </c>
      <c r="S81" s="8">
        <v>63021</v>
      </c>
      <c r="T81" s="8">
        <v>147858</v>
      </c>
      <c r="U81" s="8">
        <v>197300</v>
      </c>
      <c r="V81" s="8">
        <v>184473</v>
      </c>
      <c r="W81" s="8">
        <v>121582</v>
      </c>
      <c r="X81" s="8">
        <v>55416</v>
      </c>
      <c r="Y81" s="8">
        <v>769650</v>
      </c>
      <c r="Z81" s="7">
        <v>783347</v>
      </c>
      <c r="AA81" s="5"/>
    </row>
    <row r="82" spans="1:27" x14ac:dyDescent="0.2">
      <c r="A82" s="14"/>
    </row>
  </sheetData>
  <phoneticPr fontId="3"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A82"/>
  <sheetViews>
    <sheetView workbookViewId="0">
      <selection activeCell="A2" sqref="A2"/>
    </sheetView>
  </sheetViews>
  <sheetFormatPr defaultColWidth="9.140625" defaultRowHeight="11.25" x14ac:dyDescent="0.2"/>
  <cols>
    <col min="1" max="1" width="9.140625" style="50"/>
    <col min="2" max="2" width="26.5703125" style="51" bestFit="1" customWidth="1"/>
    <col min="3" max="16384" width="9.140625" style="51"/>
  </cols>
  <sheetData>
    <row r="1" spans="1:27" x14ac:dyDescent="0.2">
      <c r="A1" s="94" t="s">
        <v>84</v>
      </c>
      <c r="B1" s="50"/>
      <c r="C1" s="50"/>
      <c r="D1" s="50"/>
      <c r="E1" s="50"/>
      <c r="F1" s="50"/>
      <c r="G1" s="50"/>
      <c r="H1" s="50"/>
      <c r="I1" s="50"/>
      <c r="J1" s="50"/>
      <c r="K1" s="50"/>
      <c r="L1" s="50"/>
      <c r="M1" s="50"/>
      <c r="N1" s="50"/>
      <c r="O1" s="50"/>
      <c r="P1" s="50"/>
      <c r="Q1" s="50"/>
      <c r="R1" s="50"/>
      <c r="S1" s="50"/>
      <c r="T1" s="50"/>
      <c r="U1" s="50"/>
      <c r="V1" s="50"/>
      <c r="W1" s="50"/>
      <c r="X1" s="50"/>
      <c r="Y1" s="50"/>
      <c r="Z1" s="50"/>
    </row>
    <row r="2" spans="1:27" x14ac:dyDescent="0.2">
      <c r="B2" s="50"/>
      <c r="C2" s="50"/>
      <c r="D2" s="50"/>
      <c r="E2" s="50"/>
      <c r="F2" s="50"/>
      <c r="G2" s="50"/>
      <c r="H2" s="50"/>
      <c r="I2" s="50"/>
      <c r="J2" s="50"/>
      <c r="K2" s="50"/>
      <c r="L2" s="50"/>
      <c r="M2" s="50"/>
      <c r="N2" s="50"/>
      <c r="O2" s="50"/>
      <c r="P2" s="50"/>
      <c r="Q2" s="50"/>
      <c r="R2" s="50"/>
      <c r="S2" s="50"/>
      <c r="T2" s="50"/>
      <c r="U2" s="50"/>
      <c r="V2" s="50"/>
      <c r="W2" s="50"/>
      <c r="X2" s="50"/>
      <c r="Y2" s="50"/>
      <c r="Z2" s="50"/>
    </row>
    <row r="3" spans="1:27" x14ac:dyDescent="0.2">
      <c r="B3" s="50"/>
      <c r="C3" s="50" t="s">
        <v>39</v>
      </c>
      <c r="D3" s="50"/>
      <c r="E3" s="50"/>
      <c r="F3" s="50"/>
      <c r="G3" s="50"/>
      <c r="H3" s="50"/>
      <c r="I3" s="50"/>
      <c r="J3" s="50"/>
      <c r="K3" s="50" t="s">
        <v>43</v>
      </c>
      <c r="L3" s="50"/>
      <c r="M3" s="50"/>
      <c r="N3" s="50"/>
      <c r="O3" s="50"/>
      <c r="P3" s="50"/>
      <c r="Q3" s="50"/>
      <c r="R3" s="50"/>
      <c r="S3" s="50" t="s">
        <v>54</v>
      </c>
      <c r="T3" s="50"/>
      <c r="U3" s="50"/>
      <c r="V3" s="50"/>
      <c r="W3" s="50"/>
      <c r="X3" s="50"/>
      <c r="Y3" s="50"/>
      <c r="Z3" s="50"/>
      <c r="AA3" s="50"/>
    </row>
    <row r="4" spans="1:27" x14ac:dyDescent="0.2">
      <c r="B4" s="50"/>
      <c r="C4" s="50" t="s">
        <v>69</v>
      </c>
      <c r="D4" s="50" t="s">
        <v>33</v>
      </c>
      <c r="E4" s="50" t="s">
        <v>34</v>
      </c>
      <c r="F4" s="50" t="s">
        <v>35</v>
      </c>
      <c r="G4" s="50" t="s">
        <v>36</v>
      </c>
      <c r="H4" s="50" t="s">
        <v>37</v>
      </c>
      <c r="I4" s="50" t="s">
        <v>47</v>
      </c>
      <c r="J4" s="50" t="s">
        <v>58</v>
      </c>
      <c r="K4" s="50" t="s">
        <v>69</v>
      </c>
      <c r="L4" s="50" t="s">
        <v>33</v>
      </c>
      <c r="M4" s="50" t="s">
        <v>34</v>
      </c>
      <c r="N4" s="50" t="s">
        <v>35</v>
      </c>
      <c r="O4" s="50" t="s">
        <v>36</v>
      </c>
      <c r="P4" s="50" t="s">
        <v>37</v>
      </c>
      <c r="Q4" s="50" t="s">
        <v>47</v>
      </c>
      <c r="R4" s="52" t="s">
        <v>58</v>
      </c>
      <c r="S4" s="52" t="s">
        <v>69</v>
      </c>
      <c r="T4" s="50" t="s">
        <v>33</v>
      </c>
      <c r="U4" s="50" t="s">
        <v>34</v>
      </c>
      <c r="V4" s="50" t="s">
        <v>35</v>
      </c>
      <c r="W4" s="50" t="s">
        <v>36</v>
      </c>
      <c r="X4" s="50" t="s">
        <v>37</v>
      </c>
      <c r="Y4" s="50" t="s">
        <v>47</v>
      </c>
      <c r="Z4" s="52" t="s">
        <v>58</v>
      </c>
      <c r="AA4" s="52"/>
    </row>
    <row r="5" spans="1:27" x14ac:dyDescent="0.2">
      <c r="A5" s="53"/>
      <c r="B5" s="50" t="s">
        <v>0</v>
      </c>
      <c r="C5" s="51">
        <f>IF(OR(C47=1,C47=2),"x",ROUND(C47/$J47*100,1))</f>
        <v>8.1999999999999993</v>
      </c>
      <c r="D5" s="51">
        <f t="shared" ref="D5:I5" si="0">IF(OR(D47=1,D47=2),"x",ROUND(D47/$J47*100,1))</f>
        <v>18.399999999999999</v>
      </c>
      <c r="E5" s="51">
        <f t="shared" si="0"/>
        <v>23.3</v>
      </c>
      <c r="F5" s="51">
        <f t="shared" si="0"/>
        <v>22.1</v>
      </c>
      <c r="G5" s="51">
        <f t="shared" si="0"/>
        <v>16.399999999999999</v>
      </c>
      <c r="H5" s="51">
        <f t="shared" si="0"/>
        <v>9.5</v>
      </c>
      <c r="I5" s="51">
        <f t="shared" si="0"/>
        <v>97.9</v>
      </c>
      <c r="J5" s="54">
        <f>ROUND(J47,0)</f>
        <v>23785</v>
      </c>
      <c r="K5" s="51">
        <f>IF(OR(K47=1,K47=2),"x",ROUND(K47/$R47*100,1))</f>
        <v>9.5</v>
      </c>
      <c r="L5" s="51">
        <f t="shared" ref="L5:Q5" si="1">IF(OR(L47=1,L47=2),"x",ROUND(L47/$R47*100,1))</f>
        <v>20.100000000000001</v>
      </c>
      <c r="M5" s="51">
        <f t="shared" si="1"/>
        <v>24</v>
      </c>
      <c r="N5" s="51">
        <f t="shared" si="1"/>
        <v>21.1</v>
      </c>
      <c r="O5" s="51">
        <f t="shared" si="1"/>
        <v>14.8</v>
      </c>
      <c r="P5" s="51">
        <f t="shared" si="1"/>
        <v>8.6</v>
      </c>
      <c r="Q5" s="51">
        <f t="shared" si="1"/>
        <v>98.2</v>
      </c>
      <c r="R5" s="54">
        <f>ROUND(R47,0)</f>
        <v>30953</v>
      </c>
      <c r="S5" s="51">
        <f>IF(OR(S47=1,S47=2),"x",ROUND(S47/$Z47*100,1))</f>
        <v>9</v>
      </c>
      <c r="T5" s="51">
        <f t="shared" ref="T5:Y5" si="2">IF((T47&lt;=2),"x",ROUND(T47/$Z47*100,1))</f>
        <v>19.399999999999999</v>
      </c>
      <c r="U5" s="51">
        <f t="shared" si="2"/>
        <v>23.7</v>
      </c>
      <c r="V5" s="51">
        <f t="shared" si="2"/>
        <v>21.5</v>
      </c>
      <c r="W5" s="51">
        <f t="shared" si="2"/>
        <v>15.5</v>
      </c>
      <c r="X5" s="51">
        <f t="shared" si="2"/>
        <v>9</v>
      </c>
      <c r="Y5" s="51">
        <f t="shared" si="2"/>
        <v>98.1</v>
      </c>
      <c r="Z5" s="54">
        <f>ROUND(Z47,0)</f>
        <v>54738</v>
      </c>
      <c r="AA5" s="54"/>
    </row>
    <row r="6" spans="1:27" x14ac:dyDescent="0.2">
      <c r="A6" s="53"/>
      <c r="B6" s="50" t="s">
        <v>1</v>
      </c>
      <c r="C6" s="51">
        <f t="shared" ref="C6:I6" si="3">IF(OR(C48=1,C48=2),"x",ROUND(C48/$J48*100,1))</f>
        <v>10.199999999999999</v>
      </c>
      <c r="D6" s="51">
        <f t="shared" si="3"/>
        <v>24.7</v>
      </c>
      <c r="E6" s="51">
        <f t="shared" si="3"/>
        <v>24.6</v>
      </c>
      <c r="F6" s="51">
        <f t="shared" si="3"/>
        <v>18.8</v>
      </c>
      <c r="G6" s="51">
        <f t="shared" si="3"/>
        <v>12.5</v>
      </c>
      <c r="H6" s="51">
        <f t="shared" si="3"/>
        <v>7.4</v>
      </c>
      <c r="I6" s="51">
        <f t="shared" si="3"/>
        <v>98.2</v>
      </c>
      <c r="J6" s="54">
        <f t="shared" ref="J6:J39" si="4">ROUND(J48,0)</f>
        <v>22818</v>
      </c>
      <c r="K6" s="51">
        <f t="shared" ref="K6:Q6" si="5">IF(OR(K48=1,K48=2),"x",ROUND(K48/$R48*100,1))</f>
        <v>8.8000000000000007</v>
      </c>
      <c r="L6" s="51">
        <f t="shared" si="5"/>
        <v>25.1</v>
      </c>
      <c r="M6" s="51">
        <f t="shared" si="5"/>
        <v>26.5</v>
      </c>
      <c r="N6" s="51">
        <f t="shared" si="5"/>
        <v>19.100000000000001</v>
      </c>
      <c r="O6" s="51">
        <f t="shared" si="5"/>
        <v>12.4</v>
      </c>
      <c r="P6" s="51">
        <f t="shared" si="5"/>
        <v>6.7</v>
      </c>
      <c r="Q6" s="51">
        <f t="shared" si="5"/>
        <v>98.6</v>
      </c>
      <c r="R6" s="54">
        <f t="shared" ref="R6:R39" si="6">ROUND(R48,0)</f>
        <v>20431</v>
      </c>
      <c r="S6" s="51">
        <f t="shared" ref="S6:S39" si="7">IF(OR(S48=1,S48=2),"x",ROUND(S48/$Z48*100,1))</f>
        <v>9.6</v>
      </c>
      <c r="T6" s="51">
        <f t="shared" ref="T6:Y6" si="8">IF((T48&lt;=2),"x",ROUND(T48/$Z48*100,1))</f>
        <v>24.9</v>
      </c>
      <c r="U6" s="51">
        <f t="shared" si="8"/>
        <v>25.5</v>
      </c>
      <c r="V6" s="51">
        <f t="shared" si="8"/>
        <v>19</v>
      </c>
      <c r="W6" s="51">
        <f t="shared" si="8"/>
        <v>12.4</v>
      </c>
      <c r="X6" s="51">
        <f t="shared" si="8"/>
        <v>7</v>
      </c>
      <c r="Y6" s="51">
        <f t="shared" si="8"/>
        <v>98.4</v>
      </c>
      <c r="Z6" s="54">
        <f t="shared" ref="Z6:Z39" si="9">ROUND(Z48,0)</f>
        <v>43249</v>
      </c>
      <c r="AA6" s="54"/>
    </row>
    <row r="7" spans="1:27" x14ac:dyDescent="0.2">
      <c r="A7" s="53"/>
      <c r="B7" s="50" t="s">
        <v>2</v>
      </c>
      <c r="C7" s="51">
        <f t="shared" ref="C7:I7" si="10">IF(OR(C49=1,C49=2),"x",ROUND(C49/$J49*100,1))</f>
        <v>10.7</v>
      </c>
      <c r="D7" s="51">
        <f t="shared" si="10"/>
        <v>21.7</v>
      </c>
      <c r="E7" s="51">
        <f t="shared" si="10"/>
        <v>22.2</v>
      </c>
      <c r="F7" s="51">
        <f t="shared" si="10"/>
        <v>18.399999999999999</v>
      </c>
      <c r="G7" s="51">
        <f t="shared" si="10"/>
        <v>15.2</v>
      </c>
      <c r="H7" s="51">
        <f t="shared" si="10"/>
        <v>9.3000000000000007</v>
      </c>
      <c r="I7" s="51">
        <f t="shared" si="10"/>
        <v>97.5</v>
      </c>
      <c r="J7" s="54">
        <f t="shared" si="4"/>
        <v>23193</v>
      </c>
      <c r="K7" s="51">
        <f t="shared" ref="K7:Q7" si="11">IF(OR(K49=1,K49=2),"x",ROUND(K49/$R49*100,1))</f>
        <v>11.5</v>
      </c>
      <c r="L7" s="51">
        <f t="shared" si="11"/>
        <v>26.9</v>
      </c>
      <c r="M7" s="51">
        <f t="shared" si="11"/>
        <v>22.6</v>
      </c>
      <c r="N7" s="51">
        <f t="shared" si="11"/>
        <v>17.899999999999999</v>
      </c>
      <c r="O7" s="51">
        <f t="shared" si="11"/>
        <v>12.4</v>
      </c>
      <c r="P7" s="51">
        <f t="shared" si="11"/>
        <v>7.1</v>
      </c>
      <c r="Q7" s="51">
        <f t="shared" si="11"/>
        <v>98.4</v>
      </c>
      <c r="R7" s="54">
        <f t="shared" si="6"/>
        <v>6012</v>
      </c>
      <c r="S7" s="51">
        <f t="shared" si="7"/>
        <v>10.9</v>
      </c>
      <c r="T7" s="51">
        <f t="shared" ref="T7:Y7" si="12">IF((T49&lt;=2),"x",ROUND(T49/$Z49*100,1))</f>
        <v>22.8</v>
      </c>
      <c r="U7" s="51">
        <f t="shared" si="12"/>
        <v>22.3</v>
      </c>
      <c r="V7" s="51">
        <f t="shared" si="12"/>
        <v>18.3</v>
      </c>
      <c r="W7" s="51">
        <f t="shared" si="12"/>
        <v>14.6</v>
      </c>
      <c r="X7" s="51">
        <f t="shared" si="12"/>
        <v>8.9</v>
      </c>
      <c r="Y7" s="51">
        <f t="shared" si="12"/>
        <v>97.7</v>
      </c>
      <c r="Z7" s="54">
        <f t="shared" si="9"/>
        <v>29205</v>
      </c>
      <c r="AA7" s="54"/>
    </row>
    <row r="8" spans="1:27" x14ac:dyDescent="0.2">
      <c r="A8" s="53"/>
      <c r="B8" s="50" t="s">
        <v>3</v>
      </c>
      <c r="C8" s="51">
        <f t="shared" ref="C8:I8" si="13">IF(OR(C50=1,C50=2),"x",ROUND(C50/$J50*100,1))</f>
        <v>8</v>
      </c>
      <c r="D8" s="51">
        <f t="shared" si="13"/>
        <v>18.399999999999999</v>
      </c>
      <c r="E8" s="51">
        <f t="shared" si="13"/>
        <v>21.7</v>
      </c>
      <c r="F8" s="51">
        <f t="shared" si="13"/>
        <v>21.3</v>
      </c>
      <c r="G8" s="51">
        <f t="shared" si="13"/>
        <v>17.5</v>
      </c>
      <c r="H8" s="51">
        <f t="shared" si="13"/>
        <v>10.199999999999999</v>
      </c>
      <c r="I8" s="51">
        <f t="shared" si="13"/>
        <v>97.1</v>
      </c>
      <c r="J8" s="54">
        <f t="shared" si="4"/>
        <v>2978</v>
      </c>
      <c r="K8" s="51">
        <f t="shared" ref="K8:Q8" si="14">IF(OR(K50=1,K50=2),"x",ROUND(K50/$R50*100,1))</f>
        <v>9</v>
      </c>
      <c r="L8" s="51">
        <f t="shared" si="14"/>
        <v>15.5</v>
      </c>
      <c r="M8" s="51">
        <f t="shared" si="14"/>
        <v>23.8</v>
      </c>
      <c r="N8" s="51">
        <f t="shared" si="14"/>
        <v>22.3</v>
      </c>
      <c r="O8" s="51">
        <f t="shared" si="14"/>
        <v>16</v>
      </c>
      <c r="P8" s="51">
        <f t="shared" si="14"/>
        <v>10.9</v>
      </c>
      <c r="Q8" s="51">
        <f t="shared" si="14"/>
        <v>97.4</v>
      </c>
      <c r="R8" s="54">
        <f t="shared" si="6"/>
        <v>1244</v>
      </c>
      <c r="S8" s="51">
        <f t="shared" si="7"/>
        <v>8.3000000000000007</v>
      </c>
      <c r="T8" s="51">
        <f t="shared" ref="T8:Y8" si="15">IF((T50&lt;=2),"x",ROUND(T50/$Z50*100,1))</f>
        <v>17.600000000000001</v>
      </c>
      <c r="U8" s="51">
        <f t="shared" si="15"/>
        <v>22.3</v>
      </c>
      <c r="V8" s="51">
        <f t="shared" si="15"/>
        <v>21.6</v>
      </c>
      <c r="W8" s="51">
        <f t="shared" si="15"/>
        <v>17</v>
      </c>
      <c r="X8" s="51">
        <f t="shared" si="15"/>
        <v>10.4</v>
      </c>
      <c r="Y8" s="51">
        <f t="shared" si="15"/>
        <v>97.2</v>
      </c>
      <c r="Z8" s="54">
        <f t="shared" si="9"/>
        <v>4222</v>
      </c>
      <c r="AA8" s="54"/>
    </row>
    <row r="9" spans="1:27" x14ac:dyDescent="0.2">
      <c r="A9" s="53"/>
      <c r="B9" s="50" t="s">
        <v>4</v>
      </c>
      <c r="C9" s="51">
        <f t="shared" ref="C9:I9" si="16">IF(OR(C51=1,C51=2),"x",ROUND(C51/$J51*100,1))</f>
        <v>18.8</v>
      </c>
      <c r="D9" s="51">
        <f t="shared" si="16"/>
        <v>26.3</v>
      </c>
      <c r="E9" s="51">
        <f t="shared" si="16"/>
        <v>21.2</v>
      </c>
      <c r="F9" s="51">
        <f t="shared" si="16"/>
        <v>15.5</v>
      </c>
      <c r="G9" s="51">
        <f t="shared" si="16"/>
        <v>10.6</v>
      </c>
      <c r="H9" s="51">
        <f t="shared" si="16"/>
        <v>6.1</v>
      </c>
      <c r="I9" s="51">
        <f t="shared" si="16"/>
        <v>98.4</v>
      </c>
      <c r="J9" s="54">
        <f t="shared" si="4"/>
        <v>45322</v>
      </c>
      <c r="K9" s="51">
        <f t="shared" ref="K9:Q9" si="17">IF(OR(K51=1,K51=2),"x",ROUND(K51/$R51*100,1))</f>
        <v>17.2</v>
      </c>
      <c r="L9" s="51">
        <f t="shared" si="17"/>
        <v>27.8</v>
      </c>
      <c r="M9" s="51">
        <f t="shared" si="17"/>
        <v>22.9</v>
      </c>
      <c r="N9" s="51">
        <f t="shared" si="17"/>
        <v>15.8</v>
      </c>
      <c r="O9" s="51">
        <f t="shared" si="17"/>
        <v>9.9</v>
      </c>
      <c r="P9" s="51">
        <f t="shared" si="17"/>
        <v>5</v>
      </c>
      <c r="Q9" s="51">
        <f t="shared" si="17"/>
        <v>98.8</v>
      </c>
      <c r="R9" s="54">
        <f t="shared" si="6"/>
        <v>30224</v>
      </c>
      <c r="S9" s="51">
        <f t="shared" si="7"/>
        <v>18.2</v>
      </c>
      <c r="T9" s="51">
        <f t="shared" ref="T9:Y9" si="18">IF((T51&lt;=2),"x",ROUND(T51/$Z51*100,1))</f>
        <v>26.9</v>
      </c>
      <c r="U9" s="51">
        <f t="shared" si="18"/>
        <v>21.9</v>
      </c>
      <c r="V9" s="51">
        <f t="shared" si="18"/>
        <v>15.6</v>
      </c>
      <c r="W9" s="51">
        <f t="shared" si="18"/>
        <v>10.4</v>
      </c>
      <c r="X9" s="51">
        <f t="shared" si="18"/>
        <v>5.6</v>
      </c>
      <c r="Y9" s="51">
        <f t="shared" si="18"/>
        <v>98.6</v>
      </c>
      <c r="Z9" s="54">
        <f t="shared" si="9"/>
        <v>75546</v>
      </c>
      <c r="AA9" s="54"/>
    </row>
    <row r="10" spans="1:27" x14ac:dyDescent="0.2">
      <c r="A10" s="53"/>
      <c r="B10" s="50" t="s">
        <v>5</v>
      </c>
      <c r="C10" s="51">
        <f t="shared" ref="C10:I10" si="19">IF(OR(C52=1,C52=2),"x",ROUND(C52/$J52*100,1))</f>
        <v>27.9</v>
      </c>
      <c r="D10" s="51">
        <f t="shared" si="19"/>
        <v>31</v>
      </c>
      <c r="E10" s="51">
        <f t="shared" si="19"/>
        <v>20.7</v>
      </c>
      <c r="F10" s="51">
        <f t="shared" si="19"/>
        <v>10.3</v>
      </c>
      <c r="G10" s="51">
        <f t="shared" si="19"/>
        <v>5.8</v>
      </c>
      <c r="H10" s="51">
        <f t="shared" si="19"/>
        <v>2.9</v>
      </c>
      <c r="I10" s="51">
        <f t="shared" si="19"/>
        <v>98.7</v>
      </c>
      <c r="J10" s="54">
        <f t="shared" si="4"/>
        <v>7819</v>
      </c>
      <c r="K10" s="51">
        <f t="shared" ref="K10:Q10" si="20">IF(OR(K52=1,K52=2),"x",ROUND(K52/$R52*100,1))</f>
        <v>26.7</v>
      </c>
      <c r="L10" s="51">
        <f t="shared" si="20"/>
        <v>31.5</v>
      </c>
      <c r="M10" s="51">
        <f t="shared" si="20"/>
        <v>21.7</v>
      </c>
      <c r="N10" s="51">
        <f t="shared" si="20"/>
        <v>10.3</v>
      </c>
      <c r="O10" s="51">
        <f t="shared" si="20"/>
        <v>5.5</v>
      </c>
      <c r="P10" s="51">
        <f t="shared" si="20"/>
        <v>3.1</v>
      </c>
      <c r="Q10" s="51">
        <f t="shared" si="20"/>
        <v>98.8</v>
      </c>
      <c r="R10" s="54">
        <f t="shared" si="6"/>
        <v>3589</v>
      </c>
      <c r="S10" s="51">
        <f t="shared" si="7"/>
        <v>27.5</v>
      </c>
      <c r="T10" s="51">
        <f t="shared" ref="T10:Y10" si="21">IF((T52&lt;=2),"x",ROUND(T52/$Z52*100,1))</f>
        <v>31.2</v>
      </c>
      <c r="U10" s="51">
        <f t="shared" si="21"/>
        <v>21</v>
      </c>
      <c r="V10" s="51">
        <f t="shared" si="21"/>
        <v>10.3</v>
      </c>
      <c r="W10" s="51">
        <f t="shared" si="21"/>
        <v>5.7</v>
      </c>
      <c r="X10" s="51">
        <f t="shared" si="21"/>
        <v>3</v>
      </c>
      <c r="Y10" s="51">
        <f t="shared" si="21"/>
        <v>98.7</v>
      </c>
      <c r="Z10" s="54">
        <f t="shared" si="9"/>
        <v>11408</v>
      </c>
      <c r="AA10" s="54"/>
    </row>
    <row r="11" spans="1:27" x14ac:dyDescent="0.2">
      <c r="A11" s="53"/>
      <c r="B11" s="50" t="s">
        <v>6</v>
      </c>
      <c r="C11" s="51">
        <f t="shared" ref="C11:I11" si="22">IF(OR(C53=1,C53=2),"x",ROUND(C53/$J53*100,1))</f>
        <v>4</v>
      </c>
      <c r="D11" s="51">
        <f t="shared" si="22"/>
        <v>11</v>
      </c>
      <c r="E11" s="51">
        <f t="shared" si="22"/>
        <v>23.4</v>
      </c>
      <c r="F11" s="51">
        <f t="shared" si="22"/>
        <v>27.7</v>
      </c>
      <c r="G11" s="51">
        <f t="shared" si="22"/>
        <v>21.7</v>
      </c>
      <c r="H11" s="51">
        <f t="shared" si="22"/>
        <v>9.9</v>
      </c>
      <c r="I11" s="51">
        <f t="shared" si="22"/>
        <v>97.7</v>
      </c>
      <c r="J11" s="54">
        <f t="shared" si="4"/>
        <v>8552</v>
      </c>
      <c r="K11" s="51">
        <f t="shared" ref="K11:Q11" si="23">IF(OR(K53=1,K53=2),"x",ROUND(K53/$R53*100,1))</f>
        <v>6.7</v>
      </c>
      <c r="L11" s="51">
        <f t="shared" si="23"/>
        <v>14.4</v>
      </c>
      <c r="M11" s="51">
        <f t="shared" si="23"/>
        <v>28.1</v>
      </c>
      <c r="N11" s="51">
        <f t="shared" si="23"/>
        <v>26.3</v>
      </c>
      <c r="O11" s="51">
        <f t="shared" si="23"/>
        <v>16.899999999999999</v>
      </c>
      <c r="P11" s="51">
        <f t="shared" si="23"/>
        <v>6.4</v>
      </c>
      <c r="Q11" s="51">
        <f t="shared" si="23"/>
        <v>98.8</v>
      </c>
      <c r="R11" s="54">
        <f t="shared" si="6"/>
        <v>6326</v>
      </c>
      <c r="S11" s="51">
        <f t="shared" si="7"/>
        <v>5.2</v>
      </c>
      <c r="T11" s="51">
        <f t="shared" ref="T11:Y11" si="24">IF((T53&lt;=2),"x",ROUND(T53/$Z53*100,1))</f>
        <v>12.5</v>
      </c>
      <c r="U11" s="51">
        <f t="shared" si="24"/>
        <v>25.4</v>
      </c>
      <c r="V11" s="51">
        <f t="shared" si="24"/>
        <v>27.1</v>
      </c>
      <c r="W11" s="51">
        <f t="shared" si="24"/>
        <v>19.7</v>
      </c>
      <c r="X11" s="51">
        <f t="shared" si="24"/>
        <v>8.4</v>
      </c>
      <c r="Y11" s="51">
        <f t="shared" si="24"/>
        <v>98.2</v>
      </c>
      <c r="Z11" s="54">
        <f t="shared" si="9"/>
        <v>14878</v>
      </c>
      <c r="AA11" s="54"/>
    </row>
    <row r="12" spans="1:27" x14ac:dyDescent="0.2">
      <c r="A12" s="53"/>
      <c r="B12" s="67" t="s">
        <v>168</v>
      </c>
      <c r="C12" s="51">
        <f t="shared" ref="C12:I12" si="25">IF(OR(C54=1,C54=2),"x",ROUND(C54/$J54*100,1))</f>
        <v>3.9</v>
      </c>
      <c r="D12" s="51">
        <f t="shared" si="25"/>
        <v>12.8</v>
      </c>
      <c r="E12" s="51">
        <f t="shared" si="25"/>
        <v>22</v>
      </c>
      <c r="F12" s="51">
        <f t="shared" si="25"/>
        <v>24.9</v>
      </c>
      <c r="G12" s="51">
        <f t="shared" si="25"/>
        <v>19.7</v>
      </c>
      <c r="H12" s="51">
        <f t="shared" si="25"/>
        <v>13</v>
      </c>
      <c r="I12" s="51">
        <f t="shared" si="25"/>
        <v>96.2</v>
      </c>
      <c r="J12" s="54">
        <f t="shared" si="4"/>
        <v>3276</v>
      </c>
      <c r="K12" s="51">
        <f t="shared" ref="K12:Q12" si="26">IF(OR(K54=1,K54=2),"x",ROUND(K54/$R54*100,1))</f>
        <v>5.4</v>
      </c>
      <c r="L12" s="51">
        <f t="shared" si="26"/>
        <v>17.8</v>
      </c>
      <c r="M12" s="51">
        <f t="shared" si="26"/>
        <v>24.1</v>
      </c>
      <c r="N12" s="51">
        <f t="shared" si="26"/>
        <v>23.7</v>
      </c>
      <c r="O12" s="51">
        <f t="shared" si="26"/>
        <v>17</v>
      </c>
      <c r="P12" s="51">
        <f t="shared" si="26"/>
        <v>9.1</v>
      </c>
      <c r="Q12" s="51">
        <f t="shared" si="26"/>
        <v>97.1</v>
      </c>
      <c r="R12" s="54">
        <f t="shared" si="6"/>
        <v>241</v>
      </c>
      <c r="S12" s="51">
        <f t="shared" si="7"/>
        <v>4</v>
      </c>
      <c r="T12" s="51">
        <f t="shared" ref="T12:Y12" si="27">IF((T54&lt;=2),"x",ROUND(T54/$Z54*100,1))</f>
        <v>13.1</v>
      </c>
      <c r="U12" s="51">
        <f t="shared" si="27"/>
        <v>22.1</v>
      </c>
      <c r="V12" s="51">
        <f t="shared" si="27"/>
        <v>24.8</v>
      </c>
      <c r="W12" s="51">
        <f t="shared" si="27"/>
        <v>19.5</v>
      </c>
      <c r="X12" s="51">
        <f t="shared" si="27"/>
        <v>12.7</v>
      </c>
      <c r="Y12" s="51">
        <f t="shared" si="27"/>
        <v>96.2</v>
      </c>
      <c r="Z12" s="54">
        <f t="shared" si="9"/>
        <v>3517</v>
      </c>
      <c r="AA12" s="54"/>
    </row>
    <row r="13" spans="1:27" x14ac:dyDescent="0.2">
      <c r="A13" s="53"/>
      <c r="B13" s="50" t="s">
        <v>8</v>
      </c>
      <c r="C13" s="51">
        <f t="shared" ref="C13:I13" si="28">IF(OR(C55=1,C55=2),"x",ROUND(C55/$J55*100,1))</f>
        <v>1.4</v>
      </c>
      <c r="D13" s="51">
        <f t="shared" si="28"/>
        <v>6.2</v>
      </c>
      <c r="E13" s="51">
        <f t="shared" si="28"/>
        <v>19.600000000000001</v>
      </c>
      <c r="F13" s="51">
        <f t="shared" si="28"/>
        <v>26.7</v>
      </c>
      <c r="G13" s="51">
        <f t="shared" si="28"/>
        <v>27.4</v>
      </c>
      <c r="H13" s="51">
        <f t="shared" si="28"/>
        <v>14.9</v>
      </c>
      <c r="I13" s="51">
        <f t="shared" si="28"/>
        <v>96.2</v>
      </c>
      <c r="J13" s="54">
        <f t="shared" si="4"/>
        <v>5511</v>
      </c>
      <c r="K13" s="51">
        <f t="shared" ref="K13:Q13" si="29">IF(OR(K55=1,K55=2),"x",ROUND(K55/$R55*100,1))</f>
        <v>2.8</v>
      </c>
      <c r="L13" s="51">
        <f t="shared" si="29"/>
        <v>10.9</v>
      </c>
      <c r="M13" s="51">
        <f t="shared" si="29"/>
        <v>22.5</v>
      </c>
      <c r="N13" s="51">
        <f t="shared" si="29"/>
        <v>28.2</v>
      </c>
      <c r="O13" s="51">
        <f t="shared" si="29"/>
        <v>23.3</v>
      </c>
      <c r="P13" s="51">
        <f t="shared" si="29"/>
        <v>10</v>
      </c>
      <c r="Q13" s="51">
        <f t="shared" si="29"/>
        <v>97.8</v>
      </c>
      <c r="R13" s="54">
        <f t="shared" si="6"/>
        <v>3317</v>
      </c>
      <c r="S13" s="51">
        <f t="shared" si="7"/>
        <v>1.9</v>
      </c>
      <c r="T13" s="51">
        <f t="shared" ref="T13:Y13" si="30">IF((T55&lt;=2),"x",ROUND(T55/$Z55*100,1))</f>
        <v>8</v>
      </c>
      <c r="U13" s="51">
        <f t="shared" si="30"/>
        <v>20.7</v>
      </c>
      <c r="V13" s="51">
        <f t="shared" si="30"/>
        <v>27.2</v>
      </c>
      <c r="W13" s="51">
        <f t="shared" si="30"/>
        <v>25.9</v>
      </c>
      <c r="X13" s="51">
        <f t="shared" si="30"/>
        <v>13.1</v>
      </c>
      <c r="Y13" s="51">
        <f t="shared" si="30"/>
        <v>96.8</v>
      </c>
      <c r="Z13" s="54">
        <f t="shared" si="9"/>
        <v>8828</v>
      </c>
      <c r="AA13" s="54"/>
    </row>
    <row r="14" spans="1:27" x14ac:dyDescent="0.2">
      <c r="A14" s="53"/>
      <c r="B14" s="50" t="s">
        <v>9</v>
      </c>
      <c r="C14" s="51">
        <f t="shared" ref="C14:I14" si="31">IF(OR(C56=1,C56=2),"x",ROUND(C56/$J56*100,1))</f>
        <v>0</v>
      </c>
      <c r="D14" s="51" t="str">
        <f t="shared" si="31"/>
        <v>x</v>
      </c>
      <c r="E14" s="51">
        <f t="shared" si="31"/>
        <v>9.4</v>
      </c>
      <c r="F14" s="51">
        <f t="shared" si="31"/>
        <v>29.7</v>
      </c>
      <c r="G14" s="51">
        <f t="shared" si="31"/>
        <v>32.799999999999997</v>
      </c>
      <c r="H14" s="51">
        <f t="shared" si="31"/>
        <v>20.3</v>
      </c>
      <c r="I14" s="51">
        <f t="shared" si="31"/>
        <v>93.8</v>
      </c>
      <c r="J14" s="54">
        <f t="shared" si="4"/>
        <v>64</v>
      </c>
      <c r="K14" s="51">
        <f t="shared" ref="K14:Q14" si="32">IF(OR(K56=1,K56=2),"x",ROUND(K56/$R56*100,1))</f>
        <v>3.3</v>
      </c>
      <c r="L14" s="51">
        <f t="shared" si="32"/>
        <v>15.1</v>
      </c>
      <c r="M14" s="51">
        <f t="shared" si="32"/>
        <v>28.3</v>
      </c>
      <c r="N14" s="51">
        <f t="shared" si="32"/>
        <v>26.6</v>
      </c>
      <c r="O14" s="51">
        <f t="shared" si="32"/>
        <v>18.8</v>
      </c>
      <c r="P14" s="51">
        <f t="shared" si="32"/>
        <v>5.6</v>
      </c>
      <c r="Q14" s="51">
        <f t="shared" si="32"/>
        <v>97.7</v>
      </c>
      <c r="R14" s="54">
        <f t="shared" si="6"/>
        <v>304</v>
      </c>
      <c r="S14" s="51">
        <f t="shared" si="7"/>
        <v>2.7</v>
      </c>
      <c r="T14" s="51">
        <f t="shared" ref="T14:Y14" si="33">IF((T56&lt;=2),"x",ROUND(T56/$Z56*100,1))</f>
        <v>12.8</v>
      </c>
      <c r="U14" s="51">
        <f t="shared" si="33"/>
        <v>25</v>
      </c>
      <c r="V14" s="51">
        <f t="shared" si="33"/>
        <v>27.2</v>
      </c>
      <c r="W14" s="51">
        <f t="shared" si="33"/>
        <v>21.2</v>
      </c>
      <c r="X14" s="51">
        <f t="shared" si="33"/>
        <v>8.1999999999999993</v>
      </c>
      <c r="Y14" s="51">
        <f t="shared" si="33"/>
        <v>97</v>
      </c>
      <c r="Z14" s="54">
        <f t="shared" si="9"/>
        <v>368</v>
      </c>
      <c r="AA14" s="54"/>
    </row>
    <row r="15" spans="1:27" x14ac:dyDescent="0.2">
      <c r="A15" s="53"/>
      <c r="B15" s="50" t="s">
        <v>10</v>
      </c>
      <c r="C15" s="51">
        <f t="shared" ref="C15:I15" si="34">IF(OR(C57=1,C57=2),"x",ROUND(C57/$J57*100,1))</f>
        <v>1.3</v>
      </c>
      <c r="D15" s="51">
        <f t="shared" si="34"/>
        <v>11.6</v>
      </c>
      <c r="E15" s="51">
        <f t="shared" si="34"/>
        <v>20.9</v>
      </c>
      <c r="F15" s="51">
        <f t="shared" si="34"/>
        <v>25.8</v>
      </c>
      <c r="G15" s="51">
        <f t="shared" si="34"/>
        <v>24</v>
      </c>
      <c r="H15" s="51">
        <f t="shared" si="34"/>
        <v>12.8</v>
      </c>
      <c r="I15" s="51">
        <f t="shared" si="34"/>
        <v>96.3</v>
      </c>
      <c r="J15" s="54">
        <f t="shared" si="4"/>
        <v>2283</v>
      </c>
      <c r="K15" s="51">
        <f t="shared" ref="K15:Q15" si="35">IF(OR(K57=1,K57=2),"x",ROUND(K57/$R57*100,1))</f>
        <v>2.5</v>
      </c>
      <c r="L15" s="51">
        <f t="shared" si="35"/>
        <v>13.6</v>
      </c>
      <c r="M15" s="51">
        <f t="shared" si="35"/>
        <v>22.5</v>
      </c>
      <c r="N15" s="51">
        <f t="shared" si="35"/>
        <v>25.7</v>
      </c>
      <c r="O15" s="51">
        <f t="shared" si="35"/>
        <v>18.3</v>
      </c>
      <c r="P15" s="51">
        <f t="shared" si="35"/>
        <v>14.3</v>
      </c>
      <c r="Q15" s="51">
        <f t="shared" si="35"/>
        <v>96.9</v>
      </c>
      <c r="R15" s="54">
        <f t="shared" si="6"/>
        <v>1212</v>
      </c>
      <c r="S15" s="51">
        <f t="shared" si="7"/>
        <v>1.7</v>
      </c>
      <c r="T15" s="51">
        <f t="shared" ref="T15:Y15" si="36">IF((T57&lt;=2),"x",ROUND(T57/$Z57*100,1))</f>
        <v>12.3</v>
      </c>
      <c r="U15" s="51">
        <f t="shared" si="36"/>
        <v>21.5</v>
      </c>
      <c r="V15" s="51">
        <f t="shared" si="36"/>
        <v>25.8</v>
      </c>
      <c r="W15" s="51">
        <f t="shared" si="36"/>
        <v>22</v>
      </c>
      <c r="X15" s="51">
        <f t="shared" si="36"/>
        <v>13.3</v>
      </c>
      <c r="Y15" s="51">
        <f t="shared" si="36"/>
        <v>96.5</v>
      </c>
      <c r="Z15" s="54">
        <f t="shared" si="9"/>
        <v>3495</v>
      </c>
      <c r="AA15" s="54"/>
    </row>
    <row r="16" spans="1:27" x14ac:dyDescent="0.2">
      <c r="A16" s="53"/>
      <c r="B16" s="50" t="s">
        <v>11</v>
      </c>
      <c r="C16" s="51">
        <f t="shared" ref="C16:I16" si="37">IF(OR(C58=1,C58=2),"x",ROUND(C58/$J58*100,1))</f>
        <v>3.6</v>
      </c>
      <c r="D16" s="51">
        <f t="shared" si="37"/>
        <v>12.1</v>
      </c>
      <c r="E16" s="51">
        <f t="shared" si="37"/>
        <v>27.4</v>
      </c>
      <c r="F16" s="51">
        <f t="shared" si="37"/>
        <v>29.9</v>
      </c>
      <c r="G16" s="51">
        <f t="shared" si="37"/>
        <v>19</v>
      </c>
      <c r="H16" s="51">
        <f t="shared" si="37"/>
        <v>6.8</v>
      </c>
      <c r="I16" s="51">
        <f t="shared" si="37"/>
        <v>98.7</v>
      </c>
      <c r="J16" s="54">
        <f t="shared" si="4"/>
        <v>17173</v>
      </c>
      <c r="K16" s="51">
        <f t="shared" ref="K16:Q16" si="38">IF(OR(K58=1,K58=2),"x",ROUND(K58/$R58*100,1))</f>
        <v>5.0999999999999996</v>
      </c>
      <c r="L16" s="51">
        <f t="shared" si="38"/>
        <v>14.1</v>
      </c>
      <c r="M16" s="51">
        <f t="shared" si="38"/>
        <v>26.9</v>
      </c>
      <c r="N16" s="51">
        <f t="shared" si="38"/>
        <v>28</v>
      </c>
      <c r="O16" s="51">
        <f t="shared" si="38"/>
        <v>18.3</v>
      </c>
      <c r="P16" s="51">
        <f t="shared" si="38"/>
        <v>6.5</v>
      </c>
      <c r="Q16" s="51">
        <f t="shared" si="38"/>
        <v>98.8</v>
      </c>
      <c r="R16" s="54">
        <f t="shared" si="6"/>
        <v>11603</v>
      </c>
      <c r="S16" s="51">
        <f t="shared" si="7"/>
        <v>4.2</v>
      </c>
      <c r="T16" s="51">
        <f t="shared" ref="T16:Y16" si="39">IF((T58&lt;=2),"x",ROUND(T58/$Z58*100,1))</f>
        <v>12.9</v>
      </c>
      <c r="U16" s="51">
        <f t="shared" si="39"/>
        <v>27.2</v>
      </c>
      <c r="V16" s="51">
        <f t="shared" si="39"/>
        <v>29.2</v>
      </c>
      <c r="W16" s="51">
        <f t="shared" si="39"/>
        <v>18.7</v>
      </c>
      <c r="X16" s="51">
        <f t="shared" si="39"/>
        <v>6.7</v>
      </c>
      <c r="Y16" s="51">
        <f t="shared" si="39"/>
        <v>98.8</v>
      </c>
      <c r="Z16" s="54">
        <f t="shared" si="9"/>
        <v>28776</v>
      </c>
      <c r="AA16" s="54"/>
    </row>
    <row r="17" spans="1:27" x14ac:dyDescent="0.2">
      <c r="A17" s="53"/>
      <c r="B17" s="50" t="s">
        <v>12</v>
      </c>
      <c r="C17" s="51">
        <f t="shared" ref="C17:I17" si="40">IF(OR(C59=1,C59=2),"x",ROUND(C59/$J59*100,1))</f>
        <v>8.6</v>
      </c>
      <c r="D17" s="51">
        <f t="shared" si="40"/>
        <v>27.1</v>
      </c>
      <c r="E17" s="51">
        <f t="shared" si="40"/>
        <v>28.2</v>
      </c>
      <c r="F17" s="51">
        <f t="shared" si="40"/>
        <v>20.399999999999999</v>
      </c>
      <c r="G17" s="51">
        <f t="shared" si="40"/>
        <v>10.4</v>
      </c>
      <c r="H17" s="51">
        <f t="shared" si="40"/>
        <v>4.3</v>
      </c>
      <c r="I17" s="51">
        <f t="shared" si="40"/>
        <v>99</v>
      </c>
      <c r="J17" s="54">
        <f t="shared" si="4"/>
        <v>14406</v>
      </c>
      <c r="K17" s="51">
        <f t="shared" ref="K17:Q17" si="41">IF(OR(K59=1,K59=2),"x",ROUND(K59/$R59*100,1))</f>
        <v>10.6</v>
      </c>
      <c r="L17" s="51">
        <f t="shared" si="41"/>
        <v>30.9</v>
      </c>
      <c r="M17" s="51">
        <f t="shared" si="41"/>
        <v>28.3</v>
      </c>
      <c r="N17" s="51">
        <f t="shared" si="41"/>
        <v>17.2</v>
      </c>
      <c r="O17" s="51">
        <f t="shared" si="41"/>
        <v>9.1</v>
      </c>
      <c r="P17" s="51">
        <f t="shared" si="41"/>
        <v>3.2</v>
      </c>
      <c r="Q17" s="51">
        <f t="shared" si="41"/>
        <v>99.2</v>
      </c>
      <c r="R17" s="54">
        <f t="shared" si="6"/>
        <v>6413</v>
      </c>
      <c r="S17" s="51">
        <f t="shared" si="7"/>
        <v>9.1999999999999993</v>
      </c>
      <c r="T17" s="51">
        <f t="shared" ref="T17:Y17" si="42">IF((T59&lt;=2),"x",ROUND(T59/$Z59*100,1))</f>
        <v>28.3</v>
      </c>
      <c r="U17" s="51">
        <f t="shared" si="42"/>
        <v>28.3</v>
      </c>
      <c r="V17" s="51">
        <f t="shared" si="42"/>
        <v>19.399999999999999</v>
      </c>
      <c r="W17" s="51">
        <f t="shared" si="42"/>
        <v>10</v>
      </c>
      <c r="X17" s="51">
        <f t="shared" si="42"/>
        <v>4</v>
      </c>
      <c r="Y17" s="51">
        <f t="shared" si="42"/>
        <v>99.1</v>
      </c>
      <c r="Z17" s="54">
        <f t="shared" si="9"/>
        <v>20819</v>
      </c>
      <c r="AA17" s="54"/>
    </row>
    <row r="18" spans="1:27" x14ac:dyDescent="0.2">
      <c r="A18" s="53"/>
      <c r="B18" s="50" t="s">
        <v>13</v>
      </c>
      <c r="C18" s="51">
        <f t="shared" ref="C18:I18" si="43">IF(OR(C60=1,C60=2),"x",ROUND(C60/$J60*100,1))</f>
        <v>5.8</v>
      </c>
      <c r="D18" s="51">
        <f t="shared" si="43"/>
        <v>20.6</v>
      </c>
      <c r="E18" s="51">
        <f t="shared" si="43"/>
        <v>27.8</v>
      </c>
      <c r="F18" s="51">
        <f t="shared" si="43"/>
        <v>25</v>
      </c>
      <c r="G18" s="51">
        <f t="shared" si="43"/>
        <v>15.1</v>
      </c>
      <c r="H18" s="51">
        <f t="shared" si="43"/>
        <v>4.9000000000000004</v>
      </c>
      <c r="I18" s="51">
        <f t="shared" si="43"/>
        <v>99.1</v>
      </c>
      <c r="J18" s="54">
        <f t="shared" si="4"/>
        <v>15147</v>
      </c>
      <c r="K18" s="51">
        <f t="shared" ref="K18:Q18" si="44">IF(OR(K60=1,K60=2),"x",ROUND(K60/$R60*100,1))</f>
        <v>9.3000000000000007</v>
      </c>
      <c r="L18" s="51">
        <f t="shared" si="44"/>
        <v>26.6</v>
      </c>
      <c r="M18" s="51">
        <f t="shared" si="44"/>
        <v>27.9</v>
      </c>
      <c r="N18" s="51">
        <f t="shared" si="44"/>
        <v>21.8</v>
      </c>
      <c r="O18" s="51">
        <f t="shared" si="44"/>
        <v>10.8</v>
      </c>
      <c r="P18" s="51">
        <f t="shared" si="44"/>
        <v>3.2</v>
      </c>
      <c r="Q18" s="51">
        <f t="shared" si="44"/>
        <v>99.4</v>
      </c>
      <c r="R18" s="54">
        <f t="shared" si="6"/>
        <v>13056</v>
      </c>
      <c r="S18" s="51">
        <f t="shared" si="7"/>
        <v>7.4</v>
      </c>
      <c r="T18" s="51">
        <f t="shared" ref="T18:Y18" si="45">IF((T60&lt;=2),"x",ROUND(T60/$Z60*100,1))</f>
        <v>23.3</v>
      </c>
      <c r="U18" s="51">
        <f t="shared" si="45"/>
        <v>27.8</v>
      </c>
      <c r="V18" s="51">
        <f t="shared" si="45"/>
        <v>23.5</v>
      </c>
      <c r="W18" s="51">
        <f t="shared" si="45"/>
        <v>13.1</v>
      </c>
      <c r="X18" s="51">
        <f t="shared" si="45"/>
        <v>4.0999999999999996</v>
      </c>
      <c r="Y18" s="51">
        <f t="shared" si="45"/>
        <v>99.3</v>
      </c>
      <c r="Z18" s="54">
        <f t="shared" si="9"/>
        <v>28203</v>
      </c>
      <c r="AA18" s="54"/>
    </row>
    <row r="19" spans="1:27" x14ac:dyDescent="0.2">
      <c r="A19" s="53"/>
      <c r="B19" s="50" t="s">
        <v>14</v>
      </c>
      <c r="C19" s="51">
        <f t="shared" ref="C19:I19" si="46">IF(OR(C61=1,C61=2),"x",ROUND(C61/$J61*100,1))</f>
        <v>8.4</v>
      </c>
      <c r="D19" s="51">
        <f t="shared" si="46"/>
        <v>22.4</v>
      </c>
      <c r="E19" s="51">
        <f t="shared" si="46"/>
        <v>28.6</v>
      </c>
      <c r="F19" s="51">
        <f t="shared" si="46"/>
        <v>22.3</v>
      </c>
      <c r="G19" s="51">
        <f t="shared" si="46"/>
        <v>12.2</v>
      </c>
      <c r="H19" s="51">
        <f t="shared" si="46"/>
        <v>5</v>
      </c>
      <c r="I19" s="51">
        <f t="shared" si="46"/>
        <v>98.9</v>
      </c>
      <c r="J19" s="54">
        <f t="shared" si="4"/>
        <v>7591</v>
      </c>
      <c r="K19" s="51">
        <f t="shared" ref="K19:Q19" si="47">IF(OR(K61=1,K61=2),"x",ROUND(K61/$R61*100,1))</f>
        <v>10.8</v>
      </c>
      <c r="L19" s="51">
        <f t="shared" si="47"/>
        <v>25.8</v>
      </c>
      <c r="M19" s="51">
        <f t="shared" si="47"/>
        <v>28.5</v>
      </c>
      <c r="N19" s="51">
        <f t="shared" si="47"/>
        <v>19.2</v>
      </c>
      <c r="O19" s="51">
        <f t="shared" si="47"/>
        <v>10.6</v>
      </c>
      <c r="P19" s="51">
        <f t="shared" si="47"/>
        <v>4.0999999999999996</v>
      </c>
      <c r="Q19" s="51">
        <f t="shared" si="47"/>
        <v>98.9</v>
      </c>
      <c r="R19" s="54">
        <f t="shared" si="6"/>
        <v>5715</v>
      </c>
      <c r="S19" s="51">
        <f t="shared" si="7"/>
        <v>9.4</v>
      </c>
      <c r="T19" s="51">
        <f t="shared" ref="T19:Y19" si="48">IF((T61&lt;=2),"x",ROUND(T61/$Z61*100,1))</f>
        <v>23.9</v>
      </c>
      <c r="U19" s="51">
        <f t="shared" si="48"/>
        <v>28.5</v>
      </c>
      <c r="V19" s="51">
        <f t="shared" si="48"/>
        <v>20.9</v>
      </c>
      <c r="W19" s="51">
        <f t="shared" si="48"/>
        <v>11.5</v>
      </c>
      <c r="X19" s="51">
        <f t="shared" si="48"/>
        <v>4.5999999999999996</v>
      </c>
      <c r="Y19" s="51">
        <f t="shared" si="48"/>
        <v>98.9</v>
      </c>
      <c r="Z19" s="54">
        <f t="shared" si="9"/>
        <v>13306</v>
      </c>
      <c r="AA19" s="54"/>
    </row>
    <row r="20" spans="1:27" x14ac:dyDescent="0.2">
      <c r="A20" s="53"/>
      <c r="B20" s="50" t="s">
        <v>15</v>
      </c>
      <c r="C20" s="51">
        <f t="shared" ref="C20:I20" si="49">IF(OR(C62=1,C62=2),"x",ROUND(C62/$J62*100,1))</f>
        <v>7</v>
      </c>
      <c r="D20" s="51">
        <f t="shared" si="49"/>
        <v>19.100000000000001</v>
      </c>
      <c r="E20" s="51">
        <f t="shared" si="49"/>
        <v>28.2</v>
      </c>
      <c r="F20" s="51">
        <f t="shared" si="49"/>
        <v>25.6</v>
      </c>
      <c r="G20" s="51">
        <f t="shared" si="49"/>
        <v>14.7</v>
      </c>
      <c r="H20" s="51">
        <f t="shared" si="49"/>
        <v>4.8</v>
      </c>
      <c r="I20" s="51">
        <f t="shared" si="49"/>
        <v>99.3</v>
      </c>
      <c r="J20" s="54">
        <f t="shared" si="4"/>
        <v>22168</v>
      </c>
      <c r="K20" s="51">
        <f t="shared" ref="K20:Q20" si="50">IF(OR(K62=1,K62=2),"x",ROUND(K62/$R62*100,1))</f>
        <v>8</v>
      </c>
      <c r="L20" s="51">
        <f t="shared" si="50"/>
        <v>21.2</v>
      </c>
      <c r="M20" s="51">
        <f t="shared" si="50"/>
        <v>29.3</v>
      </c>
      <c r="N20" s="51">
        <f t="shared" si="50"/>
        <v>24.7</v>
      </c>
      <c r="O20" s="51">
        <f t="shared" si="50"/>
        <v>12.6</v>
      </c>
      <c r="P20" s="51">
        <f t="shared" si="50"/>
        <v>3.7</v>
      </c>
      <c r="Q20" s="51">
        <f t="shared" si="50"/>
        <v>99.4</v>
      </c>
      <c r="R20" s="54">
        <f t="shared" si="6"/>
        <v>23162</v>
      </c>
      <c r="S20" s="51">
        <f t="shared" si="7"/>
        <v>7.5</v>
      </c>
      <c r="T20" s="51">
        <f t="shared" ref="T20:Y20" si="51">IF((T62&lt;=2),"x",ROUND(T62/$Z62*100,1))</f>
        <v>20.2</v>
      </c>
      <c r="U20" s="51">
        <f t="shared" si="51"/>
        <v>28.7</v>
      </c>
      <c r="V20" s="51">
        <f t="shared" si="51"/>
        <v>25.1</v>
      </c>
      <c r="W20" s="51">
        <f t="shared" si="51"/>
        <v>13.6</v>
      </c>
      <c r="X20" s="51">
        <f t="shared" si="51"/>
        <v>4.2</v>
      </c>
      <c r="Y20" s="51">
        <f t="shared" si="51"/>
        <v>99.4</v>
      </c>
      <c r="Z20" s="54">
        <f t="shared" si="9"/>
        <v>45330</v>
      </c>
      <c r="AA20" s="54"/>
    </row>
    <row r="21" spans="1:27" x14ac:dyDescent="0.2">
      <c r="A21" s="53"/>
      <c r="B21" s="50" t="s">
        <v>16</v>
      </c>
      <c r="C21" s="51">
        <f t="shared" ref="C21:I21" si="52">IF(OR(C63=1,C63=2),"x",ROUND(C63/$J63*100,1))</f>
        <v>3.8</v>
      </c>
      <c r="D21" s="51">
        <f t="shared" si="52"/>
        <v>11.7</v>
      </c>
      <c r="E21" s="51">
        <f t="shared" si="52"/>
        <v>23.5</v>
      </c>
      <c r="F21" s="51">
        <f t="shared" si="52"/>
        <v>25.9</v>
      </c>
      <c r="G21" s="51">
        <f t="shared" si="52"/>
        <v>20.2</v>
      </c>
      <c r="H21" s="51">
        <f t="shared" si="52"/>
        <v>12</v>
      </c>
      <c r="I21" s="51">
        <f t="shared" si="52"/>
        <v>97</v>
      </c>
      <c r="J21" s="54">
        <f t="shared" si="4"/>
        <v>5153</v>
      </c>
      <c r="K21" s="51">
        <f t="shared" ref="K21:Q21" si="53">IF(OR(K63=1,K63=2),"x",ROUND(K63/$R63*100,1))</f>
        <v>5.4</v>
      </c>
      <c r="L21" s="51">
        <f t="shared" si="53"/>
        <v>15.6</v>
      </c>
      <c r="M21" s="51">
        <f t="shared" si="53"/>
        <v>24.5</v>
      </c>
      <c r="N21" s="51">
        <f t="shared" si="53"/>
        <v>24.8</v>
      </c>
      <c r="O21" s="51">
        <f t="shared" si="53"/>
        <v>19.100000000000001</v>
      </c>
      <c r="P21" s="51">
        <f t="shared" si="53"/>
        <v>8.4</v>
      </c>
      <c r="Q21" s="51">
        <f t="shared" si="53"/>
        <v>97.8</v>
      </c>
      <c r="R21" s="54">
        <f t="shared" si="6"/>
        <v>7979</v>
      </c>
      <c r="S21" s="51">
        <f t="shared" si="7"/>
        <v>4.8</v>
      </c>
      <c r="T21" s="51">
        <f t="shared" ref="T21:Y21" si="54">IF((T63&lt;=2),"x",ROUND(T63/$Z63*100,1))</f>
        <v>14.1</v>
      </c>
      <c r="U21" s="51">
        <f t="shared" si="54"/>
        <v>24.1</v>
      </c>
      <c r="V21" s="51">
        <f t="shared" si="54"/>
        <v>25.2</v>
      </c>
      <c r="W21" s="51">
        <f t="shared" si="54"/>
        <v>19.5</v>
      </c>
      <c r="X21" s="51">
        <f t="shared" si="54"/>
        <v>9.8000000000000007</v>
      </c>
      <c r="Y21" s="51">
        <f t="shared" si="54"/>
        <v>97.5</v>
      </c>
      <c r="Z21" s="54">
        <f t="shared" si="9"/>
        <v>13132</v>
      </c>
      <c r="AA21" s="54"/>
    </row>
    <row r="22" spans="1:27" x14ac:dyDescent="0.2">
      <c r="A22" s="53"/>
      <c r="B22" s="50" t="s">
        <v>17</v>
      </c>
      <c r="C22" s="51">
        <f t="shared" ref="C22:I22" si="55">IF(OR(C64=1,C64=2),"x",ROUND(C64/$J64*100,1))</f>
        <v>2.4</v>
      </c>
      <c r="D22" s="51">
        <f t="shared" si="55"/>
        <v>9.8000000000000007</v>
      </c>
      <c r="E22" s="51">
        <f t="shared" si="55"/>
        <v>21.6</v>
      </c>
      <c r="F22" s="51">
        <f t="shared" si="55"/>
        <v>28</v>
      </c>
      <c r="G22" s="51">
        <f t="shared" si="55"/>
        <v>22.6</v>
      </c>
      <c r="H22" s="51">
        <f t="shared" si="55"/>
        <v>12.3</v>
      </c>
      <c r="I22" s="51">
        <f t="shared" si="55"/>
        <v>96.6</v>
      </c>
      <c r="J22" s="54">
        <f t="shared" si="4"/>
        <v>14260</v>
      </c>
      <c r="K22" s="51">
        <f t="shared" ref="K22:Q22" si="56">IF(OR(K64=1,K64=2),"x",ROUND(K64/$R64*100,1))</f>
        <v>5.2</v>
      </c>
      <c r="L22" s="51">
        <f t="shared" si="56"/>
        <v>15.9</v>
      </c>
      <c r="M22" s="51">
        <f t="shared" si="56"/>
        <v>26.8</v>
      </c>
      <c r="N22" s="51">
        <f t="shared" si="56"/>
        <v>26</v>
      </c>
      <c r="O22" s="51">
        <f t="shared" si="56"/>
        <v>17</v>
      </c>
      <c r="P22" s="51">
        <f t="shared" si="56"/>
        <v>7.5</v>
      </c>
      <c r="Q22" s="51">
        <f t="shared" si="56"/>
        <v>98.4</v>
      </c>
      <c r="R22" s="54">
        <f t="shared" si="6"/>
        <v>38684</v>
      </c>
      <c r="S22" s="51">
        <f t="shared" si="7"/>
        <v>4.4000000000000004</v>
      </c>
      <c r="T22" s="51">
        <f t="shared" ref="T22:Y22" si="57">IF((T64&lt;=2),"x",ROUND(T64/$Z64*100,1))</f>
        <v>14.2</v>
      </c>
      <c r="U22" s="51">
        <f t="shared" si="57"/>
        <v>25.4</v>
      </c>
      <c r="V22" s="51">
        <f t="shared" si="57"/>
        <v>26.6</v>
      </c>
      <c r="W22" s="51">
        <f t="shared" si="57"/>
        <v>18.5</v>
      </c>
      <c r="X22" s="51">
        <f t="shared" si="57"/>
        <v>8.8000000000000007</v>
      </c>
      <c r="Y22" s="51">
        <f t="shared" si="57"/>
        <v>97.9</v>
      </c>
      <c r="Z22" s="54">
        <f t="shared" si="9"/>
        <v>52944</v>
      </c>
      <c r="AA22" s="54"/>
    </row>
    <row r="23" spans="1:27" x14ac:dyDescent="0.2">
      <c r="A23" s="53"/>
      <c r="B23" s="50" t="s">
        <v>18</v>
      </c>
      <c r="C23" s="51">
        <f t="shared" ref="C23:I23" si="58">IF(OR(C65=1,C65=2),"x",ROUND(C65/$J65*100,1))</f>
        <v>3.9</v>
      </c>
      <c r="D23" s="51">
        <f t="shared" si="58"/>
        <v>11.4</v>
      </c>
      <c r="E23" s="51">
        <f t="shared" si="58"/>
        <v>25.3</v>
      </c>
      <c r="F23" s="51">
        <f t="shared" si="58"/>
        <v>29.4</v>
      </c>
      <c r="G23" s="51">
        <f t="shared" si="58"/>
        <v>20</v>
      </c>
      <c r="H23" s="51">
        <f t="shared" si="58"/>
        <v>7.9</v>
      </c>
      <c r="I23" s="51">
        <f t="shared" si="58"/>
        <v>97.9</v>
      </c>
      <c r="J23" s="54">
        <f t="shared" si="4"/>
        <v>6920</v>
      </c>
      <c r="K23" s="51">
        <f t="shared" ref="K23:Q23" si="59">IF(OR(K65=1,K65=2),"x",ROUND(K65/$R65*100,1))</f>
        <v>5.2</v>
      </c>
      <c r="L23" s="51">
        <f t="shared" si="59"/>
        <v>15.7</v>
      </c>
      <c r="M23" s="51">
        <f t="shared" si="59"/>
        <v>27.1</v>
      </c>
      <c r="N23" s="51">
        <f t="shared" si="59"/>
        <v>26.7</v>
      </c>
      <c r="O23" s="51">
        <f t="shared" si="59"/>
        <v>17.399999999999999</v>
      </c>
      <c r="P23" s="51">
        <f t="shared" si="59"/>
        <v>6.6</v>
      </c>
      <c r="Q23" s="51">
        <f t="shared" si="59"/>
        <v>98.7</v>
      </c>
      <c r="R23" s="54">
        <f t="shared" si="6"/>
        <v>20575</v>
      </c>
      <c r="S23" s="51">
        <f t="shared" si="7"/>
        <v>4.9000000000000004</v>
      </c>
      <c r="T23" s="51">
        <f t="shared" ref="T23:Y23" si="60">IF((T65&lt;=2),"x",ROUND(T65/$Z65*100,1))</f>
        <v>14.6</v>
      </c>
      <c r="U23" s="51">
        <f t="shared" si="60"/>
        <v>26.6</v>
      </c>
      <c r="V23" s="51">
        <f t="shared" si="60"/>
        <v>27.4</v>
      </c>
      <c r="W23" s="51">
        <f t="shared" si="60"/>
        <v>18.100000000000001</v>
      </c>
      <c r="X23" s="51">
        <f t="shared" si="60"/>
        <v>6.9</v>
      </c>
      <c r="Y23" s="51">
        <f t="shared" si="60"/>
        <v>98.5</v>
      </c>
      <c r="Z23" s="54">
        <f t="shared" si="9"/>
        <v>27495</v>
      </c>
      <c r="AA23" s="54"/>
    </row>
    <row r="24" spans="1:27" x14ac:dyDescent="0.2">
      <c r="A24" s="53"/>
      <c r="B24" s="50" t="s">
        <v>19</v>
      </c>
      <c r="C24" s="51">
        <f t="shared" ref="C24:I24" si="61">IF(OR(C66=1,C66=2),"x",ROUND(C66/$J66*100,1))</f>
        <v>5.0999999999999996</v>
      </c>
      <c r="D24" s="51">
        <f t="shared" si="61"/>
        <v>15.5</v>
      </c>
      <c r="E24" s="51">
        <f t="shared" si="61"/>
        <v>26.3</v>
      </c>
      <c r="F24" s="51">
        <f t="shared" si="61"/>
        <v>25</v>
      </c>
      <c r="G24" s="51">
        <f t="shared" si="61"/>
        <v>18.399999999999999</v>
      </c>
      <c r="H24" s="51">
        <f t="shared" si="61"/>
        <v>7.5</v>
      </c>
      <c r="I24" s="51">
        <f t="shared" si="61"/>
        <v>97.8</v>
      </c>
      <c r="J24" s="54">
        <f t="shared" si="4"/>
        <v>1970</v>
      </c>
      <c r="K24" s="51">
        <f t="shared" ref="K24:Q24" si="62">IF(OR(K66=1,K66=2),"x",ROUND(K66/$R66*100,1))</f>
        <v>5</v>
      </c>
      <c r="L24" s="51">
        <f t="shared" si="62"/>
        <v>17.7</v>
      </c>
      <c r="M24" s="51">
        <f t="shared" si="62"/>
        <v>29</v>
      </c>
      <c r="N24" s="51">
        <f t="shared" si="62"/>
        <v>24.6</v>
      </c>
      <c r="O24" s="51">
        <f t="shared" si="62"/>
        <v>15.2</v>
      </c>
      <c r="P24" s="51">
        <f t="shared" si="62"/>
        <v>6.7</v>
      </c>
      <c r="Q24" s="51">
        <f t="shared" si="62"/>
        <v>98.1</v>
      </c>
      <c r="R24" s="54">
        <f t="shared" si="6"/>
        <v>2161</v>
      </c>
      <c r="S24" s="51">
        <f t="shared" si="7"/>
        <v>5.0999999999999996</v>
      </c>
      <c r="T24" s="51">
        <f t="shared" ref="T24:Y24" si="63">IF((T66&lt;=2),"x",ROUND(T66/$Z66*100,1))</f>
        <v>16.7</v>
      </c>
      <c r="U24" s="51">
        <f t="shared" si="63"/>
        <v>27.7</v>
      </c>
      <c r="V24" s="51">
        <f t="shared" si="63"/>
        <v>24.8</v>
      </c>
      <c r="W24" s="51">
        <f t="shared" si="63"/>
        <v>16.7</v>
      </c>
      <c r="X24" s="51">
        <f t="shared" si="63"/>
        <v>7.1</v>
      </c>
      <c r="Y24" s="51">
        <f t="shared" si="63"/>
        <v>97.9</v>
      </c>
      <c r="Z24" s="54">
        <f t="shared" si="9"/>
        <v>4131</v>
      </c>
      <c r="AA24" s="54"/>
    </row>
    <row r="25" spans="1:27" x14ac:dyDescent="0.2">
      <c r="A25" s="53"/>
      <c r="B25" s="50" t="s">
        <v>20</v>
      </c>
      <c r="C25" s="51">
        <f t="shared" ref="C25:I25" si="64">IF(OR(C67=1,C67=2),"x",ROUND(C67/$J67*100,1))</f>
        <v>12</v>
      </c>
      <c r="D25" s="51">
        <f t="shared" si="64"/>
        <v>13.9</v>
      </c>
      <c r="E25" s="51">
        <f t="shared" si="64"/>
        <v>25</v>
      </c>
      <c r="F25" s="51">
        <f t="shared" si="64"/>
        <v>24</v>
      </c>
      <c r="G25" s="51">
        <f t="shared" si="64"/>
        <v>16.3</v>
      </c>
      <c r="H25" s="51">
        <f t="shared" si="64"/>
        <v>7</v>
      </c>
      <c r="I25" s="51">
        <f t="shared" si="64"/>
        <v>98.2</v>
      </c>
      <c r="J25" s="54">
        <f t="shared" si="4"/>
        <v>11442</v>
      </c>
      <c r="K25" s="51">
        <f t="shared" ref="K25:Q25" si="65">IF(OR(K67=1,K67=2),"x",ROUND(K67/$R67*100,1))</f>
        <v>14.8</v>
      </c>
      <c r="L25" s="51">
        <f t="shared" si="65"/>
        <v>17.399999999999999</v>
      </c>
      <c r="M25" s="51">
        <f t="shared" si="65"/>
        <v>27.4</v>
      </c>
      <c r="N25" s="51">
        <f t="shared" si="65"/>
        <v>23.4</v>
      </c>
      <c r="O25" s="51">
        <f t="shared" si="65"/>
        <v>12.2</v>
      </c>
      <c r="P25" s="51">
        <f t="shared" si="65"/>
        <v>3.9</v>
      </c>
      <c r="Q25" s="51">
        <f t="shared" si="65"/>
        <v>99.2</v>
      </c>
      <c r="R25" s="54">
        <f t="shared" si="6"/>
        <v>31191</v>
      </c>
      <c r="S25" s="51">
        <f t="shared" si="7"/>
        <v>14.1</v>
      </c>
      <c r="T25" s="51">
        <f t="shared" ref="T25:Y25" si="66">IF((T67&lt;=2),"x",ROUND(T67/$Z67*100,1))</f>
        <v>16.5</v>
      </c>
      <c r="U25" s="51">
        <f t="shared" si="66"/>
        <v>26.8</v>
      </c>
      <c r="V25" s="51">
        <f t="shared" si="66"/>
        <v>23.6</v>
      </c>
      <c r="W25" s="51">
        <f t="shared" si="66"/>
        <v>13.3</v>
      </c>
      <c r="X25" s="51">
        <f t="shared" si="66"/>
        <v>4.8</v>
      </c>
      <c r="Y25" s="51">
        <f t="shared" si="66"/>
        <v>98.9</v>
      </c>
      <c r="Z25" s="54">
        <f t="shared" si="9"/>
        <v>42633</v>
      </c>
      <c r="AA25" s="54"/>
    </row>
    <row r="26" spans="1:27" x14ac:dyDescent="0.2">
      <c r="A26" s="53"/>
      <c r="B26" s="50" t="s">
        <v>21</v>
      </c>
      <c r="C26" s="51">
        <f t="shared" ref="C26:I26" si="67">IF(OR(C68=1,C68=2),"x",ROUND(C68/$J68*100,1))</f>
        <v>2.6</v>
      </c>
      <c r="D26" s="51">
        <f t="shared" si="67"/>
        <v>11.6</v>
      </c>
      <c r="E26" s="51">
        <f t="shared" si="67"/>
        <v>26.1</v>
      </c>
      <c r="F26" s="51">
        <f t="shared" si="67"/>
        <v>32.1</v>
      </c>
      <c r="G26" s="51">
        <f t="shared" si="67"/>
        <v>20.7</v>
      </c>
      <c r="H26" s="51">
        <f t="shared" si="67"/>
        <v>5.8</v>
      </c>
      <c r="I26" s="51">
        <f t="shared" si="67"/>
        <v>99</v>
      </c>
      <c r="J26" s="54">
        <f t="shared" si="4"/>
        <v>4704</v>
      </c>
      <c r="K26" s="51">
        <f t="shared" ref="K26:Q26" si="68">IF(OR(K68=1,K68=2),"x",ROUND(K68/$R68*100,1))</f>
        <v>4.3</v>
      </c>
      <c r="L26" s="51">
        <f t="shared" si="68"/>
        <v>15.5</v>
      </c>
      <c r="M26" s="51">
        <f t="shared" si="68"/>
        <v>33.200000000000003</v>
      </c>
      <c r="N26" s="51">
        <f t="shared" si="68"/>
        <v>30</v>
      </c>
      <c r="O26" s="51">
        <f t="shared" si="68"/>
        <v>13.7</v>
      </c>
      <c r="P26" s="51">
        <f t="shared" si="68"/>
        <v>3</v>
      </c>
      <c r="Q26" s="51">
        <f t="shared" si="68"/>
        <v>99.6</v>
      </c>
      <c r="R26" s="54">
        <f t="shared" si="6"/>
        <v>9893</v>
      </c>
      <c r="S26" s="51">
        <f t="shared" si="7"/>
        <v>3.7</v>
      </c>
      <c r="T26" s="51">
        <f t="shared" ref="T26:Y26" si="69">IF((T68&lt;=2),"x",ROUND(T68/$Z68*100,1))</f>
        <v>14.2</v>
      </c>
      <c r="U26" s="51">
        <f t="shared" si="69"/>
        <v>30.9</v>
      </c>
      <c r="V26" s="51">
        <f t="shared" si="69"/>
        <v>30.7</v>
      </c>
      <c r="W26" s="51">
        <f t="shared" si="69"/>
        <v>15.9</v>
      </c>
      <c r="X26" s="51">
        <f t="shared" si="69"/>
        <v>3.9</v>
      </c>
      <c r="Y26" s="51">
        <f t="shared" si="69"/>
        <v>99.4</v>
      </c>
      <c r="Z26" s="54">
        <f t="shared" si="9"/>
        <v>14597</v>
      </c>
      <c r="AA26" s="54"/>
    </row>
    <row r="27" spans="1:27" x14ac:dyDescent="0.2">
      <c r="A27" s="53"/>
      <c r="B27" s="50" t="s">
        <v>22</v>
      </c>
      <c r="C27" s="51">
        <f t="shared" ref="C27:I27" si="70">IF(OR(C69=1,C69=2),"x",ROUND(C69/$J69*100,1))</f>
        <v>7.5</v>
      </c>
      <c r="D27" s="51">
        <f t="shared" si="70"/>
        <v>14.5</v>
      </c>
      <c r="E27" s="51">
        <f t="shared" si="70"/>
        <v>26</v>
      </c>
      <c r="F27" s="51">
        <f t="shared" si="70"/>
        <v>28.8</v>
      </c>
      <c r="G27" s="51">
        <f t="shared" si="70"/>
        <v>17.7</v>
      </c>
      <c r="H27" s="51">
        <f t="shared" si="70"/>
        <v>4.8</v>
      </c>
      <c r="I27" s="51">
        <f t="shared" si="70"/>
        <v>99.3</v>
      </c>
      <c r="J27" s="54">
        <f t="shared" si="4"/>
        <v>24496</v>
      </c>
      <c r="K27" s="51">
        <f t="shared" ref="K27:Q27" si="71">IF(OR(K69=1,K69=2),"x",ROUND(K69/$R69*100,1))</f>
        <v>7.1</v>
      </c>
      <c r="L27" s="51">
        <f t="shared" si="71"/>
        <v>15.6</v>
      </c>
      <c r="M27" s="51">
        <f t="shared" si="71"/>
        <v>27.6</v>
      </c>
      <c r="N27" s="51">
        <f t="shared" si="71"/>
        <v>29.5</v>
      </c>
      <c r="O27" s="51">
        <f t="shared" si="71"/>
        <v>16</v>
      </c>
      <c r="P27" s="51">
        <f t="shared" si="71"/>
        <v>3.8</v>
      </c>
      <c r="Q27" s="51">
        <f t="shared" si="71"/>
        <v>99.6</v>
      </c>
      <c r="R27" s="54">
        <f t="shared" si="6"/>
        <v>58607</v>
      </c>
      <c r="S27" s="51">
        <f t="shared" si="7"/>
        <v>7.2</v>
      </c>
      <c r="T27" s="51">
        <f t="shared" ref="T27:Y27" si="72">IF((T69&lt;=2),"x",ROUND(T69/$Z69*100,1))</f>
        <v>15.3</v>
      </c>
      <c r="U27" s="51">
        <f t="shared" si="72"/>
        <v>27.1</v>
      </c>
      <c r="V27" s="51">
        <f t="shared" si="72"/>
        <v>29.3</v>
      </c>
      <c r="W27" s="51">
        <f t="shared" si="72"/>
        <v>16.5</v>
      </c>
      <c r="X27" s="51">
        <f t="shared" si="72"/>
        <v>4.0999999999999996</v>
      </c>
      <c r="Y27" s="51">
        <f t="shared" si="72"/>
        <v>99.5</v>
      </c>
      <c r="Z27" s="54">
        <f t="shared" si="9"/>
        <v>83103</v>
      </c>
      <c r="AA27" s="54"/>
    </row>
    <row r="28" spans="1:27" x14ac:dyDescent="0.2">
      <c r="A28" s="53"/>
      <c r="B28" s="50" t="s">
        <v>51</v>
      </c>
      <c r="C28" s="51">
        <f t="shared" ref="C28:I28" si="73">IF(OR(C70=1,C70=2),"x",ROUND(C70/$J70*100,1))</f>
        <v>1</v>
      </c>
      <c r="D28" s="51">
        <f t="shared" si="73"/>
        <v>7.2</v>
      </c>
      <c r="E28" s="51">
        <f t="shared" si="73"/>
        <v>25.9</v>
      </c>
      <c r="F28" s="51">
        <f t="shared" si="73"/>
        <v>36.700000000000003</v>
      </c>
      <c r="G28" s="51">
        <f t="shared" si="73"/>
        <v>22.3</v>
      </c>
      <c r="H28" s="51">
        <f t="shared" si="73"/>
        <v>5.9</v>
      </c>
      <c r="I28" s="51">
        <f t="shared" si="73"/>
        <v>98.9</v>
      </c>
      <c r="J28" s="54">
        <f t="shared" si="4"/>
        <v>10546</v>
      </c>
      <c r="K28" s="51">
        <f t="shared" ref="K28:Q28" si="74">IF(OR(K70=1,K70=2),"x",ROUND(K70/$R70*100,1))</f>
        <v>1.9</v>
      </c>
      <c r="L28" s="51">
        <f t="shared" si="74"/>
        <v>11.8</v>
      </c>
      <c r="M28" s="51">
        <f t="shared" si="74"/>
        <v>33.799999999999997</v>
      </c>
      <c r="N28" s="51">
        <f t="shared" si="74"/>
        <v>34.700000000000003</v>
      </c>
      <c r="O28" s="51">
        <f t="shared" si="74"/>
        <v>14.3</v>
      </c>
      <c r="P28" s="51">
        <f t="shared" si="74"/>
        <v>2.9</v>
      </c>
      <c r="Q28" s="51">
        <f t="shared" si="74"/>
        <v>99.4</v>
      </c>
      <c r="R28" s="54">
        <f t="shared" si="6"/>
        <v>13680</v>
      </c>
      <c r="S28" s="51">
        <f t="shared" si="7"/>
        <v>1.5</v>
      </c>
      <c r="T28" s="51">
        <f t="shared" ref="T28:Y28" si="75">IF((T70&lt;=2),"x",ROUND(T70/$Z70*100,1))</f>
        <v>9.8000000000000007</v>
      </c>
      <c r="U28" s="51">
        <f t="shared" si="75"/>
        <v>30.3</v>
      </c>
      <c r="V28" s="51">
        <f t="shared" si="75"/>
        <v>35.6</v>
      </c>
      <c r="W28" s="51">
        <f t="shared" si="75"/>
        <v>17.8</v>
      </c>
      <c r="X28" s="51">
        <f t="shared" si="75"/>
        <v>4.2</v>
      </c>
      <c r="Y28" s="51">
        <f t="shared" si="75"/>
        <v>99.2</v>
      </c>
      <c r="Z28" s="54">
        <f t="shared" si="9"/>
        <v>24226</v>
      </c>
      <c r="AA28" s="54"/>
    </row>
    <row r="29" spans="1:27" x14ac:dyDescent="0.2">
      <c r="A29" s="53"/>
      <c r="B29" s="50" t="s">
        <v>23</v>
      </c>
      <c r="C29" s="51">
        <f t="shared" ref="C29:I29" si="76">IF(OR(C71=1,C71=2),"x",ROUND(C71/$J71*100,1))</f>
        <v>2</v>
      </c>
      <c r="D29" s="51">
        <f t="shared" si="76"/>
        <v>9.5</v>
      </c>
      <c r="E29" s="51">
        <f t="shared" si="76"/>
        <v>30</v>
      </c>
      <c r="F29" s="51">
        <f t="shared" si="76"/>
        <v>37.700000000000003</v>
      </c>
      <c r="G29" s="51">
        <f t="shared" si="76"/>
        <v>16.2</v>
      </c>
      <c r="H29" s="51">
        <f t="shared" si="76"/>
        <v>3.9</v>
      </c>
      <c r="I29" s="51">
        <f t="shared" si="76"/>
        <v>99.4</v>
      </c>
      <c r="J29" s="54">
        <f t="shared" si="4"/>
        <v>4425</v>
      </c>
      <c r="K29" s="51">
        <f t="shared" ref="K29:Q29" si="77">IF(OR(K71=1,K71=2),"x",ROUND(K71/$R71*100,1))</f>
        <v>3.1</v>
      </c>
      <c r="L29" s="51">
        <f t="shared" si="77"/>
        <v>12.4</v>
      </c>
      <c r="M29" s="51">
        <f t="shared" si="77"/>
        <v>35.4</v>
      </c>
      <c r="N29" s="51">
        <f t="shared" si="77"/>
        <v>32.799999999999997</v>
      </c>
      <c r="O29" s="51">
        <f t="shared" si="77"/>
        <v>13.2</v>
      </c>
      <c r="P29" s="51">
        <f t="shared" si="77"/>
        <v>2.6</v>
      </c>
      <c r="Q29" s="51">
        <f t="shared" si="77"/>
        <v>99.5</v>
      </c>
      <c r="R29" s="54">
        <f t="shared" si="6"/>
        <v>5480</v>
      </c>
      <c r="S29" s="51">
        <f t="shared" si="7"/>
        <v>2.6</v>
      </c>
      <c r="T29" s="51">
        <f t="shared" ref="T29:Y29" si="78">IF((T71&lt;=2),"x",ROUND(T71/$Z71*100,1))</f>
        <v>11.1</v>
      </c>
      <c r="U29" s="51">
        <f t="shared" si="78"/>
        <v>33</v>
      </c>
      <c r="V29" s="51">
        <f t="shared" si="78"/>
        <v>35</v>
      </c>
      <c r="W29" s="51">
        <f t="shared" si="78"/>
        <v>14.5</v>
      </c>
      <c r="X29" s="51">
        <f t="shared" si="78"/>
        <v>3.2</v>
      </c>
      <c r="Y29" s="51">
        <f t="shared" si="78"/>
        <v>99.5</v>
      </c>
      <c r="Z29" s="54">
        <f t="shared" si="9"/>
        <v>9905</v>
      </c>
      <c r="AA29" s="54"/>
    </row>
    <row r="30" spans="1:27" x14ac:dyDescent="0.2">
      <c r="A30" s="53"/>
      <c r="B30" s="50" t="s">
        <v>24</v>
      </c>
      <c r="C30" s="51">
        <f t="shared" ref="C30:I30" si="79">IF(OR(C72=1,C72=2),"x",ROUND(C72/$J72*100,1))</f>
        <v>8.8000000000000007</v>
      </c>
      <c r="D30" s="51">
        <f t="shared" si="79"/>
        <v>34.799999999999997</v>
      </c>
      <c r="E30" s="51">
        <f t="shared" si="79"/>
        <v>27.8</v>
      </c>
      <c r="F30" s="51">
        <f t="shared" si="79"/>
        <v>17.5</v>
      </c>
      <c r="G30" s="51">
        <f t="shared" si="79"/>
        <v>7.7</v>
      </c>
      <c r="H30" s="51">
        <f t="shared" si="79"/>
        <v>2.8</v>
      </c>
      <c r="I30" s="51">
        <f t="shared" si="79"/>
        <v>99.3</v>
      </c>
      <c r="J30" s="54">
        <f t="shared" si="4"/>
        <v>3553</v>
      </c>
      <c r="K30" s="51">
        <f t="shared" ref="K30:Q30" si="80">IF(OR(K72=1,K72=2),"x",ROUND(K72/$R72*100,1))</f>
        <v>7.6</v>
      </c>
      <c r="L30" s="51">
        <f t="shared" si="80"/>
        <v>32.700000000000003</v>
      </c>
      <c r="M30" s="51">
        <f t="shared" si="80"/>
        <v>29.9</v>
      </c>
      <c r="N30" s="51">
        <f t="shared" si="80"/>
        <v>17.8</v>
      </c>
      <c r="O30" s="51">
        <f t="shared" si="80"/>
        <v>8.5</v>
      </c>
      <c r="P30" s="51">
        <f t="shared" si="80"/>
        <v>2.8</v>
      </c>
      <c r="Q30" s="51">
        <f t="shared" si="80"/>
        <v>99.4</v>
      </c>
      <c r="R30" s="54">
        <f t="shared" si="6"/>
        <v>7937</v>
      </c>
      <c r="S30" s="51">
        <f t="shared" si="7"/>
        <v>8</v>
      </c>
      <c r="T30" s="51">
        <f t="shared" ref="T30:Y30" si="81">IF((T72&lt;=2),"x",ROUND(T72/$Z72*100,1))</f>
        <v>33.299999999999997</v>
      </c>
      <c r="U30" s="51">
        <f t="shared" si="81"/>
        <v>29.3</v>
      </c>
      <c r="V30" s="51">
        <f t="shared" si="81"/>
        <v>17.7</v>
      </c>
      <c r="W30" s="51">
        <f t="shared" si="81"/>
        <v>8.3000000000000007</v>
      </c>
      <c r="X30" s="51">
        <f t="shared" si="81"/>
        <v>2.8</v>
      </c>
      <c r="Y30" s="51">
        <f t="shared" si="81"/>
        <v>99.4</v>
      </c>
      <c r="Z30" s="54">
        <f t="shared" si="9"/>
        <v>11490</v>
      </c>
      <c r="AA30" s="54"/>
    </row>
    <row r="31" spans="1:27" x14ac:dyDescent="0.2">
      <c r="A31" s="53"/>
      <c r="B31" s="50" t="s">
        <v>25</v>
      </c>
      <c r="C31" s="51">
        <f t="shared" ref="C31:I31" si="82">IF(OR(C73=1,C73=2),"x",ROUND(C73/$J73*100,1))</f>
        <v>9</v>
      </c>
      <c r="D31" s="51">
        <f t="shared" si="82"/>
        <v>33.1</v>
      </c>
      <c r="E31" s="51">
        <f t="shared" si="82"/>
        <v>25.9</v>
      </c>
      <c r="F31" s="51">
        <f t="shared" si="82"/>
        <v>18.8</v>
      </c>
      <c r="G31" s="51">
        <f t="shared" si="82"/>
        <v>8.6</v>
      </c>
      <c r="H31" s="51">
        <f t="shared" si="82"/>
        <v>3.7</v>
      </c>
      <c r="I31" s="51">
        <f t="shared" si="82"/>
        <v>99.1</v>
      </c>
      <c r="J31" s="54">
        <f t="shared" si="4"/>
        <v>1874</v>
      </c>
      <c r="K31" s="51">
        <f t="shared" ref="K31:Q31" si="83">IF(OR(K73=1,K73=2),"x",ROUND(K73/$R73*100,1))</f>
        <v>8.5</v>
      </c>
      <c r="L31" s="51">
        <f t="shared" si="83"/>
        <v>31.9</v>
      </c>
      <c r="M31" s="51">
        <f t="shared" si="83"/>
        <v>27</v>
      </c>
      <c r="N31" s="51">
        <f t="shared" si="83"/>
        <v>19.7</v>
      </c>
      <c r="O31" s="51">
        <f t="shared" si="83"/>
        <v>9.1</v>
      </c>
      <c r="P31" s="51">
        <f t="shared" si="83"/>
        <v>3.2</v>
      </c>
      <c r="Q31" s="51">
        <f t="shared" si="83"/>
        <v>99.5</v>
      </c>
      <c r="R31" s="54">
        <f t="shared" si="6"/>
        <v>2680</v>
      </c>
      <c r="S31" s="51">
        <f t="shared" si="7"/>
        <v>8.6999999999999993</v>
      </c>
      <c r="T31" s="51">
        <f t="shared" ref="T31:Y31" si="84">IF((T73&lt;=2),"x",ROUND(T73/$Z73*100,1))</f>
        <v>32.4</v>
      </c>
      <c r="U31" s="51">
        <f t="shared" si="84"/>
        <v>26.6</v>
      </c>
      <c r="V31" s="51">
        <f t="shared" si="84"/>
        <v>19.3</v>
      </c>
      <c r="W31" s="51">
        <f t="shared" si="84"/>
        <v>8.9</v>
      </c>
      <c r="X31" s="51">
        <f t="shared" si="84"/>
        <v>3.4</v>
      </c>
      <c r="Y31" s="51">
        <f t="shared" si="84"/>
        <v>99.3</v>
      </c>
      <c r="Z31" s="54">
        <f t="shared" si="9"/>
        <v>4554</v>
      </c>
      <c r="AA31" s="54"/>
    </row>
    <row r="32" spans="1:27" x14ac:dyDescent="0.2">
      <c r="A32" s="53"/>
      <c r="B32" s="50" t="s">
        <v>26</v>
      </c>
      <c r="C32" s="51">
        <f t="shared" ref="C32:I32" si="85">IF(OR(C74=1,C74=2),"x",ROUND(C74/$J74*100,1))</f>
        <v>8.9</v>
      </c>
      <c r="D32" s="51">
        <f t="shared" si="85"/>
        <v>32.299999999999997</v>
      </c>
      <c r="E32" s="51">
        <f t="shared" si="85"/>
        <v>27.7</v>
      </c>
      <c r="F32" s="51">
        <f t="shared" si="85"/>
        <v>17.3</v>
      </c>
      <c r="G32" s="51">
        <f t="shared" si="85"/>
        <v>9.8000000000000007</v>
      </c>
      <c r="H32" s="51">
        <f t="shared" si="85"/>
        <v>3.5</v>
      </c>
      <c r="I32" s="51">
        <f t="shared" si="85"/>
        <v>99.4</v>
      </c>
      <c r="J32" s="54">
        <f t="shared" si="4"/>
        <v>2122</v>
      </c>
      <c r="K32" s="51">
        <f t="shared" ref="K32:Q32" si="86">IF(OR(K74=1,K74=2),"x",ROUND(K74/$R74*100,1))</f>
        <v>8.9</v>
      </c>
      <c r="L32" s="51">
        <f t="shared" si="86"/>
        <v>28.8</v>
      </c>
      <c r="M32" s="51">
        <f t="shared" si="86"/>
        <v>28.7</v>
      </c>
      <c r="N32" s="51">
        <f t="shared" si="86"/>
        <v>19.399999999999999</v>
      </c>
      <c r="O32" s="51">
        <f t="shared" si="86"/>
        <v>10</v>
      </c>
      <c r="P32" s="51">
        <f t="shared" si="86"/>
        <v>3.4</v>
      </c>
      <c r="Q32" s="51">
        <f t="shared" si="86"/>
        <v>99.3</v>
      </c>
      <c r="R32" s="54">
        <f t="shared" si="6"/>
        <v>4276</v>
      </c>
      <c r="S32" s="51">
        <f t="shared" si="7"/>
        <v>8.9</v>
      </c>
      <c r="T32" s="51">
        <f t="shared" ref="T32:Y32" si="87">IF((T74&lt;=2),"x",ROUND(T74/$Z74*100,1))</f>
        <v>30</v>
      </c>
      <c r="U32" s="51">
        <f t="shared" si="87"/>
        <v>28.4</v>
      </c>
      <c r="V32" s="51">
        <f t="shared" si="87"/>
        <v>18.7</v>
      </c>
      <c r="W32" s="51">
        <f t="shared" si="87"/>
        <v>9.9</v>
      </c>
      <c r="X32" s="51">
        <f t="shared" si="87"/>
        <v>3.5</v>
      </c>
      <c r="Y32" s="51">
        <f t="shared" si="87"/>
        <v>99.3</v>
      </c>
      <c r="Z32" s="54">
        <f t="shared" si="9"/>
        <v>6398</v>
      </c>
      <c r="AA32" s="54"/>
    </row>
    <row r="33" spans="1:27" x14ac:dyDescent="0.2">
      <c r="A33" s="53"/>
      <c r="B33" s="50" t="s">
        <v>27</v>
      </c>
      <c r="C33" s="51">
        <f t="shared" ref="C33:I33" si="88">IF(OR(C75=1,C75=2),"x",ROUND(C75/$J75*100,1))</f>
        <v>13</v>
      </c>
      <c r="D33" s="51">
        <f t="shared" si="88"/>
        <v>38.299999999999997</v>
      </c>
      <c r="E33" s="51">
        <f t="shared" si="88"/>
        <v>29.1</v>
      </c>
      <c r="F33" s="51">
        <f t="shared" si="88"/>
        <v>11.3</v>
      </c>
      <c r="G33" s="51">
        <f t="shared" si="88"/>
        <v>4.8</v>
      </c>
      <c r="H33" s="51">
        <f t="shared" si="88"/>
        <v>2</v>
      </c>
      <c r="I33" s="51">
        <f t="shared" si="88"/>
        <v>98.5</v>
      </c>
      <c r="J33" s="54">
        <f t="shared" si="4"/>
        <v>2913</v>
      </c>
      <c r="K33" s="51">
        <f t="shared" ref="K33:Q33" si="89">IF(OR(K75=1,K75=2),"x",ROUND(K75/$R75*100,1))</f>
        <v>14.6</v>
      </c>
      <c r="L33" s="51">
        <f t="shared" si="89"/>
        <v>43.1</v>
      </c>
      <c r="M33" s="51">
        <f t="shared" si="89"/>
        <v>25.6</v>
      </c>
      <c r="N33" s="51">
        <f t="shared" si="89"/>
        <v>10</v>
      </c>
      <c r="O33" s="51">
        <f t="shared" si="89"/>
        <v>4</v>
      </c>
      <c r="P33" s="51">
        <f t="shared" si="89"/>
        <v>1.7</v>
      </c>
      <c r="Q33" s="51">
        <f t="shared" si="89"/>
        <v>99.1</v>
      </c>
      <c r="R33" s="54">
        <f t="shared" si="6"/>
        <v>3886</v>
      </c>
      <c r="S33" s="51">
        <f t="shared" si="7"/>
        <v>13.9</v>
      </c>
      <c r="T33" s="51">
        <f t="shared" ref="T33:Y33" si="90">IF((T75&lt;=2),"x",ROUND(T75/$Z75*100,1))</f>
        <v>41.1</v>
      </c>
      <c r="U33" s="51">
        <f t="shared" si="90"/>
        <v>27.1</v>
      </c>
      <c r="V33" s="51">
        <f t="shared" si="90"/>
        <v>10.5</v>
      </c>
      <c r="W33" s="51">
        <f t="shared" si="90"/>
        <v>4.3</v>
      </c>
      <c r="X33" s="51">
        <f t="shared" si="90"/>
        <v>1.9</v>
      </c>
      <c r="Y33" s="51">
        <f t="shared" si="90"/>
        <v>98.8</v>
      </c>
      <c r="Z33" s="54">
        <f t="shared" si="9"/>
        <v>6799</v>
      </c>
      <c r="AA33" s="54"/>
    </row>
    <row r="34" spans="1:27" x14ac:dyDescent="0.2">
      <c r="A34" s="53"/>
      <c r="B34" s="50" t="s">
        <v>28</v>
      </c>
      <c r="C34" s="51">
        <f t="shared" ref="C34:I34" si="91">IF(OR(C76=1,C76=2),"x",ROUND(C76/$J76*100,1))</f>
        <v>10.6</v>
      </c>
      <c r="D34" s="51">
        <f t="shared" si="91"/>
        <v>27</v>
      </c>
      <c r="E34" s="51">
        <f t="shared" si="91"/>
        <v>27.4</v>
      </c>
      <c r="F34" s="51">
        <f t="shared" si="91"/>
        <v>20</v>
      </c>
      <c r="G34" s="51">
        <f t="shared" si="91"/>
        <v>11</v>
      </c>
      <c r="H34" s="51">
        <f t="shared" si="91"/>
        <v>3.2</v>
      </c>
      <c r="I34" s="51">
        <f t="shared" si="91"/>
        <v>99.2</v>
      </c>
      <c r="J34" s="54">
        <f t="shared" si="4"/>
        <v>2536</v>
      </c>
      <c r="K34" s="51">
        <f t="shared" ref="K34:Q34" si="92">IF(OR(K76=1,K76=2),"x",ROUND(K76/$R76*100,1))</f>
        <v>11.8</v>
      </c>
      <c r="L34" s="51">
        <f t="shared" si="92"/>
        <v>30.8</v>
      </c>
      <c r="M34" s="51">
        <f t="shared" si="92"/>
        <v>28.9</v>
      </c>
      <c r="N34" s="51">
        <f t="shared" si="92"/>
        <v>17.3</v>
      </c>
      <c r="O34" s="51">
        <f t="shared" si="92"/>
        <v>8</v>
      </c>
      <c r="P34" s="51">
        <f t="shared" si="92"/>
        <v>2.4</v>
      </c>
      <c r="Q34" s="51">
        <f t="shared" si="92"/>
        <v>99.2</v>
      </c>
      <c r="R34" s="54">
        <f t="shared" si="6"/>
        <v>3213</v>
      </c>
      <c r="S34" s="51">
        <f t="shared" si="7"/>
        <v>11.3</v>
      </c>
      <c r="T34" s="51">
        <f t="shared" ref="T34:Y34" si="93">IF((T76&lt;=2),"x",ROUND(T76/$Z76*100,1))</f>
        <v>29.1</v>
      </c>
      <c r="U34" s="51">
        <f t="shared" si="93"/>
        <v>28.2</v>
      </c>
      <c r="V34" s="51">
        <f t="shared" si="93"/>
        <v>18.5</v>
      </c>
      <c r="W34" s="51">
        <f t="shared" si="93"/>
        <v>9.3000000000000007</v>
      </c>
      <c r="X34" s="51">
        <f t="shared" si="93"/>
        <v>2.8</v>
      </c>
      <c r="Y34" s="51">
        <f t="shared" si="93"/>
        <v>99.2</v>
      </c>
      <c r="Z34" s="54">
        <f t="shared" si="9"/>
        <v>5749</v>
      </c>
      <c r="AA34" s="54"/>
    </row>
    <row r="35" spans="1:27" x14ac:dyDescent="0.2">
      <c r="A35" s="53"/>
      <c r="B35" s="50" t="s">
        <v>29</v>
      </c>
      <c r="C35" s="51">
        <f t="shared" ref="C35:I35" si="94">IF(OR(C77=1,C77=2),"x",ROUND(C77/$J77*100,1))</f>
        <v>6</v>
      </c>
      <c r="D35" s="51">
        <f t="shared" si="94"/>
        <v>20.3</v>
      </c>
      <c r="E35" s="51">
        <f t="shared" si="94"/>
        <v>29.1</v>
      </c>
      <c r="F35" s="51">
        <f t="shared" si="94"/>
        <v>23.5</v>
      </c>
      <c r="G35" s="51">
        <f t="shared" si="94"/>
        <v>14</v>
      </c>
      <c r="H35" s="51">
        <f t="shared" si="94"/>
        <v>5.8</v>
      </c>
      <c r="I35" s="51">
        <f t="shared" si="94"/>
        <v>98.8</v>
      </c>
      <c r="J35" s="54">
        <f t="shared" si="4"/>
        <v>5992</v>
      </c>
      <c r="K35" s="51">
        <f t="shared" ref="K35:Q35" si="95">IF(OR(K77=1,K77=2),"x",ROUND(K77/$R77*100,1))</f>
        <v>5.8</v>
      </c>
      <c r="L35" s="51">
        <f t="shared" si="95"/>
        <v>22.5</v>
      </c>
      <c r="M35" s="51">
        <f t="shared" si="95"/>
        <v>29.9</v>
      </c>
      <c r="N35" s="51">
        <f t="shared" si="95"/>
        <v>23.7</v>
      </c>
      <c r="O35" s="51">
        <f t="shared" si="95"/>
        <v>12.3</v>
      </c>
      <c r="P35" s="51">
        <f t="shared" si="95"/>
        <v>4.7</v>
      </c>
      <c r="Q35" s="51">
        <f t="shared" si="95"/>
        <v>98.9</v>
      </c>
      <c r="R35" s="54">
        <f t="shared" si="6"/>
        <v>12544</v>
      </c>
      <c r="S35" s="51">
        <f t="shared" si="7"/>
        <v>5.9</v>
      </c>
      <c r="T35" s="51">
        <f t="shared" ref="T35:Y35" si="96">IF((T77&lt;=2),"x",ROUND(T77/$Z77*100,1))</f>
        <v>21.8</v>
      </c>
      <c r="U35" s="51">
        <f t="shared" si="96"/>
        <v>29.7</v>
      </c>
      <c r="V35" s="51">
        <f t="shared" si="96"/>
        <v>23.6</v>
      </c>
      <c r="W35" s="51">
        <f t="shared" si="96"/>
        <v>12.9</v>
      </c>
      <c r="X35" s="51">
        <f t="shared" si="96"/>
        <v>5.0999999999999996</v>
      </c>
      <c r="Y35" s="51">
        <f t="shared" si="96"/>
        <v>98.9</v>
      </c>
      <c r="Z35" s="54">
        <f t="shared" si="9"/>
        <v>18536</v>
      </c>
      <c r="AA35" s="54"/>
    </row>
    <row r="36" spans="1:27" x14ac:dyDescent="0.2">
      <c r="A36" s="53"/>
      <c r="B36" s="50" t="s">
        <v>30</v>
      </c>
      <c r="C36" s="51">
        <f t="shared" ref="C36:I36" si="97">IF(OR(C78=1,C78=2),"x",ROUND(C78/$J78*100,1))</f>
        <v>4.0999999999999996</v>
      </c>
      <c r="D36" s="51">
        <f t="shared" si="97"/>
        <v>12.6</v>
      </c>
      <c r="E36" s="51">
        <f t="shared" si="97"/>
        <v>23.9</v>
      </c>
      <c r="F36" s="51">
        <f t="shared" si="97"/>
        <v>26.9</v>
      </c>
      <c r="G36" s="51">
        <f t="shared" si="97"/>
        <v>21.4</v>
      </c>
      <c r="H36" s="51">
        <f t="shared" si="97"/>
        <v>9.3000000000000007</v>
      </c>
      <c r="I36" s="51">
        <f t="shared" si="97"/>
        <v>98.2</v>
      </c>
      <c r="J36" s="54">
        <f t="shared" si="4"/>
        <v>5403</v>
      </c>
      <c r="K36" s="51">
        <f t="shared" ref="K36:Q36" si="98">IF(OR(K78=1,K78=2),"x",ROUND(K78/$R78*100,1))</f>
        <v>4.5999999999999996</v>
      </c>
      <c r="L36" s="51">
        <f t="shared" si="98"/>
        <v>16.5</v>
      </c>
      <c r="M36" s="51">
        <f t="shared" si="98"/>
        <v>25.7</v>
      </c>
      <c r="N36" s="51">
        <f t="shared" si="98"/>
        <v>25.8</v>
      </c>
      <c r="O36" s="51">
        <f t="shared" si="98"/>
        <v>18.8</v>
      </c>
      <c r="P36" s="51">
        <f t="shared" si="98"/>
        <v>7.5</v>
      </c>
      <c r="Q36" s="51">
        <f t="shared" si="98"/>
        <v>99</v>
      </c>
      <c r="R36" s="54">
        <f t="shared" si="6"/>
        <v>3306</v>
      </c>
      <c r="S36" s="51">
        <f t="shared" si="7"/>
        <v>4.3</v>
      </c>
      <c r="T36" s="51">
        <f t="shared" ref="T36:Y36" si="99">IF((T78&lt;=2),"x",ROUND(T78/$Z78*100,1))</f>
        <v>14.1</v>
      </c>
      <c r="U36" s="51">
        <f t="shared" si="99"/>
        <v>24.6</v>
      </c>
      <c r="V36" s="51">
        <f t="shared" si="99"/>
        <v>26.5</v>
      </c>
      <c r="W36" s="51">
        <f t="shared" si="99"/>
        <v>20.399999999999999</v>
      </c>
      <c r="X36" s="51">
        <f t="shared" si="99"/>
        <v>8.6</v>
      </c>
      <c r="Y36" s="51">
        <f t="shared" si="99"/>
        <v>98.5</v>
      </c>
      <c r="Z36" s="54">
        <f t="shared" si="9"/>
        <v>8709</v>
      </c>
      <c r="AA36" s="54"/>
    </row>
    <row r="37" spans="1:27" x14ac:dyDescent="0.2">
      <c r="A37" s="53"/>
      <c r="B37" s="50" t="s">
        <v>31</v>
      </c>
      <c r="C37" s="51">
        <f t="shared" ref="C37:I37" si="100">IF(OR(C79=1,C79=2),"x",ROUND(C79/$J79*100,1))</f>
        <v>3.1</v>
      </c>
      <c r="D37" s="51">
        <f t="shared" si="100"/>
        <v>9.1</v>
      </c>
      <c r="E37" s="51">
        <f t="shared" si="100"/>
        <v>20.5</v>
      </c>
      <c r="F37" s="51">
        <f t="shared" si="100"/>
        <v>26.4</v>
      </c>
      <c r="G37" s="51">
        <f t="shared" si="100"/>
        <v>24</v>
      </c>
      <c r="H37" s="51">
        <f t="shared" si="100"/>
        <v>14.4</v>
      </c>
      <c r="I37" s="51">
        <f t="shared" si="100"/>
        <v>97.5</v>
      </c>
      <c r="J37" s="54">
        <f t="shared" si="4"/>
        <v>11491</v>
      </c>
      <c r="K37" s="51">
        <f t="shared" ref="K37:Q37" si="101">IF(OR(K79=1,K79=2),"x",ROUND(K79/$R79*100,1))</f>
        <v>7.3</v>
      </c>
      <c r="L37" s="51">
        <f t="shared" si="101"/>
        <v>14.8</v>
      </c>
      <c r="M37" s="51">
        <f t="shared" si="101"/>
        <v>25.7</v>
      </c>
      <c r="N37" s="51">
        <f t="shared" si="101"/>
        <v>25.4</v>
      </c>
      <c r="O37" s="51">
        <f t="shared" si="101"/>
        <v>17.2</v>
      </c>
      <c r="P37" s="51">
        <f t="shared" si="101"/>
        <v>8.3000000000000007</v>
      </c>
      <c r="Q37" s="51">
        <f t="shared" si="101"/>
        <v>98.8</v>
      </c>
      <c r="R37" s="54">
        <f t="shared" si="6"/>
        <v>8116</v>
      </c>
      <c r="S37" s="51">
        <f t="shared" si="7"/>
        <v>4.9000000000000004</v>
      </c>
      <c r="T37" s="51">
        <f t="shared" ref="T37:Y37" si="102">IF((T79&lt;=2),"x",ROUND(T79/$Z79*100,1))</f>
        <v>11.5</v>
      </c>
      <c r="U37" s="51">
        <f t="shared" si="102"/>
        <v>22.6</v>
      </c>
      <c r="V37" s="51">
        <f t="shared" si="102"/>
        <v>26</v>
      </c>
      <c r="W37" s="51">
        <f t="shared" si="102"/>
        <v>21.2</v>
      </c>
      <c r="X37" s="51">
        <f t="shared" si="102"/>
        <v>11.9</v>
      </c>
      <c r="Y37" s="51">
        <f t="shared" si="102"/>
        <v>98</v>
      </c>
      <c r="Z37" s="54">
        <f t="shared" si="9"/>
        <v>19607</v>
      </c>
      <c r="AA37" s="54"/>
    </row>
    <row r="38" spans="1:27" x14ac:dyDescent="0.2">
      <c r="A38" s="53"/>
      <c r="B38" s="50" t="s">
        <v>32</v>
      </c>
      <c r="C38" s="51">
        <f t="shared" ref="C38:I38" si="103">IF(OR(C80=1,C80=2),"x",ROUND(C80/$J80*100,1))</f>
        <v>3.8</v>
      </c>
      <c r="D38" s="51">
        <f t="shared" si="103"/>
        <v>8.1999999999999993</v>
      </c>
      <c r="E38" s="51">
        <f t="shared" si="103"/>
        <v>17.7</v>
      </c>
      <c r="F38" s="51">
        <f t="shared" si="103"/>
        <v>24.5</v>
      </c>
      <c r="G38" s="51">
        <f t="shared" si="103"/>
        <v>23.5</v>
      </c>
      <c r="H38" s="51">
        <f t="shared" si="103"/>
        <v>16.399999999999999</v>
      </c>
      <c r="I38" s="51">
        <f t="shared" si="103"/>
        <v>94.1</v>
      </c>
      <c r="J38" s="54">
        <f t="shared" si="4"/>
        <v>20176</v>
      </c>
      <c r="K38" s="51">
        <f t="shared" ref="K38:Q38" si="104">IF(OR(K80=1,K80=2),"x",ROUND(K80/$R80*100,1))</f>
        <v>4.5</v>
      </c>
      <c r="L38" s="51">
        <f t="shared" si="104"/>
        <v>10.1</v>
      </c>
      <c r="M38" s="51">
        <f t="shared" si="104"/>
        <v>20.399999999999999</v>
      </c>
      <c r="N38" s="51">
        <f t="shared" si="104"/>
        <v>25.6</v>
      </c>
      <c r="O38" s="51">
        <f t="shared" si="104"/>
        <v>22.5</v>
      </c>
      <c r="P38" s="51">
        <f t="shared" si="104"/>
        <v>13.2</v>
      </c>
      <c r="Q38" s="51">
        <f t="shared" si="104"/>
        <v>96.4</v>
      </c>
      <c r="R38" s="54">
        <f t="shared" si="6"/>
        <v>22699</v>
      </c>
      <c r="S38" s="51">
        <f t="shared" si="7"/>
        <v>4.2</v>
      </c>
      <c r="T38" s="51">
        <f t="shared" ref="T38:Y38" si="105">IF((T80&lt;=2),"x",ROUND(T80/$Z80*100,1))</f>
        <v>9.1999999999999993</v>
      </c>
      <c r="U38" s="51">
        <f t="shared" si="105"/>
        <v>19.100000000000001</v>
      </c>
      <c r="V38" s="51">
        <f t="shared" si="105"/>
        <v>25.1</v>
      </c>
      <c r="W38" s="51">
        <f t="shared" si="105"/>
        <v>23</v>
      </c>
      <c r="X38" s="51">
        <f t="shared" si="105"/>
        <v>14.7</v>
      </c>
      <c r="Y38" s="51">
        <f t="shared" si="105"/>
        <v>95.3</v>
      </c>
      <c r="Z38" s="54">
        <f t="shared" si="9"/>
        <v>42875</v>
      </c>
      <c r="AA38" s="54"/>
    </row>
    <row r="39" spans="1:27" x14ac:dyDescent="0.2">
      <c r="A39" s="53"/>
      <c r="B39" s="50" t="s">
        <v>46</v>
      </c>
      <c r="C39" s="51">
        <f t="shared" ref="C39:I39" si="106">IF(OR(C81=1,C81=2),"x",ROUND(C81/$J81*100,1))</f>
        <v>8.5</v>
      </c>
      <c r="D39" s="51">
        <f t="shared" si="106"/>
        <v>18.2</v>
      </c>
      <c r="E39" s="51">
        <f t="shared" si="106"/>
        <v>24.2</v>
      </c>
      <c r="F39" s="51">
        <f t="shared" si="106"/>
        <v>23.3</v>
      </c>
      <c r="G39" s="51">
        <f t="shared" si="106"/>
        <v>16.2</v>
      </c>
      <c r="H39" s="51">
        <f t="shared" si="106"/>
        <v>7.8</v>
      </c>
      <c r="I39" s="51">
        <f t="shared" si="106"/>
        <v>98.1</v>
      </c>
      <c r="J39" s="54">
        <f t="shared" si="4"/>
        <v>362062</v>
      </c>
      <c r="K39" s="51">
        <f t="shared" ref="K39:Q39" si="107">IF(OR(K81=1,K81=2),"x",ROUND(K81/$R81*100,1))</f>
        <v>8.4</v>
      </c>
      <c r="L39" s="51">
        <f t="shared" si="107"/>
        <v>19.3</v>
      </c>
      <c r="M39" s="51">
        <f t="shared" si="107"/>
        <v>26.8</v>
      </c>
      <c r="N39" s="51">
        <f t="shared" si="107"/>
        <v>24.2</v>
      </c>
      <c r="O39" s="51">
        <f t="shared" si="107"/>
        <v>14.4</v>
      </c>
      <c r="P39" s="51">
        <f t="shared" si="107"/>
        <v>5.7</v>
      </c>
      <c r="Q39" s="51">
        <f t="shared" si="107"/>
        <v>98.8</v>
      </c>
      <c r="R39" s="54">
        <f t="shared" si="6"/>
        <v>420709</v>
      </c>
      <c r="S39" s="51">
        <f t="shared" si="7"/>
        <v>8.4</v>
      </c>
      <c r="T39" s="51">
        <f t="shared" ref="T39:Y39" si="108">IF((T81&lt;=2),"x",ROUND(T81/$Z81*100,1))</f>
        <v>18.8</v>
      </c>
      <c r="U39" s="51">
        <f t="shared" si="108"/>
        <v>25.6</v>
      </c>
      <c r="V39" s="51">
        <f t="shared" si="108"/>
        <v>23.8</v>
      </c>
      <c r="W39" s="51">
        <f t="shared" si="108"/>
        <v>15.2</v>
      </c>
      <c r="X39" s="51">
        <f t="shared" si="108"/>
        <v>6.7</v>
      </c>
      <c r="Y39" s="51">
        <f t="shared" si="108"/>
        <v>98.5</v>
      </c>
      <c r="Z39" s="54">
        <f t="shared" si="9"/>
        <v>782771</v>
      </c>
      <c r="AA39" s="54"/>
    </row>
    <row r="40" spans="1:27" x14ac:dyDescent="0.2">
      <c r="AA40" s="54"/>
    </row>
    <row r="41" spans="1:27" x14ac:dyDescent="0.2">
      <c r="A41" s="53"/>
      <c r="AA41" s="54"/>
    </row>
    <row r="42" spans="1:27" x14ac:dyDescent="0.2">
      <c r="A42" s="53"/>
      <c r="B42" s="51" t="s">
        <v>64</v>
      </c>
      <c r="AA42" s="54"/>
    </row>
    <row r="43" spans="1:27" x14ac:dyDescent="0.2">
      <c r="A43" s="53"/>
      <c r="AA43" s="54"/>
    </row>
    <row r="44" spans="1:27" x14ac:dyDescent="0.2">
      <c r="A44" s="53"/>
      <c r="C44" s="51" t="s">
        <v>42</v>
      </c>
      <c r="K44" s="51" t="s">
        <v>43</v>
      </c>
      <c r="S44" s="51" t="s">
        <v>54</v>
      </c>
      <c r="AA44" s="54"/>
    </row>
    <row r="45" spans="1:27" x14ac:dyDescent="0.2">
      <c r="A45" s="53"/>
      <c r="C45" s="51" t="s">
        <v>69</v>
      </c>
      <c r="D45" s="51" t="s">
        <v>33</v>
      </c>
      <c r="E45" s="51" t="s">
        <v>34</v>
      </c>
      <c r="F45" s="51" t="s">
        <v>35</v>
      </c>
      <c r="G45" s="51" t="s">
        <v>36</v>
      </c>
      <c r="H45" s="51" t="s">
        <v>37</v>
      </c>
      <c r="I45" s="51" t="s">
        <v>47</v>
      </c>
      <c r="J45" s="51" t="s">
        <v>54</v>
      </c>
      <c r="K45" s="51" t="s">
        <v>69</v>
      </c>
      <c r="L45" s="51" t="s">
        <v>33</v>
      </c>
      <c r="M45" s="51" t="s">
        <v>34</v>
      </c>
      <c r="N45" s="51" t="s">
        <v>35</v>
      </c>
      <c r="O45" s="51" t="s">
        <v>36</v>
      </c>
      <c r="P45" s="51" t="s">
        <v>37</v>
      </c>
      <c r="Q45" s="51" t="s">
        <v>47</v>
      </c>
      <c r="R45" s="51" t="s">
        <v>54</v>
      </c>
      <c r="S45" s="51" t="s">
        <v>69</v>
      </c>
      <c r="T45" s="51" t="s">
        <v>33</v>
      </c>
      <c r="U45" s="51" t="s">
        <v>34</v>
      </c>
      <c r="V45" s="51" t="s">
        <v>35</v>
      </c>
      <c r="W45" s="51" t="s">
        <v>36</v>
      </c>
      <c r="X45" s="51" t="s">
        <v>37</v>
      </c>
      <c r="Y45" s="51" t="s">
        <v>47</v>
      </c>
      <c r="Z45" s="51" t="s">
        <v>54</v>
      </c>
      <c r="AA45" s="54"/>
    </row>
    <row r="46" spans="1:27" x14ac:dyDescent="0.2">
      <c r="A46" s="53"/>
      <c r="AA46" s="54"/>
    </row>
    <row r="47" spans="1:27" x14ac:dyDescent="0.2">
      <c r="A47" s="53"/>
      <c r="B47" s="51" t="s">
        <v>0</v>
      </c>
      <c r="C47" s="51">
        <v>1956</v>
      </c>
      <c r="D47" s="51">
        <v>4383</v>
      </c>
      <c r="E47" s="51">
        <v>5539</v>
      </c>
      <c r="F47" s="51">
        <v>5248</v>
      </c>
      <c r="G47" s="51">
        <v>3898</v>
      </c>
      <c r="H47" s="51">
        <v>2266</v>
      </c>
      <c r="I47" s="51">
        <v>23290</v>
      </c>
      <c r="J47" s="51">
        <v>23785</v>
      </c>
      <c r="K47" s="51">
        <v>2953</v>
      </c>
      <c r="L47" s="51">
        <v>6235</v>
      </c>
      <c r="M47" s="51">
        <v>7433</v>
      </c>
      <c r="N47" s="51">
        <v>6543</v>
      </c>
      <c r="O47" s="51">
        <v>4593</v>
      </c>
      <c r="P47" s="51">
        <v>2652</v>
      </c>
      <c r="Q47" s="51">
        <v>30409</v>
      </c>
      <c r="R47" s="51">
        <v>30953</v>
      </c>
      <c r="S47" s="51">
        <v>4909</v>
      </c>
      <c r="T47" s="51">
        <v>10618</v>
      </c>
      <c r="U47" s="51">
        <v>12972</v>
      </c>
      <c r="V47" s="51">
        <v>11791</v>
      </c>
      <c r="W47" s="51">
        <v>8491</v>
      </c>
      <c r="X47" s="51">
        <v>4918</v>
      </c>
      <c r="Y47" s="51">
        <v>53699</v>
      </c>
      <c r="Z47" s="51">
        <v>54738</v>
      </c>
      <c r="AA47" s="54"/>
    </row>
    <row r="48" spans="1:27" x14ac:dyDescent="0.2">
      <c r="A48" s="53"/>
      <c r="B48" s="51" t="s">
        <v>1</v>
      </c>
      <c r="C48" s="51">
        <v>2328</v>
      </c>
      <c r="D48" s="51">
        <v>5635</v>
      </c>
      <c r="E48" s="51">
        <v>5603</v>
      </c>
      <c r="F48" s="51">
        <v>4298</v>
      </c>
      <c r="G48" s="51">
        <v>2846</v>
      </c>
      <c r="H48" s="51">
        <v>1688</v>
      </c>
      <c r="I48" s="51">
        <v>22398</v>
      </c>
      <c r="J48" s="51">
        <v>22818</v>
      </c>
      <c r="K48" s="51">
        <v>1804</v>
      </c>
      <c r="L48" s="51">
        <v>5133</v>
      </c>
      <c r="M48" s="51">
        <v>5423</v>
      </c>
      <c r="N48" s="51">
        <v>3902</v>
      </c>
      <c r="O48" s="51">
        <v>2527</v>
      </c>
      <c r="P48" s="51">
        <v>1361</v>
      </c>
      <c r="Q48" s="51">
        <v>20150</v>
      </c>
      <c r="R48" s="51">
        <v>20431</v>
      </c>
      <c r="S48" s="51">
        <v>4132</v>
      </c>
      <c r="T48" s="51">
        <v>10768</v>
      </c>
      <c r="U48" s="51">
        <v>11026</v>
      </c>
      <c r="V48" s="51">
        <v>8200</v>
      </c>
      <c r="W48" s="51">
        <v>5373</v>
      </c>
      <c r="X48" s="51">
        <v>3049</v>
      </c>
      <c r="Y48" s="51">
        <v>42548</v>
      </c>
      <c r="Z48" s="51">
        <v>43249</v>
      </c>
      <c r="AA48" s="54"/>
    </row>
    <row r="49" spans="1:27" x14ac:dyDescent="0.2">
      <c r="A49" s="53"/>
      <c r="B49" s="51" t="s">
        <v>2</v>
      </c>
      <c r="C49" s="51">
        <v>2479</v>
      </c>
      <c r="D49" s="51">
        <v>5043</v>
      </c>
      <c r="E49" s="51">
        <v>5156</v>
      </c>
      <c r="F49" s="51">
        <v>4256</v>
      </c>
      <c r="G49" s="51">
        <v>3516</v>
      </c>
      <c r="H49" s="51">
        <v>2158</v>
      </c>
      <c r="I49" s="51">
        <v>22608</v>
      </c>
      <c r="J49" s="51">
        <v>23193</v>
      </c>
      <c r="K49" s="51">
        <v>690</v>
      </c>
      <c r="L49" s="51">
        <v>1617</v>
      </c>
      <c r="M49" s="51">
        <v>1356</v>
      </c>
      <c r="N49" s="51">
        <v>1075</v>
      </c>
      <c r="O49" s="51">
        <v>748</v>
      </c>
      <c r="P49" s="51">
        <v>428</v>
      </c>
      <c r="Q49" s="51">
        <v>5914</v>
      </c>
      <c r="R49" s="51">
        <v>6012</v>
      </c>
      <c r="S49" s="51">
        <v>3169</v>
      </c>
      <c r="T49" s="51">
        <v>6660</v>
      </c>
      <c r="U49" s="51">
        <v>6512</v>
      </c>
      <c r="V49" s="51">
        <v>5331</v>
      </c>
      <c r="W49" s="51">
        <v>4264</v>
      </c>
      <c r="X49" s="51">
        <v>2586</v>
      </c>
      <c r="Y49" s="51">
        <v>28522</v>
      </c>
      <c r="Z49" s="51">
        <v>29205</v>
      </c>
      <c r="AA49" s="54"/>
    </row>
    <row r="50" spans="1:27" x14ac:dyDescent="0.2">
      <c r="A50" s="53"/>
      <c r="B50" s="51" t="s">
        <v>3</v>
      </c>
      <c r="C50" s="51">
        <v>239</v>
      </c>
      <c r="D50" s="51">
        <v>548</v>
      </c>
      <c r="E50" s="51">
        <v>646</v>
      </c>
      <c r="F50" s="51">
        <v>635</v>
      </c>
      <c r="G50" s="51">
        <v>520</v>
      </c>
      <c r="H50" s="51">
        <v>303</v>
      </c>
      <c r="I50" s="51">
        <v>2891</v>
      </c>
      <c r="J50" s="51">
        <v>2978</v>
      </c>
      <c r="K50" s="51">
        <v>112</v>
      </c>
      <c r="L50" s="51">
        <v>193</v>
      </c>
      <c r="M50" s="51">
        <v>296</v>
      </c>
      <c r="N50" s="51">
        <v>277</v>
      </c>
      <c r="O50" s="51">
        <v>199</v>
      </c>
      <c r="P50" s="51">
        <v>135</v>
      </c>
      <c r="Q50" s="51">
        <v>1212</v>
      </c>
      <c r="R50" s="51">
        <v>1244</v>
      </c>
      <c r="S50" s="51">
        <v>351</v>
      </c>
      <c r="T50" s="51">
        <v>741</v>
      </c>
      <c r="U50" s="51">
        <v>942</v>
      </c>
      <c r="V50" s="51">
        <v>912</v>
      </c>
      <c r="W50" s="51">
        <v>719</v>
      </c>
      <c r="X50" s="51">
        <v>438</v>
      </c>
      <c r="Y50" s="51">
        <v>4103</v>
      </c>
      <c r="Z50" s="51">
        <v>4222</v>
      </c>
      <c r="AA50" s="54"/>
    </row>
    <row r="51" spans="1:27" x14ac:dyDescent="0.2">
      <c r="A51" s="53"/>
      <c r="B51" s="51" t="s">
        <v>4</v>
      </c>
      <c r="C51" s="51">
        <v>8517</v>
      </c>
      <c r="D51" s="51">
        <v>11926</v>
      </c>
      <c r="E51" s="51">
        <v>9595</v>
      </c>
      <c r="F51" s="51">
        <v>7007</v>
      </c>
      <c r="G51" s="51">
        <v>4815</v>
      </c>
      <c r="H51" s="51">
        <v>2745</v>
      </c>
      <c r="I51" s="51">
        <v>44605</v>
      </c>
      <c r="J51" s="51">
        <v>45322</v>
      </c>
      <c r="K51" s="51">
        <v>5203</v>
      </c>
      <c r="L51" s="51">
        <v>8410</v>
      </c>
      <c r="M51" s="51">
        <v>6929</v>
      </c>
      <c r="N51" s="51">
        <v>4790</v>
      </c>
      <c r="O51" s="51">
        <v>3006</v>
      </c>
      <c r="P51" s="51">
        <v>1520</v>
      </c>
      <c r="Q51" s="51">
        <v>29858</v>
      </c>
      <c r="R51" s="51">
        <v>30224</v>
      </c>
      <c r="S51" s="51">
        <v>13720</v>
      </c>
      <c r="T51" s="51">
        <v>20336</v>
      </c>
      <c r="U51" s="51">
        <v>16524</v>
      </c>
      <c r="V51" s="51">
        <v>11797</v>
      </c>
      <c r="W51" s="51">
        <v>7821</v>
      </c>
      <c r="X51" s="51">
        <v>4265</v>
      </c>
      <c r="Y51" s="51">
        <v>74463</v>
      </c>
      <c r="Z51" s="51">
        <v>75546</v>
      </c>
      <c r="AA51" s="54"/>
    </row>
    <row r="52" spans="1:27" x14ac:dyDescent="0.2">
      <c r="A52" s="53"/>
      <c r="B52" s="51" t="s">
        <v>5</v>
      </c>
      <c r="C52" s="51">
        <v>2180</v>
      </c>
      <c r="D52" s="51">
        <v>2426</v>
      </c>
      <c r="E52" s="51">
        <v>1619</v>
      </c>
      <c r="F52" s="51">
        <v>808</v>
      </c>
      <c r="G52" s="51">
        <v>457</v>
      </c>
      <c r="H52" s="51">
        <v>228</v>
      </c>
      <c r="I52" s="51">
        <v>7718</v>
      </c>
      <c r="J52" s="51">
        <v>7819</v>
      </c>
      <c r="K52" s="51">
        <v>958</v>
      </c>
      <c r="L52" s="51">
        <v>1130</v>
      </c>
      <c r="M52" s="51">
        <v>778</v>
      </c>
      <c r="N52" s="51">
        <v>369</v>
      </c>
      <c r="O52" s="51">
        <v>197</v>
      </c>
      <c r="P52" s="51">
        <v>113</v>
      </c>
      <c r="Q52" s="51">
        <v>3545</v>
      </c>
      <c r="R52" s="51">
        <v>3589</v>
      </c>
      <c r="S52" s="51">
        <v>3138</v>
      </c>
      <c r="T52" s="51">
        <v>3556</v>
      </c>
      <c r="U52" s="51">
        <v>2397</v>
      </c>
      <c r="V52" s="51">
        <v>1177</v>
      </c>
      <c r="W52" s="51">
        <v>654</v>
      </c>
      <c r="X52" s="51">
        <v>341</v>
      </c>
      <c r="Y52" s="51">
        <v>11263</v>
      </c>
      <c r="Z52" s="51">
        <v>11408</v>
      </c>
      <c r="AA52" s="54"/>
    </row>
    <row r="53" spans="1:27" x14ac:dyDescent="0.2">
      <c r="A53" s="53"/>
      <c r="B53" s="51" t="s">
        <v>6</v>
      </c>
      <c r="C53" s="51">
        <v>345</v>
      </c>
      <c r="D53" s="51">
        <v>940</v>
      </c>
      <c r="E53" s="51">
        <v>2000</v>
      </c>
      <c r="F53" s="51">
        <v>2366</v>
      </c>
      <c r="G53" s="51">
        <v>1856</v>
      </c>
      <c r="H53" s="51">
        <v>850</v>
      </c>
      <c r="I53" s="51">
        <v>8357</v>
      </c>
      <c r="J53" s="51">
        <v>8552</v>
      </c>
      <c r="K53" s="51">
        <v>425</v>
      </c>
      <c r="L53" s="51">
        <v>913</v>
      </c>
      <c r="M53" s="51">
        <v>1779</v>
      </c>
      <c r="N53" s="51">
        <v>1664</v>
      </c>
      <c r="O53" s="51">
        <v>1068</v>
      </c>
      <c r="P53" s="51">
        <v>404</v>
      </c>
      <c r="Q53" s="51">
        <v>6253</v>
      </c>
      <c r="R53" s="51">
        <v>6326</v>
      </c>
      <c r="S53" s="51">
        <v>770</v>
      </c>
      <c r="T53" s="51">
        <v>1853</v>
      </c>
      <c r="U53" s="51">
        <v>3779</v>
      </c>
      <c r="V53" s="51">
        <v>4030</v>
      </c>
      <c r="W53" s="51">
        <v>2924</v>
      </c>
      <c r="X53" s="51">
        <v>1254</v>
      </c>
      <c r="Y53" s="51">
        <v>14610</v>
      </c>
      <c r="Z53" s="51">
        <v>14878</v>
      </c>
      <c r="AA53" s="54"/>
    </row>
    <row r="54" spans="1:27" x14ac:dyDescent="0.2">
      <c r="A54" s="53"/>
      <c r="B54" s="51" t="s">
        <v>168</v>
      </c>
      <c r="C54" s="51">
        <v>128</v>
      </c>
      <c r="D54" s="51">
        <v>419</v>
      </c>
      <c r="E54" s="51">
        <v>720</v>
      </c>
      <c r="F54" s="51">
        <v>815</v>
      </c>
      <c r="G54" s="51">
        <v>644</v>
      </c>
      <c r="H54" s="51">
        <v>425</v>
      </c>
      <c r="I54" s="51">
        <v>3151</v>
      </c>
      <c r="J54" s="51">
        <v>3276</v>
      </c>
      <c r="K54" s="51">
        <v>13</v>
      </c>
      <c r="L54" s="51">
        <v>43</v>
      </c>
      <c r="M54" s="51">
        <v>58</v>
      </c>
      <c r="N54" s="51">
        <v>57</v>
      </c>
      <c r="O54" s="51">
        <v>41</v>
      </c>
      <c r="P54" s="51">
        <v>22</v>
      </c>
      <c r="Q54" s="51">
        <v>234</v>
      </c>
      <c r="R54" s="51">
        <v>241</v>
      </c>
      <c r="S54" s="51">
        <v>141</v>
      </c>
      <c r="T54" s="51">
        <v>462</v>
      </c>
      <c r="U54" s="51">
        <v>778</v>
      </c>
      <c r="V54" s="51">
        <v>872</v>
      </c>
      <c r="W54" s="51">
        <v>685</v>
      </c>
      <c r="X54" s="51">
        <v>447</v>
      </c>
      <c r="Y54" s="51">
        <v>3385</v>
      </c>
      <c r="Z54" s="51">
        <v>3517</v>
      </c>
      <c r="AA54" s="54"/>
    </row>
    <row r="55" spans="1:27" x14ac:dyDescent="0.2">
      <c r="A55" s="53"/>
      <c r="B55" s="51" t="s">
        <v>8</v>
      </c>
      <c r="C55" s="51">
        <v>77</v>
      </c>
      <c r="D55" s="51">
        <v>343</v>
      </c>
      <c r="E55" s="51">
        <v>1080</v>
      </c>
      <c r="F55" s="51">
        <v>1470</v>
      </c>
      <c r="G55" s="51">
        <v>1511</v>
      </c>
      <c r="H55" s="51">
        <v>823</v>
      </c>
      <c r="I55" s="51">
        <v>5304</v>
      </c>
      <c r="J55" s="51">
        <v>5511</v>
      </c>
      <c r="K55" s="51">
        <v>94</v>
      </c>
      <c r="L55" s="51">
        <v>362</v>
      </c>
      <c r="M55" s="51">
        <v>746</v>
      </c>
      <c r="N55" s="51">
        <v>935</v>
      </c>
      <c r="O55" s="51">
        <v>773</v>
      </c>
      <c r="P55" s="51">
        <v>333</v>
      </c>
      <c r="Q55" s="51">
        <v>3243</v>
      </c>
      <c r="R55" s="51">
        <v>3317</v>
      </c>
      <c r="S55" s="51">
        <v>171</v>
      </c>
      <c r="T55" s="51">
        <v>705</v>
      </c>
      <c r="U55" s="51">
        <v>1826</v>
      </c>
      <c r="V55" s="51">
        <v>2405</v>
      </c>
      <c r="W55" s="51">
        <v>2284</v>
      </c>
      <c r="X55" s="51">
        <v>1156</v>
      </c>
      <c r="Y55" s="51">
        <v>8547</v>
      </c>
      <c r="Z55" s="51">
        <v>8828</v>
      </c>
      <c r="AA55" s="54"/>
    </row>
    <row r="56" spans="1:27" x14ac:dyDescent="0.2">
      <c r="A56" s="53"/>
      <c r="B56" s="51" t="s">
        <v>9</v>
      </c>
      <c r="C56" s="51">
        <v>0</v>
      </c>
      <c r="D56" s="51">
        <v>1</v>
      </c>
      <c r="E56" s="51">
        <v>6</v>
      </c>
      <c r="F56" s="51">
        <v>19</v>
      </c>
      <c r="G56" s="51">
        <v>21</v>
      </c>
      <c r="H56" s="51">
        <v>13</v>
      </c>
      <c r="I56" s="51">
        <v>60</v>
      </c>
      <c r="J56" s="51">
        <v>64</v>
      </c>
      <c r="K56" s="51">
        <v>10</v>
      </c>
      <c r="L56" s="51">
        <v>46</v>
      </c>
      <c r="M56" s="51">
        <v>86</v>
      </c>
      <c r="N56" s="51">
        <v>81</v>
      </c>
      <c r="O56" s="51">
        <v>57</v>
      </c>
      <c r="P56" s="51">
        <v>17</v>
      </c>
      <c r="Q56" s="51">
        <v>297</v>
      </c>
      <c r="R56" s="51">
        <v>304</v>
      </c>
      <c r="S56" s="51">
        <v>10</v>
      </c>
      <c r="T56" s="51">
        <v>47</v>
      </c>
      <c r="U56" s="51">
        <v>92</v>
      </c>
      <c r="V56" s="51">
        <v>100</v>
      </c>
      <c r="W56" s="51">
        <v>78</v>
      </c>
      <c r="X56" s="51">
        <v>30</v>
      </c>
      <c r="Y56" s="51">
        <v>357</v>
      </c>
      <c r="Z56" s="51">
        <v>368</v>
      </c>
      <c r="AA56" s="54"/>
    </row>
    <row r="57" spans="1:27" x14ac:dyDescent="0.2">
      <c r="A57" s="53"/>
      <c r="B57" s="51" t="s">
        <v>10</v>
      </c>
      <c r="C57" s="51">
        <v>29</v>
      </c>
      <c r="D57" s="51">
        <v>264</v>
      </c>
      <c r="E57" s="51">
        <v>477</v>
      </c>
      <c r="F57" s="51">
        <v>588</v>
      </c>
      <c r="G57" s="51">
        <v>548</v>
      </c>
      <c r="H57" s="51">
        <v>292</v>
      </c>
      <c r="I57" s="51">
        <v>2198</v>
      </c>
      <c r="J57" s="51">
        <v>2283</v>
      </c>
      <c r="K57" s="51">
        <v>30</v>
      </c>
      <c r="L57" s="51">
        <v>165</v>
      </c>
      <c r="M57" s="51">
        <v>273</v>
      </c>
      <c r="N57" s="51">
        <v>312</v>
      </c>
      <c r="O57" s="51">
        <v>222</v>
      </c>
      <c r="P57" s="51">
        <v>173</v>
      </c>
      <c r="Q57" s="51">
        <v>1175</v>
      </c>
      <c r="R57" s="51">
        <v>1212</v>
      </c>
      <c r="S57" s="51">
        <v>59</v>
      </c>
      <c r="T57" s="51">
        <v>429</v>
      </c>
      <c r="U57" s="51">
        <v>750</v>
      </c>
      <c r="V57" s="51">
        <v>900</v>
      </c>
      <c r="W57" s="51">
        <v>770</v>
      </c>
      <c r="X57" s="51">
        <v>465</v>
      </c>
      <c r="Y57" s="51">
        <v>3373</v>
      </c>
      <c r="Z57" s="51">
        <v>3495</v>
      </c>
      <c r="AA57" s="54"/>
    </row>
    <row r="58" spans="1:27" x14ac:dyDescent="0.2">
      <c r="A58" s="53"/>
      <c r="B58" s="51" t="s">
        <v>11</v>
      </c>
      <c r="C58" s="51">
        <v>619</v>
      </c>
      <c r="D58" s="51">
        <v>2072</v>
      </c>
      <c r="E58" s="51">
        <v>4703</v>
      </c>
      <c r="F58" s="51">
        <v>5138</v>
      </c>
      <c r="G58" s="51">
        <v>3259</v>
      </c>
      <c r="H58" s="51">
        <v>1167</v>
      </c>
      <c r="I58" s="51">
        <v>16958</v>
      </c>
      <c r="J58" s="51">
        <v>17173</v>
      </c>
      <c r="K58" s="51">
        <v>586</v>
      </c>
      <c r="L58" s="51">
        <v>1638</v>
      </c>
      <c r="M58" s="51">
        <v>3121</v>
      </c>
      <c r="N58" s="51">
        <v>3254</v>
      </c>
      <c r="O58" s="51">
        <v>2118</v>
      </c>
      <c r="P58" s="51">
        <v>751</v>
      </c>
      <c r="Q58" s="51">
        <v>11468</v>
      </c>
      <c r="R58" s="51">
        <v>11603</v>
      </c>
      <c r="S58" s="51">
        <v>1205</v>
      </c>
      <c r="T58" s="51">
        <v>3710</v>
      </c>
      <c r="U58" s="51">
        <v>7824</v>
      </c>
      <c r="V58" s="51">
        <v>8392</v>
      </c>
      <c r="W58" s="51">
        <v>5377</v>
      </c>
      <c r="X58" s="51">
        <v>1918</v>
      </c>
      <c r="Y58" s="51">
        <v>28426</v>
      </c>
      <c r="Z58" s="51">
        <v>28776</v>
      </c>
      <c r="AA58" s="54"/>
    </row>
    <row r="59" spans="1:27" x14ac:dyDescent="0.2">
      <c r="A59" s="53"/>
      <c r="B59" s="51" t="s">
        <v>12</v>
      </c>
      <c r="C59" s="51">
        <v>1242</v>
      </c>
      <c r="D59" s="51">
        <v>3904</v>
      </c>
      <c r="E59" s="51">
        <v>4068</v>
      </c>
      <c r="F59" s="51">
        <v>2934</v>
      </c>
      <c r="G59" s="51">
        <v>1496</v>
      </c>
      <c r="H59" s="51">
        <v>625</v>
      </c>
      <c r="I59" s="51">
        <v>14269</v>
      </c>
      <c r="J59" s="51">
        <v>14406</v>
      </c>
      <c r="K59" s="51">
        <v>680</v>
      </c>
      <c r="L59" s="51">
        <v>1981</v>
      </c>
      <c r="M59" s="51">
        <v>1814</v>
      </c>
      <c r="N59" s="51">
        <v>1102</v>
      </c>
      <c r="O59" s="51">
        <v>581</v>
      </c>
      <c r="P59" s="51">
        <v>204</v>
      </c>
      <c r="Q59" s="51">
        <v>6362</v>
      </c>
      <c r="R59" s="51">
        <v>6413</v>
      </c>
      <c r="S59" s="51">
        <v>1922</v>
      </c>
      <c r="T59" s="51">
        <v>5885</v>
      </c>
      <c r="U59" s="51">
        <v>5882</v>
      </c>
      <c r="V59" s="51">
        <v>4036</v>
      </c>
      <c r="W59" s="51">
        <v>2077</v>
      </c>
      <c r="X59" s="51">
        <v>829</v>
      </c>
      <c r="Y59" s="51">
        <v>20631</v>
      </c>
      <c r="Z59" s="51">
        <v>20819</v>
      </c>
      <c r="AA59" s="54"/>
    </row>
    <row r="60" spans="1:27" x14ac:dyDescent="0.2">
      <c r="A60" s="53"/>
      <c r="B60" s="51" t="s">
        <v>13</v>
      </c>
      <c r="C60" s="51">
        <v>872</v>
      </c>
      <c r="D60" s="51">
        <v>3113</v>
      </c>
      <c r="E60" s="51">
        <v>4210</v>
      </c>
      <c r="F60" s="51">
        <v>3793</v>
      </c>
      <c r="G60" s="51">
        <v>2284</v>
      </c>
      <c r="H60" s="51">
        <v>743</v>
      </c>
      <c r="I60" s="51">
        <v>15015</v>
      </c>
      <c r="J60" s="51">
        <v>15147</v>
      </c>
      <c r="K60" s="51">
        <v>1211</v>
      </c>
      <c r="L60" s="51">
        <v>3468</v>
      </c>
      <c r="M60" s="51">
        <v>3641</v>
      </c>
      <c r="N60" s="51">
        <v>2842</v>
      </c>
      <c r="O60" s="51">
        <v>1406</v>
      </c>
      <c r="P60" s="51">
        <v>413</v>
      </c>
      <c r="Q60" s="51">
        <v>12981</v>
      </c>
      <c r="R60" s="51">
        <v>13056</v>
      </c>
      <c r="S60" s="51">
        <v>2083</v>
      </c>
      <c r="T60" s="51">
        <v>6581</v>
      </c>
      <c r="U60" s="51">
        <v>7851</v>
      </c>
      <c r="V60" s="51">
        <v>6635</v>
      </c>
      <c r="W60" s="51">
        <v>3690</v>
      </c>
      <c r="X60" s="51">
        <v>1156</v>
      </c>
      <c r="Y60" s="51">
        <v>27996</v>
      </c>
      <c r="Z60" s="51">
        <v>28203</v>
      </c>
      <c r="AA60" s="54"/>
    </row>
    <row r="61" spans="1:27" x14ac:dyDescent="0.2">
      <c r="A61" s="53"/>
      <c r="B61" s="51" t="s">
        <v>14</v>
      </c>
      <c r="C61" s="51">
        <v>641</v>
      </c>
      <c r="D61" s="51">
        <v>1703</v>
      </c>
      <c r="E61" s="51">
        <v>2168</v>
      </c>
      <c r="F61" s="51">
        <v>1691</v>
      </c>
      <c r="G61" s="51">
        <v>924</v>
      </c>
      <c r="H61" s="51">
        <v>377</v>
      </c>
      <c r="I61" s="51">
        <v>7504</v>
      </c>
      <c r="J61" s="51">
        <v>7591</v>
      </c>
      <c r="K61" s="51">
        <v>615</v>
      </c>
      <c r="L61" s="51">
        <v>1476</v>
      </c>
      <c r="M61" s="51">
        <v>1628</v>
      </c>
      <c r="N61" s="51">
        <v>1095</v>
      </c>
      <c r="O61" s="51">
        <v>603</v>
      </c>
      <c r="P61" s="51">
        <v>235</v>
      </c>
      <c r="Q61" s="51">
        <v>5652</v>
      </c>
      <c r="R61" s="51">
        <v>5715</v>
      </c>
      <c r="S61" s="51">
        <v>1256</v>
      </c>
      <c r="T61" s="51">
        <v>3179</v>
      </c>
      <c r="U61" s="51">
        <v>3796</v>
      </c>
      <c r="V61" s="51">
        <v>2786</v>
      </c>
      <c r="W61" s="51">
        <v>1527</v>
      </c>
      <c r="X61" s="51">
        <v>612</v>
      </c>
      <c r="Y61" s="51">
        <v>13156</v>
      </c>
      <c r="Z61" s="51">
        <v>13306</v>
      </c>
      <c r="AA61" s="54"/>
    </row>
    <row r="62" spans="1:27" x14ac:dyDescent="0.2">
      <c r="A62" s="53"/>
      <c r="B62" s="51" t="s">
        <v>15</v>
      </c>
      <c r="C62" s="51">
        <v>1543</v>
      </c>
      <c r="D62" s="51">
        <v>4229</v>
      </c>
      <c r="E62" s="51">
        <v>6248</v>
      </c>
      <c r="F62" s="51">
        <v>5673</v>
      </c>
      <c r="G62" s="51">
        <v>3268</v>
      </c>
      <c r="H62" s="51">
        <v>1054</v>
      </c>
      <c r="I62" s="51">
        <v>22015</v>
      </c>
      <c r="J62" s="51">
        <v>22168</v>
      </c>
      <c r="K62" s="51">
        <v>1846</v>
      </c>
      <c r="L62" s="51">
        <v>4918</v>
      </c>
      <c r="M62" s="51">
        <v>6775</v>
      </c>
      <c r="N62" s="51">
        <v>5719</v>
      </c>
      <c r="O62" s="51">
        <v>2911</v>
      </c>
      <c r="P62" s="51">
        <v>854</v>
      </c>
      <c r="Q62" s="51">
        <v>23023</v>
      </c>
      <c r="R62" s="51">
        <v>23162</v>
      </c>
      <c r="S62" s="51">
        <v>3389</v>
      </c>
      <c r="T62" s="51">
        <v>9147</v>
      </c>
      <c r="U62" s="51">
        <v>13023</v>
      </c>
      <c r="V62" s="51">
        <v>11392</v>
      </c>
      <c r="W62" s="51">
        <v>6179</v>
      </c>
      <c r="X62" s="51">
        <v>1908</v>
      </c>
      <c r="Y62" s="51">
        <v>45038</v>
      </c>
      <c r="Z62" s="51">
        <v>45330</v>
      </c>
      <c r="AA62" s="54"/>
    </row>
    <row r="63" spans="1:27" x14ac:dyDescent="0.2">
      <c r="A63" s="53"/>
      <c r="B63" s="51" t="s">
        <v>16</v>
      </c>
      <c r="C63" s="51">
        <v>196</v>
      </c>
      <c r="D63" s="51">
        <v>605</v>
      </c>
      <c r="E63" s="51">
        <v>1209</v>
      </c>
      <c r="F63" s="51">
        <v>1333</v>
      </c>
      <c r="G63" s="51">
        <v>1040</v>
      </c>
      <c r="H63" s="51">
        <v>616</v>
      </c>
      <c r="I63" s="51">
        <v>4999</v>
      </c>
      <c r="J63" s="51">
        <v>5153</v>
      </c>
      <c r="K63" s="51">
        <v>432</v>
      </c>
      <c r="L63" s="51">
        <v>1248</v>
      </c>
      <c r="M63" s="51">
        <v>1952</v>
      </c>
      <c r="N63" s="51">
        <v>1980</v>
      </c>
      <c r="O63" s="51">
        <v>1527</v>
      </c>
      <c r="P63" s="51">
        <v>668</v>
      </c>
      <c r="Q63" s="51">
        <v>7807</v>
      </c>
      <c r="R63" s="51">
        <v>7979</v>
      </c>
      <c r="S63" s="51">
        <v>628</v>
      </c>
      <c r="T63" s="51">
        <v>1853</v>
      </c>
      <c r="U63" s="51">
        <v>3161</v>
      </c>
      <c r="V63" s="51">
        <v>3313</v>
      </c>
      <c r="W63" s="51">
        <v>2567</v>
      </c>
      <c r="X63" s="51">
        <v>1284</v>
      </c>
      <c r="Y63" s="51">
        <v>12806</v>
      </c>
      <c r="Z63" s="51">
        <v>13132</v>
      </c>
      <c r="AA63" s="54"/>
    </row>
    <row r="64" spans="1:27" x14ac:dyDescent="0.2">
      <c r="A64" s="53"/>
      <c r="B64" s="51" t="s">
        <v>17</v>
      </c>
      <c r="C64" s="51">
        <v>344</v>
      </c>
      <c r="D64" s="51">
        <v>1394</v>
      </c>
      <c r="E64" s="51">
        <v>3081</v>
      </c>
      <c r="F64" s="51">
        <v>3986</v>
      </c>
      <c r="G64" s="51">
        <v>3225</v>
      </c>
      <c r="H64" s="51">
        <v>1749</v>
      </c>
      <c r="I64" s="51">
        <v>13779</v>
      </c>
      <c r="J64" s="51">
        <v>14260</v>
      </c>
      <c r="K64" s="51">
        <v>2006</v>
      </c>
      <c r="L64" s="51">
        <v>6150</v>
      </c>
      <c r="M64" s="51">
        <v>10371</v>
      </c>
      <c r="N64" s="51">
        <v>10077</v>
      </c>
      <c r="O64" s="51">
        <v>6561</v>
      </c>
      <c r="P64" s="51">
        <v>2890</v>
      </c>
      <c r="Q64" s="51">
        <v>38055</v>
      </c>
      <c r="R64" s="51">
        <v>38684</v>
      </c>
      <c r="S64" s="51">
        <v>2350</v>
      </c>
      <c r="T64" s="51">
        <v>7544</v>
      </c>
      <c r="U64" s="51">
        <v>13452</v>
      </c>
      <c r="V64" s="51">
        <v>14063</v>
      </c>
      <c r="W64" s="51">
        <v>9786</v>
      </c>
      <c r="X64" s="51">
        <v>4639</v>
      </c>
      <c r="Y64" s="51">
        <v>51834</v>
      </c>
      <c r="Z64" s="51">
        <v>52944</v>
      </c>
      <c r="AA64" s="54"/>
    </row>
    <row r="65" spans="1:27" x14ac:dyDescent="0.2">
      <c r="A65" s="53"/>
      <c r="B65" s="51" t="s">
        <v>18</v>
      </c>
      <c r="C65" s="51">
        <v>273</v>
      </c>
      <c r="D65" s="51">
        <v>786</v>
      </c>
      <c r="E65" s="51">
        <v>1750</v>
      </c>
      <c r="F65" s="51">
        <v>2035</v>
      </c>
      <c r="G65" s="51">
        <v>1387</v>
      </c>
      <c r="H65" s="51">
        <v>545</v>
      </c>
      <c r="I65" s="51">
        <v>6776</v>
      </c>
      <c r="J65" s="51">
        <v>6920</v>
      </c>
      <c r="K65" s="51">
        <v>1071</v>
      </c>
      <c r="L65" s="51">
        <v>3227</v>
      </c>
      <c r="M65" s="51">
        <v>5566</v>
      </c>
      <c r="N65" s="51">
        <v>5499</v>
      </c>
      <c r="O65" s="51">
        <v>3584</v>
      </c>
      <c r="P65" s="51">
        <v>1351</v>
      </c>
      <c r="Q65" s="51">
        <v>20298</v>
      </c>
      <c r="R65" s="51">
        <v>20575</v>
      </c>
      <c r="S65" s="51">
        <v>1344</v>
      </c>
      <c r="T65" s="51">
        <v>4013</v>
      </c>
      <c r="U65" s="51">
        <v>7316</v>
      </c>
      <c r="V65" s="51">
        <v>7534</v>
      </c>
      <c r="W65" s="51">
        <v>4971</v>
      </c>
      <c r="X65" s="51">
        <v>1896</v>
      </c>
      <c r="Y65" s="51">
        <v>27074</v>
      </c>
      <c r="Z65" s="51">
        <v>27495</v>
      </c>
      <c r="AA65" s="54"/>
    </row>
    <row r="66" spans="1:27" x14ac:dyDescent="0.2">
      <c r="A66" s="53"/>
      <c r="B66" s="51" t="s">
        <v>73</v>
      </c>
      <c r="C66" s="51">
        <v>101</v>
      </c>
      <c r="D66" s="51">
        <v>305</v>
      </c>
      <c r="E66" s="51">
        <v>518</v>
      </c>
      <c r="F66" s="51">
        <v>492</v>
      </c>
      <c r="G66" s="51">
        <v>362</v>
      </c>
      <c r="H66" s="51">
        <v>148</v>
      </c>
      <c r="I66" s="51">
        <v>1926</v>
      </c>
      <c r="J66" s="51">
        <v>1970</v>
      </c>
      <c r="K66" s="51">
        <v>108</v>
      </c>
      <c r="L66" s="51">
        <v>383</v>
      </c>
      <c r="M66" s="51">
        <v>626</v>
      </c>
      <c r="N66" s="51">
        <v>531</v>
      </c>
      <c r="O66" s="51">
        <v>328</v>
      </c>
      <c r="P66" s="51">
        <v>144</v>
      </c>
      <c r="Q66" s="51">
        <v>2120</v>
      </c>
      <c r="R66" s="51">
        <v>2161</v>
      </c>
      <c r="S66" s="51">
        <v>209</v>
      </c>
      <c r="T66" s="51">
        <v>688</v>
      </c>
      <c r="U66" s="51">
        <v>1144</v>
      </c>
      <c r="V66" s="51">
        <v>1023</v>
      </c>
      <c r="W66" s="51">
        <v>690</v>
      </c>
      <c r="X66" s="51">
        <v>292</v>
      </c>
      <c r="Y66" s="51">
        <v>4046</v>
      </c>
      <c r="Z66" s="51">
        <v>4131</v>
      </c>
      <c r="AA66" s="54"/>
    </row>
    <row r="67" spans="1:27" x14ac:dyDescent="0.2">
      <c r="A67" s="53"/>
      <c r="B67" s="51" t="s">
        <v>20</v>
      </c>
      <c r="C67" s="51">
        <v>1374</v>
      </c>
      <c r="D67" s="51">
        <v>1588</v>
      </c>
      <c r="E67" s="51">
        <v>2865</v>
      </c>
      <c r="F67" s="51">
        <v>2743</v>
      </c>
      <c r="G67" s="51">
        <v>1866</v>
      </c>
      <c r="H67" s="51">
        <v>805</v>
      </c>
      <c r="I67" s="51">
        <v>11241</v>
      </c>
      <c r="J67" s="51">
        <v>11442</v>
      </c>
      <c r="K67" s="51">
        <v>4628</v>
      </c>
      <c r="L67" s="51">
        <v>5436</v>
      </c>
      <c r="M67" s="51">
        <v>8558</v>
      </c>
      <c r="N67" s="51">
        <v>7301</v>
      </c>
      <c r="O67" s="51">
        <v>3795</v>
      </c>
      <c r="P67" s="51">
        <v>1223</v>
      </c>
      <c r="Q67" s="51">
        <v>30941</v>
      </c>
      <c r="R67" s="51">
        <v>31191</v>
      </c>
      <c r="S67" s="51">
        <v>6002</v>
      </c>
      <c r="T67" s="51">
        <v>7024</v>
      </c>
      <c r="U67" s="51">
        <v>11423</v>
      </c>
      <c r="V67" s="51">
        <v>10044</v>
      </c>
      <c r="W67" s="51">
        <v>5661</v>
      </c>
      <c r="X67" s="51">
        <v>2028</v>
      </c>
      <c r="Y67" s="51">
        <v>42182</v>
      </c>
      <c r="Z67" s="51">
        <v>42633</v>
      </c>
      <c r="AA67" s="54"/>
    </row>
    <row r="68" spans="1:27" x14ac:dyDescent="0.2">
      <c r="A68" s="53"/>
      <c r="B68" s="51" t="s">
        <v>21</v>
      </c>
      <c r="C68" s="51">
        <v>121</v>
      </c>
      <c r="D68" s="51">
        <v>547</v>
      </c>
      <c r="E68" s="51">
        <v>1228</v>
      </c>
      <c r="F68" s="51">
        <v>1509</v>
      </c>
      <c r="G68" s="51">
        <v>976</v>
      </c>
      <c r="H68" s="51">
        <v>274</v>
      </c>
      <c r="I68" s="51">
        <v>4655</v>
      </c>
      <c r="J68" s="51">
        <v>4704</v>
      </c>
      <c r="K68" s="51">
        <v>424</v>
      </c>
      <c r="L68" s="51">
        <v>1529</v>
      </c>
      <c r="M68" s="51">
        <v>3285</v>
      </c>
      <c r="N68" s="51">
        <v>2972</v>
      </c>
      <c r="O68" s="51">
        <v>1352</v>
      </c>
      <c r="P68" s="51">
        <v>296</v>
      </c>
      <c r="Q68" s="51">
        <v>9858</v>
      </c>
      <c r="R68" s="51">
        <v>9893</v>
      </c>
      <c r="S68" s="51">
        <v>545</v>
      </c>
      <c r="T68" s="51">
        <v>2076</v>
      </c>
      <c r="U68" s="51">
        <v>4513</v>
      </c>
      <c r="V68" s="51">
        <v>4481</v>
      </c>
      <c r="W68" s="51">
        <v>2328</v>
      </c>
      <c r="X68" s="51">
        <v>570</v>
      </c>
      <c r="Y68" s="51">
        <v>14513</v>
      </c>
      <c r="Z68" s="51">
        <v>14597</v>
      </c>
      <c r="AA68" s="54"/>
    </row>
    <row r="69" spans="1:27" x14ac:dyDescent="0.2">
      <c r="A69" s="53"/>
      <c r="B69" s="51" t="s">
        <v>22</v>
      </c>
      <c r="C69" s="51">
        <v>1839</v>
      </c>
      <c r="D69" s="51">
        <v>3552</v>
      </c>
      <c r="E69" s="51">
        <v>6379</v>
      </c>
      <c r="F69" s="51">
        <v>7053</v>
      </c>
      <c r="G69" s="51">
        <v>4338</v>
      </c>
      <c r="H69" s="51">
        <v>1175</v>
      </c>
      <c r="I69" s="51">
        <v>24336</v>
      </c>
      <c r="J69" s="51">
        <v>24496</v>
      </c>
      <c r="K69" s="51">
        <v>4150</v>
      </c>
      <c r="L69" s="51">
        <v>9149</v>
      </c>
      <c r="M69" s="51">
        <v>16153</v>
      </c>
      <c r="N69" s="51">
        <v>17307</v>
      </c>
      <c r="O69" s="51">
        <v>9353</v>
      </c>
      <c r="P69" s="51">
        <v>2232</v>
      </c>
      <c r="Q69" s="51">
        <v>58344</v>
      </c>
      <c r="R69" s="51">
        <v>58607</v>
      </c>
      <c r="S69" s="51">
        <v>5989</v>
      </c>
      <c r="T69" s="51">
        <v>12701</v>
      </c>
      <c r="U69" s="51">
        <v>22532</v>
      </c>
      <c r="V69" s="51">
        <v>24360</v>
      </c>
      <c r="W69" s="51">
        <v>13691</v>
      </c>
      <c r="X69" s="51">
        <v>3407</v>
      </c>
      <c r="Y69" s="51">
        <v>82680</v>
      </c>
      <c r="Z69" s="51">
        <v>83103</v>
      </c>
      <c r="AA69" s="54"/>
    </row>
    <row r="70" spans="1:27" x14ac:dyDescent="0.2">
      <c r="A70" s="53"/>
      <c r="B70" s="51" t="s">
        <v>61</v>
      </c>
      <c r="C70" s="51">
        <v>106</v>
      </c>
      <c r="D70" s="51">
        <v>758</v>
      </c>
      <c r="E70" s="51">
        <v>2727</v>
      </c>
      <c r="F70" s="51">
        <v>3870</v>
      </c>
      <c r="G70" s="51">
        <v>2348</v>
      </c>
      <c r="H70" s="51">
        <v>621</v>
      </c>
      <c r="I70" s="51">
        <v>10430</v>
      </c>
      <c r="J70" s="51">
        <v>10546</v>
      </c>
      <c r="K70" s="51">
        <v>259</v>
      </c>
      <c r="L70" s="51">
        <v>1621</v>
      </c>
      <c r="M70" s="51">
        <v>4620</v>
      </c>
      <c r="N70" s="51">
        <v>4747</v>
      </c>
      <c r="O70" s="51">
        <v>1962</v>
      </c>
      <c r="P70" s="51">
        <v>390</v>
      </c>
      <c r="Q70" s="51">
        <v>13599</v>
      </c>
      <c r="R70" s="51">
        <v>13680</v>
      </c>
      <c r="S70" s="51">
        <v>365</v>
      </c>
      <c r="T70" s="51">
        <v>2379</v>
      </c>
      <c r="U70" s="51">
        <v>7347</v>
      </c>
      <c r="V70" s="51">
        <v>8617</v>
      </c>
      <c r="W70" s="51">
        <v>4310</v>
      </c>
      <c r="X70" s="51">
        <v>1011</v>
      </c>
      <c r="Y70" s="51">
        <v>24029</v>
      </c>
      <c r="Z70" s="51">
        <v>24226</v>
      </c>
      <c r="AA70" s="54"/>
    </row>
    <row r="71" spans="1:27" x14ac:dyDescent="0.2">
      <c r="A71" s="53"/>
      <c r="B71" s="51" t="s">
        <v>23</v>
      </c>
      <c r="C71" s="51">
        <v>90</v>
      </c>
      <c r="D71" s="51">
        <v>421</v>
      </c>
      <c r="E71" s="51">
        <v>1326</v>
      </c>
      <c r="F71" s="51">
        <v>1667</v>
      </c>
      <c r="G71" s="51">
        <v>719</v>
      </c>
      <c r="H71" s="51">
        <v>174</v>
      </c>
      <c r="I71" s="51">
        <v>4397</v>
      </c>
      <c r="J71" s="51">
        <v>4425</v>
      </c>
      <c r="K71" s="51">
        <v>169</v>
      </c>
      <c r="L71" s="51">
        <v>682</v>
      </c>
      <c r="M71" s="51">
        <v>1939</v>
      </c>
      <c r="N71" s="51">
        <v>1797</v>
      </c>
      <c r="O71" s="51">
        <v>722</v>
      </c>
      <c r="P71" s="51">
        <v>145</v>
      </c>
      <c r="Q71" s="51">
        <v>5454</v>
      </c>
      <c r="R71" s="51">
        <v>5480</v>
      </c>
      <c r="S71" s="51">
        <v>259</v>
      </c>
      <c r="T71" s="51">
        <v>1103</v>
      </c>
      <c r="U71" s="51">
        <v>3265</v>
      </c>
      <c r="V71" s="51">
        <v>3464</v>
      </c>
      <c r="W71" s="51">
        <v>1441</v>
      </c>
      <c r="X71" s="51">
        <v>319</v>
      </c>
      <c r="Y71" s="51">
        <v>9851</v>
      </c>
      <c r="Z71" s="51">
        <v>9905</v>
      </c>
      <c r="AA71" s="54"/>
    </row>
    <row r="72" spans="1:27" x14ac:dyDescent="0.2">
      <c r="A72" s="53"/>
      <c r="B72" s="51" t="s">
        <v>24</v>
      </c>
      <c r="C72" s="51">
        <v>314</v>
      </c>
      <c r="D72" s="51">
        <v>1235</v>
      </c>
      <c r="E72" s="51">
        <v>986</v>
      </c>
      <c r="F72" s="51">
        <v>620</v>
      </c>
      <c r="G72" s="51">
        <v>273</v>
      </c>
      <c r="H72" s="51">
        <v>101</v>
      </c>
      <c r="I72" s="51">
        <v>3529</v>
      </c>
      <c r="J72" s="51">
        <v>3553</v>
      </c>
      <c r="K72" s="51">
        <v>607</v>
      </c>
      <c r="L72" s="51">
        <v>2596</v>
      </c>
      <c r="M72" s="51">
        <v>2375</v>
      </c>
      <c r="N72" s="51">
        <v>1414</v>
      </c>
      <c r="O72" s="51">
        <v>678</v>
      </c>
      <c r="P72" s="51">
        <v>221</v>
      </c>
      <c r="Q72" s="51">
        <v>7891</v>
      </c>
      <c r="R72" s="51">
        <v>7937</v>
      </c>
      <c r="S72" s="51">
        <v>921</v>
      </c>
      <c r="T72" s="51">
        <v>3831</v>
      </c>
      <c r="U72" s="51">
        <v>3361</v>
      </c>
      <c r="V72" s="51">
        <v>2034</v>
      </c>
      <c r="W72" s="51">
        <v>951</v>
      </c>
      <c r="X72" s="51">
        <v>322</v>
      </c>
      <c r="Y72" s="51">
        <v>11420</v>
      </c>
      <c r="Z72" s="51">
        <v>11490</v>
      </c>
      <c r="AA72" s="54"/>
    </row>
    <row r="73" spans="1:27" x14ac:dyDescent="0.2">
      <c r="A73" s="53"/>
      <c r="B73" s="51" t="s">
        <v>25</v>
      </c>
      <c r="C73" s="51">
        <v>169</v>
      </c>
      <c r="D73" s="51">
        <v>620</v>
      </c>
      <c r="E73" s="51">
        <v>486</v>
      </c>
      <c r="F73" s="51">
        <v>352</v>
      </c>
      <c r="G73" s="51">
        <v>161</v>
      </c>
      <c r="H73" s="51">
        <v>70</v>
      </c>
      <c r="I73" s="51">
        <v>1858</v>
      </c>
      <c r="J73" s="51">
        <v>1874</v>
      </c>
      <c r="K73" s="51">
        <v>227</v>
      </c>
      <c r="L73" s="51">
        <v>856</v>
      </c>
      <c r="M73" s="51">
        <v>724</v>
      </c>
      <c r="N73" s="51">
        <v>527</v>
      </c>
      <c r="O73" s="51">
        <v>245</v>
      </c>
      <c r="P73" s="51">
        <v>87</v>
      </c>
      <c r="Q73" s="51">
        <v>2666</v>
      </c>
      <c r="R73" s="51">
        <v>2680</v>
      </c>
      <c r="S73" s="51">
        <v>396</v>
      </c>
      <c r="T73" s="51">
        <v>1476</v>
      </c>
      <c r="U73" s="51">
        <v>1210</v>
      </c>
      <c r="V73" s="51">
        <v>879</v>
      </c>
      <c r="W73" s="51">
        <v>406</v>
      </c>
      <c r="X73" s="51">
        <v>157</v>
      </c>
      <c r="Y73" s="51">
        <v>4524</v>
      </c>
      <c r="Z73" s="51">
        <v>4554</v>
      </c>
      <c r="AA73" s="54"/>
    </row>
    <row r="74" spans="1:27" x14ac:dyDescent="0.2">
      <c r="A74" s="53"/>
      <c r="B74" s="51" t="s">
        <v>26</v>
      </c>
      <c r="C74" s="51">
        <v>188</v>
      </c>
      <c r="D74" s="51">
        <v>686</v>
      </c>
      <c r="E74" s="51">
        <v>587</v>
      </c>
      <c r="F74" s="51">
        <v>367</v>
      </c>
      <c r="G74" s="51">
        <v>207</v>
      </c>
      <c r="H74" s="51">
        <v>74</v>
      </c>
      <c r="I74" s="51">
        <v>2109</v>
      </c>
      <c r="J74" s="51">
        <v>2122</v>
      </c>
      <c r="K74" s="51">
        <v>382</v>
      </c>
      <c r="L74" s="51">
        <v>1232</v>
      </c>
      <c r="M74" s="51">
        <v>1227</v>
      </c>
      <c r="N74" s="51">
        <v>829</v>
      </c>
      <c r="O74" s="51">
        <v>427</v>
      </c>
      <c r="P74" s="51">
        <v>147</v>
      </c>
      <c r="Q74" s="51">
        <v>4244</v>
      </c>
      <c r="R74" s="51">
        <v>4276</v>
      </c>
      <c r="S74" s="51">
        <v>570</v>
      </c>
      <c r="T74" s="51">
        <v>1918</v>
      </c>
      <c r="U74" s="51">
        <v>1814</v>
      </c>
      <c r="V74" s="51">
        <v>1196</v>
      </c>
      <c r="W74" s="51">
        <v>634</v>
      </c>
      <c r="X74" s="51">
        <v>221</v>
      </c>
      <c r="Y74" s="51">
        <v>6353</v>
      </c>
      <c r="Z74" s="51">
        <v>6398</v>
      </c>
      <c r="AA74" s="54"/>
    </row>
    <row r="75" spans="1:27" x14ac:dyDescent="0.2">
      <c r="A75" s="53"/>
      <c r="B75" s="51" t="s">
        <v>74</v>
      </c>
      <c r="C75" s="51">
        <v>378</v>
      </c>
      <c r="D75" s="51">
        <v>1117</v>
      </c>
      <c r="E75" s="51">
        <v>849</v>
      </c>
      <c r="F75" s="51">
        <v>328</v>
      </c>
      <c r="G75" s="51">
        <v>139</v>
      </c>
      <c r="H75" s="51">
        <v>59</v>
      </c>
      <c r="I75" s="51">
        <v>2870</v>
      </c>
      <c r="J75" s="51">
        <v>2913</v>
      </c>
      <c r="K75" s="51">
        <v>567</v>
      </c>
      <c r="L75" s="51">
        <v>1676</v>
      </c>
      <c r="M75" s="51">
        <v>996</v>
      </c>
      <c r="N75" s="51">
        <v>389</v>
      </c>
      <c r="O75" s="51">
        <v>155</v>
      </c>
      <c r="P75" s="51">
        <v>67</v>
      </c>
      <c r="Q75" s="51">
        <v>3850</v>
      </c>
      <c r="R75" s="51">
        <v>3886</v>
      </c>
      <c r="S75" s="51">
        <v>945</v>
      </c>
      <c r="T75" s="51">
        <v>2793</v>
      </c>
      <c r="U75" s="51">
        <v>1845</v>
      </c>
      <c r="V75" s="51">
        <v>717</v>
      </c>
      <c r="W75" s="51">
        <v>294</v>
      </c>
      <c r="X75" s="51">
        <v>126</v>
      </c>
      <c r="Y75" s="51">
        <v>6720</v>
      </c>
      <c r="Z75" s="51">
        <v>6799</v>
      </c>
      <c r="AA75" s="54"/>
    </row>
    <row r="76" spans="1:27" x14ac:dyDescent="0.2">
      <c r="A76" s="53"/>
      <c r="B76" s="51" t="s">
        <v>28</v>
      </c>
      <c r="C76" s="51">
        <v>268</v>
      </c>
      <c r="D76" s="51">
        <v>685</v>
      </c>
      <c r="E76" s="51">
        <v>695</v>
      </c>
      <c r="F76" s="51">
        <v>506</v>
      </c>
      <c r="G76" s="51">
        <v>279</v>
      </c>
      <c r="H76" s="51">
        <v>82</v>
      </c>
      <c r="I76" s="51">
        <v>2515</v>
      </c>
      <c r="J76" s="51">
        <v>2536</v>
      </c>
      <c r="K76" s="51">
        <v>379</v>
      </c>
      <c r="L76" s="51">
        <v>988</v>
      </c>
      <c r="M76" s="51">
        <v>928</v>
      </c>
      <c r="N76" s="51">
        <v>556</v>
      </c>
      <c r="O76" s="51">
        <v>258</v>
      </c>
      <c r="P76" s="51">
        <v>78</v>
      </c>
      <c r="Q76" s="51">
        <v>3187</v>
      </c>
      <c r="R76" s="51">
        <v>3213</v>
      </c>
      <c r="S76" s="51">
        <v>647</v>
      </c>
      <c r="T76" s="51">
        <v>1673</v>
      </c>
      <c r="U76" s="51">
        <v>1623</v>
      </c>
      <c r="V76" s="51">
        <v>1062</v>
      </c>
      <c r="W76" s="51">
        <v>537</v>
      </c>
      <c r="X76" s="51">
        <v>160</v>
      </c>
      <c r="Y76" s="51">
        <v>5702</v>
      </c>
      <c r="Z76" s="51">
        <v>5749</v>
      </c>
      <c r="AA76" s="54"/>
    </row>
    <row r="77" spans="1:27" x14ac:dyDescent="0.2">
      <c r="A77" s="53"/>
      <c r="B77" s="51" t="s">
        <v>29</v>
      </c>
      <c r="C77" s="51">
        <v>360</v>
      </c>
      <c r="D77" s="51">
        <v>1216</v>
      </c>
      <c r="E77" s="51">
        <v>1746</v>
      </c>
      <c r="F77" s="51">
        <v>1409</v>
      </c>
      <c r="G77" s="51">
        <v>838</v>
      </c>
      <c r="H77" s="51">
        <v>349</v>
      </c>
      <c r="I77" s="51">
        <v>5918</v>
      </c>
      <c r="J77" s="51">
        <v>5992</v>
      </c>
      <c r="K77" s="51">
        <v>730</v>
      </c>
      <c r="L77" s="51">
        <v>2828</v>
      </c>
      <c r="M77" s="51">
        <v>3753</v>
      </c>
      <c r="N77" s="51">
        <v>2967</v>
      </c>
      <c r="O77" s="51">
        <v>1544</v>
      </c>
      <c r="P77" s="51">
        <v>589</v>
      </c>
      <c r="Q77" s="51">
        <v>12411</v>
      </c>
      <c r="R77" s="51">
        <v>12544</v>
      </c>
      <c r="S77" s="51">
        <v>1090</v>
      </c>
      <c r="T77" s="51">
        <v>4044</v>
      </c>
      <c r="U77" s="51">
        <v>5499</v>
      </c>
      <c r="V77" s="51">
        <v>4376</v>
      </c>
      <c r="W77" s="51">
        <v>2382</v>
      </c>
      <c r="X77" s="51">
        <v>938</v>
      </c>
      <c r="Y77" s="51">
        <v>18329</v>
      </c>
      <c r="Z77" s="51">
        <v>18536</v>
      </c>
      <c r="AA77" s="54"/>
    </row>
    <row r="78" spans="1:27" x14ac:dyDescent="0.2">
      <c r="A78" s="53"/>
      <c r="B78" s="51" t="s">
        <v>30</v>
      </c>
      <c r="C78" s="51">
        <v>219</v>
      </c>
      <c r="D78" s="51">
        <v>683</v>
      </c>
      <c r="E78" s="51">
        <v>1292</v>
      </c>
      <c r="F78" s="51">
        <v>1451</v>
      </c>
      <c r="G78" s="51">
        <v>1155</v>
      </c>
      <c r="H78" s="51">
        <v>504</v>
      </c>
      <c r="I78" s="51">
        <v>5304</v>
      </c>
      <c r="J78" s="51">
        <v>5403</v>
      </c>
      <c r="K78" s="51">
        <v>152</v>
      </c>
      <c r="L78" s="51">
        <v>547</v>
      </c>
      <c r="M78" s="51">
        <v>850</v>
      </c>
      <c r="N78" s="51">
        <v>853</v>
      </c>
      <c r="O78" s="51">
        <v>622</v>
      </c>
      <c r="P78" s="51">
        <v>248</v>
      </c>
      <c r="Q78" s="51">
        <v>3272</v>
      </c>
      <c r="R78" s="51">
        <v>3306</v>
      </c>
      <c r="S78" s="51">
        <v>371</v>
      </c>
      <c r="T78" s="51">
        <v>1230</v>
      </c>
      <c r="U78" s="51">
        <v>2142</v>
      </c>
      <c r="V78" s="51">
        <v>2304</v>
      </c>
      <c r="W78" s="51">
        <v>1777</v>
      </c>
      <c r="X78" s="51">
        <v>752</v>
      </c>
      <c r="Y78" s="51">
        <v>8576</v>
      </c>
      <c r="Z78" s="51">
        <v>8709</v>
      </c>
      <c r="AA78" s="54"/>
    </row>
    <row r="79" spans="1:27" x14ac:dyDescent="0.2">
      <c r="A79" s="53"/>
      <c r="B79" s="51" t="s">
        <v>31</v>
      </c>
      <c r="C79" s="51">
        <v>357</v>
      </c>
      <c r="D79" s="51">
        <v>1046</v>
      </c>
      <c r="E79" s="51">
        <v>2356</v>
      </c>
      <c r="F79" s="51">
        <v>3036</v>
      </c>
      <c r="G79" s="51">
        <v>2759</v>
      </c>
      <c r="H79" s="51">
        <v>1653</v>
      </c>
      <c r="I79" s="51">
        <v>11207</v>
      </c>
      <c r="J79" s="51">
        <v>11491</v>
      </c>
      <c r="K79" s="51">
        <v>595</v>
      </c>
      <c r="L79" s="51">
        <v>1203</v>
      </c>
      <c r="M79" s="51">
        <v>2082</v>
      </c>
      <c r="N79" s="51">
        <v>2063</v>
      </c>
      <c r="O79" s="51">
        <v>1396</v>
      </c>
      <c r="P79" s="51">
        <v>676</v>
      </c>
      <c r="Q79" s="51">
        <v>8015</v>
      </c>
      <c r="R79" s="51">
        <v>8116</v>
      </c>
      <c r="S79" s="51">
        <v>952</v>
      </c>
      <c r="T79" s="51">
        <v>2249</v>
      </c>
      <c r="U79" s="51">
        <v>4438</v>
      </c>
      <c r="V79" s="51">
        <v>5099</v>
      </c>
      <c r="W79" s="51">
        <v>4155</v>
      </c>
      <c r="X79" s="51">
        <v>2329</v>
      </c>
      <c r="Y79" s="51">
        <v>19222</v>
      </c>
      <c r="Z79" s="51">
        <v>19607</v>
      </c>
      <c r="AA79" s="54"/>
    </row>
    <row r="80" spans="1:27" x14ac:dyDescent="0.2">
      <c r="A80" s="53"/>
      <c r="B80" s="51" t="s">
        <v>32</v>
      </c>
      <c r="C80" s="51">
        <v>768</v>
      </c>
      <c r="D80" s="51">
        <v>1655</v>
      </c>
      <c r="E80" s="51">
        <v>3569</v>
      </c>
      <c r="F80" s="51">
        <v>4939</v>
      </c>
      <c r="G80" s="51">
        <v>4741</v>
      </c>
      <c r="H80" s="51">
        <v>3311</v>
      </c>
      <c r="I80" s="51">
        <v>18983</v>
      </c>
      <c r="J80" s="51">
        <v>20176</v>
      </c>
      <c r="K80" s="51">
        <v>1032</v>
      </c>
      <c r="L80" s="51">
        <v>2302</v>
      </c>
      <c r="M80" s="51">
        <v>4631</v>
      </c>
      <c r="N80" s="51">
        <v>5808</v>
      </c>
      <c r="O80" s="51">
        <v>5105</v>
      </c>
      <c r="P80" s="51">
        <v>2999</v>
      </c>
      <c r="Q80" s="51">
        <v>21877</v>
      </c>
      <c r="R80" s="51">
        <v>22699</v>
      </c>
      <c r="S80" s="51">
        <v>1800</v>
      </c>
      <c r="T80" s="51">
        <v>3957</v>
      </c>
      <c r="U80" s="51">
        <v>8200</v>
      </c>
      <c r="V80" s="51">
        <v>10747</v>
      </c>
      <c r="W80" s="51">
        <v>9846</v>
      </c>
      <c r="X80" s="51">
        <v>6310</v>
      </c>
      <c r="Y80" s="51">
        <v>40860</v>
      </c>
      <c r="Z80" s="51">
        <v>42875</v>
      </c>
      <c r="AA80" s="54"/>
    </row>
    <row r="81" spans="1:27" x14ac:dyDescent="0.2">
      <c r="A81" s="53"/>
      <c r="B81" s="51" t="s">
        <v>54</v>
      </c>
      <c r="C81" s="51">
        <v>30660</v>
      </c>
      <c r="D81" s="51">
        <v>65848</v>
      </c>
      <c r="E81" s="51">
        <v>87487</v>
      </c>
      <c r="F81" s="51">
        <v>84435</v>
      </c>
      <c r="G81" s="51">
        <v>58676</v>
      </c>
      <c r="H81" s="51">
        <v>28067</v>
      </c>
      <c r="I81" s="51">
        <v>355173</v>
      </c>
      <c r="J81" s="51">
        <v>362062</v>
      </c>
      <c r="K81" s="51">
        <v>35148</v>
      </c>
      <c r="L81" s="51">
        <v>81381</v>
      </c>
      <c r="M81" s="51">
        <v>112772</v>
      </c>
      <c r="N81" s="51">
        <v>101634</v>
      </c>
      <c r="O81" s="51">
        <v>60664</v>
      </c>
      <c r="P81" s="51">
        <v>24066</v>
      </c>
      <c r="Q81" s="51">
        <v>415665</v>
      </c>
      <c r="R81" s="51">
        <v>420709</v>
      </c>
      <c r="S81" s="51">
        <v>65808</v>
      </c>
      <c r="T81" s="51">
        <v>147229</v>
      </c>
      <c r="U81" s="51">
        <v>200259</v>
      </c>
      <c r="V81" s="51">
        <v>186069</v>
      </c>
      <c r="W81" s="51">
        <v>119340</v>
      </c>
      <c r="X81" s="51">
        <v>52133</v>
      </c>
      <c r="Y81" s="51">
        <v>770838</v>
      </c>
      <c r="Z81" s="51">
        <v>782771</v>
      </c>
      <c r="AA81" s="54"/>
    </row>
    <row r="82" spans="1:27" x14ac:dyDescent="0.2">
      <c r="A82" s="53"/>
    </row>
  </sheetData>
  <phoneticPr fontId="3"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dimension ref="A1:AA172"/>
  <sheetViews>
    <sheetView showGridLines="0" workbookViewId="0">
      <selection activeCell="A2" sqref="A2"/>
    </sheetView>
  </sheetViews>
  <sheetFormatPr defaultColWidth="9.140625" defaultRowHeight="11.25" x14ac:dyDescent="0.2"/>
  <cols>
    <col min="1" max="1" width="5.42578125" style="47" customWidth="1"/>
    <col min="2" max="2" width="26.5703125" style="70" bestFit="1" customWidth="1"/>
    <col min="3" max="9" width="9.140625" style="88"/>
    <col min="10" max="10" width="9.140625" style="70"/>
    <col min="11" max="17" width="9.140625" style="88"/>
    <col min="18" max="18" width="9.140625" style="70"/>
    <col min="19" max="25" width="9.140625" style="88"/>
    <col min="26" max="26" width="9.140625" style="70"/>
    <col min="27" max="27" width="9.28515625" style="42" customWidth="1"/>
    <col min="28" max="16384" width="9.140625" style="42"/>
  </cols>
  <sheetData>
    <row r="1" spans="1:27" x14ac:dyDescent="0.2">
      <c r="A1" s="83" t="s">
        <v>87</v>
      </c>
      <c r="B1" s="63"/>
      <c r="C1" s="85"/>
      <c r="D1" s="85"/>
      <c r="E1" s="85"/>
      <c r="F1" s="85"/>
      <c r="G1" s="85"/>
      <c r="H1" s="85"/>
      <c r="I1" s="85"/>
      <c r="J1" s="69"/>
      <c r="K1" s="85"/>
      <c r="L1" s="85"/>
      <c r="M1" s="85"/>
      <c r="N1" s="85"/>
      <c r="O1" s="85"/>
      <c r="P1" s="85"/>
      <c r="Q1" s="85"/>
      <c r="R1" s="69"/>
      <c r="S1" s="85"/>
      <c r="T1" s="85"/>
      <c r="U1" s="85"/>
      <c r="V1" s="85"/>
      <c r="W1" s="85"/>
      <c r="X1" s="85"/>
      <c r="Y1" s="85"/>
      <c r="Z1" s="69"/>
    </row>
    <row r="2" spans="1:27" x14ac:dyDescent="0.2">
      <c r="B2" s="69"/>
      <c r="C2" s="85"/>
      <c r="D2" s="85"/>
      <c r="E2" s="85"/>
      <c r="F2" s="85"/>
      <c r="G2" s="85"/>
      <c r="H2" s="85"/>
      <c r="I2" s="85"/>
      <c r="J2" s="69"/>
      <c r="K2" s="85"/>
      <c r="L2" s="85"/>
      <c r="M2" s="85"/>
      <c r="N2" s="85"/>
      <c r="O2" s="85"/>
      <c r="P2" s="85"/>
      <c r="Q2" s="85"/>
      <c r="R2" s="69"/>
      <c r="S2" s="85"/>
      <c r="T2" s="85"/>
      <c r="U2" s="85"/>
      <c r="V2" s="85"/>
      <c r="W2" s="85"/>
      <c r="X2" s="85"/>
      <c r="Y2" s="85"/>
      <c r="Z2" s="69"/>
    </row>
    <row r="3" spans="1:27" x14ac:dyDescent="0.2">
      <c r="B3" s="67"/>
      <c r="C3" s="86" t="s">
        <v>39</v>
      </c>
      <c r="D3" s="86"/>
      <c r="E3" s="86"/>
      <c r="F3" s="86"/>
      <c r="G3" s="86"/>
      <c r="H3" s="86"/>
      <c r="I3" s="86"/>
      <c r="J3" s="67"/>
      <c r="K3" s="86" t="s">
        <v>43</v>
      </c>
      <c r="L3" s="86"/>
      <c r="M3" s="86"/>
      <c r="N3" s="86"/>
      <c r="O3" s="86"/>
      <c r="P3" s="86"/>
      <c r="Q3" s="86"/>
      <c r="R3" s="67"/>
      <c r="S3" s="86" t="s">
        <v>54</v>
      </c>
      <c r="T3" s="86"/>
      <c r="U3" s="86"/>
      <c r="V3" s="86"/>
      <c r="W3" s="86"/>
      <c r="X3" s="86"/>
      <c r="Y3" s="86"/>
      <c r="Z3" s="67"/>
      <c r="AA3" s="47"/>
    </row>
    <row r="4" spans="1:27" x14ac:dyDescent="0.2">
      <c r="B4" s="67"/>
      <c r="C4" s="86" t="s">
        <v>69</v>
      </c>
      <c r="D4" s="86" t="s">
        <v>33</v>
      </c>
      <c r="E4" s="86" t="s">
        <v>34</v>
      </c>
      <c r="F4" s="86" t="s">
        <v>35</v>
      </c>
      <c r="G4" s="86" t="s">
        <v>36</v>
      </c>
      <c r="H4" s="86" t="s">
        <v>37</v>
      </c>
      <c r="I4" s="86" t="s">
        <v>47</v>
      </c>
      <c r="J4" s="67" t="s">
        <v>58</v>
      </c>
      <c r="K4" s="86" t="s">
        <v>69</v>
      </c>
      <c r="L4" s="86" t="s">
        <v>33</v>
      </c>
      <c r="M4" s="86" t="s">
        <v>34</v>
      </c>
      <c r="N4" s="86" t="s">
        <v>35</v>
      </c>
      <c r="O4" s="86" t="s">
        <v>36</v>
      </c>
      <c r="P4" s="86" t="s">
        <v>37</v>
      </c>
      <c r="Q4" s="86" t="s">
        <v>47</v>
      </c>
      <c r="R4" s="68" t="s">
        <v>58</v>
      </c>
      <c r="S4" s="86" t="s">
        <v>69</v>
      </c>
      <c r="T4" s="86" t="s">
        <v>33</v>
      </c>
      <c r="U4" s="86" t="s">
        <v>34</v>
      </c>
      <c r="V4" s="86" t="s">
        <v>35</v>
      </c>
      <c r="W4" s="86" t="s">
        <v>36</v>
      </c>
      <c r="X4" s="86" t="s">
        <v>37</v>
      </c>
      <c r="Y4" s="86" t="s">
        <v>47</v>
      </c>
      <c r="Z4" s="68" t="s">
        <v>58</v>
      </c>
      <c r="AA4" s="48"/>
    </row>
    <row r="5" spans="1:27" x14ac:dyDescent="0.2">
      <c r="A5" s="44"/>
      <c r="B5" s="67" t="s">
        <v>0</v>
      </c>
      <c r="C5" s="87">
        <f>IF(OR(C47=1,C47=2),"x",ROUND(C47/$J47*100,1))</f>
        <v>7.6</v>
      </c>
      <c r="D5" s="87">
        <f t="shared" ref="D5:I5" si="0">IF(OR(D47=1,D47=2),"x",ROUND(D47/$J47*100,1))</f>
        <v>19.899999999999999</v>
      </c>
      <c r="E5" s="87">
        <f t="shared" si="0"/>
        <v>23.4</v>
      </c>
      <c r="F5" s="87">
        <f t="shared" si="0"/>
        <v>21.7</v>
      </c>
      <c r="G5" s="87">
        <f t="shared" si="0"/>
        <v>16</v>
      </c>
      <c r="H5" s="87">
        <f t="shared" si="0"/>
        <v>9.5</v>
      </c>
      <c r="I5" s="87">
        <f t="shared" si="0"/>
        <v>98</v>
      </c>
      <c r="J5" s="66">
        <f>ROUND(J47,0)</f>
        <v>24302</v>
      </c>
      <c r="K5" s="87">
        <f>IF(OR(K47=1,K47=2),"x",ROUND(K47/$R47*100,1))</f>
        <v>8.6</v>
      </c>
      <c r="L5" s="87">
        <f t="shared" ref="L5:Q5" si="1">IF(OR(L47=1,L47=2),"x",ROUND(L47/$R47*100,1))</f>
        <v>21.6</v>
      </c>
      <c r="M5" s="87">
        <f t="shared" si="1"/>
        <v>24.7</v>
      </c>
      <c r="N5" s="87">
        <f t="shared" si="1"/>
        <v>20.6</v>
      </c>
      <c r="O5" s="87">
        <f t="shared" si="1"/>
        <v>14.7</v>
      </c>
      <c r="P5" s="87">
        <f t="shared" si="1"/>
        <v>8.1999999999999993</v>
      </c>
      <c r="Q5" s="87">
        <f t="shared" si="1"/>
        <v>98.5</v>
      </c>
      <c r="R5" s="66">
        <f>ROUND(R47,0)</f>
        <v>31515</v>
      </c>
      <c r="S5" s="87">
        <f>IF(OR(S47=1,S47=2),"x",ROUND(S47/$Z47*100,1))</f>
        <v>8.1</v>
      </c>
      <c r="T5" s="87">
        <f t="shared" ref="T5:Y5" si="2">IF(OR(T47=1,T47=2),"x",ROUND(T47/$Z47*100,1))</f>
        <v>20.9</v>
      </c>
      <c r="U5" s="87">
        <f t="shared" si="2"/>
        <v>24.1</v>
      </c>
      <c r="V5" s="87">
        <f t="shared" si="2"/>
        <v>21.1</v>
      </c>
      <c r="W5" s="87">
        <f t="shared" si="2"/>
        <v>15.3</v>
      </c>
      <c r="X5" s="87">
        <f t="shared" si="2"/>
        <v>8.8000000000000007</v>
      </c>
      <c r="Y5" s="87">
        <f t="shared" si="2"/>
        <v>98.3</v>
      </c>
      <c r="Z5" s="66">
        <f>ROUND(Z47,0)</f>
        <v>55817</v>
      </c>
      <c r="AA5" s="45"/>
    </row>
    <row r="6" spans="1:27" x14ac:dyDescent="0.2">
      <c r="A6" s="44"/>
      <c r="B6" s="67" t="s">
        <v>1</v>
      </c>
      <c r="C6" s="87">
        <f t="shared" ref="C6:I6" si="3">IF(OR(C48=1,C48=2),"x",ROUND(C48/$J48*100,1))</f>
        <v>9.6</v>
      </c>
      <c r="D6" s="87">
        <f t="shared" si="3"/>
        <v>24.7</v>
      </c>
      <c r="E6" s="87">
        <f t="shared" si="3"/>
        <v>25.4</v>
      </c>
      <c r="F6" s="87">
        <f t="shared" si="3"/>
        <v>18.399999999999999</v>
      </c>
      <c r="G6" s="87">
        <f t="shared" si="3"/>
        <v>12.6</v>
      </c>
      <c r="H6" s="87">
        <f t="shared" si="3"/>
        <v>7.6</v>
      </c>
      <c r="I6" s="87">
        <f t="shared" si="3"/>
        <v>98.3</v>
      </c>
      <c r="J6" s="66">
        <f t="shared" ref="J6:J39" si="4">ROUND(J48,0)</f>
        <v>23634</v>
      </c>
      <c r="K6" s="87">
        <f t="shared" ref="K6:Q6" si="5">IF(OR(K48=1,K48=2),"x",ROUND(K48/$R48*100,1))</f>
        <v>8.3000000000000007</v>
      </c>
      <c r="L6" s="87">
        <f t="shared" si="5"/>
        <v>27.1</v>
      </c>
      <c r="M6" s="87">
        <f t="shared" si="5"/>
        <v>27.7</v>
      </c>
      <c r="N6" s="87">
        <f t="shared" si="5"/>
        <v>18.600000000000001</v>
      </c>
      <c r="O6" s="87">
        <f t="shared" si="5"/>
        <v>11.1</v>
      </c>
      <c r="P6" s="87">
        <f t="shared" si="5"/>
        <v>5.8</v>
      </c>
      <c r="Q6" s="87">
        <f t="shared" si="5"/>
        <v>98.7</v>
      </c>
      <c r="R6" s="66">
        <f t="shared" ref="R6:R39" si="6">ROUND(R48,0)</f>
        <v>21095</v>
      </c>
      <c r="S6" s="87">
        <f t="shared" ref="S6:Y6" si="7">IF(OR(S48=1,S48=2),"x",ROUND(S48/$Z48*100,1))</f>
        <v>9</v>
      </c>
      <c r="T6" s="87">
        <f t="shared" si="7"/>
        <v>25.9</v>
      </c>
      <c r="U6" s="87">
        <f t="shared" si="7"/>
        <v>26.5</v>
      </c>
      <c r="V6" s="87">
        <f t="shared" si="7"/>
        <v>18.5</v>
      </c>
      <c r="W6" s="87">
        <f t="shared" si="7"/>
        <v>11.9</v>
      </c>
      <c r="X6" s="87">
        <f t="shared" si="7"/>
        <v>6.8</v>
      </c>
      <c r="Y6" s="87">
        <f t="shared" si="7"/>
        <v>98.4</v>
      </c>
      <c r="Z6" s="66">
        <f t="shared" ref="Z6:Z39" si="8">ROUND(Z48,0)</f>
        <v>44729</v>
      </c>
      <c r="AA6" s="45"/>
    </row>
    <row r="7" spans="1:27" x14ac:dyDescent="0.2">
      <c r="A7" s="44"/>
      <c r="B7" s="67" t="s">
        <v>2</v>
      </c>
      <c r="C7" s="87">
        <f t="shared" ref="C7:I7" si="9">IF(OR(C49=1,C49=2),"x",ROUND(C49/$J49*100,1))</f>
        <v>9.9</v>
      </c>
      <c r="D7" s="87">
        <f t="shared" si="9"/>
        <v>21.6</v>
      </c>
      <c r="E7" s="87">
        <f t="shared" si="9"/>
        <v>22.7</v>
      </c>
      <c r="F7" s="87">
        <f t="shared" si="9"/>
        <v>19.5</v>
      </c>
      <c r="G7" s="87">
        <f t="shared" si="9"/>
        <v>14.5</v>
      </c>
      <c r="H7" s="87">
        <f t="shared" si="9"/>
        <v>9.5</v>
      </c>
      <c r="I7" s="87">
        <f t="shared" si="9"/>
        <v>97.6</v>
      </c>
      <c r="J7" s="66">
        <f t="shared" si="4"/>
        <v>24297</v>
      </c>
      <c r="K7" s="87">
        <f t="shared" ref="K7:Q7" si="10">IF(OR(K49=1,K49=2),"x",ROUND(K49/$R49*100,1))</f>
        <v>12.4</v>
      </c>
      <c r="L7" s="87">
        <f t="shared" si="10"/>
        <v>25.1</v>
      </c>
      <c r="M7" s="87">
        <f t="shared" si="10"/>
        <v>24.2</v>
      </c>
      <c r="N7" s="87">
        <f t="shared" si="10"/>
        <v>17.100000000000001</v>
      </c>
      <c r="O7" s="87">
        <f t="shared" si="10"/>
        <v>11.8</v>
      </c>
      <c r="P7" s="87">
        <f t="shared" si="10"/>
        <v>7.8</v>
      </c>
      <c r="Q7" s="87">
        <f t="shared" si="10"/>
        <v>98.5</v>
      </c>
      <c r="R7" s="66">
        <f t="shared" si="6"/>
        <v>6452</v>
      </c>
      <c r="S7" s="87">
        <f t="shared" ref="S7:Y7" si="11">IF(OR(S49=1,S49=2),"x",ROUND(S49/$Z49*100,1))</f>
        <v>10.4</v>
      </c>
      <c r="T7" s="87">
        <f t="shared" si="11"/>
        <v>22.4</v>
      </c>
      <c r="U7" s="87">
        <f t="shared" si="11"/>
        <v>23</v>
      </c>
      <c r="V7" s="87">
        <f t="shared" si="11"/>
        <v>19</v>
      </c>
      <c r="W7" s="87">
        <f t="shared" si="11"/>
        <v>13.9</v>
      </c>
      <c r="X7" s="87">
        <f t="shared" si="11"/>
        <v>9.1</v>
      </c>
      <c r="Y7" s="87">
        <f t="shared" si="11"/>
        <v>97.8</v>
      </c>
      <c r="Z7" s="66">
        <f t="shared" si="8"/>
        <v>30749</v>
      </c>
      <c r="AA7" s="45"/>
    </row>
    <row r="8" spans="1:27" x14ac:dyDescent="0.2">
      <c r="A8" s="44"/>
      <c r="B8" s="67" t="s">
        <v>3</v>
      </c>
      <c r="C8" s="87">
        <f t="shared" ref="C8:I8" si="12">IF(OR(C50=1,C50=2),"x",ROUND(C50/$J50*100,1))</f>
        <v>7.6</v>
      </c>
      <c r="D8" s="87">
        <f t="shared" si="12"/>
        <v>17.100000000000001</v>
      </c>
      <c r="E8" s="87">
        <f t="shared" si="12"/>
        <v>22.7</v>
      </c>
      <c r="F8" s="87">
        <f t="shared" si="12"/>
        <v>23.2</v>
      </c>
      <c r="G8" s="87">
        <f t="shared" si="12"/>
        <v>18.5</v>
      </c>
      <c r="H8" s="87">
        <f t="shared" si="12"/>
        <v>8.6999999999999993</v>
      </c>
      <c r="I8" s="87">
        <f t="shared" si="12"/>
        <v>97.7</v>
      </c>
      <c r="J8" s="66">
        <f t="shared" si="4"/>
        <v>3046</v>
      </c>
      <c r="K8" s="87">
        <f t="shared" ref="K8:Q8" si="13">IF(OR(K50=1,K50=2),"x",ROUND(K50/$R50*100,1))</f>
        <v>7.2</v>
      </c>
      <c r="L8" s="87">
        <f t="shared" si="13"/>
        <v>19.5</v>
      </c>
      <c r="M8" s="87">
        <f t="shared" si="13"/>
        <v>23.1</v>
      </c>
      <c r="N8" s="87">
        <f t="shared" si="13"/>
        <v>21</v>
      </c>
      <c r="O8" s="87">
        <f t="shared" si="13"/>
        <v>17</v>
      </c>
      <c r="P8" s="87">
        <f t="shared" si="13"/>
        <v>9.5</v>
      </c>
      <c r="Q8" s="87">
        <f t="shared" si="13"/>
        <v>97.3</v>
      </c>
      <c r="R8" s="66">
        <f t="shared" si="6"/>
        <v>1223</v>
      </c>
      <c r="S8" s="87">
        <f t="shared" ref="S8:Y8" si="14">IF(OR(S50=1,S50=2),"x",ROUND(S50/$Z50*100,1))</f>
        <v>7.5</v>
      </c>
      <c r="T8" s="87">
        <f t="shared" si="14"/>
        <v>17.8</v>
      </c>
      <c r="U8" s="87">
        <f t="shared" si="14"/>
        <v>22.8</v>
      </c>
      <c r="V8" s="87">
        <f t="shared" si="14"/>
        <v>22.6</v>
      </c>
      <c r="W8" s="87">
        <f t="shared" si="14"/>
        <v>18</v>
      </c>
      <c r="X8" s="87">
        <f t="shared" si="14"/>
        <v>8.9</v>
      </c>
      <c r="Y8" s="87">
        <f t="shared" si="14"/>
        <v>97.6</v>
      </c>
      <c r="Z8" s="66">
        <f t="shared" si="8"/>
        <v>4269</v>
      </c>
      <c r="AA8" s="45"/>
    </row>
    <row r="9" spans="1:27" x14ac:dyDescent="0.2">
      <c r="A9" s="44"/>
      <c r="B9" s="67" t="s">
        <v>4</v>
      </c>
      <c r="C9" s="87">
        <f t="shared" ref="C9:I9" si="15">IF(OR(C51=1,C51=2),"x",ROUND(C51/$J51*100,1))</f>
        <v>18.7</v>
      </c>
      <c r="D9" s="87">
        <f t="shared" si="15"/>
        <v>26</v>
      </c>
      <c r="E9" s="87">
        <f t="shared" si="15"/>
        <v>21.4</v>
      </c>
      <c r="F9" s="87">
        <f t="shared" si="15"/>
        <v>15.7</v>
      </c>
      <c r="G9" s="87">
        <f t="shared" si="15"/>
        <v>10.9</v>
      </c>
      <c r="H9" s="87">
        <f t="shared" si="15"/>
        <v>6</v>
      </c>
      <c r="I9" s="87">
        <f t="shared" si="15"/>
        <v>98.6</v>
      </c>
      <c r="J9" s="66">
        <f t="shared" si="4"/>
        <v>46871</v>
      </c>
      <c r="K9" s="87">
        <f t="shared" ref="K9:Q9" si="16">IF(OR(K51=1,K51=2),"x",ROUND(K51/$R51*100,1))</f>
        <v>16.899999999999999</v>
      </c>
      <c r="L9" s="87">
        <f t="shared" si="16"/>
        <v>27.6</v>
      </c>
      <c r="M9" s="87">
        <f t="shared" si="16"/>
        <v>22.9</v>
      </c>
      <c r="N9" s="87">
        <f t="shared" si="16"/>
        <v>16</v>
      </c>
      <c r="O9" s="87">
        <f t="shared" si="16"/>
        <v>10.1</v>
      </c>
      <c r="P9" s="87">
        <f t="shared" si="16"/>
        <v>5.4</v>
      </c>
      <c r="Q9" s="87">
        <f t="shared" si="16"/>
        <v>98.9</v>
      </c>
      <c r="R9" s="66">
        <f t="shared" si="6"/>
        <v>31206</v>
      </c>
      <c r="S9" s="87">
        <f t="shared" ref="S9:Y9" si="17">IF(OR(S51=1,S51=2),"x",ROUND(S51/$Z51*100,1))</f>
        <v>18</v>
      </c>
      <c r="T9" s="87">
        <f t="shared" si="17"/>
        <v>26.6</v>
      </c>
      <c r="U9" s="87">
        <f t="shared" si="17"/>
        <v>22</v>
      </c>
      <c r="V9" s="87">
        <f t="shared" si="17"/>
        <v>15.8</v>
      </c>
      <c r="W9" s="87">
        <f t="shared" si="17"/>
        <v>10.6</v>
      </c>
      <c r="X9" s="87">
        <f t="shared" si="17"/>
        <v>5.7</v>
      </c>
      <c r="Y9" s="87">
        <f t="shared" si="17"/>
        <v>98.7</v>
      </c>
      <c r="Z9" s="66">
        <f t="shared" si="8"/>
        <v>78077</v>
      </c>
      <c r="AA9" s="45"/>
    </row>
    <row r="10" spans="1:27" x14ac:dyDescent="0.2">
      <c r="A10" s="44"/>
      <c r="B10" s="67" t="s">
        <v>5</v>
      </c>
      <c r="C10" s="87">
        <f t="shared" ref="C10:I10" si="18">IF(OR(C52=1,C52=2),"x",ROUND(C52/$J52*100,1))</f>
        <v>28.2</v>
      </c>
      <c r="D10" s="87">
        <f t="shared" si="18"/>
        <v>29.3</v>
      </c>
      <c r="E10" s="87">
        <f t="shared" si="18"/>
        <v>21</v>
      </c>
      <c r="F10" s="87">
        <f t="shared" si="18"/>
        <v>11.1</v>
      </c>
      <c r="G10" s="87">
        <f t="shared" si="18"/>
        <v>6.2</v>
      </c>
      <c r="H10" s="87">
        <f t="shared" si="18"/>
        <v>2.8</v>
      </c>
      <c r="I10" s="87">
        <f t="shared" si="18"/>
        <v>98.6</v>
      </c>
      <c r="J10" s="66">
        <f t="shared" si="4"/>
        <v>8632</v>
      </c>
      <c r="K10" s="87">
        <f t="shared" ref="K10:Q10" si="19">IF(OR(K52=1,K52=2),"x",ROUND(K52/$R52*100,1))</f>
        <v>29.1</v>
      </c>
      <c r="L10" s="87">
        <f t="shared" si="19"/>
        <v>30.9</v>
      </c>
      <c r="M10" s="87">
        <f t="shared" si="19"/>
        <v>20.7</v>
      </c>
      <c r="N10" s="87">
        <f t="shared" si="19"/>
        <v>10.199999999999999</v>
      </c>
      <c r="O10" s="87">
        <f t="shared" si="19"/>
        <v>5</v>
      </c>
      <c r="P10" s="87">
        <f t="shared" si="19"/>
        <v>2.6</v>
      </c>
      <c r="Q10" s="87">
        <f t="shared" si="19"/>
        <v>98.6</v>
      </c>
      <c r="R10" s="66">
        <f t="shared" si="6"/>
        <v>3747</v>
      </c>
      <c r="S10" s="87">
        <f t="shared" ref="S10:Y10" si="20">IF(OR(S52=1,S52=2),"x",ROUND(S52/$Z52*100,1))</f>
        <v>28.5</v>
      </c>
      <c r="T10" s="87">
        <f t="shared" si="20"/>
        <v>29.8</v>
      </c>
      <c r="U10" s="87">
        <f t="shared" si="20"/>
        <v>21</v>
      </c>
      <c r="V10" s="87">
        <f t="shared" si="20"/>
        <v>10.8</v>
      </c>
      <c r="W10" s="87">
        <f t="shared" si="20"/>
        <v>5.9</v>
      </c>
      <c r="X10" s="87">
        <f t="shared" si="20"/>
        <v>2.7</v>
      </c>
      <c r="Y10" s="87">
        <f t="shared" si="20"/>
        <v>98.6</v>
      </c>
      <c r="Z10" s="66">
        <f t="shared" si="8"/>
        <v>12379</v>
      </c>
      <c r="AA10" s="45"/>
    </row>
    <row r="11" spans="1:27" x14ac:dyDescent="0.2">
      <c r="A11" s="44"/>
      <c r="B11" s="67" t="s">
        <v>6</v>
      </c>
      <c r="C11" s="87">
        <f t="shared" ref="C11:I11" si="21">IF(OR(C53=1,C53=2),"x",ROUND(C53/$J53*100,1))</f>
        <v>4</v>
      </c>
      <c r="D11" s="87">
        <f t="shared" si="21"/>
        <v>10.8</v>
      </c>
      <c r="E11" s="87">
        <f t="shared" si="21"/>
        <v>22.7</v>
      </c>
      <c r="F11" s="87">
        <f t="shared" si="21"/>
        <v>28.1</v>
      </c>
      <c r="G11" s="87">
        <f t="shared" si="21"/>
        <v>21.4</v>
      </c>
      <c r="H11" s="87">
        <f t="shared" si="21"/>
        <v>11</v>
      </c>
      <c r="I11" s="87">
        <f t="shared" si="21"/>
        <v>98</v>
      </c>
      <c r="J11" s="66">
        <f t="shared" si="4"/>
        <v>7833</v>
      </c>
      <c r="K11" s="87">
        <f t="shared" ref="K11:Q11" si="22">IF(OR(K53=1,K53=2),"x",ROUND(K53/$R53*100,1))</f>
        <v>5.5</v>
      </c>
      <c r="L11" s="87">
        <f t="shared" si="22"/>
        <v>15.2</v>
      </c>
      <c r="M11" s="87">
        <f t="shared" si="22"/>
        <v>26.9</v>
      </c>
      <c r="N11" s="87">
        <f t="shared" si="22"/>
        <v>26.4</v>
      </c>
      <c r="O11" s="87">
        <f t="shared" si="22"/>
        <v>18.2</v>
      </c>
      <c r="P11" s="87">
        <f t="shared" si="22"/>
        <v>6.7</v>
      </c>
      <c r="Q11" s="87">
        <f t="shared" si="22"/>
        <v>98.9</v>
      </c>
      <c r="R11" s="66">
        <f t="shared" si="6"/>
        <v>6011</v>
      </c>
      <c r="S11" s="87">
        <f t="shared" ref="S11:Y11" si="23">IF(OR(S53=1,S53=2),"x",ROUND(S53/$Z53*100,1))</f>
        <v>4.7</v>
      </c>
      <c r="T11" s="87">
        <f t="shared" si="23"/>
        <v>12.7</v>
      </c>
      <c r="U11" s="87">
        <f t="shared" si="23"/>
        <v>24.5</v>
      </c>
      <c r="V11" s="87">
        <f t="shared" si="23"/>
        <v>27.4</v>
      </c>
      <c r="W11" s="87">
        <f t="shared" si="23"/>
        <v>20</v>
      </c>
      <c r="X11" s="87">
        <f t="shared" si="23"/>
        <v>9.1</v>
      </c>
      <c r="Y11" s="87">
        <f t="shared" si="23"/>
        <v>98.4</v>
      </c>
      <c r="Z11" s="66">
        <f t="shared" si="8"/>
        <v>13844</v>
      </c>
      <c r="AA11" s="45"/>
    </row>
    <row r="12" spans="1:27" x14ac:dyDescent="0.2">
      <c r="A12" s="44"/>
      <c r="B12" s="67" t="s">
        <v>168</v>
      </c>
      <c r="C12" s="87">
        <f t="shared" ref="C12:I12" si="24">IF(OR(C54=1,C54=2),"x",ROUND(C54/$J54*100,1))</f>
        <v>3.7</v>
      </c>
      <c r="D12" s="87">
        <f t="shared" si="24"/>
        <v>12.5</v>
      </c>
      <c r="E12" s="87">
        <f t="shared" si="24"/>
        <v>20.9</v>
      </c>
      <c r="F12" s="87">
        <f t="shared" si="24"/>
        <v>24.5</v>
      </c>
      <c r="G12" s="87">
        <f t="shared" si="24"/>
        <v>22.5</v>
      </c>
      <c r="H12" s="87">
        <f t="shared" si="24"/>
        <v>12.6</v>
      </c>
      <c r="I12" s="87">
        <f t="shared" si="24"/>
        <v>96.6</v>
      </c>
      <c r="J12" s="66">
        <f t="shared" si="4"/>
        <v>3165</v>
      </c>
      <c r="K12" s="87">
        <f t="shared" ref="K12:Q12" si="25">IF(OR(K54=1,K54=2),"x",ROUND(K54/$R54*100,1))</f>
        <v>4.3</v>
      </c>
      <c r="L12" s="87">
        <f t="shared" si="25"/>
        <v>12.5</v>
      </c>
      <c r="M12" s="87">
        <f t="shared" si="25"/>
        <v>23.5</v>
      </c>
      <c r="N12" s="87">
        <f t="shared" si="25"/>
        <v>22.7</v>
      </c>
      <c r="O12" s="87">
        <f t="shared" si="25"/>
        <v>20.399999999999999</v>
      </c>
      <c r="P12" s="87">
        <f t="shared" si="25"/>
        <v>13.3</v>
      </c>
      <c r="Q12" s="87">
        <f t="shared" si="25"/>
        <v>96.9</v>
      </c>
      <c r="R12" s="66">
        <f t="shared" si="6"/>
        <v>255</v>
      </c>
      <c r="S12" s="87">
        <f t="shared" ref="S12:Y12" si="26">IF(OR(S54=1,S54=2),"x",ROUND(S54/$Z54*100,1))</f>
        <v>3.7</v>
      </c>
      <c r="T12" s="87">
        <f t="shared" si="26"/>
        <v>12.5</v>
      </c>
      <c r="U12" s="87">
        <f t="shared" si="26"/>
        <v>21.1</v>
      </c>
      <c r="V12" s="87">
        <f t="shared" si="26"/>
        <v>24.4</v>
      </c>
      <c r="W12" s="87">
        <f t="shared" si="26"/>
        <v>22.3</v>
      </c>
      <c r="X12" s="87">
        <f t="shared" si="26"/>
        <v>12.6</v>
      </c>
      <c r="Y12" s="87">
        <f t="shared" si="26"/>
        <v>96.6</v>
      </c>
      <c r="Z12" s="66">
        <f t="shared" si="8"/>
        <v>3420</v>
      </c>
      <c r="AA12" s="45"/>
    </row>
    <row r="13" spans="1:27" x14ac:dyDescent="0.2">
      <c r="A13" s="44"/>
      <c r="B13" s="67" t="s">
        <v>8</v>
      </c>
      <c r="C13" s="87">
        <f t="shared" ref="C13:I13" si="27">IF(OR(C55=1,C55=2),"x",ROUND(C55/$J55*100,1))</f>
        <v>1.4</v>
      </c>
      <c r="D13" s="87">
        <f t="shared" si="27"/>
        <v>6.6</v>
      </c>
      <c r="E13" s="87">
        <f t="shared" si="27"/>
        <v>18.8</v>
      </c>
      <c r="F13" s="87">
        <f t="shared" si="27"/>
        <v>29.1</v>
      </c>
      <c r="G13" s="87">
        <f t="shared" si="27"/>
        <v>26.4</v>
      </c>
      <c r="H13" s="87">
        <f t="shared" si="27"/>
        <v>14.7</v>
      </c>
      <c r="I13" s="87">
        <f t="shared" si="27"/>
        <v>97</v>
      </c>
      <c r="J13" s="66">
        <f t="shared" si="4"/>
        <v>5136</v>
      </c>
      <c r="K13" s="87">
        <f t="shared" ref="K13:Q13" si="28">IF(OR(K55=1,K55=2),"x",ROUND(K55/$R55*100,1))</f>
        <v>2.8</v>
      </c>
      <c r="L13" s="87">
        <f t="shared" si="28"/>
        <v>11.7</v>
      </c>
      <c r="M13" s="87">
        <f t="shared" si="28"/>
        <v>24.4</v>
      </c>
      <c r="N13" s="87">
        <f t="shared" si="28"/>
        <v>28.4</v>
      </c>
      <c r="O13" s="87">
        <f t="shared" si="28"/>
        <v>21</v>
      </c>
      <c r="P13" s="87">
        <f t="shared" si="28"/>
        <v>9.9</v>
      </c>
      <c r="Q13" s="87">
        <f t="shared" si="28"/>
        <v>98.2</v>
      </c>
      <c r="R13" s="66">
        <f t="shared" si="6"/>
        <v>3093</v>
      </c>
      <c r="S13" s="87">
        <f t="shared" ref="S13:Y13" si="29">IF(OR(S55=1,S55=2),"x",ROUND(S55/$Z55*100,1))</f>
        <v>1.9</v>
      </c>
      <c r="T13" s="87">
        <f t="shared" si="29"/>
        <v>8.5</v>
      </c>
      <c r="U13" s="87">
        <f t="shared" si="29"/>
        <v>20.9</v>
      </c>
      <c r="V13" s="87">
        <f t="shared" si="29"/>
        <v>28.9</v>
      </c>
      <c r="W13" s="87">
        <f t="shared" si="29"/>
        <v>24.4</v>
      </c>
      <c r="X13" s="87">
        <f t="shared" si="29"/>
        <v>12.9</v>
      </c>
      <c r="Y13" s="87">
        <f t="shared" si="29"/>
        <v>97.5</v>
      </c>
      <c r="Z13" s="66">
        <f t="shared" si="8"/>
        <v>8229</v>
      </c>
      <c r="AA13" s="45"/>
    </row>
    <row r="14" spans="1:27" x14ac:dyDescent="0.2">
      <c r="A14" s="44"/>
      <c r="B14" s="67" t="s">
        <v>9</v>
      </c>
      <c r="C14" s="87">
        <f t="shared" ref="C14:I14" si="30">IF(OR(C56=1,C56=2),"x",ROUND(C56/$J56*100,1))</f>
        <v>0</v>
      </c>
      <c r="D14" s="87" t="str">
        <f t="shared" si="30"/>
        <v>x</v>
      </c>
      <c r="E14" s="87">
        <f t="shared" si="30"/>
        <v>15.2</v>
      </c>
      <c r="F14" s="87">
        <f t="shared" si="30"/>
        <v>36.4</v>
      </c>
      <c r="G14" s="87">
        <f t="shared" si="30"/>
        <v>24.2</v>
      </c>
      <c r="H14" s="87">
        <f t="shared" si="30"/>
        <v>21.2</v>
      </c>
      <c r="I14" s="87">
        <f t="shared" si="30"/>
        <v>100</v>
      </c>
      <c r="J14" s="66">
        <f t="shared" si="4"/>
        <v>33</v>
      </c>
      <c r="K14" s="87">
        <f t="shared" ref="K14:Q14" si="31">IF(OR(K56=1,K56=2),"x",ROUND(K56/$R56*100,1))</f>
        <v>1.4</v>
      </c>
      <c r="L14" s="87">
        <f t="shared" si="31"/>
        <v>18.3</v>
      </c>
      <c r="M14" s="87">
        <f t="shared" si="31"/>
        <v>28.5</v>
      </c>
      <c r="N14" s="87">
        <f t="shared" si="31"/>
        <v>26.1</v>
      </c>
      <c r="O14" s="87">
        <f t="shared" si="31"/>
        <v>16.899999999999999</v>
      </c>
      <c r="P14" s="87">
        <f t="shared" si="31"/>
        <v>8.1</v>
      </c>
      <c r="Q14" s="87">
        <f t="shared" si="31"/>
        <v>99.3</v>
      </c>
      <c r="R14" s="66">
        <f t="shared" si="6"/>
        <v>284</v>
      </c>
      <c r="S14" s="87">
        <f t="shared" ref="S14:Y14" si="32">IF(OR(S56=1,S56=2),"x",ROUND(S56/$Z56*100,1))</f>
        <v>1.3</v>
      </c>
      <c r="T14" s="87">
        <f t="shared" si="32"/>
        <v>16.7</v>
      </c>
      <c r="U14" s="87">
        <f t="shared" si="32"/>
        <v>27.1</v>
      </c>
      <c r="V14" s="87">
        <f t="shared" si="32"/>
        <v>27.1</v>
      </c>
      <c r="W14" s="87">
        <f t="shared" si="32"/>
        <v>17.7</v>
      </c>
      <c r="X14" s="87">
        <f t="shared" si="32"/>
        <v>9.5</v>
      </c>
      <c r="Y14" s="87">
        <f t="shared" si="32"/>
        <v>99.4</v>
      </c>
      <c r="Z14" s="66">
        <f t="shared" si="8"/>
        <v>317</v>
      </c>
      <c r="AA14" s="45"/>
    </row>
    <row r="15" spans="1:27" x14ac:dyDescent="0.2">
      <c r="A15" s="44"/>
      <c r="B15" s="67" t="s">
        <v>10</v>
      </c>
      <c r="C15" s="87">
        <f t="shared" ref="C15:I15" si="33">IF(OR(C57=1,C57=2),"x",ROUND(C57/$J57*100,1))</f>
        <v>1.7</v>
      </c>
      <c r="D15" s="87">
        <f t="shared" si="33"/>
        <v>11.3</v>
      </c>
      <c r="E15" s="87">
        <f t="shared" si="33"/>
        <v>23.6</v>
      </c>
      <c r="F15" s="87">
        <f t="shared" si="33"/>
        <v>27.3</v>
      </c>
      <c r="G15" s="87">
        <f t="shared" si="33"/>
        <v>21.4</v>
      </c>
      <c r="H15" s="87">
        <f t="shared" si="33"/>
        <v>11</v>
      </c>
      <c r="I15" s="87">
        <f t="shared" si="33"/>
        <v>96.2</v>
      </c>
      <c r="J15" s="66">
        <f t="shared" si="4"/>
        <v>2095</v>
      </c>
      <c r="K15" s="87">
        <f t="shared" ref="K15:Q15" si="34">IF(OR(K57=1,K57=2),"x",ROUND(K57/$R57*100,1))</f>
        <v>2.8</v>
      </c>
      <c r="L15" s="87">
        <f t="shared" si="34"/>
        <v>12.2</v>
      </c>
      <c r="M15" s="87">
        <f t="shared" si="34"/>
        <v>21.5</v>
      </c>
      <c r="N15" s="87">
        <f t="shared" si="34"/>
        <v>24.5</v>
      </c>
      <c r="O15" s="87">
        <f t="shared" si="34"/>
        <v>20.9</v>
      </c>
      <c r="P15" s="87">
        <f t="shared" si="34"/>
        <v>14.1</v>
      </c>
      <c r="Q15" s="87">
        <f t="shared" si="34"/>
        <v>96.1</v>
      </c>
      <c r="R15" s="66">
        <f t="shared" si="6"/>
        <v>1210</v>
      </c>
      <c r="S15" s="87">
        <f t="shared" ref="S15:Y15" si="35">IF(OR(S57=1,S57=2),"x",ROUND(S57/$Z57*100,1))</f>
        <v>2.1</v>
      </c>
      <c r="T15" s="87">
        <f t="shared" si="35"/>
        <v>11.6</v>
      </c>
      <c r="U15" s="87">
        <f t="shared" si="35"/>
        <v>22.8</v>
      </c>
      <c r="V15" s="87">
        <f t="shared" si="35"/>
        <v>26.3</v>
      </c>
      <c r="W15" s="87">
        <f t="shared" si="35"/>
        <v>21.2</v>
      </c>
      <c r="X15" s="87">
        <f t="shared" si="35"/>
        <v>12.2</v>
      </c>
      <c r="Y15" s="87">
        <f t="shared" si="35"/>
        <v>96.2</v>
      </c>
      <c r="Z15" s="66">
        <f t="shared" si="8"/>
        <v>3305</v>
      </c>
      <c r="AA15" s="45"/>
    </row>
    <row r="16" spans="1:27" x14ac:dyDescent="0.2">
      <c r="A16" s="44"/>
      <c r="B16" s="67" t="s">
        <v>11</v>
      </c>
      <c r="C16" s="87">
        <f t="shared" ref="C16:I16" si="36">IF(OR(C58=1,C58=2),"x",ROUND(C58/$J58*100,1))</f>
        <v>2.9</v>
      </c>
      <c r="D16" s="87">
        <f t="shared" si="36"/>
        <v>11.8</v>
      </c>
      <c r="E16" s="87">
        <f t="shared" si="36"/>
        <v>28.2</v>
      </c>
      <c r="F16" s="87">
        <f t="shared" si="36"/>
        <v>30.2</v>
      </c>
      <c r="G16" s="87">
        <f t="shared" si="36"/>
        <v>18.899999999999999</v>
      </c>
      <c r="H16" s="87">
        <f t="shared" si="36"/>
        <v>6.8</v>
      </c>
      <c r="I16" s="87">
        <f t="shared" si="36"/>
        <v>98.7</v>
      </c>
      <c r="J16" s="66">
        <f t="shared" si="4"/>
        <v>16222</v>
      </c>
      <c r="K16" s="87">
        <f t="shared" ref="K16:Q16" si="37">IF(OR(K58=1,K58=2),"x",ROUND(K58/$R58*100,1))</f>
        <v>4.3</v>
      </c>
      <c r="L16" s="87">
        <f t="shared" si="37"/>
        <v>13.8</v>
      </c>
      <c r="M16" s="87">
        <f t="shared" si="37"/>
        <v>27.7</v>
      </c>
      <c r="N16" s="87">
        <f t="shared" si="37"/>
        <v>28.8</v>
      </c>
      <c r="O16" s="87">
        <f t="shared" si="37"/>
        <v>17.7</v>
      </c>
      <c r="P16" s="87">
        <f t="shared" si="37"/>
        <v>6.6</v>
      </c>
      <c r="Q16" s="87">
        <f t="shared" si="37"/>
        <v>98.7</v>
      </c>
      <c r="R16" s="66">
        <f t="shared" si="6"/>
        <v>11555</v>
      </c>
      <c r="S16" s="87">
        <f t="shared" ref="S16:Y16" si="38">IF(OR(S58=1,S58=2),"x",ROUND(S58/$Z58*100,1))</f>
        <v>3.5</v>
      </c>
      <c r="T16" s="87">
        <f t="shared" si="38"/>
        <v>12.6</v>
      </c>
      <c r="U16" s="87">
        <f t="shared" si="38"/>
        <v>28</v>
      </c>
      <c r="V16" s="87">
        <f t="shared" si="38"/>
        <v>29.6</v>
      </c>
      <c r="W16" s="87">
        <f t="shared" si="38"/>
        <v>18.399999999999999</v>
      </c>
      <c r="X16" s="87">
        <f t="shared" si="38"/>
        <v>6.7</v>
      </c>
      <c r="Y16" s="87">
        <f t="shared" si="38"/>
        <v>98.7</v>
      </c>
      <c r="Z16" s="66">
        <f t="shared" si="8"/>
        <v>27777</v>
      </c>
      <c r="AA16" s="45"/>
    </row>
    <row r="17" spans="1:27" x14ac:dyDescent="0.2">
      <c r="A17" s="44"/>
      <c r="B17" s="67" t="s">
        <v>12</v>
      </c>
      <c r="C17" s="87">
        <f t="shared" ref="C17:I17" si="39">IF(OR(C59=1,C59=2),"x",ROUND(C59/$J59*100,1))</f>
        <v>7.6</v>
      </c>
      <c r="D17" s="87">
        <f t="shared" si="39"/>
        <v>26.4</v>
      </c>
      <c r="E17" s="87">
        <f t="shared" si="39"/>
        <v>28.4</v>
      </c>
      <c r="F17" s="87">
        <f t="shared" si="39"/>
        <v>20.5</v>
      </c>
      <c r="G17" s="87">
        <f t="shared" si="39"/>
        <v>11.5</v>
      </c>
      <c r="H17" s="87">
        <f t="shared" si="39"/>
        <v>4.7</v>
      </c>
      <c r="I17" s="87">
        <f t="shared" si="39"/>
        <v>99.2</v>
      </c>
      <c r="J17" s="66">
        <f t="shared" si="4"/>
        <v>14459</v>
      </c>
      <c r="K17" s="87">
        <f t="shared" ref="K17:Q17" si="40">IF(OR(K59=1,K59=2),"x",ROUND(K59/$R59*100,1))</f>
        <v>10.7</v>
      </c>
      <c r="L17" s="87">
        <f t="shared" si="40"/>
        <v>30.3</v>
      </c>
      <c r="M17" s="87">
        <f t="shared" si="40"/>
        <v>28.2</v>
      </c>
      <c r="N17" s="87">
        <f t="shared" si="40"/>
        <v>16.5</v>
      </c>
      <c r="O17" s="87">
        <f t="shared" si="40"/>
        <v>9.8000000000000007</v>
      </c>
      <c r="P17" s="87">
        <f t="shared" si="40"/>
        <v>3.7</v>
      </c>
      <c r="Q17" s="87">
        <f t="shared" si="40"/>
        <v>99.1</v>
      </c>
      <c r="R17" s="66">
        <f t="shared" si="6"/>
        <v>6779</v>
      </c>
      <c r="S17" s="87">
        <f t="shared" ref="S17:Y17" si="41">IF(OR(S59=1,S59=2),"x",ROUND(S59/$Z59*100,1))</f>
        <v>8.6</v>
      </c>
      <c r="T17" s="87">
        <f t="shared" si="41"/>
        <v>27.6</v>
      </c>
      <c r="U17" s="87">
        <f t="shared" si="41"/>
        <v>28.3</v>
      </c>
      <c r="V17" s="87">
        <f t="shared" si="41"/>
        <v>19.2</v>
      </c>
      <c r="W17" s="87">
        <f t="shared" si="41"/>
        <v>11</v>
      </c>
      <c r="X17" s="87">
        <f t="shared" si="41"/>
        <v>4.4000000000000004</v>
      </c>
      <c r="Y17" s="87">
        <f t="shared" si="41"/>
        <v>99.2</v>
      </c>
      <c r="Z17" s="66">
        <f t="shared" si="8"/>
        <v>21238</v>
      </c>
      <c r="AA17" s="45"/>
    </row>
    <row r="18" spans="1:27" x14ac:dyDescent="0.2">
      <c r="A18" s="44"/>
      <c r="B18" s="67" t="s">
        <v>13</v>
      </c>
      <c r="C18" s="87">
        <f t="shared" ref="C18:I18" si="42">IF(OR(C60=1,C60=2),"x",ROUND(C60/$J60*100,1))</f>
        <v>5.0999999999999996</v>
      </c>
      <c r="D18" s="87">
        <f t="shared" si="42"/>
        <v>19.899999999999999</v>
      </c>
      <c r="E18" s="87">
        <f t="shared" si="42"/>
        <v>28.1</v>
      </c>
      <c r="F18" s="87">
        <f t="shared" si="42"/>
        <v>27</v>
      </c>
      <c r="G18" s="87">
        <f t="shared" si="42"/>
        <v>14.6</v>
      </c>
      <c r="H18" s="87">
        <f t="shared" si="42"/>
        <v>4.5999999999999996</v>
      </c>
      <c r="I18" s="87">
        <f t="shared" si="42"/>
        <v>99.3</v>
      </c>
      <c r="J18" s="66">
        <f t="shared" si="4"/>
        <v>15155</v>
      </c>
      <c r="K18" s="87">
        <f t="shared" ref="K18:Q18" si="43">IF(OR(K60=1,K60=2),"x",ROUND(K60/$R60*100,1))</f>
        <v>8.6</v>
      </c>
      <c r="L18" s="87">
        <f t="shared" si="43"/>
        <v>26.8</v>
      </c>
      <c r="M18" s="87">
        <f t="shared" si="43"/>
        <v>29.6</v>
      </c>
      <c r="N18" s="87">
        <f t="shared" si="43"/>
        <v>21.4</v>
      </c>
      <c r="O18" s="87">
        <f t="shared" si="43"/>
        <v>10.199999999999999</v>
      </c>
      <c r="P18" s="87">
        <f t="shared" si="43"/>
        <v>3</v>
      </c>
      <c r="Q18" s="87">
        <f t="shared" si="43"/>
        <v>99.6</v>
      </c>
      <c r="R18" s="66">
        <f t="shared" si="6"/>
        <v>13778</v>
      </c>
      <c r="S18" s="87">
        <f t="shared" ref="S18:Y18" si="44">IF(OR(S60=1,S60=2),"x",ROUND(S60/$Z60*100,1))</f>
        <v>6.8</v>
      </c>
      <c r="T18" s="87">
        <f t="shared" si="44"/>
        <v>23.2</v>
      </c>
      <c r="U18" s="87">
        <f t="shared" si="44"/>
        <v>28.8</v>
      </c>
      <c r="V18" s="87">
        <f t="shared" si="44"/>
        <v>24.3</v>
      </c>
      <c r="W18" s="87">
        <f t="shared" si="44"/>
        <v>12.5</v>
      </c>
      <c r="X18" s="87">
        <f t="shared" si="44"/>
        <v>3.9</v>
      </c>
      <c r="Y18" s="87">
        <f t="shared" si="44"/>
        <v>99.4</v>
      </c>
      <c r="Z18" s="66">
        <f t="shared" si="8"/>
        <v>28933</v>
      </c>
      <c r="AA18" s="45"/>
    </row>
    <row r="19" spans="1:27" x14ac:dyDescent="0.2">
      <c r="A19" s="44"/>
      <c r="B19" s="67" t="s">
        <v>14</v>
      </c>
      <c r="C19" s="87">
        <f t="shared" ref="C19:I19" si="45">IF(OR(C61=1,C61=2),"x",ROUND(C61/$J61*100,1))</f>
        <v>7.1</v>
      </c>
      <c r="D19" s="87">
        <f t="shared" si="45"/>
        <v>21.9</v>
      </c>
      <c r="E19" s="87">
        <f t="shared" si="45"/>
        <v>28.1</v>
      </c>
      <c r="F19" s="87">
        <f t="shared" si="45"/>
        <v>23</v>
      </c>
      <c r="G19" s="87">
        <f t="shared" si="45"/>
        <v>13.3</v>
      </c>
      <c r="H19" s="87">
        <f t="shared" si="45"/>
        <v>5.5</v>
      </c>
      <c r="I19" s="87">
        <f t="shared" si="45"/>
        <v>98.9</v>
      </c>
      <c r="J19" s="66">
        <f t="shared" si="4"/>
        <v>7673</v>
      </c>
      <c r="K19" s="87">
        <f t="shared" ref="K19:Q19" si="46">IF(OR(K61=1,K61=2),"x",ROUND(K61/$R61*100,1))</f>
        <v>8.8000000000000007</v>
      </c>
      <c r="L19" s="87">
        <f t="shared" si="46"/>
        <v>26.2</v>
      </c>
      <c r="M19" s="87">
        <f t="shared" si="46"/>
        <v>28.7</v>
      </c>
      <c r="N19" s="87">
        <f t="shared" si="46"/>
        <v>20.100000000000001</v>
      </c>
      <c r="O19" s="87">
        <f t="shared" si="46"/>
        <v>10.9</v>
      </c>
      <c r="P19" s="87">
        <f t="shared" si="46"/>
        <v>4.5999999999999996</v>
      </c>
      <c r="Q19" s="87">
        <f t="shared" si="46"/>
        <v>99.3</v>
      </c>
      <c r="R19" s="66">
        <f t="shared" si="6"/>
        <v>5952</v>
      </c>
      <c r="S19" s="87">
        <f t="shared" ref="S19:Y19" si="47">IF(OR(S61=1,S61=2),"x",ROUND(S61/$Z61*100,1))</f>
        <v>7.8</v>
      </c>
      <c r="T19" s="87">
        <f t="shared" si="47"/>
        <v>23.8</v>
      </c>
      <c r="U19" s="87">
        <f t="shared" si="47"/>
        <v>28.4</v>
      </c>
      <c r="V19" s="87">
        <f t="shared" si="47"/>
        <v>21.7</v>
      </c>
      <c r="W19" s="87">
        <f t="shared" si="47"/>
        <v>12.2</v>
      </c>
      <c r="X19" s="87">
        <f t="shared" si="47"/>
        <v>5.0999999999999996</v>
      </c>
      <c r="Y19" s="87">
        <f t="shared" si="47"/>
        <v>99.1</v>
      </c>
      <c r="Z19" s="66">
        <f t="shared" si="8"/>
        <v>13625</v>
      </c>
      <c r="AA19" s="45"/>
    </row>
    <row r="20" spans="1:27" x14ac:dyDescent="0.2">
      <c r="A20" s="44"/>
      <c r="B20" s="67" t="s">
        <v>15</v>
      </c>
      <c r="C20" s="87">
        <f t="shared" ref="C20:I20" si="48">IF(OR(C62=1,C62=2),"x",ROUND(C62/$J62*100,1))</f>
        <v>6.6</v>
      </c>
      <c r="D20" s="87">
        <f t="shared" si="48"/>
        <v>18.600000000000001</v>
      </c>
      <c r="E20" s="87">
        <f t="shared" si="48"/>
        <v>28.3</v>
      </c>
      <c r="F20" s="87">
        <f t="shared" si="48"/>
        <v>26.8</v>
      </c>
      <c r="G20" s="87">
        <f t="shared" si="48"/>
        <v>14.6</v>
      </c>
      <c r="H20" s="87">
        <f t="shared" si="48"/>
        <v>4.5</v>
      </c>
      <c r="I20" s="87">
        <f t="shared" si="48"/>
        <v>99.4</v>
      </c>
      <c r="J20" s="66">
        <f t="shared" si="4"/>
        <v>22129</v>
      </c>
      <c r="K20" s="87">
        <f t="shared" ref="K20:Q20" si="49">IF(OR(K62=1,K62=2),"x",ROUND(K62/$R62*100,1))</f>
        <v>8.1</v>
      </c>
      <c r="L20" s="87">
        <f t="shared" si="49"/>
        <v>20.9</v>
      </c>
      <c r="M20" s="87">
        <f t="shared" si="49"/>
        <v>30.2</v>
      </c>
      <c r="N20" s="87">
        <f t="shared" si="49"/>
        <v>24.1</v>
      </c>
      <c r="O20" s="87">
        <f t="shared" si="49"/>
        <v>12.4</v>
      </c>
      <c r="P20" s="87">
        <f t="shared" si="49"/>
        <v>3.8</v>
      </c>
      <c r="Q20" s="87">
        <f t="shared" si="49"/>
        <v>99.5</v>
      </c>
      <c r="R20" s="66">
        <f t="shared" si="6"/>
        <v>23502</v>
      </c>
      <c r="S20" s="87">
        <f t="shared" ref="S20:Y20" si="50">IF(OR(S62=1,S62=2),"x",ROUND(S62/$Z62*100,1))</f>
        <v>7.3</v>
      </c>
      <c r="T20" s="87">
        <f t="shared" si="50"/>
        <v>19.8</v>
      </c>
      <c r="U20" s="87">
        <f t="shared" si="50"/>
        <v>29.3</v>
      </c>
      <c r="V20" s="87">
        <f t="shared" si="50"/>
        <v>25.4</v>
      </c>
      <c r="W20" s="87">
        <f t="shared" si="50"/>
        <v>13.5</v>
      </c>
      <c r="X20" s="87">
        <f t="shared" si="50"/>
        <v>4.0999999999999996</v>
      </c>
      <c r="Y20" s="87">
        <f t="shared" si="50"/>
        <v>99.4</v>
      </c>
      <c r="Z20" s="66">
        <f t="shared" si="8"/>
        <v>45631</v>
      </c>
      <c r="AA20" s="45"/>
    </row>
    <row r="21" spans="1:27" x14ac:dyDescent="0.2">
      <c r="A21" s="44"/>
      <c r="B21" s="67" t="s">
        <v>16</v>
      </c>
      <c r="C21" s="87">
        <f t="shared" ref="C21:I21" si="51">IF(OR(C63=1,C63=2),"x",ROUND(C63/$J63*100,1))</f>
        <v>3.8</v>
      </c>
      <c r="D21" s="87">
        <f t="shared" si="51"/>
        <v>10.4</v>
      </c>
      <c r="E21" s="87">
        <f t="shared" si="51"/>
        <v>22.5</v>
      </c>
      <c r="F21" s="87">
        <f t="shared" si="51"/>
        <v>26.8</v>
      </c>
      <c r="G21" s="87">
        <f t="shared" si="51"/>
        <v>22.1</v>
      </c>
      <c r="H21" s="87">
        <f t="shared" si="51"/>
        <v>11.2</v>
      </c>
      <c r="I21" s="87">
        <f t="shared" si="51"/>
        <v>96.7</v>
      </c>
      <c r="J21" s="66">
        <f t="shared" si="4"/>
        <v>4769</v>
      </c>
      <c r="K21" s="87">
        <f t="shared" ref="K21:Q21" si="52">IF(OR(K63=1,K63=2),"x",ROUND(K63/$R63*100,1))</f>
        <v>6.2</v>
      </c>
      <c r="L21" s="87">
        <f t="shared" si="52"/>
        <v>14.7</v>
      </c>
      <c r="M21" s="87">
        <f t="shared" si="52"/>
        <v>26</v>
      </c>
      <c r="N21" s="87">
        <f t="shared" si="52"/>
        <v>25.5</v>
      </c>
      <c r="O21" s="87">
        <f t="shared" si="52"/>
        <v>17.2</v>
      </c>
      <c r="P21" s="87">
        <f t="shared" si="52"/>
        <v>8.4</v>
      </c>
      <c r="Q21" s="87">
        <f t="shared" si="52"/>
        <v>98</v>
      </c>
      <c r="R21" s="66">
        <f t="shared" si="6"/>
        <v>7487</v>
      </c>
      <c r="S21" s="87">
        <f t="shared" ref="S21:Y21" si="53">IF(OR(S63=1,S63=2),"x",ROUND(S63/$Z63*100,1))</f>
        <v>5.2</v>
      </c>
      <c r="T21" s="87">
        <f t="shared" si="53"/>
        <v>13</v>
      </c>
      <c r="U21" s="87">
        <f t="shared" si="53"/>
        <v>24.6</v>
      </c>
      <c r="V21" s="87">
        <f t="shared" si="53"/>
        <v>26</v>
      </c>
      <c r="W21" s="87">
        <f t="shared" si="53"/>
        <v>19.100000000000001</v>
      </c>
      <c r="X21" s="87">
        <f t="shared" si="53"/>
        <v>9.5</v>
      </c>
      <c r="Y21" s="87">
        <f t="shared" si="53"/>
        <v>97.5</v>
      </c>
      <c r="Z21" s="66">
        <f t="shared" si="8"/>
        <v>12256</v>
      </c>
      <c r="AA21" s="45"/>
    </row>
    <row r="22" spans="1:27" x14ac:dyDescent="0.2">
      <c r="A22" s="44"/>
      <c r="B22" s="67" t="s">
        <v>17</v>
      </c>
      <c r="C22" s="87">
        <f t="shared" ref="C22:I22" si="54">IF(OR(C64=1,C64=2),"x",ROUND(C64/$J64*100,1))</f>
        <v>2.1</v>
      </c>
      <c r="D22" s="87">
        <f t="shared" si="54"/>
        <v>8.9</v>
      </c>
      <c r="E22" s="87">
        <f t="shared" si="54"/>
        <v>21.9</v>
      </c>
      <c r="F22" s="87">
        <f t="shared" si="54"/>
        <v>27.9</v>
      </c>
      <c r="G22" s="87">
        <f t="shared" si="54"/>
        <v>23.6</v>
      </c>
      <c r="H22" s="87">
        <f t="shared" si="54"/>
        <v>12.4</v>
      </c>
      <c r="I22" s="87">
        <f t="shared" si="54"/>
        <v>96.7</v>
      </c>
      <c r="J22" s="66">
        <f t="shared" si="4"/>
        <v>14260</v>
      </c>
      <c r="K22" s="87">
        <f t="shared" ref="K22:Q22" si="55">IF(OR(K64=1,K64=2),"x",ROUND(K64/$R64*100,1))</f>
        <v>5.2</v>
      </c>
      <c r="L22" s="87">
        <f t="shared" si="55"/>
        <v>15.5</v>
      </c>
      <c r="M22" s="87">
        <f t="shared" si="55"/>
        <v>28</v>
      </c>
      <c r="N22" s="87">
        <f t="shared" si="55"/>
        <v>26.4</v>
      </c>
      <c r="O22" s="87">
        <f t="shared" si="55"/>
        <v>16.3</v>
      </c>
      <c r="P22" s="87">
        <f t="shared" si="55"/>
        <v>7</v>
      </c>
      <c r="Q22" s="87">
        <f t="shared" si="55"/>
        <v>98.4</v>
      </c>
      <c r="R22" s="66">
        <f t="shared" si="6"/>
        <v>39080</v>
      </c>
      <c r="S22" s="87">
        <f t="shared" ref="S22:Y22" si="56">IF(OR(S64=1,S64=2),"x",ROUND(S64/$Z64*100,1))</f>
        <v>4.4000000000000004</v>
      </c>
      <c r="T22" s="87">
        <f t="shared" si="56"/>
        <v>13.7</v>
      </c>
      <c r="U22" s="87">
        <f t="shared" si="56"/>
        <v>26.4</v>
      </c>
      <c r="V22" s="87">
        <f t="shared" si="56"/>
        <v>26.8</v>
      </c>
      <c r="W22" s="87">
        <f t="shared" si="56"/>
        <v>18.2</v>
      </c>
      <c r="X22" s="87">
        <f t="shared" si="56"/>
        <v>8.4</v>
      </c>
      <c r="Y22" s="87">
        <f t="shared" si="56"/>
        <v>97.9</v>
      </c>
      <c r="Z22" s="66">
        <f t="shared" si="8"/>
        <v>53340</v>
      </c>
      <c r="AA22" s="45"/>
    </row>
    <row r="23" spans="1:27" x14ac:dyDescent="0.2">
      <c r="A23" s="44"/>
      <c r="B23" s="67" t="s">
        <v>18</v>
      </c>
      <c r="C23" s="87">
        <f t="shared" ref="C23:I23" si="57">IF(OR(C65=1,C65=2),"x",ROUND(C65/$J65*100,1))</f>
        <v>3</v>
      </c>
      <c r="D23" s="87">
        <f t="shared" si="57"/>
        <v>10.3</v>
      </c>
      <c r="E23" s="87">
        <f t="shared" si="57"/>
        <v>23.7</v>
      </c>
      <c r="F23" s="87">
        <f t="shared" si="57"/>
        <v>30.6</v>
      </c>
      <c r="G23" s="87">
        <f t="shared" si="57"/>
        <v>21.7</v>
      </c>
      <c r="H23" s="87">
        <f t="shared" si="57"/>
        <v>8.8000000000000007</v>
      </c>
      <c r="I23" s="87">
        <f t="shared" si="57"/>
        <v>98</v>
      </c>
      <c r="J23" s="66">
        <f t="shared" si="4"/>
        <v>6951</v>
      </c>
      <c r="K23" s="87">
        <f t="shared" ref="K23:Q23" si="58">IF(OR(K65=1,K65=2),"x",ROUND(K65/$R65*100,1))</f>
        <v>4.8</v>
      </c>
      <c r="L23" s="87">
        <f t="shared" si="58"/>
        <v>15.1</v>
      </c>
      <c r="M23" s="87">
        <f t="shared" si="58"/>
        <v>28.1</v>
      </c>
      <c r="N23" s="87">
        <f t="shared" si="58"/>
        <v>28.1</v>
      </c>
      <c r="O23" s="87">
        <f t="shared" si="58"/>
        <v>16.5</v>
      </c>
      <c r="P23" s="87">
        <f t="shared" si="58"/>
        <v>6</v>
      </c>
      <c r="Q23" s="87">
        <f t="shared" si="58"/>
        <v>98.7</v>
      </c>
      <c r="R23" s="66">
        <f t="shared" si="6"/>
        <v>21344</v>
      </c>
      <c r="S23" s="87">
        <f t="shared" ref="S23:Y23" si="59">IF(OR(S65=1,S65=2),"x",ROUND(S65/$Z65*100,1))</f>
        <v>4.4000000000000004</v>
      </c>
      <c r="T23" s="87">
        <f t="shared" si="59"/>
        <v>13.9</v>
      </c>
      <c r="U23" s="87">
        <f t="shared" si="59"/>
        <v>27</v>
      </c>
      <c r="V23" s="87">
        <f t="shared" si="59"/>
        <v>28.7</v>
      </c>
      <c r="W23" s="87">
        <f t="shared" si="59"/>
        <v>17.8</v>
      </c>
      <c r="X23" s="87">
        <f t="shared" si="59"/>
        <v>6.7</v>
      </c>
      <c r="Y23" s="87">
        <f t="shared" si="59"/>
        <v>98.5</v>
      </c>
      <c r="Z23" s="66">
        <f t="shared" si="8"/>
        <v>28295</v>
      </c>
      <c r="AA23" s="45"/>
    </row>
    <row r="24" spans="1:27" x14ac:dyDescent="0.2">
      <c r="A24" s="44"/>
      <c r="B24" s="67" t="s">
        <v>19</v>
      </c>
      <c r="C24" s="87">
        <f t="shared" ref="C24:I24" si="60">IF(OR(C66=1,C66=2),"x",ROUND(C66/$J66*100,1))</f>
        <v>5</v>
      </c>
      <c r="D24" s="87">
        <f t="shared" si="60"/>
        <v>14.2</v>
      </c>
      <c r="E24" s="87">
        <f t="shared" si="60"/>
        <v>24.9</v>
      </c>
      <c r="F24" s="87">
        <f t="shared" si="60"/>
        <v>26</v>
      </c>
      <c r="G24" s="87">
        <f t="shared" si="60"/>
        <v>17.8</v>
      </c>
      <c r="H24" s="87">
        <f t="shared" si="60"/>
        <v>9.1999999999999993</v>
      </c>
      <c r="I24" s="87">
        <f t="shared" si="60"/>
        <v>97.2</v>
      </c>
      <c r="J24" s="66">
        <f t="shared" si="4"/>
        <v>2106</v>
      </c>
      <c r="K24" s="87">
        <f t="shared" ref="K24:Q24" si="61">IF(OR(K66=1,K66=2),"x",ROUND(K66/$R66*100,1))</f>
        <v>5.6</v>
      </c>
      <c r="L24" s="87">
        <f t="shared" si="61"/>
        <v>17.8</v>
      </c>
      <c r="M24" s="87">
        <f t="shared" si="61"/>
        <v>26.5</v>
      </c>
      <c r="N24" s="87">
        <f t="shared" si="61"/>
        <v>25.2</v>
      </c>
      <c r="O24" s="87">
        <f t="shared" si="61"/>
        <v>15.1</v>
      </c>
      <c r="P24" s="87">
        <f t="shared" si="61"/>
        <v>7.5</v>
      </c>
      <c r="Q24" s="87">
        <f t="shared" si="61"/>
        <v>97.6</v>
      </c>
      <c r="R24" s="66">
        <f t="shared" si="6"/>
        <v>2391</v>
      </c>
      <c r="S24" s="87">
        <f t="shared" ref="S24:Y24" si="62">IF(OR(S66=1,S66=2),"x",ROUND(S66/$Z66*100,1))</f>
        <v>5.3</v>
      </c>
      <c r="T24" s="87">
        <f t="shared" si="62"/>
        <v>16.100000000000001</v>
      </c>
      <c r="U24" s="87">
        <f t="shared" si="62"/>
        <v>25.8</v>
      </c>
      <c r="V24" s="87">
        <f t="shared" si="62"/>
        <v>25.6</v>
      </c>
      <c r="W24" s="87">
        <f t="shared" si="62"/>
        <v>16.3</v>
      </c>
      <c r="X24" s="87">
        <f t="shared" si="62"/>
        <v>8.3000000000000007</v>
      </c>
      <c r="Y24" s="87">
        <f t="shared" si="62"/>
        <v>97.4</v>
      </c>
      <c r="Z24" s="66">
        <f t="shared" si="8"/>
        <v>4497</v>
      </c>
      <c r="AA24" s="45"/>
    </row>
    <row r="25" spans="1:27" x14ac:dyDescent="0.2">
      <c r="A25" s="44"/>
      <c r="B25" s="67" t="s">
        <v>20</v>
      </c>
      <c r="C25" s="87">
        <f t="shared" ref="C25:I25" si="63">IF(OR(C67=1,C67=2),"x",ROUND(C67/$J67*100,1))</f>
        <v>12.2</v>
      </c>
      <c r="D25" s="87">
        <f t="shared" si="63"/>
        <v>13.4</v>
      </c>
      <c r="E25" s="87">
        <f t="shared" si="63"/>
        <v>24.3</v>
      </c>
      <c r="F25" s="87">
        <f t="shared" si="63"/>
        <v>26.2</v>
      </c>
      <c r="G25" s="87">
        <f t="shared" si="63"/>
        <v>16.100000000000001</v>
      </c>
      <c r="H25" s="87">
        <f t="shared" si="63"/>
        <v>6.1</v>
      </c>
      <c r="I25" s="87">
        <f t="shared" si="63"/>
        <v>98.3</v>
      </c>
      <c r="J25" s="66">
        <f t="shared" si="4"/>
        <v>11322</v>
      </c>
      <c r="K25" s="87">
        <f t="shared" ref="K25:Q25" si="64">IF(OR(K67=1,K67=2),"x",ROUND(K67/$R67*100,1))</f>
        <v>13.7</v>
      </c>
      <c r="L25" s="87">
        <f t="shared" si="64"/>
        <v>17.600000000000001</v>
      </c>
      <c r="M25" s="87">
        <f t="shared" si="64"/>
        <v>29.1</v>
      </c>
      <c r="N25" s="87">
        <f t="shared" si="64"/>
        <v>24</v>
      </c>
      <c r="O25" s="87">
        <f t="shared" si="64"/>
        <v>11.3</v>
      </c>
      <c r="P25" s="87">
        <f t="shared" si="64"/>
        <v>3.5</v>
      </c>
      <c r="Q25" s="87">
        <f t="shared" si="64"/>
        <v>99.2</v>
      </c>
      <c r="R25" s="66">
        <f t="shared" si="6"/>
        <v>31914</v>
      </c>
      <c r="S25" s="87">
        <f t="shared" ref="S25:Y25" si="65">IF(OR(S67=1,S67=2),"x",ROUND(S67/$Z67*100,1))</f>
        <v>13.3</v>
      </c>
      <c r="T25" s="87">
        <f t="shared" si="65"/>
        <v>16.5</v>
      </c>
      <c r="U25" s="87">
        <f t="shared" si="65"/>
        <v>27.8</v>
      </c>
      <c r="V25" s="87">
        <f t="shared" si="65"/>
        <v>24.6</v>
      </c>
      <c r="W25" s="87">
        <f t="shared" si="65"/>
        <v>12.6</v>
      </c>
      <c r="X25" s="87">
        <f t="shared" si="65"/>
        <v>4.2</v>
      </c>
      <c r="Y25" s="87">
        <f t="shared" si="65"/>
        <v>99</v>
      </c>
      <c r="Z25" s="66">
        <f t="shared" si="8"/>
        <v>43236</v>
      </c>
      <c r="AA25" s="45"/>
    </row>
    <row r="26" spans="1:27" x14ac:dyDescent="0.2">
      <c r="A26" s="44"/>
      <c r="B26" s="67" t="s">
        <v>21</v>
      </c>
      <c r="C26" s="87">
        <f t="shared" ref="C26:I26" si="66">IF(OR(C68=1,C68=2),"x",ROUND(C68/$J68*100,1))</f>
        <v>2.7</v>
      </c>
      <c r="D26" s="87">
        <f t="shared" si="66"/>
        <v>10</v>
      </c>
      <c r="E26" s="87">
        <f t="shared" si="66"/>
        <v>26.9</v>
      </c>
      <c r="F26" s="87">
        <f t="shared" si="66"/>
        <v>33.299999999999997</v>
      </c>
      <c r="G26" s="87">
        <f t="shared" si="66"/>
        <v>20.399999999999999</v>
      </c>
      <c r="H26" s="87">
        <f t="shared" si="66"/>
        <v>6.2</v>
      </c>
      <c r="I26" s="87">
        <f t="shared" si="66"/>
        <v>99.4</v>
      </c>
      <c r="J26" s="66">
        <f t="shared" si="4"/>
        <v>4321</v>
      </c>
      <c r="K26" s="87">
        <f t="shared" ref="K26:Q26" si="67">IF(OR(K68=1,K68=2),"x",ROUND(K68/$R68*100,1))</f>
        <v>4.5</v>
      </c>
      <c r="L26" s="87">
        <f t="shared" si="67"/>
        <v>13.7</v>
      </c>
      <c r="M26" s="87">
        <f t="shared" si="67"/>
        <v>32.1</v>
      </c>
      <c r="N26" s="87">
        <f t="shared" si="67"/>
        <v>31.3</v>
      </c>
      <c r="O26" s="87">
        <f t="shared" si="67"/>
        <v>14.5</v>
      </c>
      <c r="P26" s="87">
        <f t="shared" si="67"/>
        <v>3.5</v>
      </c>
      <c r="Q26" s="87">
        <f t="shared" si="67"/>
        <v>99.6</v>
      </c>
      <c r="R26" s="66">
        <f t="shared" si="6"/>
        <v>9349</v>
      </c>
      <c r="S26" s="87">
        <f t="shared" ref="S26:Y26" si="68">IF(OR(S68=1,S68=2),"x",ROUND(S68/$Z68*100,1))</f>
        <v>3.9</v>
      </c>
      <c r="T26" s="87">
        <f t="shared" si="68"/>
        <v>12.5</v>
      </c>
      <c r="U26" s="87">
        <f t="shared" si="68"/>
        <v>30.5</v>
      </c>
      <c r="V26" s="87">
        <f t="shared" si="68"/>
        <v>32</v>
      </c>
      <c r="W26" s="87">
        <f t="shared" si="68"/>
        <v>16.399999999999999</v>
      </c>
      <c r="X26" s="87">
        <f t="shared" si="68"/>
        <v>4.3</v>
      </c>
      <c r="Y26" s="87">
        <f t="shared" si="68"/>
        <v>99.5</v>
      </c>
      <c r="Z26" s="66">
        <f t="shared" si="8"/>
        <v>13670</v>
      </c>
      <c r="AA26" s="45"/>
    </row>
    <row r="27" spans="1:27" x14ac:dyDescent="0.2">
      <c r="A27" s="44"/>
      <c r="B27" s="67" t="s">
        <v>22</v>
      </c>
      <c r="C27" s="87">
        <f t="shared" ref="C27:I27" si="69">IF(OR(C69=1,C69=2),"x",ROUND(C69/$J69*100,1))</f>
        <v>7.3</v>
      </c>
      <c r="D27" s="87">
        <f t="shared" si="69"/>
        <v>13.4</v>
      </c>
      <c r="E27" s="87">
        <f t="shared" si="69"/>
        <v>25.3</v>
      </c>
      <c r="F27" s="87">
        <f t="shared" si="69"/>
        <v>29.2</v>
      </c>
      <c r="G27" s="87">
        <f t="shared" si="69"/>
        <v>19.100000000000001</v>
      </c>
      <c r="H27" s="87">
        <f t="shared" si="69"/>
        <v>5</v>
      </c>
      <c r="I27" s="87">
        <f t="shared" si="69"/>
        <v>99.3</v>
      </c>
      <c r="J27" s="66">
        <f t="shared" si="4"/>
        <v>23774</v>
      </c>
      <c r="K27" s="87">
        <f t="shared" ref="K27:Q27" si="70">IF(OR(K69=1,K69=2),"x",ROUND(K69/$R69*100,1))</f>
        <v>6.6</v>
      </c>
      <c r="L27" s="87">
        <f t="shared" si="70"/>
        <v>15.1</v>
      </c>
      <c r="M27" s="87">
        <f t="shared" si="70"/>
        <v>27.7</v>
      </c>
      <c r="N27" s="87">
        <f t="shared" si="70"/>
        <v>30.1</v>
      </c>
      <c r="O27" s="87">
        <f t="shared" si="70"/>
        <v>16.399999999999999</v>
      </c>
      <c r="P27" s="87">
        <f t="shared" si="70"/>
        <v>3.7</v>
      </c>
      <c r="Q27" s="87">
        <f t="shared" si="70"/>
        <v>99.5</v>
      </c>
      <c r="R27" s="66">
        <f t="shared" si="6"/>
        <v>59051</v>
      </c>
      <c r="S27" s="87">
        <f t="shared" ref="S27:Y27" si="71">IF(OR(S69=1,S69=2),"x",ROUND(S69/$Z69*100,1))</f>
        <v>6.8</v>
      </c>
      <c r="T27" s="87">
        <f t="shared" si="71"/>
        <v>14.6</v>
      </c>
      <c r="U27" s="87">
        <f t="shared" si="71"/>
        <v>27</v>
      </c>
      <c r="V27" s="87">
        <f t="shared" si="71"/>
        <v>29.8</v>
      </c>
      <c r="W27" s="87">
        <f t="shared" si="71"/>
        <v>17.2</v>
      </c>
      <c r="X27" s="87">
        <f t="shared" si="71"/>
        <v>4.0999999999999996</v>
      </c>
      <c r="Y27" s="87">
        <f t="shared" si="71"/>
        <v>99.5</v>
      </c>
      <c r="Z27" s="66">
        <f t="shared" si="8"/>
        <v>82825</v>
      </c>
      <c r="AA27" s="45"/>
    </row>
    <row r="28" spans="1:27" x14ac:dyDescent="0.2">
      <c r="A28" s="44"/>
      <c r="B28" s="67" t="s">
        <v>51</v>
      </c>
      <c r="C28" s="87">
        <f t="shared" ref="C28:I28" si="72">IF(OR(C70=1,C70=2),"x",ROUND(C70/$J70*100,1))</f>
        <v>1</v>
      </c>
      <c r="D28" s="87">
        <f t="shared" si="72"/>
        <v>6.7</v>
      </c>
      <c r="E28" s="87">
        <f t="shared" si="72"/>
        <v>24.1</v>
      </c>
      <c r="F28" s="87">
        <f t="shared" si="72"/>
        <v>37.9</v>
      </c>
      <c r="G28" s="87">
        <f t="shared" si="72"/>
        <v>24.1</v>
      </c>
      <c r="H28" s="87">
        <f t="shared" si="72"/>
        <v>5.4</v>
      </c>
      <c r="I28" s="87">
        <f t="shared" si="72"/>
        <v>99.2</v>
      </c>
      <c r="J28" s="66">
        <f t="shared" si="4"/>
        <v>9811</v>
      </c>
      <c r="K28" s="87">
        <f t="shared" ref="K28:Q28" si="73">IF(OR(K70=1,K70=2),"x",ROUND(K70/$R70*100,1))</f>
        <v>1.8</v>
      </c>
      <c r="L28" s="87">
        <f t="shared" si="73"/>
        <v>11</v>
      </c>
      <c r="M28" s="87">
        <f t="shared" si="73"/>
        <v>33.5</v>
      </c>
      <c r="N28" s="87">
        <f t="shared" si="73"/>
        <v>35.9</v>
      </c>
      <c r="O28" s="87">
        <f t="shared" si="73"/>
        <v>14.6</v>
      </c>
      <c r="P28" s="87">
        <f t="shared" si="73"/>
        <v>2.8</v>
      </c>
      <c r="Q28" s="87">
        <f t="shared" si="73"/>
        <v>99.5</v>
      </c>
      <c r="R28" s="66">
        <f t="shared" si="6"/>
        <v>13143</v>
      </c>
      <c r="S28" s="87">
        <f t="shared" ref="S28:Y28" si="74">IF(OR(S70=1,S70=2),"x",ROUND(S70/$Z70*100,1))</f>
        <v>1.4</v>
      </c>
      <c r="T28" s="87">
        <f t="shared" si="74"/>
        <v>9.1999999999999993</v>
      </c>
      <c r="U28" s="87">
        <f t="shared" si="74"/>
        <v>29.5</v>
      </c>
      <c r="V28" s="87">
        <f t="shared" si="74"/>
        <v>36.700000000000003</v>
      </c>
      <c r="W28" s="87">
        <f t="shared" si="74"/>
        <v>18.600000000000001</v>
      </c>
      <c r="X28" s="87">
        <f t="shared" si="74"/>
        <v>3.9</v>
      </c>
      <c r="Y28" s="87">
        <f t="shared" si="74"/>
        <v>99.4</v>
      </c>
      <c r="Z28" s="66">
        <f t="shared" si="8"/>
        <v>22954</v>
      </c>
      <c r="AA28" s="45"/>
    </row>
    <row r="29" spans="1:27" x14ac:dyDescent="0.2">
      <c r="A29" s="44"/>
      <c r="B29" s="67" t="s">
        <v>23</v>
      </c>
      <c r="C29" s="87">
        <f t="shared" ref="C29:I29" si="75">IF(OR(C71=1,C71=2),"x",ROUND(C71/$J71*100,1))</f>
        <v>1.9</v>
      </c>
      <c r="D29" s="87">
        <f t="shared" si="75"/>
        <v>8.8000000000000007</v>
      </c>
      <c r="E29" s="87">
        <f t="shared" si="75"/>
        <v>29.5</v>
      </c>
      <c r="F29" s="87">
        <f t="shared" si="75"/>
        <v>38.700000000000003</v>
      </c>
      <c r="G29" s="87">
        <f t="shared" si="75"/>
        <v>16.7</v>
      </c>
      <c r="H29" s="87">
        <f t="shared" si="75"/>
        <v>3.8</v>
      </c>
      <c r="I29" s="87">
        <f t="shared" si="75"/>
        <v>99.4</v>
      </c>
      <c r="J29" s="66">
        <f t="shared" si="4"/>
        <v>4274</v>
      </c>
      <c r="K29" s="87">
        <f t="shared" ref="K29:Q29" si="76">IF(OR(K71=1,K71=2),"x",ROUND(K71/$R71*100,1))</f>
        <v>2.8</v>
      </c>
      <c r="L29" s="87">
        <f t="shared" si="76"/>
        <v>12.3</v>
      </c>
      <c r="M29" s="87">
        <f t="shared" si="76"/>
        <v>33.700000000000003</v>
      </c>
      <c r="N29" s="87">
        <f t="shared" si="76"/>
        <v>34.4</v>
      </c>
      <c r="O29" s="87">
        <f t="shared" si="76"/>
        <v>14</v>
      </c>
      <c r="P29" s="87">
        <f t="shared" si="76"/>
        <v>2.4</v>
      </c>
      <c r="Q29" s="87">
        <f t="shared" si="76"/>
        <v>99.6</v>
      </c>
      <c r="R29" s="66">
        <f t="shared" si="6"/>
        <v>5338</v>
      </c>
      <c r="S29" s="87">
        <f t="shared" ref="S29:Y29" si="77">IF(OR(S71=1,S71=2),"x",ROUND(S71/$Z71*100,1))</f>
        <v>2.4</v>
      </c>
      <c r="T29" s="87">
        <f t="shared" si="77"/>
        <v>10.7</v>
      </c>
      <c r="U29" s="87">
        <f t="shared" si="77"/>
        <v>31.8</v>
      </c>
      <c r="V29" s="87">
        <f t="shared" si="77"/>
        <v>36.299999999999997</v>
      </c>
      <c r="W29" s="87">
        <f t="shared" si="77"/>
        <v>15.2</v>
      </c>
      <c r="X29" s="87">
        <f t="shared" si="77"/>
        <v>3</v>
      </c>
      <c r="Y29" s="87">
        <f t="shared" si="77"/>
        <v>99.5</v>
      </c>
      <c r="Z29" s="66">
        <f t="shared" si="8"/>
        <v>9612</v>
      </c>
      <c r="AA29" s="45"/>
    </row>
    <row r="30" spans="1:27" x14ac:dyDescent="0.2">
      <c r="A30" s="44"/>
      <c r="B30" s="67" t="s">
        <v>24</v>
      </c>
      <c r="C30" s="87">
        <f t="shared" ref="C30:I30" si="78">IF(OR(C72=1,C72=2),"x",ROUND(C72/$J72*100,1))</f>
        <v>7</v>
      </c>
      <c r="D30" s="87">
        <f t="shared" si="78"/>
        <v>34.5</v>
      </c>
      <c r="E30" s="87">
        <f t="shared" si="78"/>
        <v>29.3</v>
      </c>
      <c r="F30" s="87">
        <f t="shared" si="78"/>
        <v>17.8</v>
      </c>
      <c r="G30" s="87">
        <f t="shared" si="78"/>
        <v>8.6</v>
      </c>
      <c r="H30" s="87">
        <f t="shared" si="78"/>
        <v>2.4</v>
      </c>
      <c r="I30" s="87">
        <f t="shared" si="78"/>
        <v>99.7</v>
      </c>
      <c r="J30" s="66">
        <f t="shared" si="4"/>
        <v>3404</v>
      </c>
      <c r="K30" s="87">
        <f t="shared" ref="K30:Q30" si="79">IF(OR(K72=1,K72=2),"x",ROUND(K72/$R72*100,1))</f>
        <v>7</v>
      </c>
      <c r="L30" s="87">
        <f t="shared" si="79"/>
        <v>33.9</v>
      </c>
      <c r="M30" s="87">
        <f t="shared" si="79"/>
        <v>29.1</v>
      </c>
      <c r="N30" s="87">
        <f t="shared" si="79"/>
        <v>18.3</v>
      </c>
      <c r="O30" s="87">
        <f t="shared" si="79"/>
        <v>8.1999999999999993</v>
      </c>
      <c r="P30" s="87">
        <f t="shared" si="79"/>
        <v>3.1</v>
      </c>
      <c r="Q30" s="87">
        <f t="shared" si="79"/>
        <v>99.6</v>
      </c>
      <c r="R30" s="66">
        <f t="shared" si="6"/>
        <v>7467</v>
      </c>
      <c r="S30" s="87">
        <f t="shared" ref="S30:Y30" si="80">IF(OR(S72=1,S72=2),"x",ROUND(S72/$Z72*100,1))</f>
        <v>7</v>
      </c>
      <c r="T30" s="87">
        <f t="shared" si="80"/>
        <v>34.1</v>
      </c>
      <c r="U30" s="87">
        <f t="shared" si="80"/>
        <v>29.2</v>
      </c>
      <c r="V30" s="87">
        <f t="shared" si="80"/>
        <v>18.100000000000001</v>
      </c>
      <c r="W30" s="87">
        <f t="shared" si="80"/>
        <v>8.3000000000000007</v>
      </c>
      <c r="X30" s="87">
        <f t="shared" si="80"/>
        <v>2.9</v>
      </c>
      <c r="Y30" s="87">
        <f t="shared" si="80"/>
        <v>99.6</v>
      </c>
      <c r="Z30" s="66">
        <f t="shared" si="8"/>
        <v>10871</v>
      </c>
      <c r="AA30" s="45"/>
    </row>
    <row r="31" spans="1:27" x14ac:dyDescent="0.2">
      <c r="A31" s="44"/>
      <c r="B31" s="67" t="s">
        <v>25</v>
      </c>
      <c r="C31" s="87">
        <f t="shared" ref="C31:I31" si="81">IF(OR(C73=1,C73=2),"x",ROUND(C73/$J73*100,1))</f>
        <v>8.4</v>
      </c>
      <c r="D31" s="87">
        <f t="shared" si="81"/>
        <v>32.5</v>
      </c>
      <c r="E31" s="87">
        <f t="shared" si="81"/>
        <v>27.2</v>
      </c>
      <c r="F31" s="87">
        <f t="shared" si="81"/>
        <v>19.5</v>
      </c>
      <c r="G31" s="87">
        <f t="shared" si="81"/>
        <v>9.3000000000000007</v>
      </c>
      <c r="H31" s="87">
        <f t="shared" si="81"/>
        <v>2.5</v>
      </c>
      <c r="I31" s="87">
        <f t="shared" si="81"/>
        <v>99.3</v>
      </c>
      <c r="J31" s="66">
        <f t="shared" si="4"/>
        <v>1685</v>
      </c>
      <c r="K31" s="87">
        <f t="shared" ref="K31:Q31" si="82">IF(OR(K73=1,K73=2),"x",ROUND(K73/$R73*100,1))</f>
        <v>7.2</v>
      </c>
      <c r="L31" s="87">
        <f t="shared" si="82"/>
        <v>33</v>
      </c>
      <c r="M31" s="87">
        <f t="shared" si="82"/>
        <v>25.5</v>
      </c>
      <c r="N31" s="87">
        <f t="shared" si="82"/>
        <v>18.8</v>
      </c>
      <c r="O31" s="87">
        <f t="shared" si="82"/>
        <v>11.3</v>
      </c>
      <c r="P31" s="87">
        <f t="shared" si="82"/>
        <v>3.7</v>
      </c>
      <c r="Q31" s="87">
        <f t="shared" si="82"/>
        <v>99.4</v>
      </c>
      <c r="R31" s="66">
        <f t="shared" si="6"/>
        <v>2523</v>
      </c>
      <c r="S31" s="87">
        <f t="shared" ref="S31:Y31" si="83">IF(OR(S73=1,S73=2),"x",ROUND(S73/$Z73*100,1))</f>
        <v>7.7</v>
      </c>
      <c r="T31" s="87">
        <f t="shared" si="83"/>
        <v>32.799999999999997</v>
      </c>
      <c r="U31" s="87">
        <f t="shared" si="83"/>
        <v>26.2</v>
      </c>
      <c r="V31" s="87">
        <f t="shared" si="83"/>
        <v>19.100000000000001</v>
      </c>
      <c r="W31" s="87">
        <f t="shared" si="83"/>
        <v>10.5</v>
      </c>
      <c r="X31" s="87">
        <f t="shared" si="83"/>
        <v>3.2</v>
      </c>
      <c r="Y31" s="87">
        <f t="shared" si="83"/>
        <v>99.4</v>
      </c>
      <c r="Z31" s="66">
        <f t="shared" si="8"/>
        <v>4208</v>
      </c>
      <c r="AA31" s="45"/>
    </row>
    <row r="32" spans="1:27" x14ac:dyDescent="0.2">
      <c r="A32" s="44"/>
      <c r="B32" s="67" t="s">
        <v>26</v>
      </c>
      <c r="C32" s="87">
        <f t="shared" ref="C32:I32" si="84">IF(OR(C74=1,C74=2),"x",ROUND(C74/$J74*100,1))</f>
        <v>7.9</v>
      </c>
      <c r="D32" s="87">
        <f t="shared" si="84"/>
        <v>30.8</v>
      </c>
      <c r="E32" s="87">
        <f t="shared" si="84"/>
        <v>30.5</v>
      </c>
      <c r="F32" s="87">
        <f t="shared" si="84"/>
        <v>18.100000000000001</v>
      </c>
      <c r="G32" s="87">
        <f t="shared" si="84"/>
        <v>8.6999999999999993</v>
      </c>
      <c r="H32" s="87">
        <f t="shared" si="84"/>
        <v>3.1</v>
      </c>
      <c r="I32" s="87">
        <f t="shared" si="84"/>
        <v>99.1</v>
      </c>
      <c r="J32" s="66">
        <f t="shared" si="4"/>
        <v>2095</v>
      </c>
      <c r="K32" s="87">
        <f t="shared" ref="K32:Q32" si="85">IF(OR(K74=1,K74=2),"x",ROUND(K74/$R74*100,1))</f>
        <v>7.2</v>
      </c>
      <c r="L32" s="87">
        <f t="shared" si="85"/>
        <v>30</v>
      </c>
      <c r="M32" s="87">
        <f t="shared" si="85"/>
        <v>29.7</v>
      </c>
      <c r="N32" s="87">
        <f t="shared" si="85"/>
        <v>18.7</v>
      </c>
      <c r="O32" s="87">
        <f t="shared" si="85"/>
        <v>10.1</v>
      </c>
      <c r="P32" s="87">
        <f t="shared" si="85"/>
        <v>3.5</v>
      </c>
      <c r="Q32" s="87">
        <f t="shared" si="85"/>
        <v>99.3</v>
      </c>
      <c r="R32" s="66">
        <f t="shared" si="6"/>
        <v>4102</v>
      </c>
      <c r="S32" s="87">
        <f t="shared" ref="S32:Y32" si="86">IF(OR(S74=1,S74=2),"x",ROUND(S74/$Z74*100,1))</f>
        <v>7.4</v>
      </c>
      <c r="T32" s="87">
        <f t="shared" si="86"/>
        <v>30.3</v>
      </c>
      <c r="U32" s="87">
        <f t="shared" si="86"/>
        <v>30</v>
      </c>
      <c r="V32" s="87">
        <f t="shared" si="86"/>
        <v>18.5</v>
      </c>
      <c r="W32" s="87">
        <f t="shared" si="86"/>
        <v>9.6</v>
      </c>
      <c r="X32" s="87">
        <f t="shared" si="86"/>
        <v>3.4</v>
      </c>
      <c r="Y32" s="87">
        <f t="shared" si="86"/>
        <v>99.3</v>
      </c>
      <c r="Z32" s="66">
        <f t="shared" si="8"/>
        <v>6197</v>
      </c>
      <c r="AA32" s="45"/>
    </row>
    <row r="33" spans="1:27" x14ac:dyDescent="0.2">
      <c r="A33" s="44"/>
      <c r="B33" s="67" t="s">
        <v>27</v>
      </c>
      <c r="C33" s="87">
        <f t="shared" ref="C33:I33" si="87">IF(OR(C75=1,C75=2),"x",ROUND(C75/$J75*100,1))</f>
        <v>11.4</v>
      </c>
      <c r="D33" s="87">
        <f t="shared" si="87"/>
        <v>37.799999999999997</v>
      </c>
      <c r="E33" s="87">
        <f t="shared" si="87"/>
        <v>30.7</v>
      </c>
      <c r="F33" s="87">
        <f t="shared" si="87"/>
        <v>12.5</v>
      </c>
      <c r="G33" s="87">
        <f t="shared" si="87"/>
        <v>4.2</v>
      </c>
      <c r="H33" s="87">
        <f t="shared" si="87"/>
        <v>1.8</v>
      </c>
      <c r="I33" s="87">
        <f t="shared" si="87"/>
        <v>98.5</v>
      </c>
      <c r="J33" s="66">
        <f t="shared" si="4"/>
        <v>3018</v>
      </c>
      <c r="K33" s="87">
        <f t="shared" ref="K33:Q33" si="88">IF(OR(K75=1,K75=2),"x",ROUND(K75/$R75*100,1))</f>
        <v>15.3</v>
      </c>
      <c r="L33" s="87">
        <f t="shared" si="88"/>
        <v>41.8</v>
      </c>
      <c r="M33" s="87">
        <f t="shared" si="88"/>
        <v>27</v>
      </c>
      <c r="N33" s="87">
        <f t="shared" si="88"/>
        <v>9.8000000000000007</v>
      </c>
      <c r="O33" s="87">
        <f t="shared" si="88"/>
        <v>3.5</v>
      </c>
      <c r="P33" s="87">
        <f t="shared" si="88"/>
        <v>1.3</v>
      </c>
      <c r="Q33" s="87">
        <f t="shared" si="88"/>
        <v>98.7</v>
      </c>
      <c r="R33" s="66">
        <f t="shared" si="6"/>
        <v>4081</v>
      </c>
      <c r="S33" s="87">
        <f t="shared" ref="S33:Y33" si="89">IF(OR(S75=1,S75=2),"x",ROUND(S75/$Z75*100,1))</f>
        <v>13.6</v>
      </c>
      <c r="T33" s="87">
        <f t="shared" si="89"/>
        <v>40.1</v>
      </c>
      <c r="U33" s="87">
        <f t="shared" si="89"/>
        <v>28.6</v>
      </c>
      <c r="V33" s="87">
        <f t="shared" si="89"/>
        <v>11</v>
      </c>
      <c r="W33" s="87">
        <f t="shared" si="89"/>
        <v>3.8</v>
      </c>
      <c r="X33" s="87">
        <f t="shared" si="89"/>
        <v>1.5</v>
      </c>
      <c r="Y33" s="87">
        <f t="shared" si="89"/>
        <v>98.6</v>
      </c>
      <c r="Z33" s="66">
        <f t="shared" si="8"/>
        <v>7099</v>
      </c>
      <c r="AA33" s="45"/>
    </row>
    <row r="34" spans="1:27" x14ac:dyDescent="0.2">
      <c r="A34" s="44"/>
      <c r="B34" s="67" t="s">
        <v>28</v>
      </c>
      <c r="C34" s="87">
        <f t="shared" ref="C34:I34" si="90">IF(OR(C76=1,C76=2),"x",ROUND(C76/$J76*100,1))</f>
        <v>10.7</v>
      </c>
      <c r="D34" s="87">
        <f t="shared" si="90"/>
        <v>25.7</v>
      </c>
      <c r="E34" s="87">
        <f t="shared" si="90"/>
        <v>26.7</v>
      </c>
      <c r="F34" s="87">
        <f t="shared" si="90"/>
        <v>20.6</v>
      </c>
      <c r="G34" s="87">
        <f t="shared" si="90"/>
        <v>11.4</v>
      </c>
      <c r="H34" s="87">
        <f t="shared" si="90"/>
        <v>4</v>
      </c>
      <c r="I34" s="87">
        <f t="shared" si="90"/>
        <v>99.1</v>
      </c>
      <c r="J34" s="66">
        <f t="shared" si="4"/>
        <v>2727</v>
      </c>
      <c r="K34" s="87">
        <f t="shared" ref="K34:Q34" si="91">IF(OR(K76=1,K76=2),"x",ROUND(K76/$R76*100,1))</f>
        <v>11.6</v>
      </c>
      <c r="L34" s="87">
        <f t="shared" si="91"/>
        <v>28.2</v>
      </c>
      <c r="M34" s="87">
        <f t="shared" si="91"/>
        <v>30.9</v>
      </c>
      <c r="N34" s="87">
        <f t="shared" si="91"/>
        <v>18.100000000000001</v>
      </c>
      <c r="O34" s="87">
        <f t="shared" si="91"/>
        <v>8.4</v>
      </c>
      <c r="P34" s="87">
        <f t="shared" si="91"/>
        <v>2.2999999999999998</v>
      </c>
      <c r="Q34" s="87">
        <f t="shared" si="91"/>
        <v>99.5</v>
      </c>
      <c r="R34" s="66">
        <f t="shared" si="6"/>
        <v>3521</v>
      </c>
      <c r="S34" s="87">
        <f t="shared" ref="S34:Y34" si="92">IF(OR(S76=1,S76=2),"x",ROUND(S76/$Z76*100,1))</f>
        <v>11.2</v>
      </c>
      <c r="T34" s="87">
        <f t="shared" si="92"/>
        <v>27.1</v>
      </c>
      <c r="U34" s="87">
        <f t="shared" si="92"/>
        <v>29.1</v>
      </c>
      <c r="V34" s="87">
        <f t="shared" si="92"/>
        <v>19.2</v>
      </c>
      <c r="W34" s="87">
        <f t="shared" si="92"/>
        <v>9.6999999999999993</v>
      </c>
      <c r="X34" s="87">
        <f t="shared" si="92"/>
        <v>3</v>
      </c>
      <c r="Y34" s="87">
        <f t="shared" si="92"/>
        <v>99.3</v>
      </c>
      <c r="Z34" s="66">
        <f t="shared" si="8"/>
        <v>6248</v>
      </c>
      <c r="AA34" s="45"/>
    </row>
    <row r="35" spans="1:27" x14ac:dyDescent="0.2">
      <c r="A35" s="44"/>
      <c r="B35" s="67" t="s">
        <v>29</v>
      </c>
      <c r="C35" s="87">
        <f t="shared" ref="C35:I35" si="93">IF(OR(C77=1,C77=2),"x",ROUND(C77/$J77*100,1))</f>
        <v>5.6</v>
      </c>
      <c r="D35" s="87">
        <f t="shared" si="93"/>
        <v>18.899999999999999</v>
      </c>
      <c r="E35" s="87">
        <f t="shared" si="93"/>
        <v>28.7</v>
      </c>
      <c r="F35" s="87">
        <f t="shared" si="93"/>
        <v>24.4</v>
      </c>
      <c r="G35" s="87">
        <f t="shared" si="93"/>
        <v>15.1</v>
      </c>
      <c r="H35" s="87">
        <f t="shared" si="93"/>
        <v>6.1</v>
      </c>
      <c r="I35" s="87">
        <f t="shared" si="93"/>
        <v>98.9</v>
      </c>
      <c r="J35" s="66">
        <f t="shared" si="4"/>
        <v>6088</v>
      </c>
      <c r="K35" s="87">
        <f t="shared" ref="K35:Q35" si="94">IF(OR(K77=1,K77=2),"x",ROUND(K77/$R77*100,1))</f>
        <v>5.8</v>
      </c>
      <c r="L35" s="87">
        <f t="shared" si="94"/>
        <v>20.9</v>
      </c>
      <c r="M35" s="87">
        <f t="shared" si="94"/>
        <v>29.7</v>
      </c>
      <c r="N35" s="87">
        <f t="shared" si="94"/>
        <v>24.5</v>
      </c>
      <c r="O35" s="87">
        <f t="shared" si="94"/>
        <v>13</v>
      </c>
      <c r="P35" s="87">
        <f t="shared" si="94"/>
        <v>5.0999999999999996</v>
      </c>
      <c r="Q35" s="87">
        <f t="shared" si="94"/>
        <v>99</v>
      </c>
      <c r="R35" s="66">
        <f t="shared" si="6"/>
        <v>12761</v>
      </c>
      <c r="S35" s="87">
        <f t="shared" ref="S35:Y35" si="95">IF(OR(S77=1,S77=2),"x",ROUND(S77/$Z77*100,1))</f>
        <v>5.7</v>
      </c>
      <c r="T35" s="87">
        <f t="shared" si="95"/>
        <v>20.3</v>
      </c>
      <c r="U35" s="87">
        <f t="shared" si="95"/>
        <v>29.4</v>
      </c>
      <c r="V35" s="87">
        <f t="shared" si="95"/>
        <v>24.5</v>
      </c>
      <c r="W35" s="87">
        <f t="shared" si="95"/>
        <v>13.7</v>
      </c>
      <c r="X35" s="87">
        <f t="shared" si="95"/>
        <v>5.4</v>
      </c>
      <c r="Y35" s="87">
        <f t="shared" si="95"/>
        <v>99</v>
      </c>
      <c r="Z35" s="66">
        <f t="shared" si="8"/>
        <v>18849</v>
      </c>
      <c r="AA35" s="45"/>
    </row>
    <row r="36" spans="1:27" x14ac:dyDescent="0.2">
      <c r="A36" s="44"/>
      <c r="B36" s="67" t="s">
        <v>30</v>
      </c>
      <c r="C36" s="87">
        <f t="shared" ref="C36:I36" si="96">IF(OR(C78=1,C78=2),"x",ROUND(C78/$J78*100,1))</f>
        <v>3.9</v>
      </c>
      <c r="D36" s="87">
        <f t="shared" si="96"/>
        <v>12.8</v>
      </c>
      <c r="E36" s="87">
        <f t="shared" si="96"/>
        <v>22.6</v>
      </c>
      <c r="F36" s="87">
        <f t="shared" si="96"/>
        <v>27.9</v>
      </c>
      <c r="G36" s="87">
        <f t="shared" si="96"/>
        <v>21.1</v>
      </c>
      <c r="H36" s="87">
        <f t="shared" si="96"/>
        <v>10.1</v>
      </c>
      <c r="I36" s="87">
        <f t="shared" si="96"/>
        <v>98.4</v>
      </c>
      <c r="J36" s="66">
        <f t="shared" si="4"/>
        <v>5068</v>
      </c>
      <c r="K36" s="87">
        <f t="shared" ref="K36:Q36" si="97">IF(OR(K78=1,K78=2),"x",ROUND(K78/$R78*100,1))</f>
        <v>4.5</v>
      </c>
      <c r="L36" s="87">
        <f t="shared" si="97"/>
        <v>16.3</v>
      </c>
      <c r="M36" s="87">
        <f t="shared" si="97"/>
        <v>27.2</v>
      </c>
      <c r="N36" s="87">
        <f t="shared" si="97"/>
        <v>25.9</v>
      </c>
      <c r="O36" s="87">
        <f t="shared" si="97"/>
        <v>18.2</v>
      </c>
      <c r="P36" s="87">
        <f t="shared" si="97"/>
        <v>6.7</v>
      </c>
      <c r="Q36" s="87">
        <f t="shared" si="97"/>
        <v>98.9</v>
      </c>
      <c r="R36" s="66">
        <f t="shared" si="6"/>
        <v>3135</v>
      </c>
      <c r="S36" s="87">
        <f t="shared" ref="S36:Y36" si="98">IF(OR(S78=1,S78=2),"x",ROUND(S78/$Z78*100,1))</f>
        <v>4.2</v>
      </c>
      <c r="T36" s="87">
        <f t="shared" si="98"/>
        <v>14.1</v>
      </c>
      <c r="U36" s="87">
        <f t="shared" si="98"/>
        <v>24.3</v>
      </c>
      <c r="V36" s="87">
        <f t="shared" si="98"/>
        <v>27.1</v>
      </c>
      <c r="W36" s="87">
        <f t="shared" si="98"/>
        <v>20</v>
      </c>
      <c r="X36" s="87">
        <f t="shared" si="98"/>
        <v>8.8000000000000007</v>
      </c>
      <c r="Y36" s="87">
        <f t="shared" si="98"/>
        <v>98.6</v>
      </c>
      <c r="Z36" s="66">
        <f t="shared" si="8"/>
        <v>8203</v>
      </c>
      <c r="AA36" s="45"/>
    </row>
    <row r="37" spans="1:27" x14ac:dyDescent="0.2">
      <c r="A37" s="44"/>
      <c r="B37" s="67" t="s">
        <v>31</v>
      </c>
      <c r="C37" s="87">
        <f t="shared" ref="C37:I37" si="99">IF(OR(C79=1,C79=2),"x",ROUND(C79/$J79*100,1))</f>
        <v>2.6</v>
      </c>
      <c r="D37" s="87">
        <f t="shared" si="99"/>
        <v>9.1</v>
      </c>
      <c r="E37" s="87">
        <f t="shared" si="99"/>
        <v>21.9</v>
      </c>
      <c r="F37" s="87">
        <f t="shared" si="99"/>
        <v>27.5</v>
      </c>
      <c r="G37" s="87">
        <f t="shared" si="99"/>
        <v>23.4</v>
      </c>
      <c r="H37" s="87">
        <f t="shared" si="99"/>
        <v>13.2</v>
      </c>
      <c r="I37" s="87">
        <f t="shared" si="99"/>
        <v>97.8</v>
      </c>
      <c r="J37" s="66">
        <f t="shared" si="4"/>
        <v>9994</v>
      </c>
      <c r="K37" s="87">
        <f t="shared" ref="K37:Q37" si="100">IF(OR(K79=1,K79=2),"x",ROUND(K79/$R79*100,1))</f>
        <v>6.5</v>
      </c>
      <c r="L37" s="87">
        <f t="shared" si="100"/>
        <v>16</v>
      </c>
      <c r="M37" s="87">
        <f t="shared" si="100"/>
        <v>27.7</v>
      </c>
      <c r="N37" s="87">
        <f t="shared" si="100"/>
        <v>25.1</v>
      </c>
      <c r="O37" s="87">
        <f t="shared" si="100"/>
        <v>16.5</v>
      </c>
      <c r="P37" s="87">
        <f t="shared" si="100"/>
        <v>7.2</v>
      </c>
      <c r="Q37" s="87">
        <f t="shared" si="100"/>
        <v>99</v>
      </c>
      <c r="R37" s="66">
        <f t="shared" si="6"/>
        <v>7141</v>
      </c>
      <c r="S37" s="87">
        <f t="shared" ref="S37:Y37" si="101">IF(OR(S79=1,S79=2),"x",ROUND(S79/$Z79*100,1))</f>
        <v>4.2</v>
      </c>
      <c r="T37" s="87">
        <f t="shared" si="101"/>
        <v>12</v>
      </c>
      <c r="U37" s="87">
        <f t="shared" si="101"/>
        <v>24.3</v>
      </c>
      <c r="V37" s="87">
        <f t="shared" si="101"/>
        <v>26.5</v>
      </c>
      <c r="W37" s="87">
        <f t="shared" si="101"/>
        <v>20.5</v>
      </c>
      <c r="X37" s="87">
        <f t="shared" si="101"/>
        <v>10.7</v>
      </c>
      <c r="Y37" s="87">
        <f t="shared" si="101"/>
        <v>98.3</v>
      </c>
      <c r="Z37" s="66">
        <f t="shared" si="8"/>
        <v>17135</v>
      </c>
      <c r="AA37" s="45"/>
    </row>
    <row r="38" spans="1:27" x14ac:dyDescent="0.2">
      <c r="A38" s="44"/>
      <c r="B38" s="67" t="s">
        <v>32</v>
      </c>
      <c r="C38" s="87">
        <f t="shared" ref="C38:I38" si="102">IF(OR(C80=1,C80=2),"x",ROUND(C80/$J80*100,1))</f>
        <v>3.6</v>
      </c>
      <c r="D38" s="87">
        <f t="shared" si="102"/>
        <v>7.6</v>
      </c>
      <c r="E38" s="87">
        <f t="shared" si="102"/>
        <v>16.8</v>
      </c>
      <c r="F38" s="87">
        <f t="shared" si="102"/>
        <v>24.2</v>
      </c>
      <c r="G38" s="87">
        <f t="shared" si="102"/>
        <v>24.1</v>
      </c>
      <c r="H38" s="87">
        <f t="shared" si="102"/>
        <v>17.100000000000001</v>
      </c>
      <c r="I38" s="87">
        <f t="shared" si="102"/>
        <v>93.5</v>
      </c>
      <c r="J38" s="66">
        <f t="shared" si="4"/>
        <v>17174</v>
      </c>
      <c r="K38" s="87">
        <f t="shared" ref="K38:Q38" si="103">IF(OR(K80=1,K80=2),"x",ROUND(K80/$R80*100,1))</f>
        <v>5.0999999999999996</v>
      </c>
      <c r="L38" s="87">
        <f t="shared" si="103"/>
        <v>9.4</v>
      </c>
      <c r="M38" s="87">
        <f t="shared" si="103"/>
        <v>19.7</v>
      </c>
      <c r="N38" s="87">
        <f t="shared" si="103"/>
        <v>24.9</v>
      </c>
      <c r="O38" s="87">
        <f t="shared" si="103"/>
        <v>22.6</v>
      </c>
      <c r="P38" s="87">
        <f t="shared" si="103"/>
        <v>14.2</v>
      </c>
      <c r="Q38" s="87">
        <f t="shared" si="103"/>
        <v>95.9</v>
      </c>
      <c r="R38" s="66">
        <f t="shared" si="6"/>
        <v>20471</v>
      </c>
      <c r="S38" s="87">
        <f t="shared" ref="S38:Y38" si="104">IF(OR(S80=1,S80=2),"x",ROUND(S80/$Z80*100,1))</f>
        <v>4.4000000000000004</v>
      </c>
      <c r="T38" s="87">
        <f t="shared" si="104"/>
        <v>8.6</v>
      </c>
      <c r="U38" s="87">
        <f t="shared" si="104"/>
        <v>18.399999999999999</v>
      </c>
      <c r="V38" s="87">
        <f t="shared" si="104"/>
        <v>24.6</v>
      </c>
      <c r="W38" s="87">
        <f t="shared" si="104"/>
        <v>23.3</v>
      </c>
      <c r="X38" s="87">
        <f t="shared" si="104"/>
        <v>15.5</v>
      </c>
      <c r="Y38" s="87">
        <f t="shared" si="104"/>
        <v>94.8</v>
      </c>
      <c r="Z38" s="66">
        <f t="shared" si="8"/>
        <v>37645</v>
      </c>
      <c r="AA38" s="45"/>
    </row>
    <row r="39" spans="1:27" x14ac:dyDescent="0.2">
      <c r="A39" s="44"/>
      <c r="B39" s="67" t="s">
        <v>46</v>
      </c>
      <c r="C39" s="87">
        <f t="shared" ref="C39:I39" si="105">IF(OR(C81=1,C81=2),"x",ROUND(C81/$J81*100,1))</f>
        <v>8.3000000000000007</v>
      </c>
      <c r="D39" s="87">
        <f t="shared" si="105"/>
        <v>18.100000000000001</v>
      </c>
      <c r="E39" s="87">
        <f t="shared" si="105"/>
        <v>24.2</v>
      </c>
      <c r="F39" s="87">
        <f t="shared" si="105"/>
        <v>23.7</v>
      </c>
      <c r="G39" s="87">
        <f t="shared" si="105"/>
        <v>16.3</v>
      </c>
      <c r="H39" s="87">
        <f t="shared" si="105"/>
        <v>7.6</v>
      </c>
      <c r="I39" s="87">
        <f t="shared" si="105"/>
        <v>98.2</v>
      </c>
      <c r="J39" s="66">
        <f t="shared" si="4"/>
        <v>357523</v>
      </c>
      <c r="K39" s="87">
        <f t="shared" ref="K39:Q39" si="106">IF(OR(K81=1,K81=2),"x",ROUND(K81/$R81*100,1))</f>
        <v>8.1</v>
      </c>
      <c r="L39" s="87">
        <f t="shared" si="106"/>
        <v>19.399999999999999</v>
      </c>
      <c r="M39" s="87">
        <f t="shared" si="106"/>
        <v>27.3</v>
      </c>
      <c r="N39" s="87">
        <f t="shared" si="106"/>
        <v>24.3</v>
      </c>
      <c r="O39" s="87">
        <f t="shared" si="106"/>
        <v>14.1</v>
      </c>
      <c r="P39" s="87">
        <f t="shared" si="106"/>
        <v>5.6</v>
      </c>
      <c r="Q39" s="87">
        <f t="shared" si="106"/>
        <v>98.8</v>
      </c>
      <c r="R39" s="66">
        <f t="shared" si="6"/>
        <v>421956</v>
      </c>
      <c r="S39" s="87">
        <f t="shared" ref="S39:Y39" si="107">IF(OR(S81=1,S81=2),"x",ROUND(S81/$Z81*100,1))</f>
        <v>8.1999999999999993</v>
      </c>
      <c r="T39" s="87">
        <f t="shared" si="107"/>
        <v>18.8</v>
      </c>
      <c r="U39" s="87">
        <f t="shared" si="107"/>
        <v>25.9</v>
      </c>
      <c r="V39" s="87">
        <f t="shared" si="107"/>
        <v>24</v>
      </c>
      <c r="W39" s="87">
        <f t="shared" si="107"/>
        <v>15.1</v>
      </c>
      <c r="X39" s="87">
        <f t="shared" si="107"/>
        <v>6.5</v>
      </c>
      <c r="Y39" s="87">
        <f t="shared" si="107"/>
        <v>98.6</v>
      </c>
      <c r="Z39" s="66">
        <f t="shared" si="8"/>
        <v>779479</v>
      </c>
      <c r="AA39" s="45"/>
    </row>
    <row r="40" spans="1:27" x14ac:dyDescent="0.2">
      <c r="AA40" s="45"/>
    </row>
    <row r="41" spans="1:27" x14ac:dyDescent="0.2">
      <c r="A41" s="63" t="s">
        <v>88</v>
      </c>
      <c r="B41" s="71"/>
      <c r="AA41" s="45"/>
    </row>
    <row r="42" spans="1:27" x14ac:dyDescent="0.2">
      <c r="A42" s="64" t="s">
        <v>86</v>
      </c>
      <c r="B42" s="78"/>
      <c r="C42" s="89"/>
      <c r="D42" s="89"/>
      <c r="E42" s="89"/>
      <c r="F42" s="89"/>
      <c r="G42" s="89"/>
      <c r="H42" s="89"/>
      <c r="I42" s="89"/>
      <c r="J42" s="78"/>
      <c r="K42" s="89"/>
      <c r="L42" s="89"/>
      <c r="M42" s="89"/>
      <c r="N42" s="89"/>
      <c r="O42" s="89"/>
      <c r="P42" s="89"/>
      <c r="Q42" s="89"/>
      <c r="R42" s="78"/>
      <c r="S42" s="89"/>
      <c r="T42" s="89"/>
      <c r="U42" s="89"/>
      <c r="V42" s="89"/>
      <c r="W42" s="89"/>
      <c r="X42" s="89"/>
      <c r="Y42" s="89"/>
      <c r="Z42" s="78"/>
      <c r="AA42" s="45"/>
    </row>
    <row r="43" spans="1:27" x14ac:dyDescent="0.2">
      <c r="A43" s="64"/>
      <c r="B43" s="78"/>
      <c r="C43" s="89"/>
      <c r="D43" s="89"/>
      <c r="E43" s="89"/>
      <c r="F43" s="89"/>
      <c r="G43" s="89"/>
      <c r="H43" s="89"/>
      <c r="I43" s="89"/>
      <c r="J43" s="78"/>
      <c r="K43" s="89"/>
      <c r="L43" s="89"/>
      <c r="M43" s="89"/>
      <c r="N43" s="89"/>
      <c r="O43" s="89"/>
      <c r="P43" s="89"/>
      <c r="Q43" s="89"/>
      <c r="R43" s="78"/>
      <c r="S43" s="89"/>
      <c r="T43" s="89"/>
      <c r="U43" s="89"/>
      <c r="V43" s="89"/>
      <c r="W43" s="89"/>
      <c r="X43" s="89"/>
      <c r="Y43" s="89"/>
      <c r="Z43" s="78"/>
      <c r="AA43" s="45"/>
    </row>
    <row r="44" spans="1:27" s="78" customFormat="1" x14ac:dyDescent="0.2">
      <c r="A44" s="77"/>
      <c r="C44" s="89" t="s">
        <v>42</v>
      </c>
      <c r="D44" s="89"/>
      <c r="E44" s="89"/>
      <c r="F44" s="89"/>
      <c r="G44" s="89"/>
      <c r="H44" s="89"/>
      <c r="I44" s="89"/>
      <c r="K44" s="89" t="s">
        <v>43</v>
      </c>
      <c r="L44" s="89"/>
      <c r="M44" s="89"/>
      <c r="N44" s="89"/>
      <c r="O44" s="89"/>
      <c r="P44" s="89"/>
      <c r="Q44" s="89"/>
      <c r="S44" s="89" t="s">
        <v>54</v>
      </c>
      <c r="T44" s="89"/>
      <c r="U44" s="89"/>
      <c r="V44" s="89"/>
      <c r="W44" s="89"/>
      <c r="X44" s="89"/>
      <c r="Y44" s="89"/>
      <c r="AA44" s="79"/>
    </row>
    <row r="45" spans="1:27" s="78" customFormat="1" x14ac:dyDescent="0.2">
      <c r="A45" s="80"/>
      <c r="C45" s="89" t="s">
        <v>69</v>
      </c>
      <c r="D45" s="89" t="s">
        <v>33</v>
      </c>
      <c r="E45" s="89" t="s">
        <v>34</v>
      </c>
      <c r="F45" s="89" t="s">
        <v>35</v>
      </c>
      <c r="G45" s="89" t="s">
        <v>36</v>
      </c>
      <c r="H45" s="89" t="s">
        <v>37</v>
      </c>
      <c r="I45" s="89" t="s">
        <v>70</v>
      </c>
      <c r="J45" s="78" t="s">
        <v>54</v>
      </c>
      <c r="K45" s="89" t="s">
        <v>69</v>
      </c>
      <c r="L45" s="89" t="s">
        <v>33</v>
      </c>
      <c r="M45" s="89" t="s">
        <v>34</v>
      </c>
      <c r="N45" s="89" t="s">
        <v>35</v>
      </c>
      <c r="O45" s="89" t="s">
        <v>36</v>
      </c>
      <c r="P45" s="89" t="s">
        <v>37</v>
      </c>
      <c r="Q45" s="89" t="s">
        <v>47</v>
      </c>
      <c r="R45" s="78" t="s">
        <v>54</v>
      </c>
      <c r="S45" s="89" t="s">
        <v>69</v>
      </c>
      <c r="T45" s="89" t="s">
        <v>33</v>
      </c>
      <c r="U45" s="89" t="s">
        <v>34</v>
      </c>
      <c r="V45" s="89" t="s">
        <v>35</v>
      </c>
      <c r="W45" s="89" t="s">
        <v>36</v>
      </c>
      <c r="X45" s="89" t="s">
        <v>37</v>
      </c>
      <c r="Y45" s="89" t="s">
        <v>47</v>
      </c>
      <c r="Z45" s="78" t="s">
        <v>54</v>
      </c>
      <c r="AA45" s="79"/>
    </row>
    <row r="46" spans="1:27" s="78" customFormat="1" x14ac:dyDescent="0.2">
      <c r="A46" s="80"/>
      <c r="C46" s="89"/>
      <c r="D46" s="89"/>
      <c r="E46" s="89"/>
      <c r="F46" s="89"/>
      <c r="G46" s="89"/>
      <c r="H46" s="89"/>
      <c r="I46" s="89"/>
      <c r="K46" s="89"/>
      <c r="L46" s="89"/>
      <c r="M46" s="89"/>
      <c r="N46" s="89"/>
      <c r="O46" s="89"/>
      <c r="P46" s="89"/>
      <c r="Q46" s="89"/>
      <c r="S46" s="89"/>
      <c r="T46" s="89"/>
      <c r="U46" s="89"/>
      <c r="V46" s="89"/>
      <c r="W46" s="89"/>
      <c r="X46" s="89"/>
      <c r="Y46" s="89"/>
      <c r="AA46" s="79"/>
    </row>
    <row r="47" spans="1:27" s="78" customFormat="1" x14ac:dyDescent="0.2">
      <c r="A47" s="80"/>
      <c r="B47" s="81" t="s">
        <v>0</v>
      </c>
      <c r="C47" s="90">
        <v>1847</v>
      </c>
      <c r="D47" s="90">
        <v>4826</v>
      </c>
      <c r="E47" s="90">
        <v>5675</v>
      </c>
      <c r="F47" s="90">
        <v>5271</v>
      </c>
      <c r="G47" s="90">
        <v>3893</v>
      </c>
      <c r="H47" s="90">
        <v>2302</v>
      </c>
      <c r="I47" s="90">
        <v>23814</v>
      </c>
      <c r="J47" s="81">
        <v>24302</v>
      </c>
      <c r="K47" s="90">
        <v>2699</v>
      </c>
      <c r="L47" s="90">
        <v>6821</v>
      </c>
      <c r="M47" s="90">
        <v>7798</v>
      </c>
      <c r="N47" s="90">
        <v>6505</v>
      </c>
      <c r="O47" s="90">
        <v>4622</v>
      </c>
      <c r="P47" s="90">
        <v>2588</v>
      </c>
      <c r="Q47" s="90">
        <v>31033</v>
      </c>
      <c r="R47" s="81">
        <v>31515</v>
      </c>
      <c r="S47" s="90">
        <v>4546</v>
      </c>
      <c r="T47" s="90">
        <v>11647</v>
      </c>
      <c r="U47" s="90">
        <v>13473</v>
      </c>
      <c r="V47" s="90">
        <v>11776</v>
      </c>
      <c r="W47" s="90">
        <v>8515</v>
      </c>
      <c r="X47" s="90">
        <v>4890</v>
      </c>
      <c r="Y47" s="90">
        <v>54847</v>
      </c>
      <c r="Z47" s="81">
        <v>55817</v>
      </c>
      <c r="AA47" s="79"/>
    </row>
    <row r="48" spans="1:27" s="78" customFormat="1" x14ac:dyDescent="0.2">
      <c r="A48" s="80"/>
      <c r="B48" s="81" t="s">
        <v>1</v>
      </c>
      <c r="C48" s="90">
        <v>2262</v>
      </c>
      <c r="D48" s="90">
        <v>5847</v>
      </c>
      <c r="E48" s="90">
        <v>5997</v>
      </c>
      <c r="F48" s="90">
        <v>4348</v>
      </c>
      <c r="G48" s="90">
        <v>2969</v>
      </c>
      <c r="H48" s="90">
        <v>1798</v>
      </c>
      <c r="I48" s="90">
        <v>23221</v>
      </c>
      <c r="J48" s="81">
        <v>23634</v>
      </c>
      <c r="K48" s="90">
        <v>1752</v>
      </c>
      <c r="L48" s="90">
        <v>5718</v>
      </c>
      <c r="M48" s="90">
        <v>5844</v>
      </c>
      <c r="N48" s="90">
        <v>3933</v>
      </c>
      <c r="O48" s="90">
        <v>2333</v>
      </c>
      <c r="P48" s="90">
        <v>1234</v>
      </c>
      <c r="Q48" s="90">
        <v>20814</v>
      </c>
      <c r="R48" s="81">
        <v>21095</v>
      </c>
      <c r="S48" s="90">
        <v>4014</v>
      </c>
      <c r="T48" s="90">
        <v>11565</v>
      </c>
      <c r="U48" s="90">
        <v>11841</v>
      </c>
      <c r="V48" s="90">
        <v>8281</v>
      </c>
      <c r="W48" s="90">
        <v>5302</v>
      </c>
      <c r="X48" s="90">
        <v>3032</v>
      </c>
      <c r="Y48" s="90">
        <v>44035</v>
      </c>
      <c r="Z48" s="81">
        <v>44729</v>
      </c>
      <c r="AA48" s="79"/>
    </row>
    <row r="49" spans="1:27" s="78" customFormat="1" x14ac:dyDescent="0.2">
      <c r="A49" s="80"/>
      <c r="B49" s="81" t="s">
        <v>2</v>
      </c>
      <c r="C49" s="90">
        <v>2405</v>
      </c>
      <c r="D49" s="90">
        <v>5254</v>
      </c>
      <c r="E49" s="90">
        <v>5511</v>
      </c>
      <c r="F49" s="90">
        <v>4732</v>
      </c>
      <c r="G49" s="90">
        <v>3523</v>
      </c>
      <c r="H49" s="90">
        <v>2300</v>
      </c>
      <c r="I49" s="90">
        <v>23725</v>
      </c>
      <c r="J49" s="81">
        <v>24297</v>
      </c>
      <c r="K49" s="90">
        <v>801</v>
      </c>
      <c r="L49" s="90">
        <v>1619</v>
      </c>
      <c r="M49" s="90">
        <v>1564</v>
      </c>
      <c r="N49" s="90">
        <v>1106</v>
      </c>
      <c r="O49" s="90">
        <v>763</v>
      </c>
      <c r="P49" s="90">
        <v>502</v>
      </c>
      <c r="Q49" s="90">
        <v>6355</v>
      </c>
      <c r="R49" s="81">
        <v>6452</v>
      </c>
      <c r="S49" s="90">
        <v>3206</v>
      </c>
      <c r="T49" s="90">
        <v>6873</v>
      </c>
      <c r="U49" s="90">
        <v>7075</v>
      </c>
      <c r="V49" s="90">
        <v>5838</v>
      </c>
      <c r="W49" s="90">
        <v>4286</v>
      </c>
      <c r="X49" s="90">
        <v>2802</v>
      </c>
      <c r="Y49" s="90">
        <v>30080</v>
      </c>
      <c r="Z49" s="81">
        <v>30749</v>
      </c>
      <c r="AA49" s="79"/>
    </row>
    <row r="50" spans="1:27" s="78" customFormat="1" x14ac:dyDescent="0.2">
      <c r="A50" s="80"/>
      <c r="B50" s="81" t="s">
        <v>3</v>
      </c>
      <c r="C50" s="90">
        <v>231</v>
      </c>
      <c r="D50" s="90">
        <v>522</v>
      </c>
      <c r="E50" s="90">
        <v>690</v>
      </c>
      <c r="F50" s="90">
        <v>707</v>
      </c>
      <c r="G50" s="90">
        <v>562</v>
      </c>
      <c r="H50" s="90">
        <v>264</v>
      </c>
      <c r="I50" s="90">
        <v>2976</v>
      </c>
      <c r="J50" s="81">
        <v>3046</v>
      </c>
      <c r="K50" s="90">
        <v>88</v>
      </c>
      <c r="L50" s="90">
        <v>239</v>
      </c>
      <c r="M50" s="90">
        <v>282</v>
      </c>
      <c r="N50" s="90">
        <v>257</v>
      </c>
      <c r="O50" s="90">
        <v>208</v>
      </c>
      <c r="P50" s="90">
        <v>116</v>
      </c>
      <c r="Q50" s="90">
        <v>1190</v>
      </c>
      <c r="R50" s="81">
        <v>1223</v>
      </c>
      <c r="S50" s="90">
        <v>319</v>
      </c>
      <c r="T50" s="90">
        <v>761</v>
      </c>
      <c r="U50" s="90">
        <v>972</v>
      </c>
      <c r="V50" s="90">
        <v>964</v>
      </c>
      <c r="W50" s="90">
        <v>770</v>
      </c>
      <c r="X50" s="90">
        <v>380</v>
      </c>
      <c r="Y50" s="90">
        <v>4166</v>
      </c>
      <c r="Z50" s="81">
        <v>4269</v>
      </c>
      <c r="AA50" s="79"/>
    </row>
    <row r="51" spans="1:27" s="78" customFormat="1" x14ac:dyDescent="0.2">
      <c r="A51" s="80"/>
      <c r="B51" s="81" t="s">
        <v>4</v>
      </c>
      <c r="C51" s="90">
        <v>8743</v>
      </c>
      <c r="D51" s="90">
        <v>12171</v>
      </c>
      <c r="E51" s="90">
        <v>10053</v>
      </c>
      <c r="F51" s="90">
        <v>7341</v>
      </c>
      <c r="G51" s="90">
        <v>5098</v>
      </c>
      <c r="H51" s="90">
        <v>2800</v>
      </c>
      <c r="I51" s="90">
        <v>46206</v>
      </c>
      <c r="J51" s="81">
        <v>46871</v>
      </c>
      <c r="K51" s="90">
        <v>5275</v>
      </c>
      <c r="L51" s="90">
        <v>8603</v>
      </c>
      <c r="M51" s="90">
        <v>7144</v>
      </c>
      <c r="N51" s="90">
        <v>4988</v>
      </c>
      <c r="O51" s="90">
        <v>3164</v>
      </c>
      <c r="P51" s="90">
        <v>1685</v>
      </c>
      <c r="Q51" s="90">
        <v>30859</v>
      </c>
      <c r="R51" s="81">
        <v>31206</v>
      </c>
      <c r="S51" s="90">
        <v>14018</v>
      </c>
      <c r="T51" s="90">
        <v>20774</v>
      </c>
      <c r="U51" s="90">
        <v>17197</v>
      </c>
      <c r="V51" s="90">
        <v>12329</v>
      </c>
      <c r="W51" s="90">
        <v>8262</v>
      </c>
      <c r="X51" s="90">
        <v>4485</v>
      </c>
      <c r="Y51" s="90">
        <v>77065</v>
      </c>
      <c r="Z51" s="81">
        <v>78077</v>
      </c>
      <c r="AA51" s="79"/>
    </row>
    <row r="52" spans="1:27" s="78" customFormat="1" x14ac:dyDescent="0.2">
      <c r="A52" s="80"/>
      <c r="B52" s="81" t="s">
        <v>5</v>
      </c>
      <c r="C52" s="90">
        <v>2435</v>
      </c>
      <c r="D52" s="90">
        <v>2527</v>
      </c>
      <c r="E52" s="90">
        <v>1817</v>
      </c>
      <c r="F52" s="90">
        <v>956</v>
      </c>
      <c r="G52" s="90">
        <v>539</v>
      </c>
      <c r="H52" s="90">
        <v>238</v>
      </c>
      <c r="I52" s="90">
        <v>8512</v>
      </c>
      <c r="J52" s="81">
        <v>8632</v>
      </c>
      <c r="K52" s="90">
        <v>1092</v>
      </c>
      <c r="L52" s="90">
        <v>1158</v>
      </c>
      <c r="M52" s="90">
        <v>777</v>
      </c>
      <c r="N52" s="90">
        <v>383</v>
      </c>
      <c r="O52" s="90">
        <v>186</v>
      </c>
      <c r="P52" s="90">
        <v>98</v>
      </c>
      <c r="Q52" s="90">
        <v>3694</v>
      </c>
      <c r="R52" s="81">
        <v>3747</v>
      </c>
      <c r="S52" s="90">
        <v>3527</v>
      </c>
      <c r="T52" s="90">
        <v>3685</v>
      </c>
      <c r="U52" s="90">
        <v>2594</v>
      </c>
      <c r="V52" s="90">
        <v>1339</v>
      </c>
      <c r="W52" s="90">
        <v>725</v>
      </c>
      <c r="X52" s="90">
        <v>336</v>
      </c>
      <c r="Y52" s="90">
        <v>12206</v>
      </c>
      <c r="Z52" s="81">
        <v>12379</v>
      </c>
      <c r="AA52" s="79"/>
    </row>
    <row r="53" spans="1:27" s="78" customFormat="1" x14ac:dyDescent="0.2">
      <c r="A53" s="80"/>
      <c r="B53" s="81" t="s">
        <v>6</v>
      </c>
      <c r="C53" s="90">
        <v>314</v>
      </c>
      <c r="D53" s="90">
        <v>845</v>
      </c>
      <c r="E53" s="90">
        <v>1777</v>
      </c>
      <c r="F53" s="90">
        <v>2202</v>
      </c>
      <c r="G53" s="90">
        <v>1673</v>
      </c>
      <c r="H53" s="90">
        <v>864</v>
      </c>
      <c r="I53" s="90">
        <v>7675</v>
      </c>
      <c r="J53" s="81">
        <v>7833</v>
      </c>
      <c r="K53" s="90">
        <v>333</v>
      </c>
      <c r="L53" s="90">
        <v>913</v>
      </c>
      <c r="M53" s="90">
        <v>1616</v>
      </c>
      <c r="N53" s="90">
        <v>1585</v>
      </c>
      <c r="O53" s="90">
        <v>1097</v>
      </c>
      <c r="P53" s="90">
        <v>401</v>
      </c>
      <c r="Q53" s="90">
        <v>5945</v>
      </c>
      <c r="R53" s="81">
        <v>6011</v>
      </c>
      <c r="S53" s="90">
        <v>647</v>
      </c>
      <c r="T53" s="90">
        <v>1758</v>
      </c>
      <c r="U53" s="90">
        <v>3393</v>
      </c>
      <c r="V53" s="90">
        <v>3787</v>
      </c>
      <c r="W53" s="90">
        <v>2770</v>
      </c>
      <c r="X53" s="90">
        <v>1265</v>
      </c>
      <c r="Y53" s="90">
        <v>13620</v>
      </c>
      <c r="Z53" s="81">
        <v>13844</v>
      </c>
      <c r="AA53" s="79"/>
    </row>
    <row r="54" spans="1:27" s="78" customFormat="1" x14ac:dyDescent="0.2">
      <c r="A54" s="80"/>
      <c r="B54" s="81" t="s">
        <v>168</v>
      </c>
      <c r="C54" s="90">
        <v>116</v>
      </c>
      <c r="D54" s="90">
        <v>395</v>
      </c>
      <c r="E54" s="90">
        <v>662</v>
      </c>
      <c r="F54" s="90">
        <v>775</v>
      </c>
      <c r="G54" s="90">
        <v>711</v>
      </c>
      <c r="H54" s="90">
        <v>398</v>
      </c>
      <c r="I54" s="90">
        <v>3057</v>
      </c>
      <c r="J54" s="81">
        <v>3165</v>
      </c>
      <c r="K54" s="90">
        <v>11</v>
      </c>
      <c r="L54" s="90">
        <v>32</v>
      </c>
      <c r="M54" s="90">
        <v>60</v>
      </c>
      <c r="N54" s="90">
        <v>58</v>
      </c>
      <c r="O54" s="90">
        <v>52</v>
      </c>
      <c r="P54" s="90">
        <v>34</v>
      </c>
      <c r="Q54" s="90">
        <v>247</v>
      </c>
      <c r="R54" s="81">
        <v>255</v>
      </c>
      <c r="S54" s="90">
        <v>127</v>
      </c>
      <c r="T54" s="90">
        <v>427</v>
      </c>
      <c r="U54" s="90">
        <v>722</v>
      </c>
      <c r="V54" s="90">
        <v>833</v>
      </c>
      <c r="W54" s="90">
        <v>763</v>
      </c>
      <c r="X54" s="90">
        <v>432</v>
      </c>
      <c r="Y54" s="90">
        <v>3304</v>
      </c>
      <c r="Z54" s="81">
        <v>3420</v>
      </c>
      <c r="AA54" s="79"/>
    </row>
    <row r="55" spans="1:27" s="78" customFormat="1" x14ac:dyDescent="0.2">
      <c r="A55" s="80"/>
      <c r="B55" s="81" t="s">
        <v>8</v>
      </c>
      <c r="C55" s="90">
        <v>70</v>
      </c>
      <c r="D55" s="90">
        <v>337</v>
      </c>
      <c r="E55" s="90">
        <v>968</v>
      </c>
      <c r="F55" s="90">
        <v>1497</v>
      </c>
      <c r="G55" s="90">
        <v>1357</v>
      </c>
      <c r="H55" s="90">
        <v>755</v>
      </c>
      <c r="I55" s="90">
        <v>4984</v>
      </c>
      <c r="J55" s="81">
        <v>5136</v>
      </c>
      <c r="K55" s="90">
        <v>86</v>
      </c>
      <c r="L55" s="90">
        <v>363</v>
      </c>
      <c r="M55" s="90">
        <v>754</v>
      </c>
      <c r="N55" s="90">
        <v>879</v>
      </c>
      <c r="O55" s="90">
        <v>650</v>
      </c>
      <c r="P55" s="90">
        <v>306</v>
      </c>
      <c r="Q55" s="90">
        <v>3038</v>
      </c>
      <c r="R55" s="81">
        <v>3093</v>
      </c>
      <c r="S55" s="90">
        <v>156</v>
      </c>
      <c r="T55" s="90">
        <v>700</v>
      </c>
      <c r="U55" s="90">
        <v>1722</v>
      </c>
      <c r="V55" s="90">
        <v>2376</v>
      </c>
      <c r="W55" s="90">
        <v>2007</v>
      </c>
      <c r="X55" s="90">
        <v>1061</v>
      </c>
      <c r="Y55" s="90">
        <v>8022</v>
      </c>
      <c r="Z55" s="81">
        <v>8229</v>
      </c>
      <c r="AA55" s="79"/>
    </row>
    <row r="56" spans="1:27" s="78" customFormat="1" x14ac:dyDescent="0.2">
      <c r="A56" s="80"/>
      <c r="B56" s="81" t="s">
        <v>9</v>
      </c>
      <c r="C56" s="90">
        <v>0</v>
      </c>
      <c r="D56" s="90">
        <v>1</v>
      </c>
      <c r="E56" s="90">
        <v>5</v>
      </c>
      <c r="F56" s="90">
        <v>12</v>
      </c>
      <c r="G56" s="90">
        <v>8</v>
      </c>
      <c r="H56" s="90">
        <v>7</v>
      </c>
      <c r="I56" s="90">
        <v>33</v>
      </c>
      <c r="J56" s="81">
        <v>33</v>
      </c>
      <c r="K56" s="90">
        <v>4</v>
      </c>
      <c r="L56" s="90">
        <v>52</v>
      </c>
      <c r="M56" s="90">
        <v>81</v>
      </c>
      <c r="N56" s="90">
        <v>74</v>
      </c>
      <c r="O56" s="90">
        <v>48</v>
      </c>
      <c r="P56" s="90">
        <v>23</v>
      </c>
      <c r="Q56" s="90">
        <v>282</v>
      </c>
      <c r="R56" s="81">
        <v>284</v>
      </c>
      <c r="S56" s="90">
        <v>4</v>
      </c>
      <c r="T56" s="90">
        <v>53</v>
      </c>
      <c r="U56" s="90">
        <v>86</v>
      </c>
      <c r="V56" s="90">
        <v>86</v>
      </c>
      <c r="W56" s="90">
        <v>56</v>
      </c>
      <c r="X56" s="90">
        <v>30</v>
      </c>
      <c r="Y56" s="90">
        <v>315</v>
      </c>
      <c r="Z56" s="81">
        <v>317</v>
      </c>
      <c r="AA56" s="79"/>
    </row>
    <row r="57" spans="1:27" s="78" customFormat="1" x14ac:dyDescent="0.2">
      <c r="A57" s="80"/>
      <c r="B57" s="81" t="s">
        <v>10</v>
      </c>
      <c r="C57" s="90">
        <v>36</v>
      </c>
      <c r="D57" s="90">
        <v>236</v>
      </c>
      <c r="E57" s="90">
        <v>494</v>
      </c>
      <c r="F57" s="90">
        <v>571</v>
      </c>
      <c r="G57" s="90">
        <v>448</v>
      </c>
      <c r="H57" s="90">
        <v>231</v>
      </c>
      <c r="I57" s="90">
        <v>2016</v>
      </c>
      <c r="J57" s="81">
        <v>2095</v>
      </c>
      <c r="K57" s="90">
        <v>34</v>
      </c>
      <c r="L57" s="90">
        <v>148</v>
      </c>
      <c r="M57" s="90">
        <v>260</v>
      </c>
      <c r="N57" s="90">
        <v>297</v>
      </c>
      <c r="O57" s="90">
        <v>253</v>
      </c>
      <c r="P57" s="90">
        <v>171</v>
      </c>
      <c r="Q57" s="90">
        <v>1163</v>
      </c>
      <c r="R57" s="81">
        <v>1210</v>
      </c>
      <c r="S57" s="90">
        <v>70</v>
      </c>
      <c r="T57" s="90">
        <v>384</v>
      </c>
      <c r="U57" s="90">
        <v>754</v>
      </c>
      <c r="V57" s="90">
        <v>868</v>
      </c>
      <c r="W57" s="90">
        <v>701</v>
      </c>
      <c r="X57" s="90">
        <v>402</v>
      </c>
      <c r="Y57" s="90">
        <v>3179</v>
      </c>
      <c r="Z57" s="81">
        <v>3305</v>
      </c>
      <c r="AA57" s="79"/>
    </row>
    <row r="58" spans="1:27" s="78" customFormat="1" x14ac:dyDescent="0.2">
      <c r="A58" s="80"/>
      <c r="B58" s="81" t="s">
        <v>11</v>
      </c>
      <c r="C58" s="90">
        <v>468</v>
      </c>
      <c r="D58" s="90">
        <v>1914</v>
      </c>
      <c r="E58" s="90">
        <v>4569</v>
      </c>
      <c r="F58" s="90">
        <v>4895</v>
      </c>
      <c r="G58" s="90">
        <v>3070</v>
      </c>
      <c r="H58" s="90">
        <v>1097</v>
      </c>
      <c r="I58" s="90">
        <v>16013</v>
      </c>
      <c r="J58" s="81">
        <v>16222</v>
      </c>
      <c r="K58" s="90">
        <v>494</v>
      </c>
      <c r="L58" s="90">
        <v>1595</v>
      </c>
      <c r="M58" s="90">
        <v>3195</v>
      </c>
      <c r="N58" s="90">
        <v>3323</v>
      </c>
      <c r="O58" s="90">
        <v>2041</v>
      </c>
      <c r="P58" s="90">
        <v>757</v>
      </c>
      <c r="Q58" s="90">
        <v>11405</v>
      </c>
      <c r="R58" s="81">
        <v>11555</v>
      </c>
      <c r="S58" s="90">
        <v>962</v>
      </c>
      <c r="T58" s="90">
        <v>3509</v>
      </c>
      <c r="U58" s="90">
        <v>7764</v>
      </c>
      <c r="V58" s="90">
        <v>8218</v>
      </c>
      <c r="W58" s="90">
        <v>5111</v>
      </c>
      <c r="X58" s="90">
        <v>1854</v>
      </c>
      <c r="Y58" s="90">
        <v>27418</v>
      </c>
      <c r="Z58" s="81">
        <v>27777</v>
      </c>
      <c r="AA58" s="79"/>
    </row>
    <row r="59" spans="1:27" s="78" customFormat="1" x14ac:dyDescent="0.2">
      <c r="A59" s="80"/>
      <c r="B59" s="81" t="s">
        <v>12</v>
      </c>
      <c r="C59" s="90">
        <v>1103</v>
      </c>
      <c r="D59" s="90">
        <v>3812</v>
      </c>
      <c r="E59" s="90">
        <v>4103</v>
      </c>
      <c r="F59" s="90">
        <v>2965</v>
      </c>
      <c r="G59" s="90">
        <v>1670</v>
      </c>
      <c r="H59" s="90">
        <v>686</v>
      </c>
      <c r="I59" s="90">
        <v>14339</v>
      </c>
      <c r="J59" s="81">
        <v>14459</v>
      </c>
      <c r="K59" s="90">
        <v>722</v>
      </c>
      <c r="L59" s="90">
        <v>2056</v>
      </c>
      <c r="M59" s="90">
        <v>1909</v>
      </c>
      <c r="N59" s="90">
        <v>1117</v>
      </c>
      <c r="O59" s="90">
        <v>662</v>
      </c>
      <c r="P59" s="90">
        <v>253</v>
      </c>
      <c r="Q59" s="90">
        <v>6719</v>
      </c>
      <c r="R59" s="81">
        <v>6779</v>
      </c>
      <c r="S59" s="90">
        <v>1825</v>
      </c>
      <c r="T59" s="90">
        <v>5868</v>
      </c>
      <c r="U59" s="90">
        <v>6012</v>
      </c>
      <c r="V59" s="90">
        <v>4082</v>
      </c>
      <c r="W59" s="90">
        <v>2332</v>
      </c>
      <c r="X59" s="90">
        <v>939</v>
      </c>
      <c r="Y59" s="90">
        <v>21058</v>
      </c>
      <c r="Z59" s="81">
        <v>21238</v>
      </c>
      <c r="AA59" s="79"/>
    </row>
    <row r="60" spans="1:27" s="78" customFormat="1" x14ac:dyDescent="0.2">
      <c r="A60" s="80"/>
      <c r="B60" s="81" t="s">
        <v>13</v>
      </c>
      <c r="C60" s="90">
        <v>774</v>
      </c>
      <c r="D60" s="90">
        <v>3016</v>
      </c>
      <c r="E60" s="90">
        <v>4252</v>
      </c>
      <c r="F60" s="90">
        <v>4093</v>
      </c>
      <c r="G60" s="90">
        <v>2206</v>
      </c>
      <c r="H60" s="90">
        <v>703</v>
      </c>
      <c r="I60" s="90">
        <v>15044</v>
      </c>
      <c r="J60" s="81">
        <v>15155</v>
      </c>
      <c r="K60" s="90">
        <v>1183</v>
      </c>
      <c r="L60" s="90">
        <v>3688</v>
      </c>
      <c r="M60" s="90">
        <v>4084</v>
      </c>
      <c r="N60" s="90">
        <v>2946</v>
      </c>
      <c r="O60" s="90">
        <v>1410</v>
      </c>
      <c r="P60" s="90">
        <v>415</v>
      </c>
      <c r="Q60" s="90">
        <v>13726</v>
      </c>
      <c r="R60" s="81">
        <v>13778</v>
      </c>
      <c r="S60" s="90">
        <v>1957</v>
      </c>
      <c r="T60" s="90">
        <v>6704</v>
      </c>
      <c r="U60" s="90">
        <v>8336</v>
      </c>
      <c r="V60" s="90">
        <v>7039</v>
      </c>
      <c r="W60" s="90">
        <v>3616</v>
      </c>
      <c r="X60" s="90">
        <v>1118</v>
      </c>
      <c r="Y60" s="90">
        <v>28770</v>
      </c>
      <c r="Z60" s="81">
        <v>28933</v>
      </c>
      <c r="AA60" s="79"/>
    </row>
    <row r="61" spans="1:27" s="78" customFormat="1" x14ac:dyDescent="0.2">
      <c r="A61" s="80"/>
      <c r="B61" s="81" t="s">
        <v>14</v>
      </c>
      <c r="C61" s="90">
        <v>544</v>
      </c>
      <c r="D61" s="90">
        <v>1680</v>
      </c>
      <c r="E61" s="90">
        <v>2159</v>
      </c>
      <c r="F61" s="90">
        <v>1765</v>
      </c>
      <c r="G61" s="90">
        <v>1019</v>
      </c>
      <c r="H61" s="90">
        <v>423</v>
      </c>
      <c r="I61" s="90">
        <v>7590</v>
      </c>
      <c r="J61" s="81">
        <v>7673</v>
      </c>
      <c r="K61" s="90">
        <v>522</v>
      </c>
      <c r="L61" s="90">
        <v>1559</v>
      </c>
      <c r="M61" s="90">
        <v>1707</v>
      </c>
      <c r="N61" s="90">
        <v>1196</v>
      </c>
      <c r="O61" s="90">
        <v>649</v>
      </c>
      <c r="P61" s="90">
        <v>275</v>
      </c>
      <c r="Q61" s="90">
        <v>5908</v>
      </c>
      <c r="R61" s="81">
        <v>5952</v>
      </c>
      <c r="S61" s="90">
        <v>1066</v>
      </c>
      <c r="T61" s="90">
        <v>3239</v>
      </c>
      <c r="U61" s="90">
        <v>3866</v>
      </c>
      <c r="V61" s="90">
        <v>2961</v>
      </c>
      <c r="W61" s="90">
        <v>1668</v>
      </c>
      <c r="X61" s="90">
        <v>698</v>
      </c>
      <c r="Y61" s="90">
        <v>13498</v>
      </c>
      <c r="Z61" s="81">
        <v>13625</v>
      </c>
      <c r="AA61" s="79"/>
    </row>
    <row r="62" spans="1:27" s="78" customFormat="1" x14ac:dyDescent="0.2">
      <c r="A62" s="80"/>
      <c r="B62" s="81" t="s">
        <v>15</v>
      </c>
      <c r="C62" s="90">
        <v>1452</v>
      </c>
      <c r="D62" s="90">
        <v>4115</v>
      </c>
      <c r="E62" s="90">
        <v>6254</v>
      </c>
      <c r="F62" s="90">
        <v>5940</v>
      </c>
      <c r="G62" s="90">
        <v>3230</v>
      </c>
      <c r="H62" s="90">
        <v>1002</v>
      </c>
      <c r="I62" s="90">
        <v>21993</v>
      </c>
      <c r="J62" s="81">
        <v>22129</v>
      </c>
      <c r="K62" s="90">
        <v>1901</v>
      </c>
      <c r="L62" s="90">
        <v>4917</v>
      </c>
      <c r="M62" s="90">
        <v>7099</v>
      </c>
      <c r="N62" s="90">
        <v>5663</v>
      </c>
      <c r="O62" s="90">
        <v>2921</v>
      </c>
      <c r="P62" s="90">
        <v>882</v>
      </c>
      <c r="Q62" s="90">
        <v>23383</v>
      </c>
      <c r="R62" s="81">
        <v>23502</v>
      </c>
      <c r="S62" s="90">
        <v>3353</v>
      </c>
      <c r="T62" s="90">
        <v>9032</v>
      </c>
      <c r="U62" s="90">
        <v>13353</v>
      </c>
      <c r="V62" s="90">
        <v>11603</v>
      </c>
      <c r="W62" s="90">
        <v>6151</v>
      </c>
      <c r="X62" s="90">
        <v>1884</v>
      </c>
      <c r="Y62" s="90">
        <v>45376</v>
      </c>
      <c r="Z62" s="81">
        <v>45631</v>
      </c>
      <c r="AA62" s="79"/>
    </row>
    <row r="63" spans="1:27" s="78" customFormat="1" x14ac:dyDescent="0.2">
      <c r="A63" s="80"/>
      <c r="B63" s="81" t="s">
        <v>16</v>
      </c>
      <c r="C63" s="90">
        <v>179</v>
      </c>
      <c r="D63" s="90">
        <v>494</v>
      </c>
      <c r="E63" s="90">
        <v>1071</v>
      </c>
      <c r="F63" s="90">
        <v>1278</v>
      </c>
      <c r="G63" s="90">
        <v>1056</v>
      </c>
      <c r="H63" s="90">
        <v>532</v>
      </c>
      <c r="I63" s="90">
        <v>4610</v>
      </c>
      <c r="J63" s="81">
        <v>4769</v>
      </c>
      <c r="K63" s="90">
        <v>463</v>
      </c>
      <c r="L63" s="90">
        <v>1101</v>
      </c>
      <c r="M63" s="90">
        <v>1943</v>
      </c>
      <c r="N63" s="90">
        <v>1911</v>
      </c>
      <c r="O63" s="90">
        <v>1288</v>
      </c>
      <c r="P63" s="90">
        <v>629</v>
      </c>
      <c r="Q63" s="90">
        <v>7335</v>
      </c>
      <c r="R63" s="81">
        <v>7487</v>
      </c>
      <c r="S63" s="90">
        <v>642</v>
      </c>
      <c r="T63" s="90">
        <v>1595</v>
      </c>
      <c r="U63" s="90">
        <v>3014</v>
      </c>
      <c r="V63" s="90">
        <v>3189</v>
      </c>
      <c r="W63" s="90">
        <v>2344</v>
      </c>
      <c r="X63" s="90">
        <v>1161</v>
      </c>
      <c r="Y63" s="90">
        <v>11945</v>
      </c>
      <c r="Z63" s="81">
        <v>12256</v>
      </c>
      <c r="AA63" s="79"/>
    </row>
    <row r="64" spans="1:27" s="78" customFormat="1" x14ac:dyDescent="0.2">
      <c r="A64" s="80"/>
      <c r="B64" s="81" t="s">
        <v>17</v>
      </c>
      <c r="C64" s="90">
        <v>301</v>
      </c>
      <c r="D64" s="90">
        <v>1264</v>
      </c>
      <c r="E64" s="90">
        <v>3122</v>
      </c>
      <c r="F64" s="90">
        <v>3972</v>
      </c>
      <c r="G64" s="90">
        <v>3364</v>
      </c>
      <c r="H64" s="90">
        <v>1770</v>
      </c>
      <c r="I64" s="90">
        <v>13793</v>
      </c>
      <c r="J64" s="81">
        <v>14260</v>
      </c>
      <c r="K64" s="90">
        <v>2023</v>
      </c>
      <c r="L64" s="90">
        <v>6061</v>
      </c>
      <c r="M64" s="90">
        <v>10953</v>
      </c>
      <c r="N64" s="90">
        <v>10318</v>
      </c>
      <c r="O64" s="90">
        <v>6361</v>
      </c>
      <c r="P64" s="90">
        <v>2736</v>
      </c>
      <c r="Q64" s="90">
        <v>38452</v>
      </c>
      <c r="R64" s="81">
        <v>39080</v>
      </c>
      <c r="S64" s="90">
        <v>2324</v>
      </c>
      <c r="T64" s="90">
        <v>7325</v>
      </c>
      <c r="U64" s="90">
        <v>14075</v>
      </c>
      <c r="V64" s="90">
        <v>14290</v>
      </c>
      <c r="W64" s="90">
        <v>9725</v>
      </c>
      <c r="X64" s="90">
        <v>4506</v>
      </c>
      <c r="Y64" s="90">
        <v>52245</v>
      </c>
      <c r="Z64" s="81">
        <v>53340</v>
      </c>
      <c r="AA64" s="79"/>
    </row>
    <row r="65" spans="1:27" s="78" customFormat="1" x14ac:dyDescent="0.2">
      <c r="A65" s="80"/>
      <c r="B65" s="81" t="s">
        <v>18</v>
      </c>
      <c r="C65" s="90">
        <v>207</v>
      </c>
      <c r="D65" s="90">
        <v>713</v>
      </c>
      <c r="E65" s="90">
        <v>1644</v>
      </c>
      <c r="F65" s="90">
        <v>2127</v>
      </c>
      <c r="G65" s="90">
        <v>1505</v>
      </c>
      <c r="H65" s="90">
        <v>613</v>
      </c>
      <c r="I65" s="90">
        <v>6809</v>
      </c>
      <c r="J65" s="81">
        <v>6951</v>
      </c>
      <c r="K65" s="90">
        <v>1024</v>
      </c>
      <c r="L65" s="90">
        <v>3223</v>
      </c>
      <c r="M65" s="90">
        <v>6002</v>
      </c>
      <c r="N65" s="90">
        <v>6005</v>
      </c>
      <c r="O65" s="90">
        <v>3528</v>
      </c>
      <c r="P65" s="90">
        <v>1278</v>
      </c>
      <c r="Q65" s="90">
        <v>21060</v>
      </c>
      <c r="R65" s="81">
        <v>21344</v>
      </c>
      <c r="S65" s="90">
        <v>1231</v>
      </c>
      <c r="T65" s="90">
        <v>3936</v>
      </c>
      <c r="U65" s="90">
        <v>7646</v>
      </c>
      <c r="V65" s="90">
        <v>8132</v>
      </c>
      <c r="W65" s="90">
        <v>5033</v>
      </c>
      <c r="X65" s="90">
        <v>1891</v>
      </c>
      <c r="Y65" s="90">
        <v>27869</v>
      </c>
      <c r="Z65" s="81">
        <v>28295</v>
      </c>
      <c r="AA65" s="79"/>
    </row>
    <row r="66" spans="1:27" s="78" customFormat="1" x14ac:dyDescent="0.2">
      <c r="A66" s="80"/>
      <c r="B66" s="81" t="s">
        <v>73</v>
      </c>
      <c r="C66" s="90">
        <v>106</v>
      </c>
      <c r="D66" s="90">
        <v>300</v>
      </c>
      <c r="E66" s="90">
        <v>525</v>
      </c>
      <c r="F66" s="90">
        <v>548</v>
      </c>
      <c r="G66" s="90">
        <v>375</v>
      </c>
      <c r="H66" s="90">
        <v>193</v>
      </c>
      <c r="I66" s="90">
        <v>2047</v>
      </c>
      <c r="J66" s="81">
        <v>2106</v>
      </c>
      <c r="K66" s="90">
        <v>134</v>
      </c>
      <c r="L66" s="90">
        <v>425</v>
      </c>
      <c r="M66" s="90">
        <v>633</v>
      </c>
      <c r="N66" s="90">
        <v>602</v>
      </c>
      <c r="O66" s="90">
        <v>360</v>
      </c>
      <c r="P66" s="90">
        <v>180</v>
      </c>
      <c r="Q66" s="90">
        <v>2334</v>
      </c>
      <c r="R66" s="81">
        <v>2391</v>
      </c>
      <c r="S66" s="90">
        <v>240</v>
      </c>
      <c r="T66" s="90">
        <v>725</v>
      </c>
      <c r="U66" s="90">
        <v>1158</v>
      </c>
      <c r="V66" s="90">
        <v>1150</v>
      </c>
      <c r="W66" s="90">
        <v>735</v>
      </c>
      <c r="X66" s="90">
        <v>373</v>
      </c>
      <c r="Y66" s="90">
        <v>4381</v>
      </c>
      <c r="Z66" s="81">
        <v>4497</v>
      </c>
      <c r="AA66" s="79"/>
    </row>
    <row r="67" spans="1:27" s="78" customFormat="1" x14ac:dyDescent="0.2">
      <c r="A67" s="80"/>
      <c r="B67" s="81" t="s">
        <v>20</v>
      </c>
      <c r="C67" s="90">
        <v>1377</v>
      </c>
      <c r="D67" s="90">
        <v>1514</v>
      </c>
      <c r="E67" s="90">
        <v>2754</v>
      </c>
      <c r="F67" s="90">
        <v>2961</v>
      </c>
      <c r="G67" s="90">
        <v>1827</v>
      </c>
      <c r="H67" s="90">
        <v>695</v>
      </c>
      <c r="I67" s="90">
        <v>11128</v>
      </c>
      <c r="J67" s="81">
        <v>11322</v>
      </c>
      <c r="K67" s="90">
        <v>4369</v>
      </c>
      <c r="L67" s="90">
        <v>5617</v>
      </c>
      <c r="M67" s="90">
        <v>9278</v>
      </c>
      <c r="N67" s="90">
        <v>7666</v>
      </c>
      <c r="O67" s="90">
        <v>3608</v>
      </c>
      <c r="P67" s="90">
        <v>1119</v>
      </c>
      <c r="Q67" s="90">
        <v>31657</v>
      </c>
      <c r="R67" s="81">
        <v>31914</v>
      </c>
      <c r="S67" s="90">
        <v>5746</v>
      </c>
      <c r="T67" s="90">
        <v>7131</v>
      </c>
      <c r="U67" s="90">
        <v>12032</v>
      </c>
      <c r="V67" s="90">
        <v>10627</v>
      </c>
      <c r="W67" s="90">
        <v>5435</v>
      </c>
      <c r="X67" s="90">
        <v>1814</v>
      </c>
      <c r="Y67" s="90">
        <v>42785</v>
      </c>
      <c r="Z67" s="81">
        <v>43236</v>
      </c>
      <c r="AA67" s="79"/>
    </row>
    <row r="68" spans="1:27" s="78" customFormat="1" x14ac:dyDescent="0.2">
      <c r="A68" s="80"/>
      <c r="B68" s="81" t="s">
        <v>21</v>
      </c>
      <c r="C68" s="90">
        <v>116</v>
      </c>
      <c r="D68" s="90">
        <v>430</v>
      </c>
      <c r="E68" s="90">
        <v>1161</v>
      </c>
      <c r="F68" s="90">
        <v>1440</v>
      </c>
      <c r="G68" s="90">
        <v>880</v>
      </c>
      <c r="H68" s="90">
        <v>268</v>
      </c>
      <c r="I68" s="90">
        <v>4295</v>
      </c>
      <c r="J68" s="81">
        <v>4321</v>
      </c>
      <c r="K68" s="90">
        <v>418</v>
      </c>
      <c r="L68" s="90">
        <v>1280</v>
      </c>
      <c r="M68" s="90">
        <v>3003</v>
      </c>
      <c r="N68" s="90">
        <v>2928</v>
      </c>
      <c r="O68" s="90">
        <v>1358</v>
      </c>
      <c r="P68" s="90">
        <v>324</v>
      </c>
      <c r="Q68" s="90">
        <v>9311</v>
      </c>
      <c r="R68" s="81">
        <v>9349</v>
      </c>
      <c r="S68" s="90">
        <v>534</v>
      </c>
      <c r="T68" s="90">
        <v>1710</v>
      </c>
      <c r="U68" s="90">
        <v>4164</v>
      </c>
      <c r="V68" s="90">
        <v>4368</v>
      </c>
      <c r="W68" s="90">
        <v>2238</v>
      </c>
      <c r="X68" s="90">
        <v>592</v>
      </c>
      <c r="Y68" s="90">
        <v>13606</v>
      </c>
      <c r="Z68" s="81">
        <v>13670</v>
      </c>
      <c r="AA68" s="79"/>
    </row>
    <row r="69" spans="1:27" s="78" customFormat="1" x14ac:dyDescent="0.2">
      <c r="A69" s="80"/>
      <c r="B69" s="81" t="s">
        <v>22</v>
      </c>
      <c r="C69" s="90">
        <v>1734</v>
      </c>
      <c r="D69" s="90">
        <v>3192</v>
      </c>
      <c r="E69" s="90">
        <v>6025</v>
      </c>
      <c r="F69" s="90">
        <v>6933</v>
      </c>
      <c r="G69" s="90">
        <v>4552</v>
      </c>
      <c r="H69" s="90">
        <v>1181</v>
      </c>
      <c r="I69" s="90">
        <v>23617</v>
      </c>
      <c r="J69" s="81">
        <v>23774</v>
      </c>
      <c r="K69" s="90">
        <v>3916</v>
      </c>
      <c r="L69" s="90">
        <v>8921</v>
      </c>
      <c r="M69" s="90">
        <v>16328</v>
      </c>
      <c r="N69" s="90">
        <v>17775</v>
      </c>
      <c r="O69" s="90">
        <v>9670</v>
      </c>
      <c r="P69" s="90">
        <v>2175</v>
      </c>
      <c r="Q69" s="90">
        <v>58785</v>
      </c>
      <c r="R69" s="81">
        <v>59051</v>
      </c>
      <c r="S69" s="90">
        <v>5650</v>
      </c>
      <c r="T69" s="90">
        <v>12113</v>
      </c>
      <c r="U69" s="90">
        <v>22353</v>
      </c>
      <c r="V69" s="90">
        <v>24708</v>
      </c>
      <c r="W69" s="90">
        <v>14222</v>
      </c>
      <c r="X69" s="90">
        <v>3356</v>
      </c>
      <c r="Y69" s="90">
        <v>82402</v>
      </c>
      <c r="Z69" s="81">
        <v>82825</v>
      </c>
      <c r="AA69" s="79"/>
    </row>
    <row r="70" spans="1:27" s="78" customFormat="1" x14ac:dyDescent="0.2">
      <c r="A70" s="80"/>
      <c r="B70" s="81" t="s">
        <v>61</v>
      </c>
      <c r="C70" s="90">
        <v>96</v>
      </c>
      <c r="D70" s="90">
        <v>656</v>
      </c>
      <c r="E70" s="90">
        <v>2369</v>
      </c>
      <c r="F70" s="90">
        <v>3722</v>
      </c>
      <c r="G70" s="90">
        <v>2360</v>
      </c>
      <c r="H70" s="90">
        <v>526</v>
      </c>
      <c r="I70" s="90">
        <v>9729</v>
      </c>
      <c r="J70" s="81">
        <v>9811</v>
      </c>
      <c r="K70" s="90">
        <v>236</v>
      </c>
      <c r="L70" s="90">
        <v>1445</v>
      </c>
      <c r="M70" s="90">
        <v>4399</v>
      </c>
      <c r="N70" s="90">
        <v>4713</v>
      </c>
      <c r="O70" s="90">
        <v>1920</v>
      </c>
      <c r="P70" s="90">
        <v>364</v>
      </c>
      <c r="Q70" s="90">
        <v>13077</v>
      </c>
      <c r="R70" s="81">
        <v>13143</v>
      </c>
      <c r="S70" s="90">
        <v>332</v>
      </c>
      <c r="T70" s="90">
        <v>2101</v>
      </c>
      <c r="U70" s="90">
        <v>6768</v>
      </c>
      <c r="V70" s="90">
        <v>8435</v>
      </c>
      <c r="W70" s="90">
        <v>4280</v>
      </c>
      <c r="X70" s="90">
        <v>890</v>
      </c>
      <c r="Y70" s="90">
        <v>22806</v>
      </c>
      <c r="Z70" s="81">
        <v>22954</v>
      </c>
      <c r="AA70" s="79"/>
    </row>
    <row r="71" spans="1:27" s="78" customFormat="1" x14ac:dyDescent="0.2">
      <c r="A71" s="80"/>
      <c r="B71" s="81" t="s">
        <v>23</v>
      </c>
      <c r="C71" s="90">
        <v>81</v>
      </c>
      <c r="D71" s="90">
        <v>374</v>
      </c>
      <c r="E71" s="90">
        <v>1261</v>
      </c>
      <c r="F71" s="90">
        <v>1655</v>
      </c>
      <c r="G71" s="90">
        <v>712</v>
      </c>
      <c r="H71" s="90">
        <v>164</v>
      </c>
      <c r="I71" s="90">
        <v>4247</v>
      </c>
      <c r="J71" s="81">
        <v>4274</v>
      </c>
      <c r="K71" s="90">
        <v>149</v>
      </c>
      <c r="L71" s="90">
        <v>657</v>
      </c>
      <c r="M71" s="90">
        <v>1800</v>
      </c>
      <c r="N71" s="90">
        <v>1834</v>
      </c>
      <c r="O71" s="90">
        <v>748</v>
      </c>
      <c r="P71" s="90">
        <v>127</v>
      </c>
      <c r="Q71" s="90">
        <v>5315</v>
      </c>
      <c r="R71" s="81">
        <v>5338</v>
      </c>
      <c r="S71" s="90">
        <v>230</v>
      </c>
      <c r="T71" s="90">
        <v>1031</v>
      </c>
      <c r="U71" s="90">
        <v>3061</v>
      </c>
      <c r="V71" s="90">
        <v>3489</v>
      </c>
      <c r="W71" s="90">
        <v>1460</v>
      </c>
      <c r="X71" s="90">
        <v>291</v>
      </c>
      <c r="Y71" s="90">
        <v>9562</v>
      </c>
      <c r="Z71" s="81">
        <v>9612</v>
      </c>
      <c r="AA71" s="79"/>
    </row>
    <row r="72" spans="1:27" s="78" customFormat="1" x14ac:dyDescent="0.2">
      <c r="A72" s="80"/>
      <c r="B72" s="81" t="s">
        <v>24</v>
      </c>
      <c r="C72" s="90">
        <v>237</v>
      </c>
      <c r="D72" s="90">
        <v>1176</v>
      </c>
      <c r="E72" s="90">
        <v>999</v>
      </c>
      <c r="F72" s="90">
        <v>605</v>
      </c>
      <c r="G72" s="90">
        <v>293</v>
      </c>
      <c r="H72" s="90">
        <v>83</v>
      </c>
      <c r="I72" s="90">
        <v>3393</v>
      </c>
      <c r="J72" s="81">
        <v>3404</v>
      </c>
      <c r="K72" s="90">
        <v>525</v>
      </c>
      <c r="L72" s="90">
        <v>2535</v>
      </c>
      <c r="M72" s="90">
        <v>2173</v>
      </c>
      <c r="N72" s="90">
        <v>1364</v>
      </c>
      <c r="O72" s="90">
        <v>611</v>
      </c>
      <c r="P72" s="90">
        <v>228</v>
      </c>
      <c r="Q72" s="90">
        <v>7436</v>
      </c>
      <c r="R72" s="81">
        <v>7467</v>
      </c>
      <c r="S72" s="90">
        <v>762</v>
      </c>
      <c r="T72" s="90">
        <v>3711</v>
      </c>
      <c r="U72" s="90">
        <v>3172</v>
      </c>
      <c r="V72" s="90">
        <v>1969</v>
      </c>
      <c r="W72" s="90">
        <v>904</v>
      </c>
      <c r="X72" s="90">
        <v>311</v>
      </c>
      <c r="Y72" s="90">
        <v>10829</v>
      </c>
      <c r="Z72" s="81">
        <v>10871</v>
      </c>
      <c r="AA72" s="79"/>
    </row>
    <row r="73" spans="1:27" s="78" customFormat="1" x14ac:dyDescent="0.2">
      <c r="A73" s="80"/>
      <c r="B73" s="81" t="s">
        <v>25</v>
      </c>
      <c r="C73" s="90">
        <v>141</v>
      </c>
      <c r="D73" s="90">
        <v>547</v>
      </c>
      <c r="E73" s="90">
        <v>458</v>
      </c>
      <c r="F73" s="90">
        <v>329</v>
      </c>
      <c r="G73" s="90">
        <v>157</v>
      </c>
      <c r="H73" s="90">
        <v>42</v>
      </c>
      <c r="I73" s="90">
        <v>1674</v>
      </c>
      <c r="J73" s="81">
        <v>1685</v>
      </c>
      <c r="K73" s="90">
        <v>181</v>
      </c>
      <c r="L73" s="90">
        <v>832</v>
      </c>
      <c r="M73" s="90">
        <v>644</v>
      </c>
      <c r="N73" s="90">
        <v>474</v>
      </c>
      <c r="O73" s="90">
        <v>284</v>
      </c>
      <c r="P73" s="90">
        <v>94</v>
      </c>
      <c r="Q73" s="90">
        <v>2509</v>
      </c>
      <c r="R73" s="81">
        <v>2523</v>
      </c>
      <c r="S73" s="90">
        <v>322</v>
      </c>
      <c r="T73" s="90">
        <v>1379</v>
      </c>
      <c r="U73" s="90">
        <v>1102</v>
      </c>
      <c r="V73" s="90">
        <v>803</v>
      </c>
      <c r="W73" s="90">
        <v>441</v>
      </c>
      <c r="X73" s="90">
        <v>136</v>
      </c>
      <c r="Y73" s="90">
        <v>4183</v>
      </c>
      <c r="Z73" s="81">
        <v>4208</v>
      </c>
      <c r="AA73" s="79"/>
    </row>
    <row r="74" spans="1:27" s="78" customFormat="1" x14ac:dyDescent="0.2">
      <c r="A74" s="80"/>
      <c r="B74" s="81" t="s">
        <v>26</v>
      </c>
      <c r="C74" s="90">
        <v>165</v>
      </c>
      <c r="D74" s="90">
        <v>645</v>
      </c>
      <c r="E74" s="90">
        <v>639</v>
      </c>
      <c r="F74" s="90">
        <v>380</v>
      </c>
      <c r="G74" s="90">
        <v>183</v>
      </c>
      <c r="H74" s="90">
        <v>65</v>
      </c>
      <c r="I74" s="90">
        <v>2077</v>
      </c>
      <c r="J74" s="81">
        <v>2095</v>
      </c>
      <c r="K74" s="90">
        <v>295</v>
      </c>
      <c r="L74" s="90">
        <v>1231</v>
      </c>
      <c r="M74" s="90">
        <v>1220</v>
      </c>
      <c r="N74" s="90">
        <v>769</v>
      </c>
      <c r="O74" s="90">
        <v>415</v>
      </c>
      <c r="P74" s="90">
        <v>144</v>
      </c>
      <c r="Q74" s="90">
        <v>4074</v>
      </c>
      <c r="R74" s="81">
        <v>4102</v>
      </c>
      <c r="S74" s="90">
        <v>460</v>
      </c>
      <c r="T74" s="90">
        <v>1876</v>
      </c>
      <c r="U74" s="90">
        <v>1859</v>
      </c>
      <c r="V74" s="90">
        <v>1149</v>
      </c>
      <c r="W74" s="90">
        <v>598</v>
      </c>
      <c r="X74" s="90">
        <v>209</v>
      </c>
      <c r="Y74" s="90">
        <v>6151</v>
      </c>
      <c r="Z74" s="81">
        <v>6197</v>
      </c>
      <c r="AA74" s="79"/>
    </row>
    <row r="75" spans="1:27" s="78" customFormat="1" x14ac:dyDescent="0.2">
      <c r="A75" s="80"/>
      <c r="B75" s="81" t="s">
        <v>74</v>
      </c>
      <c r="C75" s="90">
        <v>344</v>
      </c>
      <c r="D75" s="90">
        <v>1142</v>
      </c>
      <c r="E75" s="90">
        <v>927</v>
      </c>
      <c r="F75" s="90">
        <v>378</v>
      </c>
      <c r="G75" s="90">
        <v>126</v>
      </c>
      <c r="H75" s="90">
        <v>55</v>
      </c>
      <c r="I75" s="90">
        <v>2972</v>
      </c>
      <c r="J75" s="81">
        <v>3018</v>
      </c>
      <c r="K75" s="90">
        <v>624</v>
      </c>
      <c r="L75" s="90">
        <v>1706</v>
      </c>
      <c r="M75" s="90">
        <v>1103</v>
      </c>
      <c r="N75" s="90">
        <v>400</v>
      </c>
      <c r="O75" s="90">
        <v>144</v>
      </c>
      <c r="P75" s="90">
        <v>52</v>
      </c>
      <c r="Q75" s="90">
        <v>4029</v>
      </c>
      <c r="R75" s="81">
        <v>4081</v>
      </c>
      <c r="S75" s="90">
        <v>968</v>
      </c>
      <c r="T75" s="90">
        <v>2848</v>
      </c>
      <c r="U75" s="90">
        <v>2030</v>
      </c>
      <c r="V75" s="90">
        <v>778</v>
      </c>
      <c r="W75" s="90">
        <v>270</v>
      </c>
      <c r="X75" s="90">
        <v>107</v>
      </c>
      <c r="Y75" s="90">
        <v>7001</v>
      </c>
      <c r="Z75" s="81">
        <v>7099</v>
      </c>
      <c r="AA75" s="79"/>
    </row>
    <row r="76" spans="1:27" s="78" customFormat="1" x14ac:dyDescent="0.2">
      <c r="A76" s="80"/>
      <c r="B76" s="81" t="s">
        <v>28</v>
      </c>
      <c r="C76" s="90">
        <v>293</v>
      </c>
      <c r="D76" s="90">
        <v>701</v>
      </c>
      <c r="E76" s="90">
        <v>729</v>
      </c>
      <c r="F76" s="90">
        <v>562</v>
      </c>
      <c r="G76" s="90">
        <v>310</v>
      </c>
      <c r="H76" s="90">
        <v>108</v>
      </c>
      <c r="I76" s="90">
        <v>2703</v>
      </c>
      <c r="J76" s="81">
        <v>2727</v>
      </c>
      <c r="K76" s="90">
        <v>408</v>
      </c>
      <c r="L76" s="90">
        <v>992</v>
      </c>
      <c r="M76" s="90">
        <v>1088</v>
      </c>
      <c r="N76" s="90">
        <v>637</v>
      </c>
      <c r="O76" s="90">
        <v>297</v>
      </c>
      <c r="P76" s="90">
        <v>81</v>
      </c>
      <c r="Q76" s="90">
        <v>3503</v>
      </c>
      <c r="R76" s="81">
        <v>3521</v>
      </c>
      <c r="S76" s="90">
        <v>701</v>
      </c>
      <c r="T76" s="90">
        <v>1693</v>
      </c>
      <c r="U76" s="90">
        <v>1817</v>
      </c>
      <c r="V76" s="90">
        <v>1199</v>
      </c>
      <c r="W76" s="90">
        <v>607</v>
      </c>
      <c r="X76" s="90">
        <v>189</v>
      </c>
      <c r="Y76" s="90">
        <v>6206</v>
      </c>
      <c r="Z76" s="81">
        <v>6248</v>
      </c>
      <c r="AA76" s="79"/>
    </row>
    <row r="77" spans="1:27" s="78" customFormat="1" x14ac:dyDescent="0.2">
      <c r="A77" s="80"/>
      <c r="B77" s="81" t="s">
        <v>29</v>
      </c>
      <c r="C77" s="90">
        <v>339</v>
      </c>
      <c r="D77" s="90">
        <v>1150</v>
      </c>
      <c r="E77" s="90">
        <v>1750</v>
      </c>
      <c r="F77" s="90">
        <v>1487</v>
      </c>
      <c r="G77" s="90">
        <v>921</v>
      </c>
      <c r="H77" s="90">
        <v>373</v>
      </c>
      <c r="I77" s="90">
        <v>6020</v>
      </c>
      <c r="J77" s="81">
        <v>6088</v>
      </c>
      <c r="K77" s="90">
        <v>738</v>
      </c>
      <c r="L77" s="90">
        <v>2672</v>
      </c>
      <c r="M77" s="90">
        <v>3793</v>
      </c>
      <c r="N77" s="90">
        <v>3123</v>
      </c>
      <c r="O77" s="90">
        <v>1657</v>
      </c>
      <c r="P77" s="90">
        <v>649</v>
      </c>
      <c r="Q77" s="90">
        <v>12632</v>
      </c>
      <c r="R77" s="81">
        <v>12761</v>
      </c>
      <c r="S77" s="90">
        <v>1077</v>
      </c>
      <c r="T77" s="90">
        <v>3822</v>
      </c>
      <c r="U77" s="90">
        <v>5543</v>
      </c>
      <c r="V77" s="90">
        <v>4610</v>
      </c>
      <c r="W77" s="90">
        <v>2578</v>
      </c>
      <c r="X77" s="90">
        <v>1022</v>
      </c>
      <c r="Y77" s="90">
        <v>18652</v>
      </c>
      <c r="Z77" s="81">
        <v>18849</v>
      </c>
      <c r="AA77" s="79"/>
    </row>
    <row r="78" spans="1:27" s="78" customFormat="1" x14ac:dyDescent="0.2">
      <c r="A78" s="80"/>
      <c r="B78" s="81" t="s">
        <v>30</v>
      </c>
      <c r="C78" s="90">
        <v>200</v>
      </c>
      <c r="D78" s="90">
        <v>649</v>
      </c>
      <c r="E78" s="90">
        <v>1143</v>
      </c>
      <c r="F78" s="90">
        <v>1414</v>
      </c>
      <c r="G78" s="90">
        <v>1067</v>
      </c>
      <c r="H78" s="90">
        <v>512</v>
      </c>
      <c r="I78" s="90">
        <v>4985</v>
      </c>
      <c r="J78" s="81">
        <v>5068</v>
      </c>
      <c r="K78" s="90">
        <v>141</v>
      </c>
      <c r="L78" s="90">
        <v>511</v>
      </c>
      <c r="M78" s="90">
        <v>854</v>
      </c>
      <c r="N78" s="90">
        <v>813</v>
      </c>
      <c r="O78" s="90">
        <v>570</v>
      </c>
      <c r="P78" s="90">
        <v>211</v>
      </c>
      <c r="Q78" s="90">
        <v>3100</v>
      </c>
      <c r="R78" s="81">
        <v>3135</v>
      </c>
      <c r="S78" s="90">
        <v>341</v>
      </c>
      <c r="T78" s="90">
        <v>1160</v>
      </c>
      <c r="U78" s="90">
        <v>1997</v>
      </c>
      <c r="V78" s="90">
        <v>2227</v>
      </c>
      <c r="W78" s="90">
        <v>1637</v>
      </c>
      <c r="X78" s="90">
        <v>723</v>
      </c>
      <c r="Y78" s="90">
        <v>8085</v>
      </c>
      <c r="Z78" s="81">
        <v>8203</v>
      </c>
      <c r="AA78" s="79"/>
    </row>
    <row r="79" spans="1:27" s="78" customFormat="1" x14ac:dyDescent="0.2">
      <c r="A79" s="80"/>
      <c r="B79" s="81" t="s">
        <v>31</v>
      </c>
      <c r="C79" s="90">
        <v>261</v>
      </c>
      <c r="D79" s="90">
        <v>912</v>
      </c>
      <c r="E79" s="90">
        <v>2192</v>
      </c>
      <c r="F79" s="90">
        <v>2752</v>
      </c>
      <c r="G79" s="90">
        <v>2343</v>
      </c>
      <c r="H79" s="90">
        <v>1319</v>
      </c>
      <c r="I79" s="90">
        <v>9779</v>
      </c>
      <c r="J79" s="81">
        <v>9994</v>
      </c>
      <c r="K79" s="90">
        <v>461</v>
      </c>
      <c r="L79" s="90">
        <v>1146</v>
      </c>
      <c r="M79" s="90">
        <v>1978</v>
      </c>
      <c r="N79" s="90">
        <v>1795</v>
      </c>
      <c r="O79" s="90">
        <v>1176</v>
      </c>
      <c r="P79" s="90">
        <v>515</v>
      </c>
      <c r="Q79" s="90">
        <v>7071</v>
      </c>
      <c r="R79" s="81">
        <v>7141</v>
      </c>
      <c r="S79" s="90">
        <v>722</v>
      </c>
      <c r="T79" s="90">
        <v>2058</v>
      </c>
      <c r="U79" s="90">
        <v>4170</v>
      </c>
      <c r="V79" s="90">
        <v>4547</v>
      </c>
      <c r="W79" s="90">
        <v>3519</v>
      </c>
      <c r="X79" s="90">
        <v>1834</v>
      </c>
      <c r="Y79" s="90">
        <v>16850</v>
      </c>
      <c r="Z79" s="81">
        <v>17135</v>
      </c>
      <c r="AA79" s="79"/>
    </row>
    <row r="80" spans="1:27" s="78" customFormat="1" x14ac:dyDescent="0.2">
      <c r="A80" s="80"/>
      <c r="B80" s="81" t="s">
        <v>32</v>
      </c>
      <c r="C80" s="90">
        <v>615</v>
      </c>
      <c r="D80" s="90">
        <v>1302</v>
      </c>
      <c r="E80" s="90">
        <v>2893</v>
      </c>
      <c r="F80" s="90">
        <v>4164</v>
      </c>
      <c r="G80" s="90">
        <v>4147</v>
      </c>
      <c r="H80" s="90">
        <v>2943</v>
      </c>
      <c r="I80" s="90">
        <v>16064</v>
      </c>
      <c r="J80" s="81">
        <v>17174</v>
      </c>
      <c r="K80" s="90">
        <v>1048</v>
      </c>
      <c r="L80" s="90">
        <v>1932</v>
      </c>
      <c r="M80" s="90">
        <v>4025</v>
      </c>
      <c r="N80" s="90">
        <v>5095</v>
      </c>
      <c r="O80" s="90">
        <v>4626</v>
      </c>
      <c r="P80" s="90">
        <v>2904</v>
      </c>
      <c r="Q80" s="90">
        <v>19630</v>
      </c>
      <c r="R80" s="81">
        <v>20471</v>
      </c>
      <c r="S80" s="90">
        <v>1663</v>
      </c>
      <c r="T80" s="90">
        <v>3234</v>
      </c>
      <c r="U80" s="90">
        <v>6918</v>
      </c>
      <c r="V80" s="90">
        <v>9259</v>
      </c>
      <c r="W80" s="90">
        <v>8773</v>
      </c>
      <c r="X80" s="90">
        <v>5847</v>
      </c>
      <c r="Y80" s="90">
        <v>35694</v>
      </c>
      <c r="Z80" s="81">
        <v>37645</v>
      </c>
      <c r="AA80" s="79"/>
    </row>
    <row r="81" spans="1:27" s="78" customFormat="1" x14ac:dyDescent="0.2">
      <c r="A81" s="80"/>
      <c r="B81" s="81" t="s">
        <v>54</v>
      </c>
      <c r="C81" s="90">
        <v>29592</v>
      </c>
      <c r="D81" s="90">
        <v>64659</v>
      </c>
      <c r="E81" s="90">
        <v>86648</v>
      </c>
      <c r="F81" s="90">
        <v>84777</v>
      </c>
      <c r="G81" s="90">
        <v>58154</v>
      </c>
      <c r="H81" s="90">
        <v>27310</v>
      </c>
      <c r="I81" s="90">
        <v>351140</v>
      </c>
      <c r="J81" s="81">
        <v>357523</v>
      </c>
      <c r="K81" s="90">
        <v>34150</v>
      </c>
      <c r="L81" s="90">
        <v>81768</v>
      </c>
      <c r="M81" s="90">
        <v>115391</v>
      </c>
      <c r="N81" s="90">
        <v>102532</v>
      </c>
      <c r="O81" s="90">
        <v>59680</v>
      </c>
      <c r="P81" s="90">
        <v>23550</v>
      </c>
      <c r="Q81" s="90">
        <v>417071</v>
      </c>
      <c r="R81" s="81">
        <v>421956</v>
      </c>
      <c r="S81" s="90">
        <v>63742</v>
      </c>
      <c r="T81" s="90">
        <v>146427</v>
      </c>
      <c r="U81" s="90">
        <v>202039</v>
      </c>
      <c r="V81" s="90">
        <v>187309</v>
      </c>
      <c r="W81" s="90">
        <v>117834</v>
      </c>
      <c r="X81" s="90">
        <v>50860</v>
      </c>
      <c r="Y81" s="90">
        <v>768211</v>
      </c>
      <c r="Z81" s="81">
        <v>779479</v>
      </c>
      <c r="AA81" s="79"/>
    </row>
    <row r="82" spans="1:27" x14ac:dyDescent="0.2">
      <c r="A82" s="44"/>
    </row>
    <row r="84" spans="1:27" x14ac:dyDescent="0.2">
      <c r="A84" s="55"/>
      <c r="B84" s="72"/>
      <c r="C84" s="91"/>
      <c r="D84" s="91"/>
      <c r="E84" s="91"/>
      <c r="F84" s="91"/>
      <c r="G84" s="91"/>
    </row>
    <row r="85" spans="1:27" x14ac:dyDescent="0.2">
      <c r="A85" s="55"/>
      <c r="B85" s="72"/>
      <c r="C85" s="91"/>
      <c r="D85" s="91"/>
      <c r="E85" s="91"/>
      <c r="F85" s="91"/>
      <c r="G85" s="91"/>
    </row>
    <row r="86" spans="1:27" x14ac:dyDescent="0.2">
      <c r="A86" s="55"/>
      <c r="B86" s="72"/>
      <c r="C86" s="91"/>
      <c r="D86" s="91"/>
      <c r="E86" s="91"/>
      <c r="F86" s="91"/>
      <c r="G86" s="91"/>
    </row>
    <row r="87" spans="1:27" x14ac:dyDescent="0.2">
      <c r="A87" s="42"/>
    </row>
    <row r="88" spans="1:27" x14ac:dyDescent="0.2">
      <c r="A88" s="42"/>
    </row>
    <row r="89" spans="1:27" x14ac:dyDescent="0.2">
      <c r="A89" s="42"/>
    </row>
    <row r="90" spans="1:27" x14ac:dyDescent="0.2">
      <c r="A90" s="42"/>
    </row>
    <row r="91" spans="1:27" x14ac:dyDescent="0.2">
      <c r="A91" s="42"/>
    </row>
    <row r="92" spans="1:27" x14ac:dyDescent="0.2">
      <c r="A92" s="42"/>
    </row>
    <row r="93" spans="1:27" x14ac:dyDescent="0.2">
      <c r="A93" s="42"/>
    </row>
    <row r="94" spans="1:27" x14ac:dyDescent="0.2">
      <c r="A94" s="42"/>
    </row>
    <row r="95" spans="1:27" x14ac:dyDescent="0.2">
      <c r="A95" s="42"/>
    </row>
    <row r="96" spans="1:27" x14ac:dyDescent="0.2">
      <c r="A96" s="42"/>
    </row>
    <row r="97" spans="1:2" x14ac:dyDescent="0.2">
      <c r="A97" s="42"/>
    </row>
    <row r="98" spans="1:2" x14ac:dyDescent="0.2">
      <c r="A98" s="42"/>
    </row>
    <row r="99" spans="1:2" x14ac:dyDescent="0.2">
      <c r="A99" s="42"/>
    </row>
    <row r="100" spans="1:2" x14ac:dyDescent="0.2">
      <c r="A100" s="42"/>
      <c r="B100" s="72"/>
    </row>
    <row r="101" spans="1:2" x14ac:dyDescent="0.2">
      <c r="A101" s="42"/>
      <c r="B101" s="72"/>
    </row>
    <row r="102" spans="1:2" x14ac:dyDescent="0.2">
      <c r="A102" s="42"/>
      <c r="B102" s="72"/>
    </row>
    <row r="103" spans="1:2" x14ac:dyDescent="0.2">
      <c r="A103" s="42"/>
      <c r="B103" s="72"/>
    </row>
    <row r="104" spans="1:2" x14ac:dyDescent="0.2">
      <c r="A104" s="42"/>
      <c r="B104" s="72"/>
    </row>
    <row r="105" spans="1:2" x14ac:dyDescent="0.2">
      <c r="A105" s="42"/>
      <c r="B105" s="72"/>
    </row>
    <row r="106" spans="1:2" x14ac:dyDescent="0.2">
      <c r="A106" s="42"/>
      <c r="B106" s="72"/>
    </row>
    <row r="107" spans="1:2" x14ac:dyDescent="0.2">
      <c r="A107" s="42"/>
      <c r="B107" s="72"/>
    </row>
    <row r="108" spans="1:2" x14ac:dyDescent="0.2">
      <c r="A108" s="42"/>
      <c r="B108" s="72"/>
    </row>
    <row r="109" spans="1:2" x14ac:dyDescent="0.2">
      <c r="A109" s="42"/>
      <c r="B109" s="72"/>
    </row>
    <row r="110" spans="1:2" x14ac:dyDescent="0.2">
      <c r="A110" s="42"/>
      <c r="B110" s="72"/>
    </row>
    <row r="111" spans="1:2" x14ac:dyDescent="0.2">
      <c r="A111" s="42"/>
      <c r="B111" s="72"/>
    </row>
    <row r="112" spans="1:2" x14ac:dyDescent="0.2">
      <c r="A112" s="42"/>
      <c r="B112" s="72"/>
    </row>
    <row r="113" spans="1:2" x14ac:dyDescent="0.2">
      <c r="A113" s="42"/>
      <c r="B113" s="72"/>
    </row>
    <row r="114" spans="1:2" x14ac:dyDescent="0.2">
      <c r="A114" s="42"/>
      <c r="B114" s="72"/>
    </row>
    <row r="115" spans="1:2" x14ac:dyDescent="0.2">
      <c r="A115" s="42"/>
      <c r="B115" s="72"/>
    </row>
    <row r="116" spans="1:2" x14ac:dyDescent="0.2">
      <c r="A116" s="42"/>
      <c r="B116" s="72"/>
    </row>
    <row r="117" spans="1:2" x14ac:dyDescent="0.2">
      <c r="A117" s="42"/>
      <c r="B117" s="72"/>
    </row>
    <row r="118" spans="1:2" x14ac:dyDescent="0.2">
      <c r="A118" s="42"/>
      <c r="B118" s="72"/>
    </row>
    <row r="119" spans="1:2" x14ac:dyDescent="0.2">
      <c r="A119" s="42"/>
      <c r="B119" s="72"/>
    </row>
    <row r="120" spans="1:2" x14ac:dyDescent="0.2">
      <c r="A120" s="42"/>
      <c r="B120" s="72"/>
    </row>
    <row r="121" spans="1:2" x14ac:dyDescent="0.2">
      <c r="A121" s="42"/>
      <c r="B121" s="72"/>
    </row>
    <row r="122" spans="1:2" x14ac:dyDescent="0.2">
      <c r="A122" s="42"/>
      <c r="B122" s="72"/>
    </row>
    <row r="123" spans="1:2" x14ac:dyDescent="0.2">
      <c r="A123" s="42"/>
      <c r="B123" s="72"/>
    </row>
    <row r="124" spans="1:2" x14ac:dyDescent="0.2">
      <c r="A124" s="42"/>
      <c r="B124" s="72"/>
    </row>
    <row r="125" spans="1:2" x14ac:dyDescent="0.2">
      <c r="A125" s="42"/>
      <c r="B125" s="72"/>
    </row>
    <row r="126" spans="1:2" x14ac:dyDescent="0.2">
      <c r="A126" s="42"/>
      <c r="B126" s="72"/>
    </row>
    <row r="127" spans="1:2" x14ac:dyDescent="0.2">
      <c r="A127" s="42"/>
      <c r="B127" s="72"/>
    </row>
    <row r="128" spans="1:2" x14ac:dyDescent="0.2">
      <c r="A128" s="42"/>
      <c r="B128" s="72"/>
    </row>
    <row r="129" spans="1:2" x14ac:dyDescent="0.2">
      <c r="A129" s="42"/>
      <c r="B129" s="72"/>
    </row>
    <row r="130" spans="1:2" x14ac:dyDescent="0.2">
      <c r="A130" s="42"/>
      <c r="B130" s="72"/>
    </row>
    <row r="131" spans="1:2" x14ac:dyDescent="0.2">
      <c r="A131" s="42"/>
      <c r="B131" s="72"/>
    </row>
    <row r="132" spans="1:2" x14ac:dyDescent="0.2">
      <c r="A132" s="42"/>
      <c r="B132" s="72"/>
    </row>
    <row r="133" spans="1:2" x14ac:dyDescent="0.2">
      <c r="A133" s="42"/>
      <c r="B133" s="72"/>
    </row>
    <row r="134" spans="1:2" x14ac:dyDescent="0.2">
      <c r="A134" s="42"/>
      <c r="B134" s="72"/>
    </row>
    <row r="135" spans="1:2" x14ac:dyDescent="0.2">
      <c r="A135" s="42"/>
      <c r="B135" s="72"/>
    </row>
    <row r="136" spans="1:2" x14ac:dyDescent="0.2">
      <c r="A136" s="42"/>
      <c r="B136" s="72"/>
    </row>
    <row r="137" spans="1:2" x14ac:dyDescent="0.2">
      <c r="A137" s="42"/>
      <c r="B137" s="72"/>
    </row>
    <row r="138" spans="1:2" x14ac:dyDescent="0.2">
      <c r="A138" s="42"/>
      <c r="B138" s="72"/>
    </row>
    <row r="139" spans="1:2" x14ac:dyDescent="0.2">
      <c r="A139" s="42"/>
      <c r="B139" s="72"/>
    </row>
    <row r="140" spans="1:2" x14ac:dyDescent="0.2">
      <c r="A140" s="42"/>
      <c r="B140" s="72"/>
    </row>
    <row r="141" spans="1:2" x14ac:dyDescent="0.2">
      <c r="A141" s="42"/>
      <c r="B141" s="72"/>
    </row>
    <row r="142" spans="1:2" x14ac:dyDescent="0.2">
      <c r="A142" s="42"/>
      <c r="B142" s="72"/>
    </row>
    <row r="143" spans="1:2" x14ac:dyDescent="0.2">
      <c r="A143" s="42"/>
      <c r="B143" s="72"/>
    </row>
    <row r="144" spans="1:2" x14ac:dyDescent="0.2">
      <c r="A144" s="42"/>
      <c r="B144" s="72"/>
    </row>
    <row r="145" spans="1:2" x14ac:dyDescent="0.2">
      <c r="A145" s="42"/>
      <c r="B145" s="72"/>
    </row>
    <row r="146" spans="1:2" x14ac:dyDescent="0.2">
      <c r="A146" s="42"/>
      <c r="B146" s="72"/>
    </row>
    <row r="147" spans="1:2" x14ac:dyDescent="0.2">
      <c r="A147" s="42"/>
      <c r="B147" s="72"/>
    </row>
    <row r="148" spans="1:2" x14ac:dyDescent="0.2">
      <c r="A148" s="42"/>
      <c r="B148" s="72"/>
    </row>
    <row r="149" spans="1:2" x14ac:dyDescent="0.2">
      <c r="A149" s="42"/>
      <c r="B149" s="72"/>
    </row>
    <row r="150" spans="1:2" x14ac:dyDescent="0.2">
      <c r="A150" s="42"/>
      <c r="B150" s="72"/>
    </row>
    <row r="151" spans="1:2" x14ac:dyDescent="0.2">
      <c r="A151" s="42"/>
      <c r="B151" s="72"/>
    </row>
    <row r="152" spans="1:2" x14ac:dyDescent="0.2">
      <c r="A152" s="42"/>
      <c r="B152" s="69"/>
    </row>
    <row r="153" spans="1:2" x14ac:dyDescent="0.2">
      <c r="A153" s="42"/>
      <c r="B153" s="69"/>
    </row>
    <row r="154" spans="1:2" x14ac:dyDescent="0.2">
      <c r="A154" s="42"/>
      <c r="B154" s="69"/>
    </row>
    <row r="155" spans="1:2" x14ac:dyDescent="0.2">
      <c r="A155" s="42"/>
      <c r="B155" s="69"/>
    </row>
    <row r="156" spans="1:2" x14ac:dyDescent="0.2">
      <c r="A156" s="42"/>
      <c r="B156" s="69"/>
    </row>
    <row r="157" spans="1:2" x14ac:dyDescent="0.2">
      <c r="A157" s="42"/>
      <c r="B157" s="69"/>
    </row>
    <row r="158" spans="1:2" x14ac:dyDescent="0.2">
      <c r="A158" s="42"/>
      <c r="B158" s="69"/>
    </row>
    <row r="159" spans="1:2" x14ac:dyDescent="0.2">
      <c r="A159" s="42"/>
      <c r="B159" s="69"/>
    </row>
    <row r="160" spans="1:2" x14ac:dyDescent="0.2">
      <c r="A160" s="42"/>
      <c r="B160" s="69"/>
    </row>
    <row r="161" spans="1:2" x14ac:dyDescent="0.2">
      <c r="A161" s="42"/>
      <c r="B161" s="69"/>
    </row>
    <row r="162" spans="1:2" x14ac:dyDescent="0.2">
      <c r="A162" s="42"/>
      <c r="B162" s="69"/>
    </row>
    <row r="163" spans="1:2" x14ac:dyDescent="0.2">
      <c r="A163" s="42"/>
      <c r="B163" s="69"/>
    </row>
    <row r="164" spans="1:2" x14ac:dyDescent="0.2">
      <c r="A164" s="42"/>
      <c r="B164" s="69"/>
    </row>
    <row r="165" spans="1:2" x14ac:dyDescent="0.2">
      <c r="A165" s="42"/>
      <c r="B165" s="69"/>
    </row>
    <row r="166" spans="1:2" x14ac:dyDescent="0.2">
      <c r="A166" s="42"/>
      <c r="B166" s="69"/>
    </row>
    <row r="167" spans="1:2" x14ac:dyDescent="0.2">
      <c r="A167" s="42"/>
      <c r="B167" s="69"/>
    </row>
    <row r="168" spans="1:2" x14ac:dyDescent="0.2">
      <c r="A168" s="42"/>
      <c r="B168" s="69"/>
    </row>
    <row r="169" spans="1:2" x14ac:dyDescent="0.2">
      <c r="A169" s="42"/>
      <c r="B169" s="69"/>
    </row>
    <row r="170" spans="1:2" x14ac:dyDescent="0.2">
      <c r="A170" s="42"/>
      <c r="B170" s="69"/>
    </row>
    <row r="171" spans="1:2" x14ac:dyDescent="0.2">
      <c r="A171" s="42"/>
      <c r="B171" s="69"/>
    </row>
    <row r="172" spans="1:2" x14ac:dyDescent="0.2">
      <c r="A172" s="42"/>
      <c r="B172" s="69"/>
    </row>
  </sheetData>
  <phoneticPr fontId="3"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192"/>
  <sheetViews>
    <sheetView showGridLines="0" workbookViewId="0">
      <selection activeCell="A2" sqref="A2"/>
    </sheetView>
  </sheetViews>
  <sheetFormatPr defaultRowHeight="12.75" x14ac:dyDescent="0.2"/>
  <cols>
    <col min="1" max="1" width="9.42578125" style="47" customWidth="1"/>
    <col min="2" max="2" width="26.5703125" style="70" bestFit="1" customWidth="1"/>
    <col min="3" max="9" width="9.140625" style="88"/>
    <col min="10" max="10" width="9.140625" style="70"/>
    <col min="11" max="17" width="9.140625" style="88"/>
    <col min="18" max="18" width="9.140625" style="70"/>
    <col min="19" max="25" width="9.140625" style="88"/>
    <col min="26" max="26" width="9.140625" style="70"/>
  </cols>
  <sheetData>
    <row r="1" spans="1:26" ht="15.75" x14ac:dyDescent="0.25">
      <c r="A1" s="123" t="s">
        <v>135</v>
      </c>
      <c r="B1" s="63"/>
      <c r="C1" s="85"/>
      <c r="D1" s="85"/>
      <c r="E1" s="85"/>
      <c r="F1" s="85"/>
      <c r="G1" s="85"/>
      <c r="H1" s="85"/>
      <c r="I1" s="85"/>
      <c r="J1" s="69"/>
      <c r="K1" s="85"/>
      <c r="L1" s="85"/>
      <c r="M1" s="85"/>
      <c r="N1" s="85"/>
      <c r="O1" s="85"/>
      <c r="P1" s="85"/>
      <c r="Q1" s="85"/>
      <c r="R1" s="69"/>
      <c r="S1" s="85"/>
      <c r="T1" s="85"/>
      <c r="U1" s="85"/>
      <c r="V1" s="85"/>
      <c r="W1" s="85"/>
      <c r="X1" s="85"/>
      <c r="Y1" s="85"/>
      <c r="Z1" s="69"/>
    </row>
    <row r="2" spans="1:26" x14ac:dyDescent="0.2">
      <c r="B2" s="69"/>
      <c r="C2" s="85"/>
      <c r="D2" s="85"/>
      <c r="E2" s="85"/>
      <c r="F2" s="85"/>
      <c r="G2" s="85"/>
      <c r="H2" s="85"/>
      <c r="I2" s="85"/>
      <c r="J2" s="69"/>
      <c r="K2" s="85"/>
      <c r="L2" s="85"/>
      <c r="M2" s="85"/>
      <c r="N2" s="85"/>
      <c r="O2" s="85"/>
      <c r="P2" s="85"/>
      <c r="Q2" s="85"/>
      <c r="R2" s="69"/>
      <c r="S2" s="85"/>
      <c r="T2" s="85"/>
      <c r="U2" s="85"/>
      <c r="V2" s="85"/>
      <c r="W2" s="85"/>
      <c r="X2" s="85"/>
      <c r="Y2" s="85"/>
      <c r="Z2" s="69"/>
    </row>
    <row r="3" spans="1:26" x14ac:dyDescent="0.2">
      <c r="B3" s="67"/>
      <c r="C3" s="86" t="s">
        <v>39</v>
      </c>
      <c r="D3" s="86"/>
      <c r="E3" s="86"/>
      <c r="F3" s="86"/>
      <c r="G3" s="86"/>
      <c r="H3" s="86"/>
      <c r="I3" s="86"/>
      <c r="J3" s="67"/>
      <c r="K3" s="86" t="s">
        <v>40</v>
      </c>
      <c r="L3" s="86"/>
      <c r="M3" s="86"/>
      <c r="N3" s="86"/>
      <c r="O3" s="86"/>
      <c r="P3" s="86"/>
      <c r="Q3" s="86"/>
      <c r="R3" s="67"/>
      <c r="S3" s="86" t="s">
        <v>54</v>
      </c>
      <c r="T3" s="86"/>
      <c r="U3" s="86"/>
      <c r="V3" s="86"/>
      <c r="W3" s="86"/>
      <c r="X3" s="86"/>
      <c r="Y3" s="86"/>
      <c r="Z3" s="67"/>
    </row>
    <row r="4" spans="1:26" x14ac:dyDescent="0.2">
      <c r="B4" s="67"/>
      <c r="C4" s="86" t="s">
        <v>69</v>
      </c>
      <c r="D4" s="86" t="s">
        <v>33</v>
      </c>
      <c r="E4" s="86" t="s">
        <v>34</v>
      </c>
      <c r="F4" s="86" t="s">
        <v>35</v>
      </c>
      <c r="G4" s="86" t="s">
        <v>36</v>
      </c>
      <c r="H4" s="86" t="s">
        <v>37</v>
      </c>
      <c r="I4" s="86" t="s">
        <v>47</v>
      </c>
      <c r="J4" s="67" t="s">
        <v>58</v>
      </c>
      <c r="K4" s="86" t="s">
        <v>69</v>
      </c>
      <c r="L4" s="86" t="s">
        <v>33</v>
      </c>
      <c r="M4" s="86" t="s">
        <v>34</v>
      </c>
      <c r="N4" s="86" t="s">
        <v>35</v>
      </c>
      <c r="O4" s="86" t="s">
        <v>36</v>
      </c>
      <c r="P4" s="86" t="s">
        <v>37</v>
      </c>
      <c r="Q4" s="86" t="s">
        <v>47</v>
      </c>
      <c r="R4" s="68" t="s">
        <v>58</v>
      </c>
      <c r="S4" s="86" t="s">
        <v>69</v>
      </c>
      <c r="T4" s="86" t="s">
        <v>33</v>
      </c>
      <c r="U4" s="86" t="s">
        <v>34</v>
      </c>
      <c r="V4" s="86" t="s">
        <v>35</v>
      </c>
      <c r="W4" s="86" t="s">
        <v>36</v>
      </c>
      <c r="X4" s="86" t="s">
        <v>37</v>
      </c>
      <c r="Y4" s="86" t="s">
        <v>47</v>
      </c>
      <c r="Z4" s="68" t="s">
        <v>58</v>
      </c>
    </row>
    <row r="5" spans="1:26" x14ac:dyDescent="0.2">
      <c r="A5" s="44"/>
      <c r="B5" s="67" t="s">
        <v>0</v>
      </c>
      <c r="C5" s="87">
        <f>IF(OR(C47=1,C47=2),"x",ROUND(C47/$J47*100,1))</f>
        <v>7.5</v>
      </c>
      <c r="D5" s="87">
        <f t="shared" ref="D5:I5" si="0">IF(OR(D47=1,D47=2),"x",ROUND(D47/$J47*100,1))</f>
        <v>19.2</v>
      </c>
      <c r="E5" s="87">
        <f t="shared" si="0"/>
        <v>23.5</v>
      </c>
      <c r="F5" s="87">
        <f t="shared" si="0"/>
        <v>21.5</v>
      </c>
      <c r="G5" s="87">
        <f t="shared" si="0"/>
        <v>16.600000000000001</v>
      </c>
      <c r="H5" s="87">
        <f t="shared" si="0"/>
        <v>9.8000000000000007</v>
      </c>
      <c r="I5" s="87">
        <f t="shared" si="0"/>
        <v>98.1</v>
      </c>
      <c r="J5" s="66">
        <f>ROUND(J47,0)</f>
        <v>24083</v>
      </c>
      <c r="K5" s="87">
        <f>IF(OR(K47=1,K47=2),"x",ROUND(K47/$R47*100,1))</f>
        <v>8.9</v>
      </c>
      <c r="L5" s="87">
        <f t="shared" ref="L5:Q5" si="1">IF(OR(L47=1,L47=2),"x",ROUND(L47/$R47*100,1))</f>
        <v>21.6</v>
      </c>
      <c r="M5" s="87">
        <f t="shared" si="1"/>
        <v>25</v>
      </c>
      <c r="N5" s="87">
        <f t="shared" si="1"/>
        <v>20.9</v>
      </c>
      <c r="O5" s="87">
        <f t="shared" si="1"/>
        <v>14.6</v>
      </c>
      <c r="P5" s="87">
        <f t="shared" si="1"/>
        <v>7.7</v>
      </c>
      <c r="Q5" s="87">
        <f t="shared" si="1"/>
        <v>98.6</v>
      </c>
      <c r="R5" s="66">
        <f>ROUND(R47,0)</f>
        <v>33151</v>
      </c>
      <c r="S5" s="87">
        <f>IF(OR(S47=1,S47=2),"x",ROUND(S47/$Z47*100,1))</f>
        <v>8.3000000000000007</v>
      </c>
      <c r="T5" s="87">
        <f t="shared" ref="T5:Y5" si="2">IF(OR(T47=1,T47=2),"x",ROUND(T47/$Z47*100,1))</f>
        <v>20.6</v>
      </c>
      <c r="U5" s="87">
        <f t="shared" si="2"/>
        <v>24.4</v>
      </c>
      <c r="V5" s="87">
        <f t="shared" si="2"/>
        <v>21.1</v>
      </c>
      <c r="W5" s="87">
        <f t="shared" si="2"/>
        <v>15.4</v>
      </c>
      <c r="X5" s="87">
        <f t="shared" si="2"/>
        <v>8.6</v>
      </c>
      <c r="Y5" s="87">
        <f t="shared" si="2"/>
        <v>98.4</v>
      </c>
      <c r="Z5" s="66">
        <f>ROUND(Z47,0)</f>
        <v>57234</v>
      </c>
    </row>
    <row r="6" spans="1:26" x14ac:dyDescent="0.2">
      <c r="A6" s="44"/>
      <c r="B6" s="67" t="s">
        <v>1</v>
      </c>
      <c r="C6" s="87">
        <f t="shared" ref="C6:I21" si="3">IF(OR(C48=1,C48=2),"x",ROUND(C48/$J48*100,1))</f>
        <v>9.1999999999999993</v>
      </c>
      <c r="D6" s="87">
        <f t="shared" si="3"/>
        <v>25.4</v>
      </c>
      <c r="E6" s="87">
        <f t="shared" si="3"/>
        <v>26.2</v>
      </c>
      <c r="F6" s="87">
        <f t="shared" si="3"/>
        <v>18.399999999999999</v>
      </c>
      <c r="G6" s="87">
        <f t="shared" si="3"/>
        <v>12.2</v>
      </c>
      <c r="H6" s="87">
        <f t="shared" si="3"/>
        <v>7</v>
      </c>
      <c r="I6" s="87">
        <f t="shared" si="3"/>
        <v>98.3</v>
      </c>
      <c r="J6" s="66">
        <f t="shared" ref="J6:J39" si="4">ROUND(J48,0)</f>
        <v>24553</v>
      </c>
      <c r="K6" s="87">
        <f t="shared" ref="K6:Q21" si="5">IF(OR(K48=1,K48=2),"x",ROUND(K48/$R48*100,1))</f>
        <v>7.6</v>
      </c>
      <c r="L6" s="87">
        <f t="shared" si="5"/>
        <v>25.8</v>
      </c>
      <c r="M6" s="87">
        <f t="shared" si="5"/>
        <v>28.4</v>
      </c>
      <c r="N6" s="87">
        <f t="shared" si="5"/>
        <v>19.3</v>
      </c>
      <c r="O6" s="87">
        <f t="shared" si="5"/>
        <v>11.9</v>
      </c>
      <c r="P6" s="87">
        <f t="shared" si="5"/>
        <v>5.8</v>
      </c>
      <c r="Q6" s="87">
        <f t="shared" si="5"/>
        <v>98.9</v>
      </c>
      <c r="R6" s="66">
        <f t="shared" ref="R6:R39" si="6">ROUND(R48,0)</f>
        <v>22766</v>
      </c>
      <c r="S6" s="87">
        <f t="shared" ref="S6:Y21" si="7">IF(OR(S48=1,S48=2),"x",ROUND(S48/$Z48*100,1))</f>
        <v>8.4</v>
      </c>
      <c r="T6" s="87">
        <f t="shared" si="7"/>
        <v>25.6</v>
      </c>
      <c r="U6" s="87">
        <f t="shared" si="7"/>
        <v>27.3</v>
      </c>
      <c r="V6" s="87">
        <f t="shared" si="7"/>
        <v>18.8</v>
      </c>
      <c r="W6" s="87">
        <f t="shared" si="7"/>
        <v>12.1</v>
      </c>
      <c r="X6" s="87">
        <f t="shared" si="7"/>
        <v>6.4</v>
      </c>
      <c r="Y6" s="87">
        <f t="shared" si="7"/>
        <v>98.6</v>
      </c>
      <c r="Z6" s="66">
        <f t="shared" ref="Z6:Z39" si="8">ROUND(Z48,0)</f>
        <v>47319</v>
      </c>
    </row>
    <row r="7" spans="1:26" x14ac:dyDescent="0.2">
      <c r="A7" s="44"/>
      <c r="B7" s="67" t="s">
        <v>2</v>
      </c>
      <c r="C7" s="87">
        <f t="shared" si="3"/>
        <v>9.5</v>
      </c>
      <c r="D7" s="87">
        <f t="shared" si="3"/>
        <v>21.2</v>
      </c>
      <c r="E7" s="87">
        <f t="shared" si="3"/>
        <v>23.4</v>
      </c>
      <c r="F7" s="87">
        <f t="shared" si="3"/>
        <v>19.7</v>
      </c>
      <c r="G7" s="87">
        <f t="shared" si="3"/>
        <v>14.5</v>
      </c>
      <c r="H7" s="87">
        <f t="shared" si="3"/>
        <v>9.4</v>
      </c>
      <c r="I7" s="87">
        <f t="shared" si="3"/>
        <v>97.8</v>
      </c>
      <c r="J7" s="66">
        <f t="shared" si="4"/>
        <v>25312</v>
      </c>
      <c r="K7" s="87">
        <f t="shared" si="5"/>
        <v>11.4</v>
      </c>
      <c r="L7" s="87">
        <f t="shared" si="5"/>
        <v>24.7</v>
      </c>
      <c r="M7" s="87">
        <f t="shared" si="5"/>
        <v>23.9</v>
      </c>
      <c r="N7" s="87">
        <f t="shared" si="5"/>
        <v>18.2</v>
      </c>
      <c r="O7" s="87">
        <f t="shared" si="5"/>
        <v>12.9</v>
      </c>
      <c r="P7" s="87">
        <f t="shared" si="5"/>
        <v>7.3</v>
      </c>
      <c r="Q7" s="87">
        <f t="shared" si="5"/>
        <v>98.5</v>
      </c>
      <c r="R7" s="66">
        <f t="shared" si="6"/>
        <v>6596</v>
      </c>
      <c r="S7" s="87">
        <f t="shared" si="7"/>
        <v>9.9</v>
      </c>
      <c r="T7" s="87">
        <f t="shared" si="7"/>
        <v>21.9</v>
      </c>
      <c r="U7" s="87">
        <f t="shared" si="7"/>
        <v>23.5</v>
      </c>
      <c r="V7" s="87">
        <f t="shared" si="7"/>
        <v>19.399999999999999</v>
      </c>
      <c r="W7" s="87">
        <f t="shared" si="7"/>
        <v>14.2</v>
      </c>
      <c r="X7" s="87">
        <f t="shared" si="7"/>
        <v>9</v>
      </c>
      <c r="Y7" s="87">
        <f t="shared" si="7"/>
        <v>97.9</v>
      </c>
      <c r="Z7" s="66">
        <f t="shared" si="8"/>
        <v>31908</v>
      </c>
    </row>
    <row r="8" spans="1:26" x14ac:dyDescent="0.2">
      <c r="A8" s="44"/>
      <c r="B8" s="67" t="s">
        <v>3</v>
      </c>
      <c r="C8" s="87">
        <f t="shared" si="3"/>
        <v>7.2</v>
      </c>
      <c r="D8" s="87">
        <f t="shared" si="3"/>
        <v>17.600000000000001</v>
      </c>
      <c r="E8" s="87">
        <f t="shared" si="3"/>
        <v>24</v>
      </c>
      <c r="F8" s="87">
        <f t="shared" si="3"/>
        <v>23.4</v>
      </c>
      <c r="G8" s="87">
        <f t="shared" si="3"/>
        <v>17.100000000000001</v>
      </c>
      <c r="H8" s="87">
        <f t="shared" si="3"/>
        <v>8.3000000000000007</v>
      </c>
      <c r="I8" s="87">
        <f t="shared" si="3"/>
        <v>97.6</v>
      </c>
      <c r="J8" s="66">
        <f t="shared" si="4"/>
        <v>2990</v>
      </c>
      <c r="K8" s="87">
        <f t="shared" si="5"/>
        <v>6.2</v>
      </c>
      <c r="L8" s="87">
        <f t="shared" si="5"/>
        <v>17.7</v>
      </c>
      <c r="M8" s="87">
        <f t="shared" si="5"/>
        <v>27.8</v>
      </c>
      <c r="N8" s="87">
        <f t="shared" si="5"/>
        <v>23.1</v>
      </c>
      <c r="O8" s="87">
        <f t="shared" si="5"/>
        <v>14.6</v>
      </c>
      <c r="P8" s="87">
        <f t="shared" si="5"/>
        <v>8.3000000000000007</v>
      </c>
      <c r="Q8" s="87">
        <f t="shared" si="5"/>
        <v>97.7</v>
      </c>
      <c r="R8" s="66">
        <f t="shared" si="6"/>
        <v>1191</v>
      </c>
      <c r="S8" s="87">
        <f t="shared" si="7"/>
        <v>6.9</v>
      </c>
      <c r="T8" s="87">
        <f t="shared" si="7"/>
        <v>17.600000000000001</v>
      </c>
      <c r="U8" s="87">
        <f t="shared" si="7"/>
        <v>25.1</v>
      </c>
      <c r="V8" s="87">
        <f t="shared" si="7"/>
        <v>23.3</v>
      </c>
      <c r="W8" s="87">
        <f t="shared" si="7"/>
        <v>16.399999999999999</v>
      </c>
      <c r="X8" s="87">
        <f t="shared" si="7"/>
        <v>8.3000000000000007</v>
      </c>
      <c r="Y8" s="87">
        <f t="shared" si="7"/>
        <v>97.7</v>
      </c>
      <c r="Z8" s="66">
        <f t="shared" si="8"/>
        <v>4181</v>
      </c>
    </row>
    <row r="9" spans="1:26" x14ac:dyDescent="0.2">
      <c r="A9" s="44"/>
      <c r="B9" s="67" t="s">
        <v>4</v>
      </c>
      <c r="C9" s="87">
        <f t="shared" si="3"/>
        <v>18.600000000000001</v>
      </c>
      <c r="D9" s="87">
        <f t="shared" si="3"/>
        <v>25.5</v>
      </c>
      <c r="E9" s="87">
        <f t="shared" si="3"/>
        <v>21.2</v>
      </c>
      <c r="F9" s="87">
        <f t="shared" si="3"/>
        <v>16.2</v>
      </c>
      <c r="G9" s="87">
        <f t="shared" si="3"/>
        <v>11</v>
      </c>
      <c r="H9" s="87">
        <f t="shared" si="3"/>
        <v>6</v>
      </c>
      <c r="I9" s="87">
        <f t="shared" si="3"/>
        <v>98.6</v>
      </c>
      <c r="J9" s="66">
        <f t="shared" si="4"/>
        <v>48945</v>
      </c>
      <c r="K9" s="87">
        <f t="shared" si="5"/>
        <v>14.9</v>
      </c>
      <c r="L9" s="87">
        <f t="shared" si="5"/>
        <v>28.1</v>
      </c>
      <c r="M9" s="87">
        <f t="shared" si="5"/>
        <v>23.7</v>
      </c>
      <c r="N9" s="87">
        <f t="shared" si="5"/>
        <v>16.100000000000001</v>
      </c>
      <c r="O9" s="87">
        <f t="shared" si="5"/>
        <v>10.6</v>
      </c>
      <c r="P9" s="87">
        <f t="shared" si="5"/>
        <v>5.6</v>
      </c>
      <c r="Q9" s="87">
        <f t="shared" si="5"/>
        <v>98.9</v>
      </c>
      <c r="R9" s="66">
        <f t="shared" si="6"/>
        <v>31622</v>
      </c>
      <c r="S9" s="87">
        <f t="shared" si="7"/>
        <v>17.100000000000001</v>
      </c>
      <c r="T9" s="87">
        <f t="shared" si="7"/>
        <v>26.5</v>
      </c>
      <c r="U9" s="87">
        <f t="shared" si="7"/>
        <v>22.2</v>
      </c>
      <c r="V9" s="87">
        <f t="shared" si="7"/>
        <v>16.2</v>
      </c>
      <c r="W9" s="87">
        <f t="shared" si="7"/>
        <v>10.8</v>
      </c>
      <c r="X9" s="87">
        <f t="shared" si="7"/>
        <v>5.8</v>
      </c>
      <c r="Y9" s="87">
        <f t="shared" si="7"/>
        <v>98.7</v>
      </c>
      <c r="Z9" s="66">
        <f t="shared" si="8"/>
        <v>80567</v>
      </c>
    </row>
    <row r="10" spans="1:26" x14ac:dyDescent="0.2">
      <c r="A10" s="44"/>
      <c r="B10" s="67" t="s">
        <v>5</v>
      </c>
      <c r="C10" s="87">
        <f t="shared" si="3"/>
        <v>28</v>
      </c>
      <c r="D10" s="87">
        <f t="shared" si="3"/>
        <v>29.3</v>
      </c>
      <c r="E10" s="87">
        <f t="shared" si="3"/>
        <v>21.8</v>
      </c>
      <c r="F10" s="87">
        <f t="shared" si="3"/>
        <v>11.4</v>
      </c>
      <c r="G10" s="87">
        <f t="shared" si="3"/>
        <v>5.8</v>
      </c>
      <c r="H10" s="87">
        <f t="shared" si="3"/>
        <v>3.1</v>
      </c>
      <c r="I10" s="87">
        <f t="shared" si="3"/>
        <v>99.3</v>
      </c>
      <c r="J10" s="66">
        <f t="shared" si="4"/>
        <v>9190</v>
      </c>
      <c r="K10" s="87">
        <f t="shared" si="5"/>
        <v>28.3</v>
      </c>
      <c r="L10" s="87">
        <f t="shared" si="5"/>
        <v>30.9</v>
      </c>
      <c r="M10" s="87">
        <f t="shared" si="5"/>
        <v>21.3</v>
      </c>
      <c r="N10" s="87">
        <f t="shared" si="5"/>
        <v>11.4</v>
      </c>
      <c r="O10" s="87">
        <f t="shared" si="5"/>
        <v>5.5</v>
      </c>
      <c r="P10" s="87">
        <f t="shared" si="5"/>
        <v>2</v>
      </c>
      <c r="Q10" s="87">
        <f t="shared" si="5"/>
        <v>99.5</v>
      </c>
      <c r="R10" s="66">
        <f t="shared" si="6"/>
        <v>3691</v>
      </c>
      <c r="S10" s="87">
        <f t="shared" si="7"/>
        <v>28.1</v>
      </c>
      <c r="T10" s="87">
        <f t="shared" si="7"/>
        <v>29.7</v>
      </c>
      <c r="U10" s="87">
        <f t="shared" si="7"/>
        <v>21.7</v>
      </c>
      <c r="V10" s="87">
        <f t="shared" si="7"/>
        <v>11.4</v>
      </c>
      <c r="W10" s="87">
        <f t="shared" si="7"/>
        <v>5.7</v>
      </c>
      <c r="X10" s="87">
        <f t="shared" si="7"/>
        <v>2.8</v>
      </c>
      <c r="Y10" s="87">
        <f t="shared" si="7"/>
        <v>99.4</v>
      </c>
      <c r="Z10" s="66">
        <f t="shared" si="8"/>
        <v>12881</v>
      </c>
    </row>
    <row r="11" spans="1:26" x14ac:dyDescent="0.2">
      <c r="A11" s="44"/>
      <c r="B11" s="67" t="s">
        <v>6</v>
      </c>
      <c r="C11" s="87">
        <f t="shared" si="3"/>
        <v>3.2</v>
      </c>
      <c r="D11" s="87">
        <f t="shared" si="3"/>
        <v>12.2</v>
      </c>
      <c r="E11" s="87">
        <f t="shared" si="3"/>
        <v>23.2</v>
      </c>
      <c r="F11" s="87">
        <f t="shared" si="3"/>
        <v>27.5</v>
      </c>
      <c r="G11" s="87">
        <f t="shared" si="3"/>
        <v>22</v>
      </c>
      <c r="H11" s="87">
        <f t="shared" si="3"/>
        <v>10</v>
      </c>
      <c r="I11" s="87">
        <f t="shared" si="3"/>
        <v>98.1</v>
      </c>
      <c r="J11" s="66">
        <f t="shared" si="4"/>
        <v>7073</v>
      </c>
      <c r="K11" s="87">
        <f t="shared" si="5"/>
        <v>4.5</v>
      </c>
      <c r="L11" s="87">
        <f t="shared" si="5"/>
        <v>16</v>
      </c>
      <c r="M11" s="87">
        <f t="shared" si="5"/>
        <v>28.6</v>
      </c>
      <c r="N11" s="87">
        <f t="shared" si="5"/>
        <v>27</v>
      </c>
      <c r="O11" s="87">
        <f t="shared" si="5"/>
        <v>16.399999999999999</v>
      </c>
      <c r="P11" s="87">
        <f t="shared" si="5"/>
        <v>6.4</v>
      </c>
      <c r="Q11" s="87">
        <f t="shared" si="5"/>
        <v>98.9</v>
      </c>
      <c r="R11" s="66">
        <f t="shared" si="6"/>
        <v>5394</v>
      </c>
      <c r="S11" s="87">
        <f t="shared" si="7"/>
        <v>3.8</v>
      </c>
      <c r="T11" s="87">
        <f t="shared" si="7"/>
        <v>13.8</v>
      </c>
      <c r="U11" s="87">
        <f t="shared" si="7"/>
        <v>25.6</v>
      </c>
      <c r="V11" s="87">
        <f t="shared" si="7"/>
        <v>27.3</v>
      </c>
      <c r="W11" s="87">
        <f t="shared" si="7"/>
        <v>19.5</v>
      </c>
      <c r="X11" s="87">
        <f t="shared" si="7"/>
        <v>8.5</v>
      </c>
      <c r="Y11" s="87">
        <f t="shared" si="7"/>
        <v>98.4</v>
      </c>
      <c r="Z11" s="66">
        <f t="shared" si="8"/>
        <v>12467</v>
      </c>
    </row>
    <row r="12" spans="1:26" x14ac:dyDescent="0.2">
      <c r="A12" s="44"/>
      <c r="B12" s="67" t="s">
        <v>168</v>
      </c>
      <c r="C12" s="87">
        <f t="shared" si="3"/>
        <v>3.5</v>
      </c>
      <c r="D12" s="87">
        <f t="shared" si="3"/>
        <v>13.1</v>
      </c>
      <c r="E12" s="87">
        <f t="shared" si="3"/>
        <v>21.4</v>
      </c>
      <c r="F12" s="87">
        <f t="shared" si="3"/>
        <v>25</v>
      </c>
      <c r="G12" s="87">
        <f t="shared" si="3"/>
        <v>21</v>
      </c>
      <c r="H12" s="87">
        <f t="shared" si="3"/>
        <v>13.2</v>
      </c>
      <c r="I12" s="87">
        <f t="shared" si="3"/>
        <v>97.1</v>
      </c>
      <c r="J12" s="66">
        <f t="shared" si="4"/>
        <v>3189</v>
      </c>
      <c r="K12" s="87">
        <f t="shared" si="5"/>
        <v>5.2</v>
      </c>
      <c r="L12" s="87">
        <f t="shared" si="5"/>
        <v>19</v>
      </c>
      <c r="M12" s="87">
        <f t="shared" si="5"/>
        <v>20.5</v>
      </c>
      <c r="N12" s="87">
        <f t="shared" si="5"/>
        <v>21</v>
      </c>
      <c r="O12" s="87">
        <f t="shared" si="5"/>
        <v>15.7</v>
      </c>
      <c r="P12" s="87">
        <f t="shared" si="5"/>
        <v>16.2</v>
      </c>
      <c r="Q12" s="87">
        <f t="shared" si="5"/>
        <v>97.6</v>
      </c>
      <c r="R12" s="66">
        <f t="shared" si="6"/>
        <v>210</v>
      </c>
      <c r="S12" s="87">
        <f t="shared" si="7"/>
        <v>3.6</v>
      </c>
      <c r="T12" s="87">
        <f t="shared" si="7"/>
        <v>13.4</v>
      </c>
      <c r="U12" s="87">
        <f t="shared" si="7"/>
        <v>21.3</v>
      </c>
      <c r="V12" s="87">
        <f t="shared" si="7"/>
        <v>24.7</v>
      </c>
      <c r="W12" s="87">
        <f t="shared" si="7"/>
        <v>20.7</v>
      </c>
      <c r="X12" s="87">
        <f t="shared" si="7"/>
        <v>13.4</v>
      </c>
      <c r="Y12" s="87">
        <f t="shared" si="7"/>
        <v>97.1</v>
      </c>
      <c r="Z12" s="66">
        <f t="shared" si="8"/>
        <v>3399</v>
      </c>
    </row>
    <row r="13" spans="1:26" x14ac:dyDescent="0.2">
      <c r="A13" s="44"/>
      <c r="B13" s="67" t="s">
        <v>8</v>
      </c>
      <c r="C13" s="87">
        <f t="shared" si="3"/>
        <v>1.4</v>
      </c>
      <c r="D13" s="87">
        <f t="shared" si="3"/>
        <v>6.9</v>
      </c>
      <c r="E13" s="87">
        <f t="shared" si="3"/>
        <v>20.3</v>
      </c>
      <c r="F13" s="87">
        <f t="shared" si="3"/>
        <v>30.2</v>
      </c>
      <c r="G13" s="87">
        <f t="shared" si="3"/>
        <v>25.2</v>
      </c>
      <c r="H13" s="87">
        <f t="shared" si="3"/>
        <v>13.8</v>
      </c>
      <c r="I13" s="87">
        <f t="shared" si="3"/>
        <v>97.8</v>
      </c>
      <c r="J13" s="66">
        <f t="shared" si="4"/>
        <v>4892</v>
      </c>
      <c r="K13" s="87">
        <f t="shared" si="5"/>
        <v>2.2000000000000002</v>
      </c>
      <c r="L13" s="87">
        <f t="shared" si="5"/>
        <v>11.3</v>
      </c>
      <c r="M13" s="87">
        <f t="shared" si="5"/>
        <v>26.5</v>
      </c>
      <c r="N13" s="87">
        <f t="shared" si="5"/>
        <v>31</v>
      </c>
      <c r="O13" s="87">
        <f t="shared" si="5"/>
        <v>18.8</v>
      </c>
      <c r="P13" s="87">
        <f t="shared" si="5"/>
        <v>9.1</v>
      </c>
      <c r="Q13" s="87">
        <f t="shared" si="5"/>
        <v>98.9</v>
      </c>
      <c r="R13" s="66">
        <f t="shared" si="6"/>
        <v>2804</v>
      </c>
      <c r="S13" s="87">
        <f t="shared" si="7"/>
        <v>1.7</v>
      </c>
      <c r="T13" s="87">
        <f t="shared" si="7"/>
        <v>8.5</v>
      </c>
      <c r="U13" s="87">
        <f t="shared" si="7"/>
        <v>22.5</v>
      </c>
      <c r="V13" s="87">
        <f t="shared" si="7"/>
        <v>30.5</v>
      </c>
      <c r="W13" s="87">
        <f t="shared" si="7"/>
        <v>22.9</v>
      </c>
      <c r="X13" s="87">
        <f t="shared" si="7"/>
        <v>12.1</v>
      </c>
      <c r="Y13" s="87">
        <f t="shared" si="7"/>
        <v>98.2</v>
      </c>
      <c r="Z13" s="66">
        <f t="shared" si="8"/>
        <v>7696</v>
      </c>
    </row>
    <row r="14" spans="1:26" x14ac:dyDescent="0.2">
      <c r="A14" s="44"/>
      <c r="B14" s="67" t="s">
        <v>9</v>
      </c>
      <c r="C14" s="87">
        <f t="shared" si="3"/>
        <v>0</v>
      </c>
      <c r="D14" s="87">
        <f t="shared" si="3"/>
        <v>0</v>
      </c>
      <c r="E14" s="87">
        <f t="shared" si="3"/>
        <v>17.399999999999999</v>
      </c>
      <c r="F14" s="87">
        <f t="shared" si="3"/>
        <v>28.3</v>
      </c>
      <c r="G14" s="87">
        <f t="shared" si="3"/>
        <v>32.6</v>
      </c>
      <c r="H14" s="87">
        <f t="shared" si="3"/>
        <v>17.399999999999999</v>
      </c>
      <c r="I14" s="87">
        <f t="shared" si="3"/>
        <v>95.7</v>
      </c>
      <c r="J14" s="66">
        <f t="shared" si="4"/>
        <v>46</v>
      </c>
      <c r="K14" s="87">
        <f t="shared" si="5"/>
        <v>2.1</v>
      </c>
      <c r="L14" s="87">
        <f t="shared" si="5"/>
        <v>16.8</v>
      </c>
      <c r="M14" s="87">
        <f t="shared" si="5"/>
        <v>21.4</v>
      </c>
      <c r="N14" s="87">
        <f t="shared" si="5"/>
        <v>28.1</v>
      </c>
      <c r="O14" s="87">
        <f t="shared" si="5"/>
        <v>20</v>
      </c>
      <c r="P14" s="87">
        <f t="shared" si="5"/>
        <v>7.4</v>
      </c>
      <c r="Q14" s="87">
        <f t="shared" si="5"/>
        <v>95.8</v>
      </c>
      <c r="R14" s="66">
        <f t="shared" si="6"/>
        <v>285</v>
      </c>
      <c r="S14" s="87">
        <f t="shared" si="7"/>
        <v>1.8</v>
      </c>
      <c r="T14" s="87">
        <f t="shared" si="7"/>
        <v>14.5</v>
      </c>
      <c r="U14" s="87">
        <f t="shared" si="7"/>
        <v>20.8</v>
      </c>
      <c r="V14" s="87">
        <f t="shared" si="7"/>
        <v>28.1</v>
      </c>
      <c r="W14" s="87">
        <f t="shared" si="7"/>
        <v>21.8</v>
      </c>
      <c r="X14" s="87">
        <f t="shared" si="7"/>
        <v>8.8000000000000007</v>
      </c>
      <c r="Y14" s="87">
        <f t="shared" si="7"/>
        <v>95.8</v>
      </c>
      <c r="Z14" s="66">
        <f t="shared" si="8"/>
        <v>331</v>
      </c>
    </row>
    <row r="15" spans="1:26" x14ac:dyDescent="0.2">
      <c r="A15" s="44"/>
      <c r="B15" s="67" t="s">
        <v>10</v>
      </c>
      <c r="C15" s="87">
        <f t="shared" si="3"/>
        <v>1.5</v>
      </c>
      <c r="D15" s="87">
        <f t="shared" si="3"/>
        <v>11.9</v>
      </c>
      <c r="E15" s="87">
        <f t="shared" si="3"/>
        <v>22.9</v>
      </c>
      <c r="F15" s="87">
        <f t="shared" si="3"/>
        <v>26.7</v>
      </c>
      <c r="G15" s="87">
        <f t="shared" si="3"/>
        <v>21.2</v>
      </c>
      <c r="H15" s="87">
        <f t="shared" si="3"/>
        <v>11.7</v>
      </c>
      <c r="I15" s="87">
        <f t="shared" si="3"/>
        <v>95.9</v>
      </c>
      <c r="J15" s="66">
        <f t="shared" si="4"/>
        <v>2045</v>
      </c>
      <c r="K15" s="87">
        <f t="shared" si="5"/>
        <v>2.1</v>
      </c>
      <c r="L15" s="87">
        <f t="shared" si="5"/>
        <v>15</v>
      </c>
      <c r="M15" s="87">
        <f t="shared" si="5"/>
        <v>23.6</v>
      </c>
      <c r="N15" s="87">
        <f t="shared" si="5"/>
        <v>24</v>
      </c>
      <c r="O15" s="87">
        <f t="shared" si="5"/>
        <v>19.899999999999999</v>
      </c>
      <c r="P15" s="87">
        <f t="shared" si="5"/>
        <v>11.2</v>
      </c>
      <c r="Q15" s="87">
        <f t="shared" si="5"/>
        <v>95.9</v>
      </c>
      <c r="R15" s="66">
        <f t="shared" si="6"/>
        <v>1073</v>
      </c>
      <c r="S15" s="87">
        <f t="shared" si="7"/>
        <v>1.7</v>
      </c>
      <c r="T15" s="87">
        <f t="shared" si="7"/>
        <v>13</v>
      </c>
      <c r="U15" s="87">
        <f t="shared" si="7"/>
        <v>23.2</v>
      </c>
      <c r="V15" s="87">
        <f t="shared" si="7"/>
        <v>25.8</v>
      </c>
      <c r="W15" s="87">
        <f t="shared" si="7"/>
        <v>20.8</v>
      </c>
      <c r="X15" s="87">
        <f t="shared" si="7"/>
        <v>11.5</v>
      </c>
      <c r="Y15" s="87">
        <f t="shared" si="7"/>
        <v>95.9</v>
      </c>
      <c r="Z15" s="66">
        <f t="shared" si="8"/>
        <v>3118</v>
      </c>
    </row>
    <row r="16" spans="1:26" x14ac:dyDescent="0.2">
      <c r="A16" s="44"/>
      <c r="B16" s="67" t="s">
        <v>11</v>
      </c>
      <c r="C16" s="87">
        <f t="shared" si="3"/>
        <v>2.7</v>
      </c>
      <c r="D16" s="87">
        <f t="shared" si="3"/>
        <v>11.5</v>
      </c>
      <c r="E16" s="87">
        <f t="shared" si="3"/>
        <v>28.2</v>
      </c>
      <c r="F16" s="87">
        <f t="shared" si="3"/>
        <v>30.9</v>
      </c>
      <c r="G16" s="87">
        <f t="shared" si="3"/>
        <v>18.7</v>
      </c>
      <c r="H16" s="87">
        <f t="shared" si="3"/>
        <v>6.7</v>
      </c>
      <c r="I16" s="87">
        <f t="shared" si="3"/>
        <v>98.8</v>
      </c>
      <c r="J16" s="66">
        <f t="shared" si="4"/>
        <v>15956</v>
      </c>
      <c r="K16" s="87">
        <f t="shared" si="5"/>
        <v>3.9</v>
      </c>
      <c r="L16" s="87">
        <f t="shared" si="5"/>
        <v>14.1</v>
      </c>
      <c r="M16" s="87">
        <f t="shared" si="5"/>
        <v>28.8</v>
      </c>
      <c r="N16" s="87">
        <f t="shared" si="5"/>
        <v>29.3</v>
      </c>
      <c r="O16" s="87">
        <f t="shared" si="5"/>
        <v>16.8</v>
      </c>
      <c r="P16" s="87">
        <f t="shared" si="5"/>
        <v>6.1</v>
      </c>
      <c r="Q16" s="87">
        <f t="shared" si="5"/>
        <v>99</v>
      </c>
      <c r="R16" s="66">
        <f t="shared" si="6"/>
        <v>11082</v>
      </c>
      <c r="S16" s="87">
        <f t="shared" si="7"/>
        <v>3.2</v>
      </c>
      <c r="T16" s="87">
        <f t="shared" si="7"/>
        <v>12.6</v>
      </c>
      <c r="U16" s="87">
        <f t="shared" si="7"/>
        <v>28.5</v>
      </c>
      <c r="V16" s="87">
        <f t="shared" si="7"/>
        <v>30.3</v>
      </c>
      <c r="W16" s="87">
        <f t="shared" si="7"/>
        <v>17.899999999999999</v>
      </c>
      <c r="X16" s="87">
        <f t="shared" si="7"/>
        <v>6.5</v>
      </c>
      <c r="Y16" s="87">
        <f t="shared" si="7"/>
        <v>98.9</v>
      </c>
      <c r="Z16" s="66">
        <f t="shared" si="8"/>
        <v>27038</v>
      </c>
    </row>
    <row r="17" spans="1:26" x14ac:dyDescent="0.2">
      <c r="A17" s="44"/>
      <c r="B17" s="67" t="s">
        <v>12</v>
      </c>
      <c r="C17" s="87">
        <f t="shared" si="3"/>
        <v>7.2</v>
      </c>
      <c r="D17" s="87">
        <f t="shared" si="3"/>
        <v>25.2</v>
      </c>
      <c r="E17" s="87">
        <f t="shared" si="3"/>
        <v>29.1</v>
      </c>
      <c r="F17" s="87">
        <f t="shared" si="3"/>
        <v>21.4</v>
      </c>
      <c r="G17" s="87">
        <f t="shared" si="3"/>
        <v>11.6</v>
      </c>
      <c r="H17" s="87">
        <f t="shared" si="3"/>
        <v>4.7</v>
      </c>
      <c r="I17" s="87">
        <f t="shared" si="3"/>
        <v>99.3</v>
      </c>
      <c r="J17" s="66">
        <f t="shared" si="4"/>
        <v>15713</v>
      </c>
      <c r="K17" s="87">
        <f t="shared" si="5"/>
        <v>8.6</v>
      </c>
      <c r="L17" s="87">
        <f t="shared" si="5"/>
        <v>29.8</v>
      </c>
      <c r="M17" s="87">
        <f t="shared" si="5"/>
        <v>29.3</v>
      </c>
      <c r="N17" s="87">
        <f t="shared" si="5"/>
        <v>18.7</v>
      </c>
      <c r="O17" s="87">
        <f t="shared" si="5"/>
        <v>9.1999999999999993</v>
      </c>
      <c r="P17" s="87">
        <f t="shared" si="5"/>
        <v>3.7</v>
      </c>
      <c r="Q17" s="87">
        <f t="shared" si="5"/>
        <v>99.3</v>
      </c>
      <c r="R17" s="66">
        <f t="shared" si="6"/>
        <v>7404</v>
      </c>
      <c r="S17" s="87">
        <f t="shared" si="7"/>
        <v>7.7</v>
      </c>
      <c r="T17" s="87">
        <f t="shared" si="7"/>
        <v>26.7</v>
      </c>
      <c r="U17" s="87">
        <f t="shared" si="7"/>
        <v>29.2</v>
      </c>
      <c r="V17" s="87">
        <f t="shared" si="7"/>
        <v>20.5</v>
      </c>
      <c r="W17" s="87">
        <f t="shared" si="7"/>
        <v>10.8</v>
      </c>
      <c r="X17" s="87">
        <f t="shared" si="7"/>
        <v>4.3</v>
      </c>
      <c r="Y17" s="87">
        <f t="shared" si="7"/>
        <v>99.3</v>
      </c>
      <c r="Z17" s="66">
        <f t="shared" si="8"/>
        <v>23117</v>
      </c>
    </row>
    <row r="18" spans="1:26" x14ac:dyDescent="0.2">
      <c r="A18" s="44"/>
      <c r="B18" s="67" t="s">
        <v>13</v>
      </c>
      <c r="C18" s="87">
        <f t="shared" si="3"/>
        <v>4.7</v>
      </c>
      <c r="D18" s="87">
        <f t="shared" si="3"/>
        <v>20.100000000000001</v>
      </c>
      <c r="E18" s="87">
        <f t="shared" si="3"/>
        <v>28.5</v>
      </c>
      <c r="F18" s="87">
        <f t="shared" si="3"/>
        <v>26.7</v>
      </c>
      <c r="G18" s="87">
        <f t="shared" si="3"/>
        <v>14.5</v>
      </c>
      <c r="H18" s="87">
        <f t="shared" si="3"/>
        <v>4.8</v>
      </c>
      <c r="I18" s="87">
        <f t="shared" si="3"/>
        <v>99.3</v>
      </c>
      <c r="J18" s="66">
        <f t="shared" si="4"/>
        <v>15151</v>
      </c>
      <c r="K18" s="87">
        <f t="shared" si="5"/>
        <v>7.5</v>
      </c>
      <c r="L18" s="87">
        <f t="shared" si="5"/>
        <v>26.8</v>
      </c>
      <c r="M18" s="87">
        <f t="shared" si="5"/>
        <v>30.4</v>
      </c>
      <c r="N18" s="87">
        <f t="shared" si="5"/>
        <v>21.7</v>
      </c>
      <c r="O18" s="87">
        <f t="shared" si="5"/>
        <v>10.199999999999999</v>
      </c>
      <c r="P18" s="87">
        <f t="shared" si="5"/>
        <v>3</v>
      </c>
      <c r="Q18" s="87">
        <f t="shared" si="5"/>
        <v>99.7</v>
      </c>
      <c r="R18" s="66">
        <f t="shared" si="6"/>
        <v>14568</v>
      </c>
      <c r="S18" s="87">
        <f t="shared" si="7"/>
        <v>6.1</v>
      </c>
      <c r="T18" s="87">
        <f t="shared" si="7"/>
        <v>23.4</v>
      </c>
      <c r="U18" s="87">
        <f t="shared" si="7"/>
        <v>29.4</v>
      </c>
      <c r="V18" s="87">
        <f t="shared" si="7"/>
        <v>24.3</v>
      </c>
      <c r="W18" s="87">
        <f t="shared" si="7"/>
        <v>12.4</v>
      </c>
      <c r="X18" s="87">
        <f t="shared" si="7"/>
        <v>3.9</v>
      </c>
      <c r="Y18" s="87">
        <f t="shared" si="7"/>
        <v>99.5</v>
      </c>
      <c r="Z18" s="66">
        <f t="shared" si="8"/>
        <v>29719</v>
      </c>
    </row>
    <row r="19" spans="1:26" x14ac:dyDescent="0.2">
      <c r="A19" s="44"/>
      <c r="B19" s="67" t="s">
        <v>14</v>
      </c>
      <c r="C19" s="87">
        <f t="shared" si="3"/>
        <v>6.5</v>
      </c>
      <c r="D19" s="87">
        <f t="shared" si="3"/>
        <v>21.4</v>
      </c>
      <c r="E19" s="87">
        <f t="shared" si="3"/>
        <v>29</v>
      </c>
      <c r="F19" s="87">
        <f t="shared" si="3"/>
        <v>23.8</v>
      </c>
      <c r="G19" s="87">
        <f t="shared" si="3"/>
        <v>13.2</v>
      </c>
      <c r="H19" s="87">
        <f t="shared" si="3"/>
        <v>5.2</v>
      </c>
      <c r="I19" s="87">
        <f t="shared" si="3"/>
        <v>99.2</v>
      </c>
      <c r="J19" s="66">
        <f t="shared" si="4"/>
        <v>7932</v>
      </c>
      <c r="K19" s="87">
        <f t="shared" si="5"/>
        <v>8.5</v>
      </c>
      <c r="L19" s="87">
        <f t="shared" si="5"/>
        <v>25.9</v>
      </c>
      <c r="M19" s="87">
        <f t="shared" si="5"/>
        <v>28.6</v>
      </c>
      <c r="N19" s="87">
        <f t="shared" si="5"/>
        <v>21</v>
      </c>
      <c r="O19" s="87">
        <f t="shared" si="5"/>
        <v>10.4</v>
      </c>
      <c r="P19" s="87">
        <f t="shared" si="5"/>
        <v>4.5999999999999996</v>
      </c>
      <c r="Q19" s="87">
        <f t="shared" si="5"/>
        <v>99.1</v>
      </c>
      <c r="R19" s="66">
        <f t="shared" si="6"/>
        <v>5858</v>
      </c>
      <c r="S19" s="87">
        <f t="shared" si="7"/>
        <v>7.4</v>
      </c>
      <c r="T19" s="87">
        <f t="shared" si="7"/>
        <v>23.3</v>
      </c>
      <c r="U19" s="87">
        <f t="shared" si="7"/>
        <v>28.8</v>
      </c>
      <c r="V19" s="87">
        <f t="shared" si="7"/>
        <v>22.6</v>
      </c>
      <c r="W19" s="87">
        <f t="shared" si="7"/>
        <v>12</v>
      </c>
      <c r="X19" s="87">
        <f t="shared" si="7"/>
        <v>5</v>
      </c>
      <c r="Y19" s="87">
        <f t="shared" si="7"/>
        <v>99.1</v>
      </c>
      <c r="Z19" s="66">
        <f t="shared" si="8"/>
        <v>13790</v>
      </c>
    </row>
    <row r="20" spans="1:26" x14ac:dyDescent="0.2">
      <c r="A20" s="44"/>
      <c r="B20" s="67" t="s">
        <v>15</v>
      </c>
      <c r="C20" s="87">
        <f t="shared" si="3"/>
        <v>6.2</v>
      </c>
      <c r="D20" s="87">
        <f t="shared" si="3"/>
        <v>18.100000000000001</v>
      </c>
      <c r="E20" s="87">
        <f t="shared" si="3"/>
        <v>28.8</v>
      </c>
      <c r="F20" s="87">
        <f t="shared" si="3"/>
        <v>27.9</v>
      </c>
      <c r="G20" s="87">
        <f t="shared" si="3"/>
        <v>14.3</v>
      </c>
      <c r="H20" s="87">
        <f t="shared" si="3"/>
        <v>4.2</v>
      </c>
      <c r="I20" s="87">
        <f t="shared" si="3"/>
        <v>99.5</v>
      </c>
      <c r="J20" s="66">
        <f t="shared" si="4"/>
        <v>22349</v>
      </c>
      <c r="K20" s="87">
        <f t="shared" si="5"/>
        <v>7.5</v>
      </c>
      <c r="L20" s="87">
        <f t="shared" si="5"/>
        <v>20.8</v>
      </c>
      <c r="M20" s="87">
        <f t="shared" si="5"/>
        <v>31</v>
      </c>
      <c r="N20" s="87">
        <f t="shared" si="5"/>
        <v>25</v>
      </c>
      <c r="O20" s="87">
        <f t="shared" si="5"/>
        <v>11.9</v>
      </c>
      <c r="P20" s="87">
        <f t="shared" si="5"/>
        <v>3.3</v>
      </c>
      <c r="Q20" s="87">
        <f t="shared" si="5"/>
        <v>99.5</v>
      </c>
      <c r="R20" s="66">
        <f t="shared" si="6"/>
        <v>24071</v>
      </c>
      <c r="S20" s="87">
        <f t="shared" si="7"/>
        <v>6.9</v>
      </c>
      <c r="T20" s="87">
        <f t="shared" si="7"/>
        <v>19.5</v>
      </c>
      <c r="U20" s="87">
        <f t="shared" si="7"/>
        <v>29.9</v>
      </c>
      <c r="V20" s="87">
        <f t="shared" si="7"/>
        <v>26.4</v>
      </c>
      <c r="W20" s="87">
        <f t="shared" si="7"/>
        <v>13</v>
      </c>
      <c r="X20" s="87">
        <f t="shared" si="7"/>
        <v>3.7</v>
      </c>
      <c r="Y20" s="87">
        <f t="shared" si="7"/>
        <v>99.5</v>
      </c>
      <c r="Z20" s="66">
        <f t="shared" si="8"/>
        <v>46420</v>
      </c>
    </row>
    <row r="21" spans="1:26" x14ac:dyDescent="0.2">
      <c r="A21" s="44"/>
      <c r="B21" s="67" t="s">
        <v>16</v>
      </c>
      <c r="C21" s="87">
        <f t="shared" si="3"/>
        <v>3.2</v>
      </c>
      <c r="D21" s="87">
        <f t="shared" si="3"/>
        <v>12</v>
      </c>
      <c r="E21" s="87">
        <f t="shared" si="3"/>
        <v>23.3</v>
      </c>
      <c r="F21" s="87">
        <f t="shared" si="3"/>
        <v>26.3</v>
      </c>
      <c r="G21" s="87">
        <f t="shared" si="3"/>
        <v>20.8</v>
      </c>
      <c r="H21" s="87">
        <f t="shared" si="3"/>
        <v>11.1</v>
      </c>
      <c r="I21" s="87">
        <f t="shared" si="3"/>
        <v>96.8</v>
      </c>
      <c r="J21" s="66">
        <f t="shared" si="4"/>
        <v>4508</v>
      </c>
      <c r="K21" s="87">
        <f t="shared" si="5"/>
        <v>4.7</v>
      </c>
      <c r="L21" s="87">
        <f t="shared" si="5"/>
        <v>15.3</v>
      </c>
      <c r="M21" s="87">
        <f t="shared" si="5"/>
        <v>26.4</v>
      </c>
      <c r="N21" s="87">
        <f t="shared" si="5"/>
        <v>25.6</v>
      </c>
      <c r="O21" s="87">
        <f t="shared" si="5"/>
        <v>17.5</v>
      </c>
      <c r="P21" s="87">
        <f t="shared" si="5"/>
        <v>8.1999999999999993</v>
      </c>
      <c r="Q21" s="87">
        <f t="shared" si="5"/>
        <v>97.7</v>
      </c>
      <c r="R21" s="66">
        <f t="shared" si="6"/>
        <v>7236</v>
      </c>
      <c r="S21" s="87">
        <f t="shared" si="7"/>
        <v>4.0999999999999996</v>
      </c>
      <c r="T21" s="87">
        <f t="shared" si="7"/>
        <v>14.1</v>
      </c>
      <c r="U21" s="87">
        <f t="shared" si="7"/>
        <v>25.2</v>
      </c>
      <c r="V21" s="87">
        <f t="shared" si="7"/>
        <v>25.9</v>
      </c>
      <c r="W21" s="87">
        <f t="shared" si="7"/>
        <v>18.8</v>
      </c>
      <c r="X21" s="87">
        <f t="shared" si="7"/>
        <v>9.3000000000000007</v>
      </c>
      <c r="Y21" s="87">
        <f t="shared" si="7"/>
        <v>97.3</v>
      </c>
      <c r="Z21" s="66">
        <f t="shared" si="8"/>
        <v>11744</v>
      </c>
    </row>
    <row r="22" spans="1:26" x14ac:dyDescent="0.2">
      <c r="A22" s="44"/>
      <c r="B22" s="67" t="s">
        <v>17</v>
      </c>
      <c r="C22" s="87">
        <f t="shared" ref="C22:I37" si="9">IF(OR(C64=1,C64=2),"x",ROUND(C64/$J64*100,1))</f>
        <v>2</v>
      </c>
      <c r="D22" s="87">
        <f t="shared" si="9"/>
        <v>7.9</v>
      </c>
      <c r="E22" s="87">
        <f t="shared" si="9"/>
        <v>22.1</v>
      </c>
      <c r="F22" s="87">
        <f t="shared" si="9"/>
        <v>28.5</v>
      </c>
      <c r="G22" s="87">
        <f t="shared" si="9"/>
        <v>24.2</v>
      </c>
      <c r="H22" s="87">
        <f t="shared" si="9"/>
        <v>12.3</v>
      </c>
      <c r="I22" s="87">
        <f t="shared" si="9"/>
        <v>97.1</v>
      </c>
      <c r="J22" s="66">
        <f t="shared" si="4"/>
        <v>13637</v>
      </c>
      <c r="K22" s="87">
        <f t="shared" ref="K22:Q37" si="10">IF(OR(K64=1,K64=2),"x",ROUND(K64/$R64*100,1))</f>
        <v>4.8</v>
      </c>
      <c r="L22" s="87">
        <f t="shared" si="10"/>
        <v>15.3</v>
      </c>
      <c r="M22" s="87">
        <f t="shared" si="10"/>
        <v>27.9</v>
      </c>
      <c r="N22" s="87">
        <f t="shared" si="10"/>
        <v>26.3</v>
      </c>
      <c r="O22" s="87">
        <f t="shared" si="10"/>
        <v>17</v>
      </c>
      <c r="P22" s="87">
        <f t="shared" si="10"/>
        <v>7</v>
      </c>
      <c r="Q22" s="87">
        <f t="shared" si="10"/>
        <v>98.5</v>
      </c>
      <c r="R22" s="66">
        <f t="shared" si="6"/>
        <v>39707</v>
      </c>
      <c r="S22" s="87">
        <f t="shared" ref="S22:Y37" si="11">IF(OR(S64=1,S64=2),"x",ROUND(S64/$Z64*100,1))</f>
        <v>4.0999999999999996</v>
      </c>
      <c r="T22" s="87">
        <f t="shared" si="11"/>
        <v>13.4</v>
      </c>
      <c r="U22" s="87">
        <f t="shared" si="11"/>
        <v>26.4</v>
      </c>
      <c r="V22" s="87">
        <f t="shared" si="11"/>
        <v>26.9</v>
      </c>
      <c r="W22" s="87">
        <f t="shared" si="11"/>
        <v>18.899999999999999</v>
      </c>
      <c r="X22" s="87">
        <f t="shared" si="11"/>
        <v>8.4</v>
      </c>
      <c r="Y22" s="87">
        <f t="shared" si="11"/>
        <v>98.1</v>
      </c>
      <c r="Z22" s="66">
        <f t="shared" si="8"/>
        <v>53344</v>
      </c>
    </row>
    <row r="23" spans="1:26" x14ac:dyDescent="0.2">
      <c r="A23" s="44"/>
      <c r="B23" s="67" t="s">
        <v>18</v>
      </c>
      <c r="C23" s="87">
        <f t="shared" si="9"/>
        <v>3.6</v>
      </c>
      <c r="D23" s="87">
        <f t="shared" si="9"/>
        <v>10.1</v>
      </c>
      <c r="E23" s="87">
        <f t="shared" si="9"/>
        <v>25.6</v>
      </c>
      <c r="F23" s="87">
        <f t="shared" si="9"/>
        <v>30.7</v>
      </c>
      <c r="G23" s="87">
        <f t="shared" si="9"/>
        <v>20.2</v>
      </c>
      <c r="H23" s="87">
        <f t="shared" si="9"/>
        <v>8</v>
      </c>
      <c r="I23" s="87">
        <f t="shared" si="9"/>
        <v>98.3</v>
      </c>
      <c r="J23" s="66">
        <f t="shared" si="4"/>
        <v>6805</v>
      </c>
      <c r="K23" s="87">
        <f t="shared" si="10"/>
        <v>4.5</v>
      </c>
      <c r="L23" s="87">
        <f t="shared" si="10"/>
        <v>15.3</v>
      </c>
      <c r="M23" s="87">
        <f t="shared" si="10"/>
        <v>28.9</v>
      </c>
      <c r="N23" s="87">
        <f t="shared" si="10"/>
        <v>28.2</v>
      </c>
      <c r="O23" s="87">
        <f t="shared" si="10"/>
        <v>15.9</v>
      </c>
      <c r="P23" s="87">
        <f t="shared" si="10"/>
        <v>5.8</v>
      </c>
      <c r="Q23" s="87">
        <f t="shared" si="10"/>
        <v>98.7</v>
      </c>
      <c r="R23" s="66">
        <f t="shared" si="6"/>
        <v>21148</v>
      </c>
      <c r="S23" s="87">
        <f t="shared" si="11"/>
        <v>4.3</v>
      </c>
      <c r="T23" s="87">
        <f t="shared" si="11"/>
        <v>14</v>
      </c>
      <c r="U23" s="87">
        <f t="shared" si="11"/>
        <v>28.1</v>
      </c>
      <c r="V23" s="87">
        <f t="shared" si="11"/>
        <v>28.8</v>
      </c>
      <c r="W23" s="87">
        <f t="shared" si="11"/>
        <v>17</v>
      </c>
      <c r="X23" s="87">
        <f t="shared" si="11"/>
        <v>6.4</v>
      </c>
      <c r="Y23" s="87">
        <f t="shared" si="11"/>
        <v>98.6</v>
      </c>
      <c r="Z23" s="66">
        <f t="shared" si="8"/>
        <v>27953</v>
      </c>
    </row>
    <row r="24" spans="1:26" x14ac:dyDescent="0.2">
      <c r="A24" s="44"/>
      <c r="B24" s="67" t="s">
        <v>19</v>
      </c>
      <c r="C24" s="87">
        <f t="shared" si="9"/>
        <v>5.5</v>
      </c>
      <c r="D24" s="87">
        <f t="shared" si="9"/>
        <v>14.6</v>
      </c>
      <c r="E24" s="87">
        <f t="shared" si="9"/>
        <v>28</v>
      </c>
      <c r="F24" s="87">
        <f t="shared" si="9"/>
        <v>24.1</v>
      </c>
      <c r="G24" s="87">
        <f t="shared" si="9"/>
        <v>17.399999999999999</v>
      </c>
      <c r="H24" s="87">
        <f t="shared" si="9"/>
        <v>7.4</v>
      </c>
      <c r="I24" s="87">
        <f t="shared" si="9"/>
        <v>97.1</v>
      </c>
      <c r="J24" s="66">
        <f t="shared" si="4"/>
        <v>1875</v>
      </c>
      <c r="K24" s="87">
        <f t="shared" si="10"/>
        <v>5.6</v>
      </c>
      <c r="L24" s="87">
        <f t="shared" si="10"/>
        <v>16.8</v>
      </c>
      <c r="M24" s="87">
        <f t="shared" si="10"/>
        <v>28.7</v>
      </c>
      <c r="N24" s="87">
        <f t="shared" si="10"/>
        <v>24.8</v>
      </c>
      <c r="O24" s="87">
        <f t="shared" si="10"/>
        <v>15.2</v>
      </c>
      <c r="P24" s="87">
        <f t="shared" si="10"/>
        <v>6.8</v>
      </c>
      <c r="Q24" s="87">
        <f t="shared" si="10"/>
        <v>97.9</v>
      </c>
      <c r="R24" s="66">
        <f t="shared" si="6"/>
        <v>2263</v>
      </c>
      <c r="S24" s="87">
        <f t="shared" si="11"/>
        <v>5.5</v>
      </c>
      <c r="T24" s="87">
        <f t="shared" si="11"/>
        <v>15.8</v>
      </c>
      <c r="U24" s="87">
        <f t="shared" si="11"/>
        <v>28.4</v>
      </c>
      <c r="V24" s="87">
        <f t="shared" si="11"/>
        <v>24.5</v>
      </c>
      <c r="W24" s="87">
        <f t="shared" si="11"/>
        <v>16.2</v>
      </c>
      <c r="X24" s="87">
        <f t="shared" si="11"/>
        <v>7.1</v>
      </c>
      <c r="Y24" s="87">
        <f t="shared" si="11"/>
        <v>97.5</v>
      </c>
      <c r="Z24" s="66">
        <f t="shared" si="8"/>
        <v>4138</v>
      </c>
    </row>
    <row r="25" spans="1:26" x14ac:dyDescent="0.2">
      <c r="A25" s="44"/>
      <c r="B25" s="67" t="s">
        <v>20</v>
      </c>
      <c r="C25" s="87">
        <f t="shared" si="9"/>
        <v>11.2</v>
      </c>
      <c r="D25" s="87">
        <f t="shared" si="9"/>
        <v>12.4</v>
      </c>
      <c r="E25" s="87">
        <f t="shared" si="9"/>
        <v>25.5</v>
      </c>
      <c r="F25" s="87">
        <f t="shared" si="9"/>
        <v>27.4</v>
      </c>
      <c r="G25" s="87">
        <f t="shared" si="9"/>
        <v>16.3</v>
      </c>
      <c r="H25" s="87">
        <f t="shared" si="9"/>
        <v>5.8</v>
      </c>
      <c r="I25" s="87">
        <f t="shared" si="9"/>
        <v>98.6</v>
      </c>
      <c r="J25" s="66">
        <f t="shared" si="4"/>
        <v>10443</v>
      </c>
      <c r="K25" s="87">
        <f t="shared" si="10"/>
        <v>12.5</v>
      </c>
      <c r="L25" s="87">
        <f t="shared" si="10"/>
        <v>17.3</v>
      </c>
      <c r="M25" s="87">
        <f t="shared" si="10"/>
        <v>30.5</v>
      </c>
      <c r="N25" s="87">
        <f t="shared" si="10"/>
        <v>24.9</v>
      </c>
      <c r="O25" s="87">
        <f t="shared" si="10"/>
        <v>11.2</v>
      </c>
      <c r="P25" s="87">
        <f t="shared" si="10"/>
        <v>2.8</v>
      </c>
      <c r="Q25" s="87">
        <f t="shared" si="10"/>
        <v>99.3</v>
      </c>
      <c r="R25" s="66">
        <f t="shared" si="6"/>
        <v>30945</v>
      </c>
      <c r="S25" s="87">
        <f t="shared" si="11"/>
        <v>12.2</v>
      </c>
      <c r="T25" s="87">
        <f t="shared" si="11"/>
        <v>16.100000000000001</v>
      </c>
      <c r="U25" s="87">
        <f t="shared" si="11"/>
        <v>29.2</v>
      </c>
      <c r="V25" s="87">
        <f t="shared" si="11"/>
        <v>25.6</v>
      </c>
      <c r="W25" s="87">
        <f t="shared" si="11"/>
        <v>12.5</v>
      </c>
      <c r="X25" s="87">
        <f t="shared" si="11"/>
        <v>3.6</v>
      </c>
      <c r="Y25" s="87">
        <f t="shared" si="11"/>
        <v>99.1</v>
      </c>
      <c r="Z25" s="66">
        <f t="shared" si="8"/>
        <v>41388</v>
      </c>
    </row>
    <row r="26" spans="1:26" x14ac:dyDescent="0.2">
      <c r="A26" s="44"/>
      <c r="B26" s="67" t="s">
        <v>21</v>
      </c>
      <c r="C26" s="87">
        <f t="shared" si="9"/>
        <v>2.2000000000000002</v>
      </c>
      <c r="D26" s="87">
        <f t="shared" si="9"/>
        <v>9.1999999999999993</v>
      </c>
      <c r="E26" s="87">
        <f t="shared" si="9"/>
        <v>27</v>
      </c>
      <c r="F26" s="87">
        <f t="shared" si="9"/>
        <v>33.4</v>
      </c>
      <c r="G26" s="87">
        <f t="shared" si="9"/>
        <v>21.6</v>
      </c>
      <c r="H26" s="87">
        <f t="shared" si="9"/>
        <v>5.9</v>
      </c>
      <c r="I26" s="87">
        <f t="shared" si="9"/>
        <v>99.3</v>
      </c>
      <c r="J26" s="66">
        <f t="shared" si="4"/>
        <v>3937</v>
      </c>
      <c r="K26" s="87">
        <f t="shared" si="10"/>
        <v>4.8</v>
      </c>
      <c r="L26" s="87">
        <f t="shared" si="10"/>
        <v>13.4</v>
      </c>
      <c r="M26" s="87">
        <f t="shared" si="10"/>
        <v>33.200000000000003</v>
      </c>
      <c r="N26" s="87">
        <f t="shared" si="10"/>
        <v>30.8</v>
      </c>
      <c r="O26" s="87">
        <f t="shared" si="10"/>
        <v>14.5</v>
      </c>
      <c r="P26" s="87">
        <f t="shared" si="10"/>
        <v>2.9</v>
      </c>
      <c r="Q26" s="87">
        <f t="shared" si="10"/>
        <v>99.6</v>
      </c>
      <c r="R26" s="66">
        <f t="shared" si="6"/>
        <v>8603</v>
      </c>
      <c r="S26" s="87">
        <f t="shared" si="11"/>
        <v>4</v>
      </c>
      <c r="T26" s="87">
        <f t="shared" si="11"/>
        <v>12</v>
      </c>
      <c r="U26" s="87">
        <f t="shared" si="11"/>
        <v>31.3</v>
      </c>
      <c r="V26" s="87">
        <f t="shared" si="11"/>
        <v>31.6</v>
      </c>
      <c r="W26" s="87">
        <f t="shared" si="11"/>
        <v>16.7</v>
      </c>
      <c r="X26" s="87">
        <f t="shared" si="11"/>
        <v>3.8</v>
      </c>
      <c r="Y26" s="87">
        <f t="shared" si="11"/>
        <v>99.5</v>
      </c>
      <c r="Z26" s="66">
        <f t="shared" si="8"/>
        <v>12540</v>
      </c>
    </row>
    <row r="27" spans="1:26" x14ac:dyDescent="0.2">
      <c r="A27" s="44"/>
      <c r="B27" s="67" t="s">
        <v>22</v>
      </c>
      <c r="C27" s="87">
        <f t="shared" si="9"/>
        <v>6.4</v>
      </c>
      <c r="D27" s="87">
        <f t="shared" si="9"/>
        <v>14</v>
      </c>
      <c r="E27" s="87">
        <f t="shared" si="9"/>
        <v>26</v>
      </c>
      <c r="F27" s="87">
        <f t="shared" si="9"/>
        <v>30.1</v>
      </c>
      <c r="G27" s="87">
        <f t="shared" si="9"/>
        <v>18.399999999999999</v>
      </c>
      <c r="H27" s="87">
        <f t="shared" si="9"/>
        <v>4.5</v>
      </c>
      <c r="I27" s="87">
        <f t="shared" si="9"/>
        <v>99.4</v>
      </c>
      <c r="J27" s="66">
        <f t="shared" si="4"/>
        <v>23435</v>
      </c>
      <c r="K27" s="87">
        <f t="shared" si="10"/>
        <v>6.2</v>
      </c>
      <c r="L27" s="87">
        <f t="shared" si="10"/>
        <v>15</v>
      </c>
      <c r="M27" s="87">
        <f t="shared" si="10"/>
        <v>28.8</v>
      </c>
      <c r="N27" s="87">
        <f t="shared" si="10"/>
        <v>30.8</v>
      </c>
      <c r="O27" s="87">
        <f t="shared" si="10"/>
        <v>15.5</v>
      </c>
      <c r="P27" s="87">
        <f t="shared" si="10"/>
        <v>3.3</v>
      </c>
      <c r="Q27" s="87">
        <f t="shared" si="10"/>
        <v>99.7</v>
      </c>
      <c r="R27" s="66">
        <f t="shared" si="6"/>
        <v>59990</v>
      </c>
      <c r="S27" s="87">
        <f t="shared" si="11"/>
        <v>6.3</v>
      </c>
      <c r="T27" s="87">
        <f t="shared" si="11"/>
        <v>14.7</v>
      </c>
      <c r="U27" s="87">
        <f t="shared" si="11"/>
        <v>28</v>
      </c>
      <c r="V27" s="87">
        <f t="shared" si="11"/>
        <v>30.6</v>
      </c>
      <c r="W27" s="87">
        <f t="shared" si="11"/>
        <v>16.3</v>
      </c>
      <c r="X27" s="87">
        <f t="shared" si="11"/>
        <v>3.6</v>
      </c>
      <c r="Y27" s="87">
        <f t="shared" si="11"/>
        <v>99.6</v>
      </c>
      <c r="Z27" s="66">
        <f t="shared" si="8"/>
        <v>83425</v>
      </c>
    </row>
    <row r="28" spans="1:26" x14ac:dyDescent="0.2">
      <c r="A28" s="44"/>
      <c r="B28" s="67" t="s">
        <v>51</v>
      </c>
      <c r="C28" s="87">
        <f t="shared" si="9"/>
        <v>0.9</v>
      </c>
      <c r="D28" s="87">
        <f t="shared" si="9"/>
        <v>6.3</v>
      </c>
      <c r="E28" s="87">
        <f t="shared" si="9"/>
        <v>25.3</v>
      </c>
      <c r="F28" s="87">
        <f t="shared" si="9"/>
        <v>39.1</v>
      </c>
      <c r="G28" s="87">
        <f t="shared" si="9"/>
        <v>22.3</v>
      </c>
      <c r="H28" s="87">
        <f t="shared" si="9"/>
        <v>5.0999999999999996</v>
      </c>
      <c r="I28" s="87">
        <f t="shared" si="9"/>
        <v>99.1</v>
      </c>
      <c r="J28" s="66">
        <f t="shared" si="4"/>
        <v>8804</v>
      </c>
      <c r="K28" s="87">
        <f t="shared" si="10"/>
        <v>1.5</v>
      </c>
      <c r="L28" s="87">
        <f t="shared" si="10"/>
        <v>11.7</v>
      </c>
      <c r="M28" s="87">
        <f t="shared" si="10"/>
        <v>35.6</v>
      </c>
      <c r="N28" s="87">
        <f t="shared" si="10"/>
        <v>35</v>
      </c>
      <c r="O28" s="87">
        <f t="shared" si="10"/>
        <v>13.3</v>
      </c>
      <c r="P28" s="87">
        <f t="shared" si="10"/>
        <v>2.2999999999999998</v>
      </c>
      <c r="Q28" s="87">
        <f t="shared" si="10"/>
        <v>99.5</v>
      </c>
      <c r="R28" s="66">
        <f t="shared" si="6"/>
        <v>11996</v>
      </c>
      <c r="S28" s="87">
        <f t="shared" si="11"/>
        <v>1.2</v>
      </c>
      <c r="T28" s="87">
        <f t="shared" si="11"/>
        <v>9.4</v>
      </c>
      <c r="U28" s="87">
        <f t="shared" si="11"/>
        <v>31.3</v>
      </c>
      <c r="V28" s="87">
        <f t="shared" si="11"/>
        <v>36.700000000000003</v>
      </c>
      <c r="W28" s="87">
        <f t="shared" si="11"/>
        <v>17.100000000000001</v>
      </c>
      <c r="X28" s="87">
        <f t="shared" si="11"/>
        <v>3.5</v>
      </c>
      <c r="Y28" s="87">
        <f t="shared" si="11"/>
        <v>99.3</v>
      </c>
      <c r="Z28" s="66">
        <f t="shared" si="8"/>
        <v>20800</v>
      </c>
    </row>
    <row r="29" spans="1:26" x14ac:dyDescent="0.2">
      <c r="A29" s="44"/>
      <c r="B29" s="67" t="s">
        <v>23</v>
      </c>
      <c r="C29" s="87">
        <f t="shared" si="9"/>
        <v>1.6</v>
      </c>
      <c r="D29" s="87">
        <f t="shared" si="9"/>
        <v>7.2</v>
      </c>
      <c r="E29" s="87">
        <f t="shared" si="9"/>
        <v>29.6</v>
      </c>
      <c r="F29" s="87">
        <f t="shared" si="9"/>
        <v>39.1</v>
      </c>
      <c r="G29" s="87">
        <f t="shared" si="9"/>
        <v>18.2</v>
      </c>
      <c r="H29" s="87">
        <f t="shared" si="9"/>
        <v>3.5</v>
      </c>
      <c r="I29" s="87">
        <f t="shared" si="9"/>
        <v>99.1</v>
      </c>
      <c r="J29" s="66">
        <f t="shared" si="4"/>
        <v>3747</v>
      </c>
      <c r="K29" s="87">
        <f t="shared" si="10"/>
        <v>1.9</v>
      </c>
      <c r="L29" s="87">
        <f t="shared" si="10"/>
        <v>12.1</v>
      </c>
      <c r="M29" s="87">
        <f t="shared" si="10"/>
        <v>34.5</v>
      </c>
      <c r="N29" s="87">
        <f t="shared" si="10"/>
        <v>36.1</v>
      </c>
      <c r="O29" s="87">
        <f t="shared" si="10"/>
        <v>12.9</v>
      </c>
      <c r="P29" s="87">
        <f t="shared" si="10"/>
        <v>2.1</v>
      </c>
      <c r="Q29" s="87">
        <f t="shared" si="10"/>
        <v>99.5</v>
      </c>
      <c r="R29" s="66">
        <f t="shared" si="6"/>
        <v>4758</v>
      </c>
      <c r="S29" s="87">
        <f t="shared" si="11"/>
        <v>1.7</v>
      </c>
      <c r="T29" s="87">
        <f t="shared" si="11"/>
        <v>9.9</v>
      </c>
      <c r="U29" s="87">
        <f t="shared" si="11"/>
        <v>32.299999999999997</v>
      </c>
      <c r="V29" s="87">
        <f t="shared" si="11"/>
        <v>37.4</v>
      </c>
      <c r="W29" s="87">
        <f t="shared" si="11"/>
        <v>15.2</v>
      </c>
      <c r="X29" s="87">
        <f t="shared" si="11"/>
        <v>2.7</v>
      </c>
      <c r="Y29" s="87">
        <f t="shared" si="11"/>
        <v>99.3</v>
      </c>
      <c r="Z29" s="66">
        <f t="shared" si="8"/>
        <v>8505</v>
      </c>
    </row>
    <row r="30" spans="1:26" x14ac:dyDescent="0.2">
      <c r="A30" s="44"/>
      <c r="B30" s="67" t="s">
        <v>24</v>
      </c>
      <c r="C30" s="87">
        <f t="shared" si="9"/>
        <v>7.3</v>
      </c>
      <c r="D30" s="87">
        <f t="shared" si="9"/>
        <v>35.9</v>
      </c>
      <c r="E30" s="87">
        <f t="shared" si="9"/>
        <v>28.8</v>
      </c>
      <c r="F30" s="87">
        <f t="shared" si="9"/>
        <v>16.2</v>
      </c>
      <c r="G30" s="87">
        <f t="shared" si="9"/>
        <v>8.4</v>
      </c>
      <c r="H30" s="87">
        <f t="shared" si="9"/>
        <v>2.7</v>
      </c>
      <c r="I30" s="87">
        <f t="shared" si="9"/>
        <v>99.2</v>
      </c>
      <c r="J30" s="66">
        <f t="shared" si="4"/>
        <v>3106</v>
      </c>
      <c r="K30" s="87">
        <f t="shared" si="10"/>
        <v>6.3</v>
      </c>
      <c r="L30" s="87">
        <f t="shared" si="10"/>
        <v>32.299999999999997</v>
      </c>
      <c r="M30" s="87">
        <f t="shared" si="10"/>
        <v>30.2</v>
      </c>
      <c r="N30" s="87">
        <f t="shared" si="10"/>
        <v>18.600000000000001</v>
      </c>
      <c r="O30" s="87">
        <f t="shared" si="10"/>
        <v>9.1</v>
      </c>
      <c r="P30" s="87">
        <f t="shared" si="10"/>
        <v>3</v>
      </c>
      <c r="Q30" s="87">
        <f t="shared" si="10"/>
        <v>99.5</v>
      </c>
      <c r="R30" s="66">
        <f t="shared" si="6"/>
        <v>6772</v>
      </c>
      <c r="S30" s="87">
        <f t="shared" si="11"/>
        <v>6.6</v>
      </c>
      <c r="T30" s="87">
        <f t="shared" si="11"/>
        <v>33.4</v>
      </c>
      <c r="U30" s="87">
        <f t="shared" si="11"/>
        <v>29.8</v>
      </c>
      <c r="V30" s="87">
        <f t="shared" si="11"/>
        <v>17.8</v>
      </c>
      <c r="W30" s="87">
        <f t="shared" si="11"/>
        <v>8.9</v>
      </c>
      <c r="X30" s="87">
        <f t="shared" si="11"/>
        <v>2.9</v>
      </c>
      <c r="Y30" s="87">
        <f t="shared" si="11"/>
        <v>99.4</v>
      </c>
      <c r="Z30" s="66">
        <f t="shared" si="8"/>
        <v>9878</v>
      </c>
    </row>
    <row r="31" spans="1:26" x14ac:dyDescent="0.2">
      <c r="A31" s="44"/>
      <c r="B31" s="67" t="s">
        <v>25</v>
      </c>
      <c r="C31" s="87">
        <f t="shared" si="9"/>
        <v>7.6</v>
      </c>
      <c r="D31" s="87">
        <f t="shared" si="9"/>
        <v>35.799999999999997</v>
      </c>
      <c r="E31" s="87">
        <f t="shared" si="9"/>
        <v>24.3</v>
      </c>
      <c r="F31" s="87">
        <f t="shared" si="9"/>
        <v>17.3</v>
      </c>
      <c r="G31" s="87">
        <f t="shared" si="9"/>
        <v>10.6</v>
      </c>
      <c r="H31" s="87">
        <f t="shared" si="9"/>
        <v>4</v>
      </c>
      <c r="I31" s="87">
        <f t="shared" si="9"/>
        <v>99.7</v>
      </c>
      <c r="J31" s="66">
        <f t="shared" si="4"/>
        <v>1499</v>
      </c>
      <c r="K31" s="87">
        <f t="shared" si="10"/>
        <v>7.1</v>
      </c>
      <c r="L31" s="87">
        <f t="shared" si="10"/>
        <v>31.1</v>
      </c>
      <c r="M31" s="87">
        <f t="shared" si="10"/>
        <v>28.1</v>
      </c>
      <c r="N31" s="87">
        <f t="shared" si="10"/>
        <v>19.3</v>
      </c>
      <c r="O31" s="87">
        <f t="shared" si="10"/>
        <v>9.8000000000000007</v>
      </c>
      <c r="P31" s="87">
        <f t="shared" si="10"/>
        <v>4</v>
      </c>
      <c r="Q31" s="87">
        <f t="shared" si="10"/>
        <v>99.5</v>
      </c>
      <c r="R31" s="66">
        <f t="shared" si="6"/>
        <v>2275</v>
      </c>
      <c r="S31" s="87">
        <f t="shared" si="11"/>
        <v>7.3</v>
      </c>
      <c r="T31" s="87">
        <f t="shared" si="11"/>
        <v>33</v>
      </c>
      <c r="U31" s="87">
        <f t="shared" si="11"/>
        <v>26.6</v>
      </c>
      <c r="V31" s="87">
        <f t="shared" si="11"/>
        <v>18.5</v>
      </c>
      <c r="W31" s="87">
        <f t="shared" si="11"/>
        <v>10.1</v>
      </c>
      <c r="X31" s="87">
        <f t="shared" si="11"/>
        <v>4</v>
      </c>
      <c r="Y31" s="87">
        <f t="shared" si="11"/>
        <v>99.6</v>
      </c>
      <c r="Z31" s="66">
        <f t="shared" si="8"/>
        <v>3774</v>
      </c>
    </row>
    <row r="32" spans="1:26" x14ac:dyDescent="0.2">
      <c r="A32" s="44"/>
      <c r="B32" s="67" t="s">
        <v>26</v>
      </c>
      <c r="C32" s="87">
        <f t="shared" si="9"/>
        <v>7.5</v>
      </c>
      <c r="D32" s="87">
        <f t="shared" si="9"/>
        <v>31.6</v>
      </c>
      <c r="E32" s="87">
        <f t="shared" si="9"/>
        <v>28</v>
      </c>
      <c r="F32" s="87">
        <f t="shared" si="9"/>
        <v>20.8</v>
      </c>
      <c r="G32" s="87">
        <f t="shared" si="9"/>
        <v>8.8000000000000007</v>
      </c>
      <c r="H32" s="87">
        <f t="shared" si="9"/>
        <v>2.8</v>
      </c>
      <c r="I32" s="87">
        <f t="shared" si="9"/>
        <v>99.5</v>
      </c>
      <c r="J32" s="66">
        <f t="shared" si="4"/>
        <v>2140</v>
      </c>
      <c r="K32" s="87">
        <f t="shared" si="10"/>
        <v>7.3</v>
      </c>
      <c r="L32" s="87">
        <f t="shared" si="10"/>
        <v>29.1</v>
      </c>
      <c r="M32" s="87">
        <f t="shared" si="10"/>
        <v>31</v>
      </c>
      <c r="N32" s="87">
        <f t="shared" si="10"/>
        <v>18.5</v>
      </c>
      <c r="O32" s="87">
        <f t="shared" si="10"/>
        <v>9.6999999999999993</v>
      </c>
      <c r="P32" s="87">
        <f t="shared" si="10"/>
        <v>3.7</v>
      </c>
      <c r="Q32" s="87">
        <f t="shared" si="10"/>
        <v>99.3</v>
      </c>
      <c r="R32" s="66">
        <f t="shared" si="6"/>
        <v>4376</v>
      </c>
      <c r="S32" s="87">
        <f t="shared" si="11"/>
        <v>7.4</v>
      </c>
      <c r="T32" s="87">
        <f t="shared" si="11"/>
        <v>29.9</v>
      </c>
      <c r="U32" s="87">
        <f t="shared" si="11"/>
        <v>30</v>
      </c>
      <c r="V32" s="87">
        <f t="shared" si="11"/>
        <v>19.3</v>
      </c>
      <c r="W32" s="87">
        <f t="shared" si="11"/>
        <v>9.4</v>
      </c>
      <c r="X32" s="87">
        <f t="shared" si="11"/>
        <v>3.4</v>
      </c>
      <c r="Y32" s="87">
        <f t="shared" si="11"/>
        <v>99.4</v>
      </c>
      <c r="Z32" s="66">
        <f t="shared" si="8"/>
        <v>6516</v>
      </c>
    </row>
    <row r="33" spans="1:26" x14ac:dyDescent="0.2">
      <c r="A33" s="44"/>
      <c r="B33" s="67" t="s">
        <v>27</v>
      </c>
      <c r="C33" s="87">
        <f t="shared" si="9"/>
        <v>12</v>
      </c>
      <c r="D33" s="87">
        <f t="shared" si="9"/>
        <v>34.5</v>
      </c>
      <c r="E33" s="87">
        <f t="shared" si="9"/>
        <v>32</v>
      </c>
      <c r="F33" s="87">
        <f t="shared" si="9"/>
        <v>13.2</v>
      </c>
      <c r="G33" s="87">
        <f t="shared" si="9"/>
        <v>4.2</v>
      </c>
      <c r="H33" s="87">
        <f t="shared" si="9"/>
        <v>2.2000000000000002</v>
      </c>
      <c r="I33" s="87">
        <f t="shared" si="9"/>
        <v>98.2</v>
      </c>
      <c r="J33" s="66">
        <f t="shared" si="4"/>
        <v>2970</v>
      </c>
      <c r="K33" s="87">
        <f t="shared" si="10"/>
        <v>14.7</v>
      </c>
      <c r="L33" s="87">
        <f t="shared" si="10"/>
        <v>39.200000000000003</v>
      </c>
      <c r="M33" s="87">
        <f t="shared" si="10"/>
        <v>28.4</v>
      </c>
      <c r="N33" s="87">
        <f t="shared" si="10"/>
        <v>10.4</v>
      </c>
      <c r="O33" s="87">
        <f t="shared" si="10"/>
        <v>3.9</v>
      </c>
      <c r="P33" s="87">
        <f t="shared" si="10"/>
        <v>2</v>
      </c>
      <c r="Q33" s="87">
        <f t="shared" si="10"/>
        <v>98.6</v>
      </c>
      <c r="R33" s="66">
        <f t="shared" si="6"/>
        <v>4114</v>
      </c>
      <c r="S33" s="87">
        <f t="shared" si="11"/>
        <v>13.6</v>
      </c>
      <c r="T33" s="87">
        <f t="shared" si="11"/>
        <v>37.200000000000003</v>
      </c>
      <c r="U33" s="87">
        <f t="shared" si="11"/>
        <v>29.9</v>
      </c>
      <c r="V33" s="87">
        <f t="shared" si="11"/>
        <v>11.6</v>
      </c>
      <c r="W33" s="87">
        <f t="shared" si="11"/>
        <v>4.0999999999999996</v>
      </c>
      <c r="X33" s="87">
        <f t="shared" si="11"/>
        <v>2.1</v>
      </c>
      <c r="Y33" s="87">
        <f t="shared" si="11"/>
        <v>98.4</v>
      </c>
      <c r="Z33" s="66">
        <f t="shared" si="8"/>
        <v>7084</v>
      </c>
    </row>
    <row r="34" spans="1:26" x14ac:dyDescent="0.2">
      <c r="A34" s="44"/>
      <c r="B34" s="67" t="s">
        <v>28</v>
      </c>
      <c r="C34" s="87">
        <f t="shared" si="9"/>
        <v>9.4</v>
      </c>
      <c r="D34" s="87">
        <f t="shared" si="9"/>
        <v>23.8</v>
      </c>
      <c r="E34" s="87">
        <f t="shared" si="9"/>
        <v>28.2</v>
      </c>
      <c r="F34" s="87">
        <f t="shared" si="9"/>
        <v>21.6</v>
      </c>
      <c r="G34" s="87">
        <f t="shared" si="9"/>
        <v>11.3</v>
      </c>
      <c r="H34" s="87">
        <f t="shared" si="9"/>
        <v>4.7</v>
      </c>
      <c r="I34" s="87">
        <f t="shared" si="9"/>
        <v>99.1</v>
      </c>
      <c r="J34" s="66">
        <f t="shared" si="4"/>
        <v>2691</v>
      </c>
      <c r="K34" s="87">
        <f t="shared" si="10"/>
        <v>12.3</v>
      </c>
      <c r="L34" s="87">
        <f t="shared" si="10"/>
        <v>28.6</v>
      </c>
      <c r="M34" s="87">
        <f t="shared" si="10"/>
        <v>29.1</v>
      </c>
      <c r="N34" s="87">
        <f t="shared" si="10"/>
        <v>18.100000000000001</v>
      </c>
      <c r="O34" s="87">
        <f t="shared" si="10"/>
        <v>8.4</v>
      </c>
      <c r="P34" s="87">
        <f t="shared" si="10"/>
        <v>2.9</v>
      </c>
      <c r="Q34" s="87">
        <f t="shared" si="10"/>
        <v>99.4</v>
      </c>
      <c r="R34" s="66">
        <f t="shared" si="6"/>
        <v>3389</v>
      </c>
      <c r="S34" s="87">
        <f t="shared" si="11"/>
        <v>11.1</v>
      </c>
      <c r="T34" s="87">
        <f t="shared" si="11"/>
        <v>26.5</v>
      </c>
      <c r="U34" s="87">
        <f t="shared" si="11"/>
        <v>28.7</v>
      </c>
      <c r="V34" s="87">
        <f t="shared" si="11"/>
        <v>19.7</v>
      </c>
      <c r="W34" s="87">
        <f t="shared" si="11"/>
        <v>9.6999999999999993</v>
      </c>
      <c r="X34" s="87">
        <f t="shared" si="11"/>
        <v>3.7</v>
      </c>
      <c r="Y34" s="87">
        <f t="shared" si="11"/>
        <v>99.3</v>
      </c>
      <c r="Z34" s="66">
        <f t="shared" si="8"/>
        <v>6080</v>
      </c>
    </row>
    <row r="35" spans="1:26" x14ac:dyDescent="0.2">
      <c r="A35" s="44"/>
      <c r="B35" s="67" t="s">
        <v>29</v>
      </c>
      <c r="C35" s="87">
        <f t="shared" si="9"/>
        <v>5.7</v>
      </c>
      <c r="D35" s="87">
        <f t="shared" si="9"/>
        <v>19.5</v>
      </c>
      <c r="E35" s="87">
        <f t="shared" si="9"/>
        <v>27.1</v>
      </c>
      <c r="F35" s="87">
        <f t="shared" si="9"/>
        <v>25.8</v>
      </c>
      <c r="G35" s="87">
        <f t="shared" si="9"/>
        <v>15.2</v>
      </c>
      <c r="H35" s="87">
        <f t="shared" si="9"/>
        <v>5.6</v>
      </c>
      <c r="I35" s="87">
        <f t="shared" si="9"/>
        <v>98.9</v>
      </c>
      <c r="J35" s="66">
        <f t="shared" si="4"/>
        <v>6186</v>
      </c>
      <c r="K35" s="87">
        <f t="shared" si="10"/>
        <v>5.6</v>
      </c>
      <c r="L35" s="87">
        <f t="shared" si="10"/>
        <v>21.4</v>
      </c>
      <c r="M35" s="87">
        <f t="shared" si="10"/>
        <v>29.7</v>
      </c>
      <c r="N35" s="87">
        <f t="shared" si="10"/>
        <v>24.2</v>
      </c>
      <c r="O35" s="87">
        <f t="shared" si="10"/>
        <v>13.5</v>
      </c>
      <c r="P35" s="87">
        <f t="shared" si="10"/>
        <v>4.8</v>
      </c>
      <c r="Q35" s="87">
        <f t="shared" si="10"/>
        <v>99.2</v>
      </c>
      <c r="R35" s="66">
        <f t="shared" si="6"/>
        <v>12985</v>
      </c>
      <c r="S35" s="87">
        <f t="shared" si="11"/>
        <v>5.6</v>
      </c>
      <c r="T35" s="87">
        <f t="shared" si="11"/>
        <v>20.8</v>
      </c>
      <c r="U35" s="87">
        <f t="shared" si="11"/>
        <v>28.9</v>
      </c>
      <c r="V35" s="87">
        <f t="shared" si="11"/>
        <v>24.7</v>
      </c>
      <c r="W35" s="87">
        <f t="shared" si="11"/>
        <v>14</v>
      </c>
      <c r="X35" s="87">
        <f t="shared" si="11"/>
        <v>5.0999999999999996</v>
      </c>
      <c r="Y35" s="87">
        <f t="shared" si="11"/>
        <v>99.1</v>
      </c>
      <c r="Z35" s="66">
        <f t="shared" si="8"/>
        <v>19171</v>
      </c>
    </row>
    <row r="36" spans="1:26" x14ac:dyDescent="0.2">
      <c r="A36" s="44"/>
      <c r="B36" s="67" t="s">
        <v>30</v>
      </c>
      <c r="C36" s="87">
        <f t="shared" si="9"/>
        <v>3.9</v>
      </c>
      <c r="D36" s="87">
        <f t="shared" si="9"/>
        <v>12.2</v>
      </c>
      <c r="E36" s="87">
        <f t="shared" si="9"/>
        <v>22.8</v>
      </c>
      <c r="F36" s="87">
        <f t="shared" si="9"/>
        <v>27.9</v>
      </c>
      <c r="G36" s="87">
        <f t="shared" si="9"/>
        <v>23</v>
      </c>
      <c r="H36" s="87">
        <f t="shared" si="9"/>
        <v>8.8000000000000007</v>
      </c>
      <c r="I36" s="87">
        <f t="shared" si="9"/>
        <v>98.5</v>
      </c>
      <c r="J36" s="66">
        <f t="shared" si="4"/>
        <v>4722</v>
      </c>
      <c r="K36" s="87">
        <f t="shared" si="10"/>
        <v>3.9</v>
      </c>
      <c r="L36" s="87">
        <f t="shared" si="10"/>
        <v>17.8</v>
      </c>
      <c r="M36" s="87">
        <f t="shared" si="10"/>
        <v>25.5</v>
      </c>
      <c r="N36" s="87">
        <f t="shared" si="10"/>
        <v>26.9</v>
      </c>
      <c r="O36" s="87">
        <f t="shared" si="10"/>
        <v>17.899999999999999</v>
      </c>
      <c r="P36" s="87">
        <f t="shared" si="10"/>
        <v>7</v>
      </c>
      <c r="Q36" s="87">
        <f t="shared" si="10"/>
        <v>99</v>
      </c>
      <c r="R36" s="66">
        <f t="shared" si="6"/>
        <v>2933</v>
      </c>
      <c r="S36" s="87">
        <f t="shared" si="11"/>
        <v>3.9</v>
      </c>
      <c r="T36" s="87">
        <f t="shared" si="11"/>
        <v>14.3</v>
      </c>
      <c r="U36" s="87">
        <f t="shared" si="11"/>
        <v>23.8</v>
      </c>
      <c r="V36" s="87">
        <f t="shared" si="11"/>
        <v>27.5</v>
      </c>
      <c r="W36" s="87">
        <f t="shared" si="11"/>
        <v>21</v>
      </c>
      <c r="X36" s="87">
        <f t="shared" si="11"/>
        <v>8.1</v>
      </c>
      <c r="Y36" s="87">
        <f t="shared" si="11"/>
        <v>98.7</v>
      </c>
      <c r="Z36" s="66">
        <f t="shared" si="8"/>
        <v>7655</v>
      </c>
    </row>
    <row r="37" spans="1:26" x14ac:dyDescent="0.2">
      <c r="A37" s="44"/>
      <c r="B37" s="67" t="s">
        <v>31</v>
      </c>
      <c r="C37" s="87">
        <f t="shared" si="9"/>
        <v>2.5</v>
      </c>
      <c r="D37" s="87">
        <f t="shared" si="9"/>
        <v>9.5</v>
      </c>
      <c r="E37" s="87">
        <f t="shared" si="9"/>
        <v>21</v>
      </c>
      <c r="F37" s="87">
        <f t="shared" si="9"/>
        <v>27.7</v>
      </c>
      <c r="G37" s="87">
        <f t="shared" si="9"/>
        <v>24.1</v>
      </c>
      <c r="H37" s="87">
        <f t="shared" si="9"/>
        <v>13.2</v>
      </c>
      <c r="I37" s="87">
        <f t="shared" si="9"/>
        <v>98.1</v>
      </c>
      <c r="J37" s="66">
        <f t="shared" si="4"/>
        <v>8681</v>
      </c>
      <c r="K37" s="87">
        <f t="shared" si="10"/>
        <v>5.8</v>
      </c>
      <c r="L37" s="87">
        <f t="shared" si="10"/>
        <v>16.399999999999999</v>
      </c>
      <c r="M37" s="87">
        <f t="shared" si="10"/>
        <v>29.7</v>
      </c>
      <c r="N37" s="87">
        <f t="shared" si="10"/>
        <v>24.7</v>
      </c>
      <c r="O37" s="87">
        <f t="shared" si="10"/>
        <v>16</v>
      </c>
      <c r="P37" s="87">
        <f t="shared" si="10"/>
        <v>6.5</v>
      </c>
      <c r="Q37" s="87">
        <f t="shared" si="10"/>
        <v>99.1</v>
      </c>
      <c r="R37" s="66">
        <f t="shared" si="6"/>
        <v>6332</v>
      </c>
      <c r="S37" s="87">
        <f t="shared" si="11"/>
        <v>3.9</v>
      </c>
      <c r="T37" s="87">
        <f t="shared" si="11"/>
        <v>12.4</v>
      </c>
      <c r="U37" s="87">
        <f t="shared" si="11"/>
        <v>24.7</v>
      </c>
      <c r="V37" s="87">
        <f t="shared" si="11"/>
        <v>26.5</v>
      </c>
      <c r="W37" s="87">
        <f t="shared" si="11"/>
        <v>20.7</v>
      </c>
      <c r="X37" s="87">
        <f t="shared" si="11"/>
        <v>10.4</v>
      </c>
      <c r="Y37" s="87">
        <f t="shared" si="11"/>
        <v>98.5</v>
      </c>
      <c r="Z37" s="66">
        <f t="shared" si="8"/>
        <v>15013</v>
      </c>
    </row>
    <row r="38" spans="1:26" x14ac:dyDescent="0.2">
      <c r="A38" s="44"/>
      <c r="B38" s="67" t="s">
        <v>32</v>
      </c>
      <c r="C38" s="87">
        <f t="shared" ref="C38:I39" si="12">IF(OR(C80=1,C80=2),"x",ROUND(C80/$J80*100,1))</f>
        <v>4.2</v>
      </c>
      <c r="D38" s="87">
        <f t="shared" si="12"/>
        <v>7.9</v>
      </c>
      <c r="E38" s="87">
        <f t="shared" si="12"/>
        <v>16.899999999999999</v>
      </c>
      <c r="F38" s="87">
        <f t="shared" si="12"/>
        <v>24.8</v>
      </c>
      <c r="G38" s="87">
        <f t="shared" si="12"/>
        <v>24.5</v>
      </c>
      <c r="H38" s="87">
        <f t="shared" si="12"/>
        <v>16.399999999999999</v>
      </c>
      <c r="I38" s="87">
        <f t="shared" si="12"/>
        <v>94.6</v>
      </c>
      <c r="J38" s="66">
        <f t="shared" si="4"/>
        <v>15084</v>
      </c>
      <c r="K38" s="87">
        <f t="shared" ref="K38:Q39" si="13">IF(OR(K80=1,K80=2),"x",ROUND(K80/$R80*100,1))</f>
        <v>4.8</v>
      </c>
      <c r="L38" s="87">
        <f t="shared" si="13"/>
        <v>8.6</v>
      </c>
      <c r="M38" s="87">
        <f t="shared" si="13"/>
        <v>20</v>
      </c>
      <c r="N38" s="87">
        <f t="shared" si="13"/>
        <v>25.2</v>
      </c>
      <c r="O38" s="87">
        <f t="shared" si="13"/>
        <v>23.1</v>
      </c>
      <c r="P38" s="87">
        <f t="shared" si="13"/>
        <v>14.5</v>
      </c>
      <c r="Q38" s="87">
        <f t="shared" si="13"/>
        <v>96.3</v>
      </c>
      <c r="R38" s="66">
        <f t="shared" si="6"/>
        <v>18368</v>
      </c>
      <c r="S38" s="87">
        <f t="shared" ref="S38:Y39" si="14">IF(OR(S80=1,S80=2),"x",ROUND(S80/$Z80*100,1))</f>
        <v>4.5</v>
      </c>
      <c r="T38" s="87">
        <f t="shared" si="14"/>
        <v>8.3000000000000007</v>
      </c>
      <c r="U38" s="87">
        <f t="shared" si="14"/>
        <v>18.600000000000001</v>
      </c>
      <c r="V38" s="87">
        <f t="shared" si="14"/>
        <v>25</v>
      </c>
      <c r="W38" s="87">
        <f t="shared" si="14"/>
        <v>23.8</v>
      </c>
      <c r="X38" s="87">
        <f t="shared" si="14"/>
        <v>15.4</v>
      </c>
      <c r="Y38" s="87">
        <f t="shared" si="14"/>
        <v>95.6</v>
      </c>
      <c r="Z38" s="66">
        <f t="shared" si="8"/>
        <v>33452</v>
      </c>
    </row>
    <row r="39" spans="1:26" x14ac:dyDescent="0.2">
      <c r="A39" s="44"/>
      <c r="B39" s="67" t="s">
        <v>46</v>
      </c>
      <c r="C39" s="87">
        <f t="shared" si="12"/>
        <v>8.1999999999999993</v>
      </c>
      <c r="D39" s="87">
        <f t="shared" si="12"/>
        <v>18.2</v>
      </c>
      <c r="E39" s="87">
        <f t="shared" si="12"/>
        <v>24.7</v>
      </c>
      <c r="F39" s="87">
        <f t="shared" si="12"/>
        <v>23.9</v>
      </c>
      <c r="G39" s="87">
        <f t="shared" si="12"/>
        <v>16</v>
      </c>
      <c r="H39" s="87">
        <f t="shared" si="12"/>
        <v>7.4</v>
      </c>
      <c r="I39" s="87">
        <f t="shared" si="12"/>
        <v>98.4</v>
      </c>
      <c r="J39" s="66">
        <f t="shared" si="4"/>
        <v>353689</v>
      </c>
      <c r="K39" s="87">
        <f t="shared" si="13"/>
        <v>7.6</v>
      </c>
      <c r="L39" s="87">
        <f t="shared" si="13"/>
        <v>19.399999999999999</v>
      </c>
      <c r="M39" s="87">
        <f t="shared" si="13"/>
        <v>28.1</v>
      </c>
      <c r="N39" s="87">
        <f t="shared" si="13"/>
        <v>24.6</v>
      </c>
      <c r="O39" s="87">
        <f t="shared" si="13"/>
        <v>13.9</v>
      </c>
      <c r="P39" s="87">
        <f t="shared" si="13"/>
        <v>5.3</v>
      </c>
      <c r="Q39" s="87">
        <f t="shared" si="13"/>
        <v>99</v>
      </c>
      <c r="R39" s="66">
        <f t="shared" si="6"/>
        <v>419956</v>
      </c>
      <c r="S39" s="87">
        <f t="shared" si="14"/>
        <v>7.9</v>
      </c>
      <c r="T39" s="87">
        <f t="shared" si="14"/>
        <v>18.899999999999999</v>
      </c>
      <c r="U39" s="87">
        <f t="shared" si="14"/>
        <v>26.5</v>
      </c>
      <c r="V39" s="87">
        <f t="shared" si="14"/>
        <v>24.3</v>
      </c>
      <c r="W39" s="87">
        <f t="shared" si="14"/>
        <v>14.9</v>
      </c>
      <c r="X39" s="87">
        <f t="shared" si="14"/>
        <v>6.2</v>
      </c>
      <c r="Y39" s="87">
        <f t="shared" si="14"/>
        <v>98.7</v>
      </c>
      <c r="Z39" s="66">
        <f t="shared" si="8"/>
        <v>773645</v>
      </c>
    </row>
    <row r="41" spans="1:26" s="125" customFormat="1" ht="15" x14ac:dyDescent="0.2">
      <c r="A41" s="130" t="s">
        <v>136</v>
      </c>
      <c r="B41" s="124"/>
      <c r="C41" s="92"/>
      <c r="D41" s="92"/>
      <c r="E41" s="92"/>
      <c r="F41" s="92"/>
      <c r="G41" s="92"/>
      <c r="H41" s="92"/>
      <c r="I41" s="92"/>
      <c r="J41" s="73"/>
      <c r="K41" s="92"/>
      <c r="L41" s="92"/>
      <c r="M41" s="92"/>
      <c r="N41" s="92"/>
      <c r="O41" s="92"/>
      <c r="P41" s="92"/>
      <c r="Q41" s="92"/>
      <c r="R41" s="73"/>
      <c r="S41" s="92"/>
      <c r="T41" s="92"/>
      <c r="U41" s="92"/>
      <c r="V41" s="92"/>
      <c r="W41" s="92"/>
      <c r="X41" s="92"/>
      <c r="Y41" s="92"/>
      <c r="Z41" s="73"/>
    </row>
    <row r="42" spans="1:26" s="125" customFormat="1" x14ac:dyDescent="0.2">
      <c r="A42" s="132" t="s">
        <v>137</v>
      </c>
      <c r="B42" s="73"/>
      <c r="C42" s="92"/>
      <c r="D42" s="92"/>
      <c r="E42" s="92"/>
      <c r="F42" s="92"/>
      <c r="G42" s="92"/>
      <c r="H42" s="92"/>
      <c r="I42" s="92"/>
      <c r="J42" s="73"/>
      <c r="K42" s="92"/>
      <c r="L42" s="92"/>
      <c r="M42" s="92"/>
      <c r="N42" s="92"/>
      <c r="O42" s="92"/>
      <c r="P42" s="92"/>
      <c r="Q42" s="92"/>
      <c r="R42" s="73"/>
      <c r="S42" s="92"/>
      <c r="T42" s="92"/>
      <c r="U42" s="92"/>
      <c r="V42" s="92"/>
      <c r="W42" s="92"/>
      <c r="X42" s="92"/>
      <c r="Y42" s="92"/>
      <c r="Z42" s="73"/>
    </row>
    <row r="43" spans="1:26" s="125" customFormat="1" x14ac:dyDescent="0.2">
      <c r="A43" s="126"/>
      <c r="B43" s="73"/>
      <c r="C43" s="92"/>
      <c r="D43" s="92"/>
      <c r="E43" s="92"/>
      <c r="F43" s="92"/>
      <c r="G43" s="92"/>
      <c r="H43" s="92"/>
      <c r="I43" s="92"/>
      <c r="J43" s="73"/>
      <c r="K43" s="92"/>
      <c r="L43" s="92"/>
      <c r="M43" s="92"/>
      <c r="N43" s="92"/>
      <c r="O43" s="92"/>
      <c r="P43" s="92"/>
      <c r="Q43" s="92"/>
      <c r="R43" s="73"/>
      <c r="S43" s="92"/>
      <c r="T43" s="92"/>
      <c r="U43" s="92"/>
      <c r="V43" s="92"/>
      <c r="W43" s="92"/>
      <c r="X43" s="92"/>
      <c r="Y43" s="92"/>
      <c r="Z43" s="73"/>
    </row>
    <row r="44" spans="1:26" s="125" customFormat="1" x14ac:dyDescent="0.2">
      <c r="A44" s="74"/>
      <c r="B44" s="73"/>
      <c r="C44" s="92" t="s">
        <v>42</v>
      </c>
      <c r="D44" s="92"/>
      <c r="E44" s="92"/>
      <c r="F44" s="92"/>
      <c r="G44" s="92"/>
      <c r="H44" s="92"/>
      <c r="I44" s="92"/>
      <c r="J44" s="73"/>
      <c r="K44" s="92" t="s">
        <v>43</v>
      </c>
      <c r="L44" s="92"/>
      <c r="M44" s="92"/>
      <c r="N44" s="92"/>
      <c r="O44" s="92"/>
      <c r="P44" s="92"/>
      <c r="Q44" s="92"/>
      <c r="R44" s="73"/>
      <c r="S44" s="92" t="s">
        <v>54</v>
      </c>
      <c r="T44" s="92"/>
      <c r="U44" s="92"/>
      <c r="V44" s="92"/>
      <c r="W44" s="92"/>
      <c r="X44" s="92"/>
      <c r="Y44" s="92"/>
      <c r="Z44" s="73"/>
    </row>
    <row r="45" spans="1:26" s="125" customFormat="1" x14ac:dyDescent="0.2">
      <c r="A45" s="93"/>
      <c r="B45" s="73"/>
      <c r="C45" s="92" t="s">
        <v>69</v>
      </c>
      <c r="D45" s="92" t="s">
        <v>33</v>
      </c>
      <c r="E45" s="92" t="s">
        <v>34</v>
      </c>
      <c r="F45" s="92" t="s">
        <v>35</v>
      </c>
      <c r="G45" s="92" t="s">
        <v>36</v>
      </c>
      <c r="H45" s="92" t="s">
        <v>37</v>
      </c>
      <c r="I45" s="92" t="s">
        <v>140</v>
      </c>
      <c r="J45" s="73" t="s">
        <v>54</v>
      </c>
      <c r="K45" s="92" t="s">
        <v>69</v>
      </c>
      <c r="L45" s="92" t="s">
        <v>33</v>
      </c>
      <c r="M45" s="92" t="s">
        <v>34</v>
      </c>
      <c r="N45" s="92" t="s">
        <v>35</v>
      </c>
      <c r="O45" s="92" t="s">
        <v>36</v>
      </c>
      <c r="P45" s="92" t="s">
        <v>37</v>
      </c>
      <c r="Q45" s="92" t="s">
        <v>140</v>
      </c>
      <c r="R45" s="73" t="s">
        <v>54</v>
      </c>
      <c r="S45" s="92" t="s">
        <v>69</v>
      </c>
      <c r="T45" s="92" t="s">
        <v>33</v>
      </c>
      <c r="U45" s="92" t="s">
        <v>34</v>
      </c>
      <c r="V45" s="92" t="s">
        <v>35</v>
      </c>
      <c r="W45" s="92" t="s">
        <v>36</v>
      </c>
      <c r="X45" s="92" t="s">
        <v>37</v>
      </c>
      <c r="Y45" s="92" t="s">
        <v>140</v>
      </c>
      <c r="Z45" s="73" t="s">
        <v>54</v>
      </c>
    </row>
    <row r="46" spans="1:26" s="125" customFormat="1" x14ac:dyDescent="0.2">
      <c r="A46" s="93"/>
      <c r="B46" s="73"/>
      <c r="C46" s="92"/>
      <c r="D46" s="92"/>
      <c r="E46" s="92"/>
      <c r="F46" s="92"/>
      <c r="G46" s="92"/>
      <c r="H46" s="92"/>
      <c r="I46" s="92"/>
      <c r="J46" s="73"/>
      <c r="K46" s="92"/>
      <c r="L46" s="92"/>
      <c r="M46" s="92"/>
      <c r="N46" s="92"/>
      <c r="O46" s="92"/>
      <c r="P46" s="92"/>
      <c r="Q46" s="92"/>
      <c r="R46" s="73"/>
      <c r="S46" s="92"/>
      <c r="T46" s="92"/>
      <c r="U46" s="92"/>
      <c r="V46" s="92"/>
      <c r="W46" s="92"/>
      <c r="X46" s="92"/>
      <c r="Y46" s="92"/>
      <c r="Z46" s="73"/>
    </row>
    <row r="47" spans="1:26" s="125" customFormat="1" x14ac:dyDescent="0.2">
      <c r="A47" s="93"/>
      <c r="B47" s="127" t="s">
        <v>0</v>
      </c>
      <c r="C47" s="127">
        <v>1801</v>
      </c>
      <c r="D47" s="127">
        <v>4615</v>
      </c>
      <c r="E47" s="127">
        <v>5670</v>
      </c>
      <c r="F47" s="127">
        <v>5182</v>
      </c>
      <c r="G47" s="127">
        <v>3990</v>
      </c>
      <c r="H47" s="127">
        <v>2359</v>
      </c>
      <c r="I47" s="127">
        <v>23617</v>
      </c>
      <c r="J47" s="127">
        <v>24083</v>
      </c>
      <c r="K47" s="127">
        <v>2945</v>
      </c>
      <c r="L47" s="127">
        <v>7150</v>
      </c>
      <c r="M47" s="127">
        <v>8301</v>
      </c>
      <c r="N47" s="127">
        <v>6921</v>
      </c>
      <c r="O47" s="127">
        <v>4836</v>
      </c>
      <c r="P47" s="127">
        <v>2539</v>
      </c>
      <c r="Q47" s="127">
        <v>32692</v>
      </c>
      <c r="R47" s="127">
        <v>33151</v>
      </c>
      <c r="S47" s="127">
        <v>4746</v>
      </c>
      <c r="T47" s="127">
        <v>11765</v>
      </c>
      <c r="U47" s="127">
        <v>13971</v>
      </c>
      <c r="V47" s="127">
        <v>12103</v>
      </c>
      <c r="W47" s="127">
        <v>8826</v>
      </c>
      <c r="X47" s="127">
        <v>4898</v>
      </c>
      <c r="Y47" s="127">
        <v>56309</v>
      </c>
      <c r="Z47" s="127">
        <v>57234</v>
      </c>
    </row>
    <row r="48" spans="1:26" s="125" customFormat="1" x14ac:dyDescent="0.2">
      <c r="A48" s="93"/>
      <c r="B48" s="127" t="s">
        <v>1</v>
      </c>
      <c r="C48" s="127">
        <v>2250</v>
      </c>
      <c r="D48" s="127">
        <v>6238</v>
      </c>
      <c r="E48" s="127">
        <v>6439</v>
      </c>
      <c r="F48" s="127">
        <v>4508</v>
      </c>
      <c r="G48" s="127">
        <v>3000</v>
      </c>
      <c r="H48" s="127">
        <v>1711</v>
      </c>
      <c r="I48" s="127">
        <v>24146</v>
      </c>
      <c r="J48" s="127">
        <v>24553</v>
      </c>
      <c r="K48" s="127">
        <v>1735</v>
      </c>
      <c r="L48" s="127">
        <v>5877</v>
      </c>
      <c r="M48" s="127">
        <v>6462</v>
      </c>
      <c r="N48" s="127">
        <v>4396</v>
      </c>
      <c r="O48" s="127">
        <v>2711</v>
      </c>
      <c r="P48" s="127">
        <v>1329</v>
      </c>
      <c r="Q48" s="127">
        <v>22510</v>
      </c>
      <c r="R48" s="127">
        <v>22766</v>
      </c>
      <c r="S48" s="127">
        <v>3985</v>
      </c>
      <c r="T48" s="127">
        <v>12115</v>
      </c>
      <c r="U48" s="127">
        <v>12901</v>
      </c>
      <c r="V48" s="127">
        <v>8904</v>
      </c>
      <c r="W48" s="127">
        <v>5711</v>
      </c>
      <c r="X48" s="127">
        <v>3040</v>
      </c>
      <c r="Y48" s="127">
        <v>46656</v>
      </c>
      <c r="Z48" s="127">
        <v>47319</v>
      </c>
    </row>
    <row r="49" spans="1:26" s="125" customFormat="1" x14ac:dyDescent="0.2">
      <c r="A49" s="93"/>
      <c r="B49" s="127" t="s">
        <v>2</v>
      </c>
      <c r="C49" s="127">
        <v>2417</v>
      </c>
      <c r="D49" s="127">
        <v>5368</v>
      </c>
      <c r="E49" s="127">
        <v>5923</v>
      </c>
      <c r="F49" s="127">
        <v>4981</v>
      </c>
      <c r="G49" s="127">
        <v>3672</v>
      </c>
      <c r="H49" s="127">
        <v>2384</v>
      </c>
      <c r="I49" s="127">
        <v>24745</v>
      </c>
      <c r="J49" s="127">
        <v>25312</v>
      </c>
      <c r="K49" s="127">
        <v>755</v>
      </c>
      <c r="L49" s="127">
        <v>1632</v>
      </c>
      <c r="M49" s="127">
        <v>1578</v>
      </c>
      <c r="N49" s="127">
        <v>1199</v>
      </c>
      <c r="O49" s="127">
        <v>854</v>
      </c>
      <c r="P49" s="127">
        <v>482</v>
      </c>
      <c r="Q49" s="127">
        <v>6500</v>
      </c>
      <c r="R49" s="127">
        <v>6596</v>
      </c>
      <c r="S49" s="127">
        <v>3172</v>
      </c>
      <c r="T49" s="127">
        <v>7000</v>
      </c>
      <c r="U49" s="127">
        <v>7501</v>
      </c>
      <c r="V49" s="127">
        <v>6180</v>
      </c>
      <c r="W49" s="127">
        <v>4526</v>
      </c>
      <c r="X49" s="127">
        <v>2866</v>
      </c>
      <c r="Y49" s="127">
        <v>31245</v>
      </c>
      <c r="Z49" s="127">
        <v>31908</v>
      </c>
    </row>
    <row r="50" spans="1:26" s="125" customFormat="1" x14ac:dyDescent="0.2">
      <c r="A50" s="93"/>
      <c r="B50" s="127" t="s">
        <v>3</v>
      </c>
      <c r="C50" s="127">
        <v>215</v>
      </c>
      <c r="D50" s="127">
        <v>526</v>
      </c>
      <c r="E50" s="127">
        <v>719</v>
      </c>
      <c r="F50" s="127">
        <v>700</v>
      </c>
      <c r="G50" s="127">
        <v>510</v>
      </c>
      <c r="H50" s="127">
        <v>249</v>
      </c>
      <c r="I50" s="127">
        <v>2919</v>
      </c>
      <c r="J50" s="127">
        <v>2990</v>
      </c>
      <c r="K50" s="127">
        <v>74</v>
      </c>
      <c r="L50" s="127">
        <v>211</v>
      </c>
      <c r="M50" s="127">
        <v>331</v>
      </c>
      <c r="N50" s="127">
        <v>275</v>
      </c>
      <c r="O50" s="127">
        <v>174</v>
      </c>
      <c r="P50" s="127">
        <v>99</v>
      </c>
      <c r="Q50" s="127">
        <v>1164</v>
      </c>
      <c r="R50" s="127">
        <v>1191</v>
      </c>
      <c r="S50" s="127">
        <v>289</v>
      </c>
      <c r="T50" s="127">
        <v>737</v>
      </c>
      <c r="U50" s="127">
        <v>1050</v>
      </c>
      <c r="V50" s="127">
        <v>975</v>
      </c>
      <c r="W50" s="127">
        <v>684</v>
      </c>
      <c r="X50" s="127">
        <v>348</v>
      </c>
      <c r="Y50" s="127">
        <v>4083</v>
      </c>
      <c r="Z50" s="127">
        <v>4181</v>
      </c>
    </row>
    <row r="51" spans="1:26" s="125" customFormat="1" x14ac:dyDescent="0.2">
      <c r="A51" s="93"/>
      <c r="B51" s="127" t="s">
        <v>4</v>
      </c>
      <c r="C51" s="127">
        <v>9108</v>
      </c>
      <c r="D51" s="127">
        <v>12504</v>
      </c>
      <c r="E51" s="127">
        <v>10358</v>
      </c>
      <c r="F51" s="127">
        <v>7930</v>
      </c>
      <c r="G51" s="127">
        <v>5396</v>
      </c>
      <c r="H51" s="127">
        <v>2945</v>
      </c>
      <c r="I51" s="127">
        <v>48241</v>
      </c>
      <c r="J51" s="127">
        <v>48945</v>
      </c>
      <c r="K51" s="127">
        <v>4705</v>
      </c>
      <c r="L51" s="127">
        <v>8879</v>
      </c>
      <c r="M51" s="127">
        <v>7501</v>
      </c>
      <c r="N51" s="127">
        <v>5090</v>
      </c>
      <c r="O51" s="127">
        <v>3344</v>
      </c>
      <c r="P51" s="127">
        <v>1762</v>
      </c>
      <c r="Q51" s="127">
        <v>31281</v>
      </c>
      <c r="R51" s="127">
        <v>31622</v>
      </c>
      <c r="S51" s="127">
        <v>13813</v>
      </c>
      <c r="T51" s="127">
        <v>21383</v>
      </c>
      <c r="U51" s="127">
        <v>17859</v>
      </c>
      <c r="V51" s="127">
        <v>13020</v>
      </c>
      <c r="W51" s="127">
        <v>8740</v>
      </c>
      <c r="X51" s="127">
        <v>4707</v>
      </c>
      <c r="Y51" s="127">
        <v>79522</v>
      </c>
      <c r="Z51" s="127">
        <v>80567</v>
      </c>
    </row>
    <row r="52" spans="1:26" s="125" customFormat="1" x14ac:dyDescent="0.2">
      <c r="A52" s="93"/>
      <c r="B52" s="127" t="s">
        <v>5</v>
      </c>
      <c r="C52" s="127">
        <v>2572</v>
      </c>
      <c r="D52" s="127">
        <v>2689</v>
      </c>
      <c r="E52" s="127">
        <v>2006</v>
      </c>
      <c r="F52" s="127">
        <v>1046</v>
      </c>
      <c r="G52" s="127">
        <v>531</v>
      </c>
      <c r="H52" s="127">
        <v>285</v>
      </c>
      <c r="I52" s="127">
        <v>9129</v>
      </c>
      <c r="J52" s="127">
        <v>9190</v>
      </c>
      <c r="K52" s="127">
        <v>1045</v>
      </c>
      <c r="L52" s="127">
        <v>1139</v>
      </c>
      <c r="M52" s="127">
        <v>787</v>
      </c>
      <c r="N52" s="127">
        <v>421</v>
      </c>
      <c r="O52" s="127">
        <v>204</v>
      </c>
      <c r="P52" s="127">
        <v>75</v>
      </c>
      <c r="Q52" s="127">
        <v>3671</v>
      </c>
      <c r="R52" s="127">
        <v>3691</v>
      </c>
      <c r="S52" s="127">
        <v>3617</v>
      </c>
      <c r="T52" s="127">
        <v>3828</v>
      </c>
      <c r="U52" s="127">
        <v>2793</v>
      </c>
      <c r="V52" s="127">
        <v>1467</v>
      </c>
      <c r="W52" s="127">
        <v>735</v>
      </c>
      <c r="X52" s="127">
        <v>360</v>
      </c>
      <c r="Y52" s="127">
        <v>12800</v>
      </c>
      <c r="Z52" s="127">
        <v>12881</v>
      </c>
    </row>
    <row r="53" spans="1:26" s="125" customFormat="1" x14ac:dyDescent="0.2">
      <c r="A53" s="93"/>
      <c r="B53" s="127" t="s">
        <v>6</v>
      </c>
      <c r="C53" s="127">
        <v>224</v>
      </c>
      <c r="D53" s="127">
        <v>861</v>
      </c>
      <c r="E53" s="127">
        <v>1644</v>
      </c>
      <c r="F53" s="127">
        <v>1945</v>
      </c>
      <c r="G53" s="127">
        <v>1553</v>
      </c>
      <c r="H53" s="127">
        <v>710</v>
      </c>
      <c r="I53" s="127">
        <v>6937</v>
      </c>
      <c r="J53" s="127">
        <v>7073</v>
      </c>
      <c r="K53" s="127">
        <v>245</v>
      </c>
      <c r="L53" s="127">
        <v>861</v>
      </c>
      <c r="M53" s="127">
        <v>1542</v>
      </c>
      <c r="N53" s="127">
        <v>1455</v>
      </c>
      <c r="O53" s="127">
        <v>883</v>
      </c>
      <c r="P53" s="127">
        <v>346</v>
      </c>
      <c r="Q53" s="127">
        <v>5332</v>
      </c>
      <c r="R53" s="127">
        <v>5394</v>
      </c>
      <c r="S53" s="127">
        <v>469</v>
      </c>
      <c r="T53" s="127">
        <v>1722</v>
      </c>
      <c r="U53" s="127">
        <v>3186</v>
      </c>
      <c r="V53" s="127">
        <v>3400</v>
      </c>
      <c r="W53" s="127">
        <v>2436</v>
      </c>
      <c r="X53" s="127">
        <v>1056</v>
      </c>
      <c r="Y53" s="127">
        <v>12269</v>
      </c>
      <c r="Z53" s="127">
        <v>12467</v>
      </c>
    </row>
    <row r="54" spans="1:26" s="125" customFormat="1" x14ac:dyDescent="0.2">
      <c r="A54" s="93"/>
      <c r="B54" s="127" t="s">
        <v>168</v>
      </c>
      <c r="C54" s="127">
        <v>111</v>
      </c>
      <c r="D54" s="127">
        <v>417</v>
      </c>
      <c r="E54" s="127">
        <v>682</v>
      </c>
      <c r="F54" s="127">
        <v>797</v>
      </c>
      <c r="G54" s="127">
        <v>669</v>
      </c>
      <c r="H54" s="127">
        <v>420</v>
      </c>
      <c r="I54" s="127">
        <v>3096</v>
      </c>
      <c r="J54" s="127">
        <v>3189</v>
      </c>
      <c r="K54" s="127">
        <v>11</v>
      </c>
      <c r="L54" s="127">
        <v>40</v>
      </c>
      <c r="M54" s="127">
        <v>43</v>
      </c>
      <c r="N54" s="127">
        <v>44</v>
      </c>
      <c r="O54" s="127">
        <v>33</v>
      </c>
      <c r="P54" s="127">
        <v>34</v>
      </c>
      <c r="Q54" s="127">
        <v>205</v>
      </c>
      <c r="R54" s="127">
        <v>210</v>
      </c>
      <c r="S54" s="127">
        <v>122</v>
      </c>
      <c r="T54" s="127">
        <v>457</v>
      </c>
      <c r="U54" s="127">
        <v>725</v>
      </c>
      <c r="V54" s="127">
        <v>841</v>
      </c>
      <c r="W54" s="127">
        <v>702</v>
      </c>
      <c r="X54" s="127">
        <v>454</v>
      </c>
      <c r="Y54" s="127">
        <v>3301</v>
      </c>
      <c r="Z54" s="127">
        <v>3399</v>
      </c>
    </row>
    <row r="55" spans="1:26" s="125" customFormat="1" x14ac:dyDescent="0.2">
      <c r="A55" s="93"/>
      <c r="B55" s="127" t="s">
        <v>8</v>
      </c>
      <c r="C55" s="127">
        <v>69</v>
      </c>
      <c r="D55" s="127">
        <v>336</v>
      </c>
      <c r="E55" s="127">
        <v>991</v>
      </c>
      <c r="F55" s="127">
        <v>1479</v>
      </c>
      <c r="G55" s="127">
        <v>1233</v>
      </c>
      <c r="H55" s="127">
        <v>676</v>
      </c>
      <c r="I55" s="127">
        <v>4784</v>
      </c>
      <c r="J55" s="127">
        <v>4892</v>
      </c>
      <c r="K55" s="127">
        <v>61</v>
      </c>
      <c r="L55" s="127">
        <v>318</v>
      </c>
      <c r="M55" s="127">
        <v>742</v>
      </c>
      <c r="N55" s="127">
        <v>870</v>
      </c>
      <c r="O55" s="127">
        <v>526</v>
      </c>
      <c r="P55" s="127">
        <v>255</v>
      </c>
      <c r="Q55" s="127">
        <v>2772</v>
      </c>
      <c r="R55" s="127">
        <v>2804</v>
      </c>
      <c r="S55" s="127">
        <v>130</v>
      </c>
      <c r="T55" s="127">
        <v>654</v>
      </c>
      <c r="U55" s="127">
        <v>1733</v>
      </c>
      <c r="V55" s="127">
        <v>2349</v>
      </c>
      <c r="W55" s="127">
        <v>1759</v>
      </c>
      <c r="X55" s="127">
        <v>931</v>
      </c>
      <c r="Y55" s="127">
        <v>7556</v>
      </c>
      <c r="Z55" s="127">
        <v>7696</v>
      </c>
    </row>
    <row r="56" spans="1:26" s="125" customFormat="1" x14ac:dyDescent="0.2">
      <c r="A56" s="93"/>
      <c r="B56" s="127" t="s">
        <v>9</v>
      </c>
      <c r="C56" s="127">
        <v>0</v>
      </c>
      <c r="D56" s="127">
        <v>0</v>
      </c>
      <c r="E56" s="127">
        <v>8</v>
      </c>
      <c r="F56" s="127">
        <v>13</v>
      </c>
      <c r="G56" s="127">
        <v>15</v>
      </c>
      <c r="H56" s="127">
        <v>8</v>
      </c>
      <c r="I56" s="127">
        <v>44</v>
      </c>
      <c r="J56" s="127">
        <v>46</v>
      </c>
      <c r="K56" s="127">
        <v>6</v>
      </c>
      <c r="L56" s="127">
        <v>48</v>
      </c>
      <c r="M56" s="127">
        <v>61</v>
      </c>
      <c r="N56" s="127">
        <v>80</v>
      </c>
      <c r="O56" s="127">
        <v>57</v>
      </c>
      <c r="P56" s="127">
        <v>21</v>
      </c>
      <c r="Q56" s="127">
        <v>273</v>
      </c>
      <c r="R56" s="127">
        <v>285</v>
      </c>
      <c r="S56" s="127">
        <v>6</v>
      </c>
      <c r="T56" s="127">
        <v>48</v>
      </c>
      <c r="U56" s="127">
        <v>69</v>
      </c>
      <c r="V56" s="127">
        <v>93</v>
      </c>
      <c r="W56" s="127">
        <v>72</v>
      </c>
      <c r="X56" s="127">
        <v>29</v>
      </c>
      <c r="Y56" s="127">
        <v>317</v>
      </c>
      <c r="Z56" s="127">
        <v>331</v>
      </c>
    </row>
    <row r="57" spans="1:26" s="125" customFormat="1" x14ac:dyDescent="0.2">
      <c r="A57" s="93"/>
      <c r="B57" s="127" t="s">
        <v>10</v>
      </c>
      <c r="C57" s="127">
        <v>30</v>
      </c>
      <c r="D57" s="127">
        <v>243</v>
      </c>
      <c r="E57" s="127">
        <v>469</v>
      </c>
      <c r="F57" s="127">
        <v>547</v>
      </c>
      <c r="G57" s="127">
        <v>433</v>
      </c>
      <c r="H57" s="127">
        <v>240</v>
      </c>
      <c r="I57" s="127">
        <v>1962</v>
      </c>
      <c r="J57" s="127">
        <v>2045</v>
      </c>
      <c r="K57" s="127">
        <v>23</v>
      </c>
      <c r="L57" s="127">
        <v>161</v>
      </c>
      <c r="M57" s="127">
        <v>253</v>
      </c>
      <c r="N57" s="127">
        <v>258</v>
      </c>
      <c r="O57" s="127">
        <v>214</v>
      </c>
      <c r="P57" s="127">
        <v>120</v>
      </c>
      <c r="Q57" s="127">
        <v>1029</v>
      </c>
      <c r="R57" s="127">
        <v>1073</v>
      </c>
      <c r="S57" s="127">
        <v>53</v>
      </c>
      <c r="T57" s="127">
        <v>404</v>
      </c>
      <c r="U57" s="127">
        <v>722</v>
      </c>
      <c r="V57" s="127">
        <v>805</v>
      </c>
      <c r="W57" s="127">
        <v>647</v>
      </c>
      <c r="X57" s="127">
        <v>360</v>
      </c>
      <c r="Y57" s="127">
        <v>2991</v>
      </c>
      <c r="Z57" s="127">
        <v>3118</v>
      </c>
    </row>
    <row r="58" spans="1:26" s="125" customFormat="1" x14ac:dyDescent="0.2">
      <c r="A58" s="93"/>
      <c r="B58" s="127" t="s">
        <v>11</v>
      </c>
      <c r="C58" s="127">
        <v>426</v>
      </c>
      <c r="D58" s="127">
        <v>1839</v>
      </c>
      <c r="E58" s="127">
        <v>4501</v>
      </c>
      <c r="F58" s="127">
        <v>4934</v>
      </c>
      <c r="G58" s="127">
        <v>2982</v>
      </c>
      <c r="H58" s="127">
        <v>1075</v>
      </c>
      <c r="I58" s="127">
        <v>15757</v>
      </c>
      <c r="J58" s="127">
        <v>15956</v>
      </c>
      <c r="K58" s="127">
        <v>433</v>
      </c>
      <c r="L58" s="127">
        <v>1561</v>
      </c>
      <c r="M58" s="127">
        <v>3194</v>
      </c>
      <c r="N58" s="127">
        <v>3248</v>
      </c>
      <c r="O58" s="127">
        <v>1864</v>
      </c>
      <c r="P58" s="127">
        <v>671</v>
      </c>
      <c r="Q58" s="127">
        <v>10971</v>
      </c>
      <c r="R58" s="127">
        <v>11082</v>
      </c>
      <c r="S58" s="127">
        <v>859</v>
      </c>
      <c r="T58" s="127">
        <v>3400</v>
      </c>
      <c r="U58" s="127">
        <v>7695</v>
      </c>
      <c r="V58" s="127">
        <v>8182</v>
      </c>
      <c r="W58" s="127">
        <v>4846</v>
      </c>
      <c r="X58" s="127">
        <v>1746</v>
      </c>
      <c r="Y58" s="127">
        <v>26728</v>
      </c>
      <c r="Z58" s="127">
        <v>27038</v>
      </c>
    </row>
    <row r="59" spans="1:26" s="125" customFormat="1" x14ac:dyDescent="0.2">
      <c r="A59" s="93"/>
      <c r="B59" s="127" t="s">
        <v>12</v>
      </c>
      <c r="C59" s="127">
        <v>1136</v>
      </c>
      <c r="D59" s="127">
        <v>3966</v>
      </c>
      <c r="E59" s="127">
        <v>4579</v>
      </c>
      <c r="F59" s="127">
        <v>3361</v>
      </c>
      <c r="G59" s="127">
        <v>1827</v>
      </c>
      <c r="H59" s="127">
        <v>733</v>
      </c>
      <c r="I59" s="127">
        <v>15602</v>
      </c>
      <c r="J59" s="127">
        <v>15713</v>
      </c>
      <c r="K59" s="127">
        <v>634</v>
      </c>
      <c r="L59" s="127">
        <v>2206</v>
      </c>
      <c r="M59" s="127">
        <v>2173</v>
      </c>
      <c r="N59" s="127">
        <v>1385</v>
      </c>
      <c r="O59" s="127">
        <v>681</v>
      </c>
      <c r="P59" s="127">
        <v>271</v>
      </c>
      <c r="Q59" s="127">
        <v>7350</v>
      </c>
      <c r="R59" s="127">
        <v>7404</v>
      </c>
      <c r="S59" s="127">
        <v>1770</v>
      </c>
      <c r="T59" s="127">
        <v>6172</v>
      </c>
      <c r="U59" s="127">
        <v>6752</v>
      </c>
      <c r="V59" s="127">
        <v>4746</v>
      </c>
      <c r="W59" s="127">
        <v>2508</v>
      </c>
      <c r="X59" s="127">
        <v>1004</v>
      </c>
      <c r="Y59" s="127">
        <v>22952</v>
      </c>
      <c r="Z59" s="127">
        <v>23117</v>
      </c>
    </row>
    <row r="60" spans="1:26" s="125" customFormat="1" x14ac:dyDescent="0.2">
      <c r="A60" s="93"/>
      <c r="B60" s="127" t="s">
        <v>13</v>
      </c>
      <c r="C60" s="127">
        <v>713</v>
      </c>
      <c r="D60" s="127">
        <v>3052</v>
      </c>
      <c r="E60" s="127">
        <v>4313</v>
      </c>
      <c r="F60" s="127">
        <v>4043</v>
      </c>
      <c r="G60" s="127">
        <v>2197</v>
      </c>
      <c r="H60" s="127">
        <v>727</v>
      </c>
      <c r="I60" s="127">
        <v>15045</v>
      </c>
      <c r="J60" s="127">
        <v>15151</v>
      </c>
      <c r="K60" s="127">
        <v>1091</v>
      </c>
      <c r="L60" s="127">
        <v>3908</v>
      </c>
      <c r="M60" s="127">
        <v>4430</v>
      </c>
      <c r="N60" s="127">
        <v>3166</v>
      </c>
      <c r="O60" s="127">
        <v>1487</v>
      </c>
      <c r="P60" s="127">
        <v>441</v>
      </c>
      <c r="Q60" s="127">
        <v>14523</v>
      </c>
      <c r="R60" s="127">
        <v>14568</v>
      </c>
      <c r="S60" s="127">
        <v>1804</v>
      </c>
      <c r="T60" s="127">
        <v>6960</v>
      </c>
      <c r="U60" s="127">
        <v>8743</v>
      </c>
      <c r="V60" s="127">
        <v>7209</v>
      </c>
      <c r="W60" s="127">
        <v>3684</v>
      </c>
      <c r="X60" s="127">
        <v>1168</v>
      </c>
      <c r="Y60" s="127">
        <v>29568</v>
      </c>
      <c r="Z60" s="127">
        <v>29719</v>
      </c>
    </row>
    <row r="61" spans="1:26" s="125" customFormat="1" x14ac:dyDescent="0.2">
      <c r="A61" s="93"/>
      <c r="B61" s="127" t="s">
        <v>14</v>
      </c>
      <c r="C61" s="127">
        <v>515</v>
      </c>
      <c r="D61" s="127">
        <v>1699</v>
      </c>
      <c r="E61" s="127">
        <v>2302</v>
      </c>
      <c r="F61" s="127">
        <v>1886</v>
      </c>
      <c r="G61" s="127">
        <v>1049</v>
      </c>
      <c r="H61" s="127">
        <v>416</v>
      </c>
      <c r="I61" s="127">
        <v>7867</v>
      </c>
      <c r="J61" s="127">
        <v>7932</v>
      </c>
      <c r="K61" s="127">
        <v>500</v>
      </c>
      <c r="L61" s="127">
        <v>1520</v>
      </c>
      <c r="M61" s="127">
        <v>1675</v>
      </c>
      <c r="N61" s="127">
        <v>1231</v>
      </c>
      <c r="O61" s="127">
        <v>609</v>
      </c>
      <c r="P61" s="127">
        <v>269</v>
      </c>
      <c r="Q61" s="127">
        <v>5804</v>
      </c>
      <c r="R61" s="127">
        <v>5858</v>
      </c>
      <c r="S61" s="127">
        <v>1015</v>
      </c>
      <c r="T61" s="127">
        <v>3219</v>
      </c>
      <c r="U61" s="127">
        <v>3977</v>
      </c>
      <c r="V61" s="127">
        <v>3117</v>
      </c>
      <c r="W61" s="127">
        <v>1658</v>
      </c>
      <c r="X61" s="127">
        <v>685</v>
      </c>
      <c r="Y61" s="127">
        <v>13671</v>
      </c>
      <c r="Z61" s="127">
        <v>13790</v>
      </c>
    </row>
    <row r="62" spans="1:26" s="125" customFormat="1" x14ac:dyDescent="0.2">
      <c r="A62" s="93"/>
      <c r="B62" s="127" t="s">
        <v>15</v>
      </c>
      <c r="C62" s="127">
        <v>1388</v>
      </c>
      <c r="D62" s="127">
        <v>4050</v>
      </c>
      <c r="E62" s="127">
        <v>6428</v>
      </c>
      <c r="F62" s="127">
        <v>6233</v>
      </c>
      <c r="G62" s="127">
        <v>3191</v>
      </c>
      <c r="H62" s="127">
        <v>940</v>
      </c>
      <c r="I62" s="127">
        <v>22230</v>
      </c>
      <c r="J62" s="127">
        <v>22349</v>
      </c>
      <c r="K62" s="127">
        <v>1804</v>
      </c>
      <c r="L62" s="127">
        <v>5018</v>
      </c>
      <c r="M62" s="127">
        <v>7462</v>
      </c>
      <c r="N62" s="127">
        <v>6012</v>
      </c>
      <c r="O62" s="127">
        <v>2864</v>
      </c>
      <c r="P62" s="127">
        <v>797</v>
      </c>
      <c r="Q62" s="127">
        <v>23957</v>
      </c>
      <c r="R62" s="127">
        <v>24071</v>
      </c>
      <c r="S62" s="127">
        <v>3192</v>
      </c>
      <c r="T62" s="127">
        <v>9068</v>
      </c>
      <c r="U62" s="127">
        <v>13890</v>
      </c>
      <c r="V62" s="127">
        <v>12245</v>
      </c>
      <c r="W62" s="127">
        <v>6055</v>
      </c>
      <c r="X62" s="127">
        <v>1737</v>
      </c>
      <c r="Y62" s="127">
        <v>46187</v>
      </c>
      <c r="Z62" s="127">
        <v>46420</v>
      </c>
    </row>
    <row r="63" spans="1:26" s="125" customFormat="1" x14ac:dyDescent="0.2">
      <c r="A63" s="93"/>
      <c r="B63" s="127" t="s">
        <v>16</v>
      </c>
      <c r="C63" s="127">
        <v>145</v>
      </c>
      <c r="D63" s="127">
        <v>543</v>
      </c>
      <c r="E63" s="127">
        <v>1049</v>
      </c>
      <c r="F63" s="127">
        <v>1187</v>
      </c>
      <c r="G63" s="127">
        <v>939</v>
      </c>
      <c r="H63" s="127">
        <v>500</v>
      </c>
      <c r="I63" s="127">
        <v>4363</v>
      </c>
      <c r="J63" s="127">
        <v>4508</v>
      </c>
      <c r="K63" s="127">
        <v>342</v>
      </c>
      <c r="L63" s="127">
        <v>1108</v>
      </c>
      <c r="M63" s="127">
        <v>1907</v>
      </c>
      <c r="N63" s="127">
        <v>1852</v>
      </c>
      <c r="O63" s="127">
        <v>1267</v>
      </c>
      <c r="P63" s="127">
        <v>593</v>
      </c>
      <c r="Q63" s="127">
        <v>7069</v>
      </c>
      <c r="R63" s="127">
        <v>7236</v>
      </c>
      <c r="S63" s="127">
        <v>487</v>
      </c>
      <c r="T63" s="127">
        <v>1651</v>
      </c>
      <c r="U63" s="127">
        <v>2956</v>
      </c>
      <c r="V63" s="127">
        <v>3039</v>
      </c>
      <c r="W63" s="127">
        <v>2206</v>
      </c>
      <c r="X63" s="127">
        <v>1093</v>
      </c>
      <c r="Y63" s="127">
        <v>11432</v>
      </c>
      <c r="Z63" s="127">
        <v>11744</v>
      </c>
    </row>
    <row r="64" spans="1:26" s="125" customFormat="1" x14ac:dyDescent="0.2">
      <c r="A64" s="93"/>
      <c r="B64" s="127" t="s">
        <v>17</v>
      </c>
      <c r="C64" s="127">
        <v>279</v>
      </c>
      <c r="D64" s="127">
        <v>1083</v>
      </c>
      <c r="E64" s="127">
        <v>3012</v>
      </c>
      <c r="F64" s="127">
        <v>3892</v>
      </c>
      <c r="G64" s="127">
        <v>3302</v>
      </c>
      <c r="H64" s="127">
        <v>1673</v>
      </c>
      <c r="I64" s="127">
        <v>13241</v>
      </c>
      <c r="J64" s="127">
        <v>13637</v>
      </c>
      <c r="K64" s="127">
        <v>1921</v>
      </c>
      <c r="L64" s="127">
        <v>6086</v>
      </c>
      <c r="M64" s="127">
        <v>11081</v>
      </c>
      <c r="N64" s="127">
        <v>10455</v>
      </c>
      <c r="O64" s="127">
        <v>6770</v>
      </c>
      <c r="P64" s="127">
        <v>2784</v>
      </c>
      <c r="Q64" s="127">
        <v>39097</v>
      </c>
      <c r="R64" s="127">
        <v>39707</v>
      </c>
      <c r="S64" s="127">
        <v>2200</v>
      </c>
      <c r="T64" s="127">
        <v>7169</v>
      </c>
      <c r="U64" s="127">
        <v>14093</v>
      </c>
      <c r="V64" s="127">
        <v>14347</v>
      </c>
      <c r="W64" s="127">
        <v>10072</v>
      </c>
      <c r="X64" s="127">
        <v>4457</v>
      </c>
      <c r="Y64" s="127">
        <v>52338</v>
      </c>
      <c r="Z64" s="127">
        <v>53344</v>
      </c>
    </row>
    <row r="65" spans="1:26" s="125" customFormat="1" x14ac:dyDescent="0.2">
      <c r="A65" s="93"/>
      <c r="B65" s="127" t="s">
        <v>18</v>
      </c>
      <c r="C65" s="127">
        <v>244</v>
      </c>
      <c r="D65" s="127">
        <v>688</v>
      </c>
      <c r="E65" s="127">
        <v>1742</v>
      </c>
      <c r="F65" s="127">
        <v>2090</v>
      </c>
      <c r="G65" s="127">
        <v>1378</v>
      </c>
      <c r="H65" s="127">
        <v>544</v>
      </c>
      <c r="I65" s="127">
        <v>6686</v>
      </c>
      <c r="J65" s="127">
        <v>6805</v>
      </c>
      <c r="K65" s="127">
        <v>948</v>
      </c>
      <c r="L65" s="127">
        <v>3239</v>
      </c>
      <c r="M65" s="127">
        <v>6121</v>
      </c>
      <c r="N65" s="127">
        <v>5970</v>
      </c>
      <c r="O65" s="127">
        <v>3371</v>
      </c>
      <c r="P65" s="127">
        <v>1234</v>
      </c>
      <c r="Q65" s="127">
        <v>20883</v>
      </c>
      <c r="R65" s="127">
        <v>21148</v>
      </c>
      <c r="S65" s="127">
        <v>1192</v>
      </c>
      <c r="T65" s="127">
        <v>3927</v>
      </c>
      <c r="U65" s="127">
        <v>7863</v>
      </c>
      <c r="V65" s="127">
        <v>8060</v>
      </c>
      <c r="W65" s="127">
        <v>4749</v>
      </c>
      <c r="X65" s="127">
        <v>1778</v>
      </c>
      <c r="Y65" s="127">
        <v>27569</v>
      </c>
      <c r="Z65" s="127">
        <v>27953</v>
      </c>
    </row>
    <row r="66" spans="1:26" s="125" customFormat="1" x14ac:dyDescent="0.2">
      <c r="A66" s="93"/>
      <c r="B66" s="127" t="s">
        <v>73</v>
      </c>
      <c r="C66" s="127">
        <v>103</v>
      </c>
      <c r="D66" s="127">
        <v>274</v>
      </c>
      <c r="E66" s="127">
        <v>525</v>
      </c>
      <c r="F66" s="127">
        <v>452</v>
      </c>
      <c r="G66" s="127">
        <v>327</v>
      </c>
      <c r="H66" s="127">
        <v>139</v>
      </c>
      <c r="I66" s="127">
        <v>1820</v>
      </c>
      <c r="J66" s="127">
        <v>1875</v>
      </c>
      <c r="K66" s="127">
        <v>126</v>
      </c>
      <c r="L66" s="127">
        <v>380</v>
      </c>
      <c r="M66" s="127">
        <v>650</v>
      </c>
      <c r="N66" s="127">
        <v>561</v>
      </c>
      <c r="O66" s="127">
        <v>343</v>
      </c>
      <c r="P66" s="127">
        <v>155</v>
      </c>
      <c r="Q66" s="127">
        <v>2215</v>
      </c>
      <c r="R66" s="127">
        <v>2263</v>
      </c>
      <c r="S66" s="127">
        <v>229</v>
      </c>
      <c r="T66" s="127">
        <v>654</v>
      </c>
      <c r="U66" s="127">
        <v>1175</v>
      </c>
      <c r="V66" s="127">
        <v>1013</v>
      </c>
      <c r="W66" s="127">
        <v>670</v>
      </c>
      <c r="X66" s="127">
        <v>294</v>
      </c>
      <c r="Y66" s="127">
        <v>4035</v>
      </c>
      <c r="Z66" s="127">
        <v>4138</v>
      </c>
    </row>
    <row r="67" spans="1:26" s="125" customFormat="1" x14ac:dyDescent="0.2">
      <c r="A67" s="93"/>
      <c r="B67" s="127" t="s">
        <v>20</v>
      </c>
      <c r="C67" s="127">
        <v>1174</v>
      </c>
      <c r="D67" s="127">
        <v>1295</v>
      </c>
      <c r="E67" s="127">
        <v>2658</v>
      </c>
      <c r="F67" s="127">
        <v>2863</v>
      </c>
      <c r="G67" s="127">
        <v>1702</v>
      </c>
      <c r="H67" s="127">
        <v>608</v>
      </c>
      <c r="I67" s="127">
        <v>10300</v>
      </c>
      <c r="J67" s="127">
        <v>10443</v>
      </c>
      <c r="K67" s="127">
        <v>3879</v>
      </c>
      <c r="L67" s="127">
        <v>5368</v>
      </c>
      <c r="M67" s="127">
        <v>9437</v>
      </c>
      <c r="N67" s="127">
        <v>7712</v>
      </c>
      <c r="O67" s="127">
        <v>3455</v>
      </c>
      <c r="P67" s="127">
        <v>878</v>
      </c>
      <c r="Q67" s="127">
        <v>30729</v>
      </c>
      <c r="R67" s="127">
        <v>30945</v>
      </c>
      <c r="S67" s="127">
        <v>5053</v>
      </c>
      <c r="T67" s="127">
        <v>6663</v>
      </c>
      <c r="U67" s="127">
        <v>12095</v>
      </c>
      <c r="V67" s="127">
        <v>10575</v>
      </c>
      <c r="W67" s="127">
        <v>5157</v>
      </c>
      <c r="X67" s="127">
        <v>1486</v>
      </c>
      <c r="Y67" s="127">
        <v>41029</v>
      </c>
      <c r="Z67" s="127">
        <v>41388</v>
      </c>
    </row>
    <row r="68" spans="1:26" s="125" customFormat="1" x14ac:dyDescent="0.2">
      <c r="A68" s="93"/>
      <c r="B68" s="127" t="s">
        <v>21</v>
      </c>
      <c r="C68" s="127">
        <v>87</v>
      </c>
      <c r="D68" s="127">
        <v>361</v>
      </c>
      <c r="E68" s="127">
        <v>1063</v>
      </c>
      <c r="F68" s="127">
        <v>1313</v>
      </c>
      <c r="G68" s="127">
        <v>850</v>
      </c>
      <c r="H68" s="127">
        <v>234</v>
      </c>
      <c r="I68" s="127">
        <v>3908</v>
      </c>
      <c r="J68" s="127">
        <v>3937</v>
      </c>
      <c r="K68" s="127">
        <v>413</v>
      </c>
      <c r="L68" s="127">
        <v>1149</v>
      </c>
      <c r="M68" s="127">
        <v>2857</v>
      </c>
      <c r="N68" s="127">
        <v>2654</v>
      </c>
      <c r="O68" s="127">
        <v>1250</v>
      </c>
      <c r="P68" s="127">
        <v>248</v>
      </c>
      <c r="Q68" s="127">
        <v>8571</v>
      </c>
      <c r="R68" s="127">
        <v>8603</v>
      </c>
      <c r="S68" s="127">
        <v>500</v>
      </c>
      <c r="T68" s="127">
        <v>1510</v>
      </c>
      <c r="U68" s="127">
        <v>3920</v>
      </c>
      <c r="V68" s="127">
        <v>3967</v>
      </c>
      <c r="W68" s="127">
        <v>2100</v>
      </c>
      <c r="X68" s="127">
        <v>482</v>
      </c>
      <c r="Y68" s="127">
        <v>12479</v>
      </c>
      <c r="Z68" s="127">
        <v>12540</v>
      </c>
    </row>
    <row r="69" spans="1:26" s="125" customFormat="1" x14ac:dyDescent="0.2">
      <c r="A69" s="93"/>
      <c r="B69" s="127" t="s">
        <v>22</v>
      </c>
      <c r="C69" s="127">
        <v>1506</v>
      </c>
      <c r="D69" s="127">
        <v>3280</v>
      </c>
      <c r="E69" s="127">
        <v>6085</v>
      </c>
      <c r="F69" s="127">
        <v>7046</v>
      </c>
      <c r="G69" s="127">
        <v>4317</v>
      </c>
      <c r="H69" s="127">
        <v>1062</v>
      </c>
      <c r="I69" s="127">
        <v>23296</v>
      </c>
      <c r="J69" s="127">
        <v>23435</v>
      </c>
      <c r="K69" s="127">
        <v>3740</v>
      </c>
      <c r="L69" s="127">
        <v>8999</v>
      </c>
      <c r="M69" s="127">
        <v>17270</v>
      </c>
      <c r="N69" s="127">
        <v>18506</v>
      </c>
      <c r="O69" s="127">
        <v>9296</v>
      </c>
      <c r="P69" s="127">
        <v>1974</v>
      </c>
      <c r="Q69" s="127">
        <v>59785</v>
      </c>
      <c r="R69" s="127">
        <v>59990</v>
      </c>
      <c r="S69" s="127">
        <v>5246</v>
      </c>
      <c r="T69" s="127">
        <v>12279</v>
      </c>
      <c r="U69" s="127">
        <v>23355</v>
      </c>
      <c r="V69" s="127">
        <v>25552</v>
      </c>
      <c r="W69" s="127">
        <v>13613</v>
      </c>
      <c r="X69" s="127">
        <v>3036</v>
      </c>
      <c r="Y69" s="127">
        <v>83081</v>
      </c>
      <c r="Z69" s="127">
        <v>83425</v>
      </c>
    </row>
    <row r="70" spans="1:26" s="125" customFormat="1" x14ac:dyDescent="0.2">
      <c r="A70" s="93"/>
      <c r="B70" s="127" t="s">
        <v>61</v>
      </c>
      <c r="C70" s="127">
        <v>83</v>
      </c>
      <c r="D70" s="127">
        <v>558</v>
      </c>
      <c r="E70" s="127">
        <v>2230</v>
      </c>
      <c r="F70" s="127">
        <v>3440</v>
      </c>
      <c r="G70" s="127">
        <v>1964</v>
      </c>
      <c r="H70" s="127">
        <v>451</v>
      </c>
      <c r="I70" s="127">
        <v>8726</v>
      </c>
      <c r="J70" s="127">
        <v>8804</v>
      </c>
      <c r="K70" s="127">
        <v>176</v>
      </c>
      <c r="L70" s="127">
        <v>1401</v>
      </c>
      <c r="M70" s="127">
        <v>4276</v>
      </c>
      <c r="N70" s="127">
        <v>4202</v>
      </c>
      <c r="O70" s="127">
        <v>1600</v>
      </c>
      <c r="P70" s="127">
        <v>281</v>
      </c>
      <c r="Q70" s="127">
        <v>11936</v>
      </c>
      <c r="R70" s="127">
        <v>11996</v>
      </c>
      <c r="S70" s="127">
        <v>259</v>
      </c>
      <c r="T70" s="127">
        <v>1959</v>
      </c>
      <c r="U70" s="127">
        <v>6506</v>
      </c>
      <c r="V70" s="127">
        <v>7642</v>
      </c>
      <c r="W70" s="127">
        <v>3564</v>
      </c>
      <c r="X70" s="127">
        <v>732</v>
      </c>
      <c r="Y70" s="127">
        <v>20662</v>
      </c>
      <c r="Z70" s="127">
        <v>20800</v>
      </c>
    </row>
    <row r="71" spans="1:26" s="125" customFormat="1" x14ac:dyDescent="0.2">
      <c r="A71" s="93"/>
      <c r="B71" s="127" t="s">
        <v>23</v>
      </c>
      <c r="C71" s="127">
        <v>59</v>
      </c>
      <c r="D71" s="127">
        <v>270</v>
      </c>
      <c r="E71" s="127">
        <v>1109</v>
      </c>
      <c r="F71" s="127">
        <v>1464</v>
      </c>
      <c r="G71" s="127">
        <v>681</v>
      </c>
      <c r="H71" s="127">
        <v>132</v>
      </c>
      <c r="I71" s="127">
        <v>3715</v>
      </c>
      <c r="J71" s="127">
        <v>3747</v>
      </c>
      <c r="K71" s="127">
        <v>89</v>
      </c>
      <c r="L71" s="127">
        <v>576</v>
      </c>
      <c r="M71" s="127">
        <v>1641</v>
      </c>
      <c r="N71" s="127">
        <v>1716</v>
      </c>
      <c r="O71" s="127">
        <v>613</v>
      </c>
      <c r="P71" s="127">
        <v>99</v>
      </c>
      <c r="Q71" s="127">
        <v>4734</v>
      </c>
      <c r="R71" s="127">
        <v>4758</v>
      </c>
      <c r="S71" s="127">
        <v>148</v>
      </c>
      <c r="T71" s="127">
        <v>846</v>
      </c>
      <c r="U71" s="127">
        <v>2750</v>
      </c>
      <c r="V71" s="127">
        <v>3180</v>
      </c>
      <c r="W71" s="127">
        <v>1294</v>
      </c>
      <c r="X71" s="127">
        <v>231</v>
      </c>
      <c r="Y71" s="127">
        <v>8449</v>
      </c>
      <c r="Z71" s="127">
        <v>8505</v>
      </c>
    </row>
    <row r="72" spans="1:26" s="125" customFormat="1" x14ac:dyDescent="0.2">
      <c r="A72" s="93"/>
      <c r="B72" s="127" t="s">
        <v>24</v>
      </c>
      <c r="C72" s="127">
        <v>226</v>
      </c>
      <c r="D72" s="127">
        <v>1114</v>
      </c>
      <c r="E72" s="127">
        <v>894</v>
      </c>
      <c r="F72" s="127">
        <v>502</v>
      </c>
      <c r="G72" s="127">
        <v>260</v>
      </c>
      <c r="H72" s="127">
        <v>85</v>
      </c>
      <c r="I72" s="127">
        <v>3081</v>
      </c>
      <c r="J72" s="127">
        <v>3106</v>
      </c>
      <c r="K72" s="127">
        <v>425</v>
      </c>
      <c r="L72" s="127">
        <v>2187</v>
      </c>
      <c r="M72" s="127">
        <v>2046</v>
      </c>
      <c r="N72" s="127">
        <v>1261</v>
      </c>
      <c r="O72" s="127">
        <v>616</v>
      </c>
      <c r="P72" s="127">
        <v>201</v>
      </c>
      <c r="Q72" s="127">
        <v>6736</v>
      </c>
      <c r="R72" s="127">
        <v>6772</v>
      </c>
      <c r="S72" s="127">
        <v>651</v>
      </c>
      <c r="T72" s="127">
        <v>3301</v>
      </c>
      <c r="U72" s="127">
        <v>2940</v>
      </c>
      <c r="V72" s="127">
        <v>1763</v>
      </c>
      <c r="W72" s="127">
        <v>876</v>
      </c>
      <c r="X72" s="127">
        <v>286</v>
      </c>
      <c r="Y72" s="127">
        <v>9817</v>
      </c>
      <c r="Z72" s="127">
        <v>9878</v>
      </c>
    </row>
    <row r="73" spans="1:26" s="125" customFormat="1" x14ac:dyDescent="0.2">
      <c r="A73" s="93"/>
      <c r="B73" s="127" t="s">
        <v>25</v>
      </c>
      <c r="C73" s="127">
        <v>114</v>
      </c>
      <c r="D73" s="127">
        <v>536</v>
      </c>
      <c r="E73" s="127">
        <v>365</v>
      </c>
      <c r="F73" s="127">
        <v>260</v>
      </c>
      <c r="G73" s="127">
        <v>159</v>
      </c>
      <c r="H73" s="127">
        <v>60</v>
      </c>
      <c r="I73" s="127">
        <v>1494</v>
      </c>
      <c r="J73" s="127">
        <v>1499</v>
      </c>
      <c r="K73" s="127">
        <v>162</v>
      </c>
      <c r="L73" s="127">
        <v>708</v>
      </c>
      <c r="M73" s="127">
        <v>640</v>
      </c>
      <c r="N73" s="127">
        <v>440</v>
      </c>
      <c r="O73" s="127">
        <v>223</v>
      </c>
      <c r="P73" s="127">
        <v>91</v>
      </c>
      <c r="Q73" s="127">
        <v>2264</v>
      </c>
      <c r="R73" s="127">
        <v>2275</v>
      </c>
      <c r="S73" s="127">
        <v>276</v>
      </c>
      <c r="T73" s="127">
        <v>1244</v>
      </c>
      <c r="U73" s="127">
        <v>1005</v>
      </c>
      <c r="V73" s="127">
        <v>700</v>
      </c>
      <c r="W73" s="127">
        <v>382</v>
      </c>
      <c r="X73" s="127">
        <v>151</v>
      </c>
      <c r="Y73" s="127">
        <v>3758</v>
      </c>
      <c r="Z73" s="127">
        <v>3774</v>
      </c>
    </row>
    <row r="74" spans="1:26" s="125" customFormat="1" x14ac:dyDescent="0.2">
      <c r="A74" s="93"/>
      <c r="B74" s="127" t="s">
        <v>26</v>
      </c>
      <c r="C74" s="127">
        <v>161</v>
      </c>
      <c r="D74" s="127">
        <v>677</v>
      </c>
      <c r="E74" s="127">
        <v>600</v>
      </c>
      <c r="F74" s="127">
        <v>445</v>
      </c>
      <c r="G74" s="127">
        <v>188</v>
      </c>
      <c r="H74" s="127">
        <v>59</v>
      </c>
      <c r="I74" s="127">
        <v>2130</v>
      </c>
      <c r="J74" s="127">
        <v>2140</v>
      </c>
      <c r="K74" s="127">
        <v>320</v>
      </c>
      <c r="L74" s="127">
        <v>1272</v>
      </c>
      <c r="M74" s="127">
        <v>1357</v>
      </c>
      <c r="N74" s="127">
        <v>810</v>
      </c>
      <c r="O74" s="127">
        <v>425</v>
      </c>
      <c r="P74" s="127">
        <v>162</v>
      </c>
      <c r="Q74" s="127">
        <v>4346</v>
      </c>
      <c r="R74" s="127">
        <v>4376</v>
      </c>
      <c r="S74" s="127">
        <v>481</v>
      </c>
      <c r="T74" s="127">
        <v>1949</v>
      </c>
      <c r="U74" s="127">
        <v>1957</v>
      </c>
      <c r="V74" s="127">
        <v>1255</v>
      </c>
      <c r="W74" s="127">
        <v>613</v>
      </c>
      <c r="X74" s="127">
        <v>221</v>
      </c>
      <c r="Y74" s="127">
        <v>6476</v>
      </c>
      <c r="Z74" s="127">
        <v>6516</v>
      </c>
    </row>
    <row r="75" spans="1:26" s="125" customFormat="1" x14ac:dyDescent="0.2">
      <c r="A75" s="93"/>
      <c r="B75" s="127" t="s">
        <v>74</v>
      </c>
      <c r="C75" s="127">
        <v>357</v>
      </c>
      <c r="D75" s="127">
        <v>1026</v>
      </c>
      <c r="E75" s="127">
        <v>951</v>
      </c>
      <c r="F75" s="127">
        <v>392</v>
      </c>
      <c r="G75" s="127">
        <v>126</v>
      </c>
      <c r="H75" s="127">
        <v>65</v>
      </c>
      <c r="I75" s="127">
        <v>2917</v>
      </c>
      <c r="J75" s="127">
        <v>2970</v>
      </c>
      <c r="K75" s="127">
        <v>604</v>
      </c>
      <c r="L75" s="127">
        <v>1611</v>
      </c>
      <c r="M75" s="127">
        <v>1168</v>
      </c>
      <c r="N75" s="127">
        <v>428</v>
      </c>
      <c r="O75" s="127">
        <v>161</v>
      </c>
      <c r="P75" s="127">
        <v>83</v>
      </c>
      <c r="Q75" s="127">
        <v>4055</v>
      </c>
      <c r="R75" s="127">
        <v>4114</v>
      </c>
      <c r="S75" s="127">
        <v>961</v>
      </c>
      <c r="T75" s="127">
        <v>2637</v>
      </c>
      <c r="U75" s="127">
        <v>2119</v>
      </c>
      <c r="V75" s="127">
        <v>820</v>
      </c>
      <c r="W75" s="127">
        <v>287</v>
      </c>
      <c r="X75" s="127">
        <v>148</v>
      </c>
      <c r="Y75" s="127">
        <v>6972</v>
      </c>
      <c r="Z75" s="127">
        <v>7084</v>
      </c>
    </row>
    <row r="76" spans="1:26" s="125" customFormat="1" x14ac:dyDescent="0.2">
      <c r="A76" s="93"/>
      <c r="B76" s="127" t="s">
        <v>28</v>
      </c>
      <c r="C76" s="127">
        <v>254</v>
      </c>
      <c r="D76" s="127">
        <v>641</v>
      </c>
      <c r="E76" s="127">
        <v>759</v>
      </c>
      <c r="F76" s="127">
        <v>582</v>
      </c>
      <c r="G76" s="127">
        <v>305</v>
      </c>
      <c r="H76" s="127">
        <v>127</v>
      </c>
      <c r="I76" s="127">
        <v>2668</v>
      </c>
      <c r="J76" s="127">
        <v>2691</v>
      </c>
      <c r="K76" s="127">
        <v>418</v>
      </c>
      <c r="L76" s="127">
        <v>968</v>
      </c>
      <c r="M76" s="127">
        <v>985</v>
      </c>
      <c r="N76" s="127">
        <v>614</v>
      </c>
      <c r="O76" s="127">
        <v>286</v>
      </c>
      <c r="P76" s="127">
        <v>98</v>
      </c>
      <c r="Q76" s="127">
        <v>3369</v>
      </c>
      <c r="R76" s="127">
        <v>3389</v>
      </c>
      <c r="S76" s="127">
        <v>672</v>
      </c>
      <c r="T76" s="127">
        <v>1609</v>
      </c>
      <c r="U76" s="127">
        <v>1744</v>
      </c>
      <c r="V76" s="127">
        <v>1196</v>
      </c>
      <c r="W76" s="127">
        <v>591</v>
      </c>
      <c r="X76" s="127">
        <v>225</v>
      </c>
      <c r="Y76" s="127">
        <v>6037</v>
      </c>
      <c r="Z76" s="127">
        <v>6080</v>
      </c>
    </row>
    <row r="77" spans="1:26" s="125" customFormat="1" x14ac:dyDescent="0.2">
      <c r="A77" s="93"/>
      <c r="B77" s="127" t="s">
        <v>29</v>
      </c>
      <c r="C77" s="127">
        <v>352</v>
      </c>
      <c r="D77" s="127">
        <v>1207</v>
      </c>
      <c r="E77" s="127">
        <v>1676</v>
      </c>
      <c r="F77" s="127">
        <v>1593</v>
      </c>
      <c r="G77" s="127">
        <v>938</v>
      </c>
      <c r="H77" s="127">
        <v>349</v>
      </c>
      <c r="I77" s="127">
        <v>6115</v>
      </c>
      <c r="J77" s="127">
        <v>6186</v>
      </c>
      <c r="K77" s="127">
        <v>724</v>
      </c>
      <c r="L77" s="127">
        <v>2778</v>
      </c>
      <c r="M77" s="127">
        <v>3855</v>
      </c>
      <c r="N77" s="127">
        <v>3146</v>
      </c>
      <c r="O77" s="127">
        <v>1751</v>
      </c>
      <c r="P77" s="127">
        <v>626</v>
      </c>
      <c r="Q77" s="127">
        <v>12880</v>
      </c>
      <c r="R77" s="127">
        <v>12985</v>
      </c>
      <c r="S77" s="127">
        <v>1076</v>
      </c>
      <c r="T77" s="127">
        <v>3985</v>
      </c>
      <c r="U77" s="127">
        <v>5531</v>
      </c>
      <c r="V77" s="127">
        <v>4739</v>
      </c>
      <c r="W77" s="127">
        <v>2689</v>
      </c>
      <c r="X77" s="127">
        <v>975</v>
      </c>
      <c r="Y77" s="127">
        <v>18995</v>
      </c>
      <c r="Z77" s="127">
        <v>19171</v>
      </c>
    </row>
    <row r="78" spans="1:26" s="125" customFormat="1" x14ac:dyDescent="0.2">
      <c r="A78" s="93"/>
      <c r="B78" s="127" t="s">
        <v>30</v>
      </c>
      <c r="C78" s="127">
        <v>185</v>
      </c>
      <c r="D78" s="127">
        <v>574</v>
      </c>
      <c r="E78" s="127">
        <v>1076</v>
      </c>
      <c r="F78" s="127">
        <v>1319</v>
      </c>
      <c r="G78" s="127">
        <v>1084</v>
      </c>
      <c r="H78" s="127">
        <v>414</v>
      </c>
      <c r="I78" s="127">
        <v>4652</v>
      </c>
      <c r="J78" s="127">
        <v>4722</v>
      </c>
      <c r="K78" s="127">
        <v>115</v>
      </c>
      <c r="L78" s="127">
        <v>522</v>
      </c>
      <c r="M78" s="127">
        <v>749</v>
      </c>
      <c r="N78" s="127">
        <v>788</v>
      </c>
      <c r="O78" s="127">
        <v>524</v>
      </c>
      <c r="P78" s="127">
        <v>206</v>
      </c>
      <c r="Q78" s="127">
        <v>2904</v>
      </c>
      <c r="R78" s="127">
        <v>2933</v>
      </c>
      <c r="S78" s="127">
        <v>300</v>
      </c>
      <c r="T78" s="127">
        <v>1096</v>
      </c>
      <c r="U78" s="127">
        <v>1825</v>
      </c>
      <c r="V78" s="127">
        <v>2107</v>
      </c>
      <c r="W78" s="127">
        <v>1608</v>
      </c>
      <c r="X78" s="127">
        <v>620</v>
      </c>
      <c r="Y78" s="127">
        <v>7556</v>
      </c>
      <c r="Z78" s="127">
        <v>7655</v>
      </c>
    </row>
    <row r="79" spans="1:26" s="125" customFormat="1" x14ac:dyDescent="0.2">
      <c r="A79" s="93"/>
      <c r="B79" s="127" t="s">
        <v>31</v>
      </c>
      <c r="C79" s="127">
        <v>217</v>
      </c>
      <c r="D79" s="127">
        <v>829</v>
      </c>
      <c r="E79" s="127">
        <v>1820</v>
      </c>
      <c r="F79" s="127">
        <v>2408</v>
      </c>
      <c r="G79" s="127">
        <v>2092</v>
      </c>
      <c r="H79" s="127">
        <v>1147</v>
      </c>
      <c r="I79" s="127">
        <v>8513</v>
      </c>
      <c r="J79" s="127">
        <v>8681</v>
      </c>
      <c r="K79" s="127">
        <v>368</v>
      </c>
      <c r="L79" s="127">
        <v>1038</v>
      </c>
      <c r="M79" s="127">
        <v>1883</v>
      </c>
      <c r="N79" s="127">
        <v>1564</v>
      </c>
      <c r="O79" s="127">
        <v>1011</v>
      </c>
      <c r="P79" s="127">
        <v>410</v>
      </c>
      <c r="Q79" s="127">
        <v>6274</v>
      </c>
      <c r="R79" s="127">
        <v>6332</v>
      </c>
      <c r="S79" s="127">
        <v>585</v>
      </c>
      <c r="T79" s="127">
        <v>1867</v>
      </c>
      <c r="U79" s="127">
        <v>3703</v>
      </c>
      <c r="V79" s="127">
        <v>3972</v>
      </c>
      <c r="W79" s="127">
        <v>3103</v>
      </c>
      <c r="X79" s="127">
        <v>1557</v>
      </c>
      <c r="Y79" s="127">
        <v>14787</v>
      </c>
      <c r="Z79" s="127">
        <v>15013</v>
      </c>
    </row>
    <row r="80" spans="1:26" s="125" customFormat="1" x14ac:dyDescent="0.2">
      <c r="A80" s="93"/>
      <c r="B80" s="127" t="s">
        <v>32</v>
      </c>
      <c r="C80" s="127">
        <v>629</v>
      </c>
      <c r="D80" s="127">
        <v>1189</v>
      </c>
      <c r="E80" s="127">
        <v>2547</v>
      </c>
      <c r="F80" s="127">
        <v>3734</v>
      </c>
      <c r="G80" s="127">
        <v>3698</v>
      </c>
      <c r="H80" s="127">
        <v>2477</v>
      </c>
      <c r="I80" s="127">
        <v>14274</v>
      </c>
      <c r="J80" s="127">
        <v>15084</v>
      </c>
      <c r="K80" s="127">
        <v>888</v>
      </c>
      <c r="L80" s="127">
        <v>1587</v>
      </c>
      <c r="M80" s="127">
        <v>3673</v>
      </c>
      <c r="N80" s="127">
        <v>4627</v>
      </c>
      <c r="O80" s="127">
        <v>4250</v>
      </c>
      <c r="P80" s="127">
        <v>2666</v>
      </c>
      <c r="Q80" s="127">
        <v>17691</v>
      </c>
      <c r="R80" s="127">
        <v>18368</v>
      </c>
      <c r="S80" s="127">
        <v>1517</v>
      </c>
      <c r="T80" s="127">
        <v>2776</v>
      </c>
      <c r="U80" s="127">
        <v>6220</v>
      </c>
      <c r="V80" s="127">
        <v>8361</v>
      </c>
      <c r="W80" s="127">
        <v>7948</v>
      </c>
      <c r="X80" s="127">
        <v>5143</v>
      </c>
      <c r="Y80" s="127">
        <v>31965</v>
      </c>
      <c r="Z80" s="127">
        <v>33452</v>
      </c>
    </row>
    <row r="81" spans="1:26" s="125" customFormat="1" x14ac:dyDescent="0.2">
      <c r="A81" s="93"/>
      <c r="B81" s="127" t="s">
        <v>54</v>
      </c>
      <c r="C81" s="127">
        <v>29150</v>
      </c>
      <c r="D81" s="127">
        <v>64548</v>
      </c>
      <c r="E81" s="127">
        <v>87193</v>
      </c>
      <c r="F81" s="127">
        <v>84567</v>
      </c>
      <c r="G81" s="127">
        <v>56558</v>
      </c>
      <c r="H81" s="127">
        <v>26004</v>
      </c>
      <c r="I81" s="127">
        <v>348020</v>
      </c>
      <c r="J81" s="127">
        <v>353689</v>
      </c>
      <c r="K81" s="127">
        <v>31725</v>
      </c>
      <c r="L81" s="127">
        <v>81506</v>
      </c>
      <c r="M81" s="127">
        <v>118131</v>
      </c>
      <c r="N81" s="127">
        <v>103357</v>
      </c>
      <c r="O81" s="127">
        <v>58553</v>
      </c>
      <c r="P81" s="127">
        <v>22300</v>
      </c>
      <c r="Q81" s="127">
        <v>415572</v>
      </c>
      <c r="R81" s="127">
        <v>419956</v>
      </c>
      <c r="S81" s="127">
        <v>60875</v>
      </c>
      <c r="T81" s="127">
        <v>146054</v>
      </c>
      <c r="U81" s="127">
        <v>205324</v>
      </c>
      <c r="V81" s="127">
        <v>187924</v>
      </c>
      <c r="W81" s="127">
        <v>115111</v>
      </c>
      <c r="X81" s="127">
        <v>48304</v>
      </c>
      <c r="Y81" s="127">
        <v>763592</v>
      </c>
      <c r="Z81" s="127">
        <v>773645</v>
      </c>
    </row>
    <row r="82" spans="1:26" x14ac:dyDescent="0.2">
      <c r="A82" s="44"/>
    </row>
    <row r="84" spans="1:26" s="128" customFormat="1" x14ac:dyDescent="0.2">
      <c r="A84" s="129" t="s">
        <v>65</v>
      </c>
      <c r="B84" s="70" t="s">
        <v>92</v>
      </c>
      <c r="C84" s="88" t="s">
        <v>93</v>
      </c>
      <c r="D84" s="88" t="s">
        <v>94</v>
      </c>
      <c r="E84" s="88" t="s">
        <v>95</v>
      </c>
      <c r="F84" s="88" t="s">
        <v>96</v>
      </c>
      <c r="G84" s="88" t="s">
        <v>97</v>
      </c>
      <c r="H84" s="88" t="s">
        <v>98</v>
      </c>
      <c r="I84" s="88" t="s">
        <v>99</v>
      </c>
      <c r="J84" s="70" t="s">
        <v>58</v>
      </c>
      <c r="K84" s="88"/>
      <c r="L84" s="88"/>
      <c r="M84" s="88"/>
      <c r="N84" s="88"/>
      <c r="O84" s="88"/>
      <c r="P84" s="88"/>
      <c r="Q84" s="88"/>
      <c r="R84" s="70"/>
      <c r="S84" s="88"/>
      <c r="T84" s="88"/>
      <c r="U84" s="88"/>
      <c r="V84" s="88"/>
      <c r="W84" s="88"/>
      <c r="X84" s="88"/>
      <c r="Y84" s="88"/>
      <c r="Z84" s="70"/>
    </row>
    <row r="85" spans="1:26" s="128" customFormat="1" x14ac:dyDescent="0.2">
      <c r="A85" s="69" t="s">
        <v>66</v>
      </c>
      <c r="B85" s="70" t="s">
        <v>100</v>
      </c>
      <c r="C85" s="131">
        <v>29150</v>
      </c>
      <c r="D85" s="131">
        <v>64548</v>
      </c>
      <c r="E85" s="131">
        <v>87193</v>
      </c>
      <c r="F85" s="131">
        <v>84567</v>
      </c>
      <c r="G85" s="131">
        <v>56558</v>
      </c>
      <c r="H85" s="131">
        <v>26004</v>
      </c>
      <c r="I85" s="131">
        <v>348020</v>
      </c>
      <c r="J85" s="131">
        <v>353689</v>
      </c>
      <c r="K85" s="88"/>
      <c r="L85" s="88"/>
      <c r="M85" s="88"/>
      <c r="N85" s="88"/>
      <c r="O85" s="88"/>
      <c r="P85" s="88"/>
      <c r="Q85" s="88"/>
      <c r="R85" s="70"/>
      <c r="S85" s="88"/>
      <c r="T85" s="88"/>
      <c r="U85" s="88"/>
      <c r="V85" s="88"/>
      <c r="W85" s="88"/>
      <c r="X85" s="88"/>
      <c r="Y85" s="88"/>
      <c r="Z85" s="70"/>
    </row>
    <row r="86" spans="1:26" s="128" customFormat="1" x14ac:dyDescent="0.2">
      <c r="A86" s="69" t="s">
        <v>66</v>
      </c>
      <c r="B86" s="70" t="s">
        <v>101</v>
      </c>
      <c r="C86" s="131">
        <v>1801</v>
      </c>
      <c r="D86" s="131">
        <v>4615</v>
      </c>
      <c r="E86" s="131">
        <v>5670</v>
      </c>
      <c r="F86" s="131">
        <v>5182</v>
      </c>
      <c r="G86" s="131">
        <v>3990</v>
      </c>
      <c r="H86" s="131">
        <v>2359</v>
      </c>
      <c r="I86" s="131">
        <v>23617</v>
      </c>
      <c r="J86" s="131">
        <v>24083</v>
      </c>
      <c r="K86" s="88"/>
      <c r="L86" s="88"/>
      <c r="M86" s="88"/>
      <c r="N86" s="88"/>
      <c r="O86" s="88"/>
      <c r="P86" s="88"/>
      <c r="Q86" s="88"/>
      <c r="R86" s="70"/>
      <c r="S86" s="88"/>
      <c r="T86" s="88"/>
      <c r="U86" s="88"/>
      <c r="V86" s="88"/>
      <c r="W86" s="88"/>
      <c r="X86" s="88"/>
      <c r="Y86" s="88"/>
      <c r="Z86" s="70"/>
    </row>
    <row r="87" spans="1:26" s="128" customFormat="1" x14ac:dyDescent="0.2">
      <c r="A87" s="69" t="s">
        <v>66</v>
      </c>
      <c r="B87" s="70" t="s">
        <v>102</v>
      </c>
      <c r="C87" s="131">
        <v>2250</v>
      </c>
      <c r="D87" s="131">
        <v>6238</v>
      </c>
      <c r="E87" s="131">
        <v>6439</v>
      </c>
      <c r="F87" s="131">
        <v>4508</v>
      </c>
      <c r="G87" s="131">
        <v>3000</v>
      </c>
      <c r="H87" s="131">
        <v>1711</v>
      </c>
      <c r="I87" s="131">
        <v>24146</v>
      </c>
      <c r="J87" s="131">
        <v>24553</v>
      </c>
      <c r="K87" s="88"/>
      <c r="L87" s="88"/>
      <c r="M87" s="88"/>
      <c r="N87" s="88"/>
      <c r="O87" s="88"/>
      <c r="P87" s="88"/>
      <c r="Q87" s="88"/>
      <c r="R87" s="70"/>
      <c r="S87" s="88"/>
      <c r="T87" s="88"/>
      <c r="U87" s="88"/>
      <c r="V87" s="88"/>
      <c r="W87" s="88"/>
      <c r="X87" s="88"/>
      <c r="Y87" s="88"/>
      <c r="Z87" s="70"/>
    </row>
    <row r="88" spans="1:26" s="128" customFormat="1" x14ac:dyDescent="0.2">
      <c r="A88" s="69" t="s">
        <v>66</v>
      </c>
      <c r="B88" s="70" t="s">
        <v>103</v>
      </c>
      <c r="C88" s="131">
        <v>2417</v>
      </c>
      <c r="D88" s="131">
        <v>5368</v>
      </c>
      <c r="E88" s="131">
        <v>5923</v>
      </c>
      <c r="F88" s="131">
        <v>4981</v>
      </c>
      <c r="G88" s="131">
        <v>3672</v>
      </c>
      <c r="H88" s="131">
        <v>2384</v>
      </c>
      <c r="I88" s="131">
        <v>24745</v>
      </c>
      <c r="J88" s="131">
        <v>25312</v>
      </c>
      <c r="K88" s="88"/>
      <c r="L88" s="88"/>
      <c r="M88" s="88"/>
      <c r="N88" s="88"/>
      <c r="O88" s="88"/>
      <c r="P88" s="88"/>
      <c r="Q88" s="88"/>
      <c r="R88" s="70"/>
      <c r="S88" s="88"/>
      <c r="T88" s="88"/>
      <c r="U88" s="88"/>
      <c r="V88" s="88"/>
      <c r="W88" s="88"/>
      <c r="X88" s="88"/>
      <c r="Y88" s="88"/>
      <c r="Z88" s="70"/>
    </row>
    <row r="89" spans="1:26" s="128" customFormat="1" x14ac:dyDescent="0.2">
      <c r="A89" s="69" t="s">
        <v>66</v>
      </c>
      <c r="B89" s="70" t="s">
        <v>104</v>
      </c>
      <c r="C89" s="131">
        <v>215</v>
      </c>
      <c r="D89" s="131">
        <v>526</v>
      </c>
      <c r="E89" s="131">
        <v>719</v>
      </c>
      <c r="F89" s="131">
        <v>700</v>
      </c>
      <c r="G89" s="131">
        <v>510</v>
      </c>
      <c r="H89" s="131">
        <v>249</v>
      </c>
      <c r="I89" s="131">
        <v>2919</v>
      </c>
      <c r="J89" s="131">
        <v>2990</v>
      </c>
      <c r="K89" s="88"/>
      <c r="L89" s="88"/>
      <c r="M89" s="88"/>
      <c r="N89" s="88"/>
      <c r="O89" s="88"/>
      <c r="P89" s="88"/>
      <c r="Q89" s="88"/>
      <c r="R89" s="70"/>
      <c r="S89" s="88"/>
      <c r="T89" s="88"/>
      <c r="U89" s="88"/>
      <c r="V89" s="88"/>
      <c r="W89" s="88"/>
      <c r="X89" s="88"/>
      <c r="Y89" s="88"/>
      <c r="Z89" s="70"/>
    </row>
    <row r="90" spans="1:26" s="128" customFormat="1" x14ac:dyDescent="0.2">
      <c r="A90" s="69" t="s">
        <v>66</v>
      </c>
      <c r="B90" s="70" t="s">
        <v>105</v>
      </c>
      <c r="C90" s="131">
        <v>9108</v>
      </c>
      <c r="D90" s="131">
        <v>12504</v>
      </c>
      <c r="E90" s="131">
        <v>10358</v>
      </c>
      <c r="F90" s="131">
        <v>7930</v>
      </c>
      <c r="G90" s="131">
        <v>5396</v>
      </c>
      <c r="H90" s="131">
        <v>2945</v>
      </c>
      <c r="I90" s="131">
        <v>48241</v>
      </c>
      <c r="J90" s="131">
        <v>48945</v>
      </c>
      <c r="K90" s="88"/>
      <c r="L90" s="88"/>
      <c r="M90" s="88"/>
      <c r="N90" s="88"/>
      <c r="O90" s="88"/>
      <c r="P90" s="88"/>
      <c r="Q90" s="88"/>
      <c r="R90" s="70"/>
      <c r="S90" s="88"/>
      <c r="T90" s="88"/>
      <c r="U90" s="88"/>
      <c r="V90" s="88"/>
      <c r="W90" s="88"/>
      <c r="X90" s="88"/>
      <c r="Y90" s="88"/>
      <c r="Z90" s="70"/>
    </row>
    <row r="91" spans="1:26" s="128" customFormat="1" x14ac:dyDescent="0.2">
      <c r="A91" s="69" t="s">
        <v>66</v>
      </c>
      <c r="B91" s="70" t="s">
        <v>106</v>
      </c>
      <c r="C91" s="131">
        <v>2572</v>
      </c>
      <c r="D91" s="131">
        <v>2689</v>
      </c>
      <c r="E91" s="131">
        <v>2006</v>
      </c>
      <c r="F91" s="131">
        <v>1046</v>
      </c>
      <c r="G91" s="131">
        <v>531</v>
      </c>
      <c r="H91" s="131">
        <v>285</v>
      </c>
      <c r="I91" s="131">
        <v>9129</v>
      </c>
      <c r="J91" s="131">
        <v>9190</v>
      </c>
      <c r="K91" s="88"/>
      <c r="L91" s="88"/>
      <c r="M91" s="88"/>
      <c r="N91" s="88"/>
      <c r="O91" s="88"/>
      <c r="P91" s="88"/>
      <c r="Q91" s="88"/>
      <c r="R91" s="70"/>
      <c r="S91" s="88"/>
      <c r="T91" s="88"/>
      <c r="U91" s="88"/>
      <c r="V91" s="88"/>
      <c r="W91" s="88"/>
      <c r="X91" s="88"/>
      <c r="Y91" s="88"/>
      <c r="Z91" s="70"/>
    </row>
    <row r="92" spans="1:26" s="128" customFormat="1" x14ac:dyDescent="0.2">
      <c r="A92" s="69" t="s">
        <v>66</v>
      </c>
      <c r="B92" s="70" t="s">
        <v>107</v>
      </c>
      <c r="C92" s="131">
        <v>224</v>
      </c>
      <c r="D92" s="131">
        <v>861</v>
      </c>
      <c r="E92" s="131">
        <v>1644</v>
      </c>
      <c r="F92" s="131">
        <v>1945</v>
      </c>
      <c r="G92" s="131">
        <v>1553</v>
      </c>
      <c r="H92" s="131">
        <v>710</v>
      </c>
      <c r="I92" s="131">
        <v>6937</v>
      </c>
      <c r="J92" s="131">
        <v>7073</v>
      </c>
      <c r="K92" s="88"/>
      <c r="L92" s="88"/>
      <c r="M92" s="88"/>
      <c r="N92" s="88"/>
      <c r="O92" s="88"/>
      <c r="P92" s="88"/>
      <c r="Q92" s="88"/>
      <c r="R92" s="70"/>
      <c r="S92" s="88"/>
      <c r="T92" s="88"/>
      <c r="U92" s="88"/>
      <c r="V92" s="88"/>
      <c r="W92" s="88"/>
      <c r="X92" s="88"/>
      <c r="Y92" s="88"/>
      <c r="Z92" s="70"/>
    </row>
    <row r="93" spans="1:26" s="128" customFormat="1" x14ac:dyDescent="0.2">
      <c r="A93" s="69" t="s">
        <v>66</v>
      </c>
      <c r="B93" s="70" t="s">
        <v>108</v>
      </c>
      <c r="C93" s="131">
        <v>111</v>
      </c>
      <c r="D93" s="131">
        <v>417</v>
      </c>
      <c r="E93" s="131">
        <v>682</v>
      </c>
      <c r="F93" s="131">
        <v>797</v>
      </c>
      <c r="G93" s="131">
        <v>669</v>
      </c>
      <c r="H93" s="131">
        <v>420</v>
      </c>
      <c r="I93" s="131">
        <v>3096</v>
      </c>
      <c r="J93" s="131">
        <v>3189</v>
      </c>
      <c r="K93" s="88"/>
      <c r="L93" s="88"/>
      <c r="M93" s="88"/>
      <c r="N93" s="88"/>
      <c r="O93" s="88"/>
      <c r="P93" s="88"/>
      <c r="Q93" s="88"/>
      <c r="R93" s="70"/>
      <c r="S93" s="88"/>
      <c r="T93" s="88"/>
      <c r="U93" s="88"/>
      <c r="V93" s="88"/>
      <c r="W93" s="88"/>
      <c r="X93" s="88"/>
      <c r="Y93" s="88"/>
      <c r="Z93" s="70"/>
    </row>
    <row r="94" spans="1:26" s="128" customFormat="1" x14ac:dyDescent="0.2">
      <c r="A94" s="69" t="s">
        <v>66</v>
      </c>
      <c r="B94" s="70" t="s">
        <v>109</v>
      </c>
      <c r="C94" s="131">
        <v>69</v>
      </c>
      <c r="D94" s="131">
        <v>336</v>
      </c>
      <c r="E94" s="131">
        <v>991</v>
      </c>
      <c r="F94" s="131">
        <v>1479</v>
      </c>
      <c r="G94" s="131">
        <v>1233</v>
      </c>
      <c r="H94" s="131">
        <v>676</v>
      </c>
      <c r="I94" s="131">
        <v>4784</v>
      </c>
      <c r="J94" s="131">
        <v>4892</v>
      </c>
      <c r="K94" s="88"/>
      <c r="L94" s="88"/>
      <c r="M94" s="88"/>
      <c r="N94" s="88"/>
      <c r="O94" s="88"/>
      <c r="P94" s="88"/>
      <c r="Q94" s="88"/>
      <c r="R94" s="70"/>
      <c r="S94" s="88"/>
      <c r="T94" s="88"/>
      <c r="U94" s="88"/>
      <c r="V94" s="88"/>
      <c r="W94" s="88"/>
      <c r="X94" s="88"/>
      <c r="Y94" s="88"/>
      <c r="Z94" s="70"/>
    </row>
    <row r="95" spans="1:26" s="128" customFormat="1" x14ac:dyDescent="0.2">
      <c r="A95" s="69" t="s">
        <v>66</v>
      </c>
      <c r="B95" s="70" t="s">
        <v>110</v>
      </c>
      <c r="C95" s="131">
        <v>0</v>
      </c>
      <c r="D95" s="131">
        <v>0</v>
      </c>
      <c r="E95" s="131">
        <v>8</v>
      </c>
      <c r="F95" s="131">
        <v>13</v>
      </c>
      <c r="G95" s="131">
        <v>15</v>
      </c>
      <c r="H95" s="131">
        <v>8</v>
      </c>
      <c r="I95" s="131">
        <v>44</v>
      </c>
      <c r="J95" s="131">
        <v>46</v>
      </c>
      <c r="K95" s="88"/>
      <c r="L95" s="88"/>
      <c r="M95" s="88"/>
      <c r="N95" s="88"/>
      <c r="O95" s="88"/>
      <c r="P95" s="88"/>
      <c r="Q95" s="88"/>
      <c r="R95" s="70"/>
      <c r="S95" s="88"/>
      <c r="T95" s="88"/>
      <c r="U95" s="88"/>
      <c r="V95" s="88"/>
      <c r="W95" s="88"/>
      <c r="X95" s="88"/>
      <c r="Y95" s="88"/>
      <c r="Z95" s="70"/>
    </row>
    <row r="96" spans="1:26" s="128" customFormat="1" x14ac:dyDescent="0.2">
      <c r="A96" s="69" t="s">
        <v>66</v>
      </c>
      <c r="B96" s="70" t="s">
        <v>111</v>
      </c>
      <c r="C96" s="131">
        <v>30</v>
      </c>
      <c r="D96" s="131">
        <v>243</v>
      </c>
      <c r="E96" s="131">
        <v>469</v>
      </c>
      <c r="F96" s="131">
        <v>547</v>
      </c>
      <c r="G96" s="131">
        <v>433</v>
      </c>
      <c r="H96" s="131">
        <v>240</v>
      </c>
      <c r="I96" s="131">
        <v>1962</v>
      </c>
      <c r="J96" s="131">
        <v>2045</v>
      </c>
      <c r="K96" s="88"/>
      <c r="L96" s="88"/>
      <c r="M96" s="88"/>
      <c r="N96" s="88"/>
      <c r="O96" s="88"/>
      <c r="P96" s="88"/>
      <c r="Q96" s="88"/>
      <c r="R96" s="70"/>
      <c r="S96" s="88"/>
      <c r="T96" s="88"/>
      <c r="U96" s="88"/>
      <c r="V96" s="88"/>
      <c r="W96" s="88"/>
      <c r="X96" s="88"/>
      <c r="Y96" s="88"/>
      <c r="Z96" s="70"/>
    </row>
    <row r="97" spans="1:26" s="128" customFormat="1" x14ac:dyDescent="0.2">
      <c r="A97" s="69" t="s">
        <v>66</v>
      </c>
      <c r="B97" s="70" t="s">
        <v>112</v>
      </c>
      <c r="C97" s="131">
        <v>426</v>
      </c>
      <c r="D97" s="131">
        <v>1839</v>
      </c>
      <c r="E97" s="131">
        <v>4501</v>
      </c>
      <c r="F97" s="131">
        <v>4934</v>
      </c>
      <c r="G97" s="131">
        <v>2982</v>
      </c>
      <c r="H97" s="131">
        <v>1075</v>
      </c>
      <c r="I97" s="131">
        <v>15757</v>
      </c>
      <c r="J97" s="131">
        <v>15956</v>
      </c>
      <c r="K97" s="88"/>
      <c r="L97" s="88"/>
      <c r="M97" s="88"/>
      <c r="N97" s="88"/>
      <c r="O97" s="88"/>
      <c r="P97" s="88"/>
      <c r="Q97" s="88"/>
      <c r="R97" s="70"/>
      <c r="S97" s="88"/>
      <c r="T97" s="88"/>
      <c r="U97" s="88"/>
      <c r="V97" s="88"/>
      <c r="W97" s="88"/>
      <c r="X97" s="88"/>
      <c r="Y97" s="88"/>
      <c r="Z97" s="70"/>
    </row>
    <row r="98" spans="1:26" s="128" customFormat="1" x14ac:dyDescent="0.2">
      <c r="A98" s="69" t="s">
        <v>66</v>
      </c>
      <c r="B98" s="70" t="s">
        <v>113</v>
      </c>
      <c r="C98" s="131">
        <v>1136</v>
      </c>
      <c r="D98" s="131">
        <v>3966</v>
      </c>
      <c r="E98" s="131">
        <v>4579</v>
      </c>
      <c r="F98" s="131">
        <v>3361</v>
      </c>
      <c r="G98" s="131">
        <v>1827</v>
      </c>
      <c r="H98" s="131">
        <v>733</v>
      </c>
      <c r="I98" s="131">
        <v>15602</v>
      </c>
      <c r="J98" s="131">
        <v>15713</v>
      </c>
      <c r="K98" s="88"/>
      <c r="L98" s="88"/>
      <c r="M98" s="88"/>
      <c r="N98" s="88"/>
      <c r="O98" s="88"/>
      <c r="P98" s="88"/>
      <c r="Q98" s="88"/>
      <c r="R98" s="70"/>
      <c r="S98" s="88"/>
      <c r="T98" s="88"/>
      <c r="U98" s="88"/>
      <c r="V98" s="88"/>
      <c r="W98" s="88"/>
      <c r="X98" s="88"/>
      <c r="Y98" s="88"/>
      <c r="Z98" s="70"/>
    </row>
    <row r="99" spans="1:26" s="128" customFormat="1" x14ac:dyDescent="0.2">
      <c r="A99" s="69" t="s">
        <v>66</v>
      </c>
      <c r="B99" s="70" t="s">
        <v>114</v>
      </c>
      <c r="C99" s="131">
        <v>713</v>
      </c>
      <c r="D99" s="131">
        <v>3052</v>
      </c>
      <c r="E99" s="131">
        <v>4313</v>
      </c>
      <c r="F99" s="131">
        <v>4043</v>
      </c>
      <c r="G99" s="131">
        <v>2197</v>
      </c>
      <c r="H99" s="131">
        <v>727</v>
      </c>
      <c r="I99" s="131">
        <v>15045</v>
      </c>
      <c r="J99" s="131">
        <v>15151</v>
      </c>
      <c r="K99" s="88"/>
      <c r="L99" s="88"/>
      <c r="M99" s="88"/>
      <c r="N99" s="88"/>
      <c r="O99" s="88"/>
      <c r="P99" s="88"/>
      <c r="Q99" s="88"/>
      <c r="R99" s="70"/>
      <c r="S99" s="88"/>
      <c r="T99" s="88"/>
      <c r="U99" s="88"/>
      <c r="V99" s="88"/>
      <c r="W99" s="88"/>
      <c r="X99" s="88"/>
      <c r="Y99" s="88"/>
      <c r="Z99" s="70"/>
    </row>
    <row r="100" spans="1:26" s="128" customFormat="1" x14ac:dyDescent="0.2">
      <c r="A100" s="69" t="s">
        <v>66</v>
      </c>
      <c r="B100" s="70" t="s">
        <v>115</v>
      </c>
      <c r="C100" s="131">
        <v>515</v>
      </c>
      <c r="D100" s="131">
        <v>1699</v>
      </c>
      <c r="E100" s="131">
        <v>2302</v>
      </c>
      <c r="F100" s="131">
        <v>1886</v>
      </c>
      <c r="G100" s="131">
        <v>1049</v>
      </c>
      <c r="H100" s="131">
        <v>416</v>
      </c>
      <c r="I100" s="131">
        <v>7867</v>
      </c>
      <c r="J100" s="131">
        <v>7932</v>
      </c>
      <c r="K100" s="88"/>
      <c r="L100" s="88"/>
      <c r="M100" s="88"/>
      <c r="N100" s="88"/>
      <c r="O100" s="88"/>
      <c r="P100" s="88"/>
      <c r="Q100" s="88"/>
      <c r="R100" s="70"/>
      <c r="S100" s="88"/>
      <c r="T100" s="88"/>
      <c r="U100" s="88"/>
      <c r="V100" s="88"/>
      <c r="W100" s="88"/>
      <c r="X100" s="88"/>
      <c r="Y100" s="88"/>
      <c r="Z100" s="70"/>
    </row>
    <row r="101" spans="1:26" s="128" customFormat="1" x14ac:dyDescent="0.2">
      <c r="A101" s="69" t="s">
        <v>66</v>
      </c>
      <c r="B101" s="70" t="s">
        <v>116</v>
      </c>
      <c r="C101" s="131">
        <v>1388</v>
      </c>
      <c r="D101" s="131">
        <v>4050</v>
      </c>
      <c r="E101" s="131">
        <v>6428</v>
      </c>
      <c r="F101" s="131">
        <v>6233</v>
      </c>
      <c r="G101" s="131">
        <v>3191</v>
      </c>
      <c r="H101" s="131">
        <v>940</v>
      </c>
      <c r="I101" s="131">
        <v>22230</v>
      </c>
      <c r="J101" s="131">
        <v>22349</v>
      </c>
      <c r="K101" s="88"/>
      <c r="L101" s="88"/>
      <c r="M101" s="88"/>
      <c r="N101" s="88"/>
      <c r="O101" s="88"/>
      <c r="P101" s="88"/>
      <c r="Q101" s="88"/>
      <c r="R101" s="70"/>
      <c r="S101" s="88"/>
      <c r="T101" s="88"/>
      <c r="U101" s="88"/>
      <c r="V101" s="88"/>
      <c r="W101" s="88"/>
      <c r="X101" s="88"/>
      <c r="Y101" s="88"/>
      <c r="Z101" s="70"/>
    </row>
    <row r="102" spans="1:26" s="128" customFormat="1" x14ac:dyDescent="0.2">
      <c r="A102" s="69" t="s">
        <v>66</v>
      </c>
      <c r="B102" s="70" t="s">
        <v>117</v>
      </c>
      <c r="C102" s="131">
        <v>145</v>
      </c>
      <c r="D102" s="131">
        <v>543</v>
      </c>
      <c r="E102" s="131">
        <v>1049</v>
      </c>
      <c r="F102" s="131">
        <v>1187</v>
      </c>
      <c r="G102" s="131">
        <v>939</v>
      </c>
      <c r="H102" s="131">
        <v>500</v>
      </c>
      <c r="I102" s="131">
        <v>4363</v>
      </c>
      <c r="J102" s="131">
        <v>4508</v>
      </c>
      <c r="K102" s="88"/>
      <c r="L102" s="88"/>
      <c r="M102" s="88"/>
      <c r="N102" s="88"/>
      <c r="O102" s="88"/>
      <c r="P102" s="88"/>
      <c r="Q102" s="88"/>
      <c r="R102" s="70"/>
      <c r="S102" s="88"/>
      <c r="T102" s="88"/>
      <c r="U102" s="88"/>
      <c r="V102" s="88"/>
      <c r="W102" s="88"/>
      <c r="X102" s="88"/>
      <c r="Y102" s="88"/>
      <c r="Z102" s="70"/>
    </row>
    <row r="103" spans="1:26" s="128" customFormat="1" x14ac:dyDescent="0.2">
      <c r="A103" s="69" t="s">
        <v>66</v>
      </c>
      <c r="B103" s="70" t="s">
        <v>118</v>
      </c>
      <c r="C103" s="131">
        <v>279</v>
      </c>
      <c r="D103" s="131">
        <v>1083</v>
      </c>
      <c r="E103" s="131">
        <v>3012</v>
      </c>
      <c r="F103" s="131">
        <v>3892</v>
      </c>
      <c r="G103" s="131">
        <v>3302</v>
      </c>
      <c r="H103" s="131">
        <v>1673</v>
      </c>
      <c r="I103" s="131">
        <v>13241</v>
      </c>
      <c r="J103" s="131">
        <v>13637</v>
      </c>
      <c r="K103" s="88"/>
      <c r="L103" s="88"/>
      <c r="M103" s="88"/>
      <c r="N103" s="88"/>
      <c r="O103" s="88"/>
      <c r="P103" s="88"/>
      <c r="Q103" s="88"/>
      <c r="R103" s="70"/>
      <c r="S103" s="88"/>
      <c r="T103" s="88"/>
      <c r="U103" s="88"/>
      <c r="V103" s="88"/>
      <c r="W103" s="88"/>
      <c r="X103" s="88"/>
      <c r="Y103" s="88"/>
      <c r="Z103" s="70"/>
    </row>
    <row r="104" spans="1:26" s="128" customFormat="1" x14ac:dyDescent="0.2">
      <c r="A104" s="69" t="s">
        <v>66</v>
      </c>
      <c r="B104" s="70" t="s">
        <v>119</v>
      </c>
      <c r="C104" s="131">
        <v>244</v>
      </c>
      <c r="D104" s="131">
        <v>688</v>
      </c>
      <c r="E104" s="131">
        <v>1742</v>
      </c>
      <c r="F104" s="131">
        <v>2090</v>
      </c>
      <c r="G104" s="131">
        <v>1378</v>
      </c>
      <c r="H104" s="131">
        <v>544</v>
      </c>
      <c r="I104" s="131">
        <v>6686</v>
      </c>
      <c r="J104" s="131">
        <v>6805</v>
      </c>
      <c r="K104" s="88"/>
      <c r="L104" s="88"/>
      <c r="M104" s="88"/>
      <c r="N104" s="88"/>
      <c r="O104" s="88"/>
      <c r="P104" s="88"/>
      <c r="Q104" s="88"/>
      <c r="R104" s="70"/>
      <c r="S104" s="88"/>
      <c r="T104" s="88"/>
      <c r="U104" s="88"/>
      <c r="V104" s="88"/>
      <c r="W104" s="88"/>
      <c r="X104" s="88"/>
      <c r="Y104" s="88"/>
      <c r="Z104" s="70"/>
    </row>
    <row r="105" spans="1:26" s="128" customFormat="1" x14ac:dyDescent="0.2">
      <c r="A105" s="69" t="s">
        <v>66</v>
      </c>
      <c r="B105" s="70" t="s">
        <v>120</v>
      </c>
      <c r="C105" s="131">
        <v>103</v>
      </c>
      <c r="D105" s="131">
        <v>274</v>
      </c>
      <c r="E105" s="131">
        <v>525</v>
      </c>
      <c r="F105" s="131">
        <v>452</v>
      </c>
      <c r="G105" s="131">
        <v>327</v>
      </c>
      <c r="H105" s="131">
        <v>139</v>
      </c>
      <c r="I105" s="131">
        <v>1820</v>
      </c>
      <c r="J105" s="131">
        <v>1875</v>
      </c>
      <c r="K105" s="88"/>
      <c r="L105" s="88"/>
      <c r="M105" s="88"/>
      <c r="N105" s="88"/>
      <c r="O105" s="88"/>
      <c r="P105" s="88"/>
      <c r="Q105" s="88"/>
      <c r="R105" s="70"/>
      <c r="S105" s="88"/>
      <c r="T105" s="88"/>
      <c r="U105" s="88"/>
      <c r="V105" s="88"/>
      <c r="W105" s="88"/>
      <c r="X105" s="88"/>
      <c r="Y105" s="88"/>
      <c r="Z105" s="70"/>
    </row>
    <row r="106" spans="1:26" s="128" customFormat="1" x14ac:dyDescent="0.2">
      <c r="A106" s="69" t="s">
        <v>66</v>
      </c>
      <c r="B106" s="70" t="s">
        <v>121</v>
      </c>
      <c r="C106" s="131">
        <v>1174</v>
      </c>
      <c r="D106" s="131">
        <v>1295</v>
      </c>
      <c r="E106" s="131">
        <v>2658</v>
      </c>
      <c r="F106" s="131">
        <v>2863</v>
      </c>
      <c r="G106" s="131">
        <v>1702</v>
      </c>
      <c r="H106" s="131">
        <v>608</v>
      </c>
      <c r="I106" s="131">
        <v>10300</v>
      </c>
      <c r="J106" s="131">
        <v>10443</v>
      </c>
      <c r="K106" s="88"/>
      <c r="L106" s="88"/>
      <c r="M106" s="88"/>
      <c r="N106" s="88"/>
      <c r="O106" s="88"/>
      <c r="P106" s="88"/>
      <c r="Q106" s="88"/>
      <c r="R106" s="70"/>
      <c r="S106" s="88"/>
      <c r="T106" s="88"/>
      <c r="U106" s="88"/>
      <c r="V106" s="88"/>
      <c r="W106" s="88"/>
      <c r="X106" s="88"/>
      <c r="Y106" s="88"/>
      <c r="Z106" s="70"/>
    </row>
    <row r="107" spans="1:26" s="128" customFormat="1" x14ac:dyDescent="0.2">
      <c r="A107" s="69" t="s">
        <v>66</v>
      </c>
      <c r="B107" s="70" t="s">
        <v>122</v>
      </c>
      <c r="C107" s="131">
        <v>87</v>
      </c>
      <c r="D107" s="131">
        <v>361</v>
      </c>
      <c r="E107" s="131">
        <v>1063</v>
      </c>
      <c r="F107" s="131">
        <v>1313</v>
      </c>
      <c r="G107" s="131">
        <v>850</v>
      </c>
      <c r="H107" s="131">
        <v>234</v>
      </c>
      <c r="I107" s="131">
        <v>3908</v>
      </c>
      <c r="J107" s="131">
        <v>3937</v>
      </c>
      <c r="K107" s="88"/>
      <c r="L107" s="88"/>
      <c r="M107" s="88"/>
      <c r="N107" s="88"/>
      <c r="O107" s="88"/>
      <c r="P107" s="88"/>
      <c r="Q107" s="88"/>
      <c r="R107" s="70"/>
      <c r="S107" s="88"/>
      <c r="T107" s="88"/>
      <c r="U107" s="88"/>
      <c r="V107" s="88"/>
      <c r="W107" s="88"/>
      <c r="X107" s="88"/>
      <c r="Y107" s="88"/>
      <c r="Z107" s="70"/>
    </row>
    <row r="108" spans="1:26" s="128" customFormat="1" x14ac:dyDescent="0.2">
      <c r="A108" s="69" t="s">
        <v>66</v>
      </c>
      <c r="B108" s="70" t="s">
        <v>123</v>
      </c>
      <c r="C108" s="131">
        <v>1506</v>
      </c>
      <c r="D108" s="131">
        <v>3280</v>
      </c>
      <c r="E108" s="131">
        <v>6085</v>
      </c>
      <c r="F108" s="131">
        <v>7046</v>
      </c>
      <c r="G108" s="131">
        <v>4317</v>
      </c>
      <c r="H108" s="131">
        <v>1062</v>
      </c>
      <c r="I108" s="131">
        <v>23296</v>
      </c>
      <c r="J108" s="131">
        <v>23435</v>
      </c>
      <c r="K108" s="88"/>
      <c r="L108" s="88"/>
      <c r="M108" s="88"/>
      <c r="N108" s="88"/>
      <c r="O108" s="88"/>
      <c r="P108" s="88"/>
      <c r="Q108" s="88"/>
      <c r="R108" s="70"/>
      <c r="S108" s="88"/>
      <c r="T108" s="88"/>
      <c r="U108" s="88"/>
      <c r="V108" s="88"/>
      <c r="W108" s="88"/>
      <c r="X108" s="88"/>
      <c r="Y108" s="88"/>
      <c r="Z108" s="70"/>
    </row>
    <row r="109" spans="1:26" s="128" customFormat="1" x14ac:dyDescent="0.2">
      <c r="A109" s="69" t="s">
        <v>66</v>
      </c>
      <c r="B109" s="70" t="s">
        <v>124</v>
      </c>
      <c r="C109" s="131">
        <v>83</v>
      </c>
      <c r="D109" s="131">
        <v>558</v>
      </c>
      <c r="E109" s="131">
        <v>2230</v>
      </c>
      <c r="F109" s="131">
        <v>3440</v>
      </c>
      <c r="G109" s="131">
        <v>1964</v>
      </c>
      <c r="H109" s="131">
        <v>451</v>
      </c>
      <c r="I109" s="131">
        <v>8726</v>
      </c>
      <c r="J109" s="131">
        <v>8804</v>
      </c>
      <c r="K109" s="88"/>
      <c r="L109" s="88"/>
      <c r="M109" s="88"/>
      <c r="N109" s="88"/>
      <c r="O109" s="88"/>
      <c r="P109" s="88"/>
      <c r="Q109" s="88"/>
      <c r="R109" s="70"/>
      <c r="S109" s="88"/>
      <c r="T109" s="88"/>
      <c r="U109" s="88"/>
      <c r="V109" s="88"/>
      <c r="W109" s="88"/>
      <c r="X109" s="88"/>
      <c r="Y109" s="88"/>
      <c r="Z109" s="70"/>
    </row>
    <row r="110" spans="1:26" s="128" customFormat="1" x14ac:dyDescent="0.2">
      <c r="A110" s="69" t="s">
        <v>66</v>
      </c>
      <c r="B110" s="70" t="s">
        <v>125</v>
      </c>
      <c r="C110" s="131">
        <v>59</v>
      </c>
      <c r="D110" s="131">
        <v>270</v>
      </c>
      <c r="E110" s="131">
        <v>1109</v>
      </c>
      <c r="F110" s="131">
        <v>1464</v>
      </c>
      <c r="G110" s="131">
        <v>681</v>
      </c>
      <c r="H110" s="131">
        <v>132</v>
      </c>
      <c r="I110" s="131">
        <v>3715</v>
      </c>
      <c r="J110" s="131">
        <v>3747</v>
      </c>
      <c r="K110" s="88"/>
      <c r="L110" s="88"/>
      <c r="M110" s="88"/>
      <c r="N110" s="88"/>
      <c r="O110" s="88"/>
      <c r="P110" s="88"/>
      <c r="Q110" s="88"/>
      <c r="R110" s="70"/>
      <c r="S110" s="88"/>
      <c r="T110" s="88"/>
      <c r="U110" s="88"/>
      <c r="V110" s="88"/>
      <c r="W110" s="88"/>
      <c r="X110" s="88"/>
      <c r="Y110" s="88"/>
      <c r="Z110" s="70"/>
    </row>
    <row r="111" spans="1:26" s="128" customFormat="1" x14ac:dyDescent="0.2">
      <c r="A111" s="69" t="s">
        <v>66</v>
      </c>
      <c r="B111" s="70" t="s">
        <v>126</v>
      </c>
      <c r="C111" s="131">
        <v>226</v>
      </c>
      <c r="D111" s="131">
        <v>1114</v>
      </c>
      <c r="E111" s="131">
        <v>894</v>
      </c>
      <c r="F111" s="131">
        <v>502</v>
      </c>
      <c r="G111" s="131">
        <v>260</v>
      </c>
      <c r="H111" s="131">
        <v>85</v>
      </c>
      <c r="I111" s="131">
        <v>3081</v>
      </c>
      <c r="J111" s="131">
        <v>3106</v>
      </c>
      <c r="K111" s="88"/>
      <c r="L111" s="88"/>
      <c r="M111" s="88"/>
      <c r="N111" s="88"/>
      <c r="O111" s="88"/>
      <c r="P111" s="88"/>
      <c r="Q111" s="88"/>
      <c r="R111" s="70"/>
      <c r="S111" s="88"/>
      <c r="T111" s="88"/>
      <c r="U111" s="88"/>
      <c r="V111" s="88"/>
      <c r="W111" s="88"/>
      <c r="X111" s="88"/>
      <c r="Y111" s="88"/>
      <c r="Z111" s="70"/>
    </row>
    <row r="112" spans="1:26" s="128" customFormat="1" x14ac:dyDescent="0.2">
      <c r="A112" s="69" t="s">
        <v>66</v>
      </c>
      <c r="B112" s="70" t="s">
        <v>127</v>
      </c>
      <c r="C112" s="131">
        <v>114</v>
      </c>
      <c r="D112" s="131">
        <v>536</v>
      </c>
      <c r="E112" s="131">
        <v>365</v>
      </c>
      <c r="F112" s="131">
        <v>260</v>
      </c>
      <c r="G112" s="131">
        <v>159</v>
      </c>
      <c r="H112" s="131">
        <v>60</v>
      </c>
      <c r="I112" s="131">
        <v>1494</v>
      </c>
      <c r="J112" s="131">
        <v>1499</v>
      </c>
      <c r="K112" s="88"/>
      <c r="L112" s="88"/>
      <c r="M112" s="88"/>
      <c r="N112" s="88"/>
      <c r="O112" s="88"/>
      <c r="P112" s="88"/>
      <c r="Q112" s="88"/>
      <c r="R112" s="70"/>
      <c r="S112" s="88"/>
      <c r="T112" s="88"/>
      <c r="U112" s="88"/>
      <c r="V112" s="88"/>
      <c r="W112" s="88"/>
      <c r="X112" s="88"/>
      <c r="Y112" s="88"/>
      <c r="Z112" s="70"/>
    </row>
    <row r="113" spans="1:26" s="128" customFormat="1" x14ac:dyDescent="0.2">
      <c r="A113" s="69" t="s">
        <v>66</v>
      </c>
      <c r="B113" s="70" t="s">
        <v>128</v>
      </c>
      <c r="C113" s="131">
        <v>161</v>
      </c>
      <c r="D113" s="131">
        <v>677</v>
      </c>
      <c r="E113" s="131">
        <v>600</v>
      </c>
      <c r="F113" s="131">
        <v>445</v>
      </c>
      <c r="G113" s="131">
        <v>188</v>
      </c>
      <c r="H113" s="131">
        <v>59</v>
      </c>
      <c r="I113" s="131">
        <v>2130</v>
      </c>
      <c r="J113" s="131">
        <v>2140</v>
      </c>
      <c r="K113" s="88"/>
      <c r="L113" s="88"/>
      <c r="M113" s="88"/>
      <c r="N113" s="88"/>
      <c r="O113" s="88"/>
      <c r="P113" s="88"/>
      <c r="Q113" s="88"/>
      <c r="R113" s="70"/>
      <c r="S113" s="88"/>
      <c r="T113" s="88"/>
      <c r="U113" s="88"/>
      <c r="V113" s="88"/>
      <c r="W113" s="88"/>
      <c r="X113" s="88"/>
      <c r="Y113" s="88"/>
      <c r="Z113" s="70"/>
    </row>
    <row r="114" spans="1:26" s="128" customFormat="1" x14ac:dyDescent="0.2">
      <c r="A114" s="69" t="s">
        <v>66</v>
      </c>
      <c r="B114" s="70" t="s">
        <v>129</v>
      </c>
      <c r="C114" s="131">
        <v>357</v>
      </c>
      <c r="D114" s="131">
        <v>1026</v>
      </c>
      <c r="E114" s="131">
        <v>951</v>
      </c>
      <c r="F114" s="131">
        <v>392</v>
      </c>
      <c r="G114" s="131">
        <v>126</v>
      </c>
      <c r="H114" s="131">
        <v>65</v>
      </c>
      <c r="I114" s="131">
        <v>2917</v>
      </c>
      <c r="J114" s="131">
        <v>2970</v>
      </c>
      <c r="K114" s="88"/>
      <c r="L114" s="88"/>
      <c r="M114" s="88"/>
      <c r="N114" s="88"/>
      <c r="O114" s="88"/>
      <c r="P114" s="88"/>
      <c r="Q114" s="88"/>
      <c r="R114" s="70"/>
      <c r="S114" s="88"/>
      <c r="T114" s="88"/>
      <c r="U114" s="88"/>
      <c r="V114" s="88"/>
      <c r="W114" s="88"/>
      <c r="X114" s="88"/>
      <c r="Y114" s="88"/>
      <c r="Z114" s="70"/>
    </row>
    <row r="115" spans="1:26" s="128" customFormat="1" x14ac:dyDescent="0.2">
      <c r="A115" s="69" t="s">
        <v>66</v>
      </c>
      <c r="B115" s="70" t="s">
        <v>130</v>
      </c>
      <c r="C115" s="131">
        <v>254</v>
      </c>
      <c r="D115" s="131">
        <v>641</v>
      </c>
      <c r="E115" s="131">
        <v>759</v>
      </c>
      <c r="F115" s="131">
        <v>582</v>
      </c>
      <c r="G115" s="131">
        <v>305</v>
      </c>
      <c r="H115" s="131">
        <v>127</v>
      </c>
      <c r="I115" s="131">
        <v>2668</v>
      </c>
      <c r="J115" s="131">
        <v>2691</v>
      </c>
      <c r="K115" s="88"/>
      <c r="L115" s="88"/>
      <c r="M115" s="88"/>
      <c r="N115" s="88"/>
      <c r="O115" s="88"/>
      <c r="P115" s="88"/>
      <c r="Q115" s="88"/>
      <c r="R115" s="70"/>
      <c r="S115" s="88"/>
      <c r="T115" s="88"/>
      <c r="U115" s="88"/>
      <c r="V115" s="88"/>
      <c r="W115" s="88"/>
      <c r="X115" s="88"/>
      <c r="Y115" s="88"/>
      <c r="Z115" s="70"/>
    </row>
    <row r="116" spans="1:26" s="128" customFormat="1" x14ac:dyDescent="0.2">
      <c r="A116" s="69" t="s">
        <v>66</v>
      </c>
      <c r="B116" s="70" t="s">
        <v>131</v>
      </c>
      <c r="C116" s="131">
        <v>352</v>
      </c>
      <c r="D116" s="131">
        <v>1207</v>
      </c>
      <c r="E116" s="131">
        <v>1676</v>
      </c>
      <c r="F116" s="131">
        <v>1593</v>
      </c>
      <c r="G116" s="131">
        <v>938</v>
      </c>
      <c r="H116" s="131">
        <v>349</v>
      </c>
      <c r="I116" s="131">
        <v>6115</v>
      </c>
      <c r="J116" s="131">
        <v>6186</v>
      </c>
      <c r="K116" s="88"/>
      <c r="L116" s="88"/>
      <c r="M116" s="88"/>
      <c r="N116" s="88"/>
      <c r="O116" s="88"/>
      <c r="P116" s="88"/>
      <c r="Q116" s="88"/>
      <c r="R116" s="70"/>
      <c r="S116" s="88"/>
      <c r="T116" s="88"/>
      <c r="U116" s="88"/>
      <c r="V116" s="88"/>
      <c r="W116" s="88"/>
      <c r="X116" s="88"/>
      <c r="Y116" s="88"/>
      <c r="Z116" s="70"/>
    </row>
    <row r="117" spans="1:26" s="128" customFormat="1" x14ac:dyDescent="0.2">
      <c r="A117" s="69" t="s">
        <v>66</v>
      </c>
      <c r="B117" s="70" t="s">
        <v>132</v>
      </c>
      <c r="C117" s="131">
        <v>185</v>
      </c>
      <c r="D117" s="131">
        <v>574</v>
      </c>
      <c r="E117" s="131">
        <v>1076</v>
      </c>
      <c r="F117" s="131">
        <v>1319</v>
      </c>
      <c r="G117" s="131">
        <v>1084</v>
      </c>
      <c r="H117" s="131">
        <v>414</v>
      </c>
      <c r="I117" s="131">
        <v>4652</v>
      </c>
      <c r="J117" s="131">
        <v>4722</v>
      </c>
      <c r="K117" s="88"/>
      <c r="L117" s="88"/>
      <c r="M117" s="88"/>
      <c r="N117" s="88"/>
      <c r="O117" s="88"/>
      <c r="P117" s="88"/>
      <c r="Q117" s="88"/>
      <c r="R117" s="70"/>
      <c r="S117" s="88"/>
      <c r="T117" s="88"/>
      <c r="U117" s="88"/>
      <c r="V117" s="88"/>
      <c r="W117" s="88"/>
      <c r="X117" s="88"/>
      <c r="Y117" s="88"/>
      <c r="Z117" s="70"/>
    </row>
    <row r="118" spans="1:26" s="128" customFormat="1" x14ac:dyDescent="0.2">
      <c r="A118" s="69" t="s">
        <v>66</v>
      </c>
      <c r="B118" s="70" t="s">
        <v>133</v>
      </c>
      <c r="C118" s="131">
        <v>217</v>
      </c>
      <c r="D118" s="131">
        <v>829</v>
      </c>
      <c r="E118" s="131">
        <v>1820</v>
      </c>
      <c r="F118" s="131">
        <v>2408</v>
      </c>
      <c r="G118" s="131">
        <v>2092</v>
      </c>
      <c r="H118" s="131">
        <v>1147</v>
      </c>
      <c r="I118" s="131">
        <v>8513</v>
      </c>
      <c r="J118" s="131">
        <v>8681</v>
      </c>
      <c r="K118" s="88"/>
      <c r="L118" s="88"/>
      <c r="M118" s="88"/>
      <c r="N118" s="88"/>
      <c r="O118" s="88"/>
      <c r="P118" s="88"/>
      <c r="Q118" s="88"/>
      <c r="R118" s="70"/>
      <c r="S118" s="88"/>
      <c r="T118" s="88"/>
      <c r="U118" s="88"/>
      <c r="V118" s="88"/>
      <c r="W118" s="88"/>
      <c r="X118" s="88"/>
      <c r="Y118" s="88"/>
      <c r="Z118" s="70"/>
    </row>
    <row r="119" spans="1:26" s="128" customFormat="1" x14ac:dyDescent="0.2">
      <c r="A119" s="69" t="s">
        <v>66</v>
      </c>
      <c r="B119" s="70" t="s">
        <v>134</v>
      </c>
      <c r="C119" s="131">
        <v>629</v>
      </c>
      <c r="D119" s="131">
        <v>1189</v>
      </c>
      <c r="E119" s="131">
        <v>2547</v>
      </c>
      <c r="F119" s="131">
        <v>3734</v>
      </c>
      <c r="G119" s="131">
        <v>3698</v>
      </c>
      <c r="H119" s="131">
        <v>2477</v>
      </c>
      <c r="I119" s="131">
        <v>14274</v>
      </c>
      <c r="J119" s="131">
        <v>15084</v>
      </c>
      <c r="K119" s="88"/>
      <c r="L119" s="88"/>
      <c r="M119" s="88"/>
      <c r="N119" s="88"/>
      <c r="O119" s="88"/>
      <c r="P119" s="88"/>
      <c r="Q119" s="88"/>
      <c r="R119" s="70"/>
      <c r="S119" s="88"/>
      <c r="T119" s="88"/>
      <c r="U119" s="88"/>
      <c r="V119" s="88"/>
      <c r="W119" s="88"/>
      <c r="X119" s="88"/>
      <c r="Y119" s="88"/>
      <c r="Z119" s="70"/>
    </row>
    <row r="120" spans="1:26" s="128" customFormat="1" x14ac:dyDescent="0.2">
      <c r="A120" s="69" t="s">
        <v>67</v>
      </c>
      <c r="B120" s="70" t="s">
        <v>100</v>
      </c>
      <c r="C120" s="131">
        <v>31725</v>
      </c>
      <c r="D120" s="131">
        <v>81506</v>
      </c>
      <c r="E120" s="131">
        <v>118131</v>
      </c>
      <c r="F120" s="131">
        <v>103357</v>
      </c>
      <c r="G120" s="131">
        <v>58553</v>
      </c>
      <c r="H120" s="131">
        <v>22300</v>
      </c>
      <c r="I120" s="131">
        <v>415572</v>
      </c>
      <c r="J120" s="131">
        <v>419956</v>
      </c>
      <c r="K120" s="88"/>
      <c r="L120" s="88"/>
      <c r="M120" s="88"/>
      <c r="N120" s="88"/>
      <c r="O120" s="88"/>
      <c r="P120" s="88"/>
      <c r="Q120" s="88"/>
      <c r="R120" s="70"/>
      <c r="S120" s="88"/>
      <c r="T120" s="88"/>
      <c r="U120" s="88"/>
      <c r="V120" s="88"/>
      <c r="W120" s="88"/>
      <c r="X120" s="88"/>
      <c r="Y120" s="88"/>
      <c r="Z120" s="70"/>
    </row>
    <row r="121" spans="1:26" s="128" customFormat="1" x14ac:dyDescent="0.2">
      <c r="A121" s="69" t="s">
        <v>67</v>
      </c>
      <c r="B121" s="70" t="s">
        <v>101</v>
      </c>
      <c r="C121" s="131">
        <v>2945</v>
      </c>
      <c r="D121" s="131">
        <v>7150</v>
      </c>
      <c r="E121" s="131">
        <v>8301</v>
      </c>
      <c r="F121" s="131">
        <v>6921</v>
      </c>
      <c r="G121" s="131">
        <v>4836</v>
      </c>
      <c r="H121" s="131">
        <v>2539</v>
      </c>
      <c r="I121" s="131">
        <v>32692</v>
      </c>
      <c r="J121" s="131">
        <v>33151</v>
      </c>
      <c r="K121" s="88"/>
      <c r="L121" s="88"/>
      <c r="M121" s="88"/>
      <c r="N121" s="88"/>
      <c r="O121" s="88"/>
      <c r="P121" s="88"/>
      <c r="Q121" s="88"/>
      <c r="R121" s="70"/>
      <c r="S121" s="88"/>
      <c r="T121" s="88"/>
      <c r="U121" s="88"/>
      <c r="V121" s="88"/>
      <c r="W121" s="88"/>
      <c r="X121" s="88"/>
      <c r="Y121" s="88"/>
      <c r="Z121" s="70"/>
    </row>
    <row r="122" spans="1:26" s="128" customFormat="1" x14ac:dyDescent="0.2">
      <c r="A122" s="69" t="s">
        <v>67</v>
      </c>
      <c r="B122" s="70" t="s">
        <v>102</v>
      </c>
      <c r="C122" s="131">
        <v>1735</v>
      </c>
      <c r="D122" s="131">
        <v>5877</v>
      </c>
      <c r="E122" s="131">
        <v>6462</v>
      </c>
      <c r="F122" s="131">
        <v>4396</v>
      </c>
      <c r="G122" s="131">
        <v>2711</v>
      </c>
      <c r="H122" s="131">
        <v>1329</v>
      </c>
      <c r="I122" s="131">
        <v>22510</v>
      </c>
      <c r="J122" s="131">
        <v>22766</v>
      </c>
      <c r="K122" s="88"/>
      <c r="L122" s="88"/>
      <c r="M122" s="88"/>
      <c r="N122" s="88"/>
      <c r="O122" s="88"/>
      <c r="P122" s="88"/>
      <c r="Q122" s="88"/>
      <c r="R122" s="70"/>
      <c r="S122" s="88"/>
      <c r="T122" s="88"/>
      <c r="U122" s="88"/>
      <c r="V122" s="88"/>
      <c r="W122" s="88"/>
      <c r="X122" s="88"/>
      <c r="Y122" s="88"/>
      <c r="Z122" s="70"/>
    </row>
    <row r="123" spans="1:26" s="128" customFormat="1" x14ac:dyDescent="0.2">
      <c r="A123" s="69" t="s">
        <v>67</v>
      </c>
      <c r="B123" s="70" t="s">
        <v>103</v>
      </c>
      <c r="C123" s="131">
        <v>755</v>
      </c>
      <c r="D123" s="131">
        <v>1632</v>
      </c>
      <c r="E123" s="131">
        <v>1578</v>
      </c>
      <c r="F123" s="131">
        <v>1199</v>
      </c>
      <c r="G123" s="131">
        <v>854</v>
      </c>
      <c r="H123" s="131">
        <v>482</v>
      </c>
      <c r="I123" s="131">
        <v>6500</v>
      </c>
      <c r="J123" s="131">
        <v>6596</v>
      </c>
      <c r="K123" s="88"/>
      <c r="L123" s="88"/>
      <c r="M123" s="88"/>
      <c r="N123" s="88"/>
      <c r="O123" s="88"/>
      <c r="P123" s="88"/>
      <c r="Q123" s="88"/>
      <c r="R123" s="70"/>
      <c r="S123" s="88"/>
      <c r="T123" s="88"/>
      <c r="U123" s="88"/>
      <c r="V123" s="88"/>
      <c r="W123" s="88"/>
      <c r="X123" s="88"/>
      <c r="Y123" s="88"/>
      <c r="Z123" s="70"/>
    </row>
    <row r="124" spans="1:26" s="128" customFormat="1" x14ac:dyDescent="0.2">
      <c r="A124" s="69" t="s">
        <v>67</v>
      </c>
      <c r="B124" s="70" t="s">
        <v>104</v>
      </c>
      <c r="C124" s="131">
        <v>74</v>
      </c>
      <c r="D124" s="131">
        <v>211</v>
      </c>
      <c r="E124" s="131">
        <v>331</v>
      </c>
      <c r="F124" s="131">
        <v>275</v>
      </c>
      <c r="G124" s="131">
        <v>174</v>
      </c>
      <c r="H124" s="131">
        <v>99</v>
      </c>
      <c r="I124" s="131">
        <v>1164</v>
      </c>
      <c r="J124" s="131">
        <v>1191</v>
      </c>
      <c r="K124" s="88"/>
      <c r="L124" s="88"/>
      <c r="M124" s="88"/>
      <c r="N124" s="88"/>
      <c r="O124" s="88"/>
      <c r="P124" s="88"/>
      <c r="Q124" s="88"/>
      <c r="R124" s="70"/>
      <c r="S124" s="88"/>
      <c r="T124" s="88"/>
      <c r="U124" s="88"/>
      <c r="V124" s="88"/>
      <c r="W124" s="88"/>
      <c r="X124" s="88"/>
      <c r="Y124" s="88"/>
      <c r="Z124" s="70"/>
    </row>
    <row r="125" spans="1:26" s="128" customFormat="1" x14ac:dyDescent="0.2">
      <c r="A125" s="69" t="s">
        <v>67</v>
      </c>
      <c r="B125" s="70" t="s">
        <v>105</v>
      </c>
      <c r="C125" s="131">
        <v>4705</v>
      </c>
      <c r="D125" s="131">
        <v>8879</v>
      </c>
      <c r="E125" s="131">
        <v>7501</v>
      </c>
      <c r="F125" s="131">
        <v>5090</v>
      </c>
      <c r="G125" s="131">
        <v>3344</v>
      </c>
      <c r="H125" s="131">
        <v>1762</v>
      </c>
      <c r="I125" s="131">
        <v>31281</v>
      </c>
      <c r="J125" s="131">
        <v>31622</v>
      </c>
      <c r="K125" s="88"/>
      <c r="L125" s="88"/>
      <c r="M125" s="88"/>
      <c r="N125" s="88"/>
      <c r="O125" s="88"/>
      <c r="P125" s="88"/>
      <c r="Q125" s="88"/>
      <c r="R125" s="70"/>
      <c r="S125" s="88"/>
      <c r="T125" s="88"/>
      <c r="U125" s="88"/>
      <c r="V125" s="88"/>
      <c r="W125" s="88"/>
      <c r="X125" s="88"/>
      <c r="Y125" s="88"/>
      <c r="Z125" s="70"/>
    </row>
    <row r="126" spans="1:26" s="128" customFormat="1" x14ac:dyDescent="0.2">
      <c r="A126" s="69" t="s">
        <v>67</v>
      </c>
      <c r="B126" s="70" t="s">
        <v>106</v>
      </c>
      <c r="C126" s="131">
        <v>1045</v>
      </c>
      <c r="D126" s="131">
        <v>1139</v>
      </c>
      <c r="E126" s="131">
        <v>787</v>
      </c>
      <c r="F126" s="131">
        <v>421</v>
      </c>
      <c r="G126" s="131">
        <v>204</v>
      </c>
      <c r="H126" s="131">
        <v>75</v>
      </c>
      <c r="I126" s="131">
        <v>3671</v>
      </c>
      <c r="J126" s="131">
        <v>3691</v>
      </c>
      <c r="K126" s="88"/>
      <c r="L126" s="88"/>
      <c r="M126" s="88"/>
      <c r="N126" s="88"/>
      <c r="O126" s="88"/>
      <c r="P126" s="88"/>
      <c r="Q126" s="88"/>
      <c r="R126" s="70"/>
      <c r="S126" s="88"/>
      <c r="T126" s="88"/>
      <c r="U126" s="88"/>
      <c r="V126" s="88"/>
      <c r="W126" s="88"/>
      <c r="X126" s="88"/>
      <c r="Y126" s="88"/>
      <c r="Z126" s="70"/>
    </row>
    <row r="127" spans="1:26" s="128" customFormat="1" x14ac:dyDescent="0.2">
      <c r="A127" s="69" t="s">
        <v>67</v>
      </c>
      <c r="B127" s="70" t="s">
        <v>107</v>
      </c>
      <c r="C127" s="131">
        <v>245</v>
      </c>
      <c r="D127" s="131">
        <v>861</v>
      </c>
      <c r="E127" s="131">
        <v>1542</v>
      </c>
      <c r="F127" s="131">
        <v>1455</v>
      </c>
      <c r="G127" s="131">
        <v>883</v>
      </c>
      <c r="H127" s="131">
        <v>346</v>
      </c>
      <c r="I127" s="131">
        <v>5332</v>
      </c>
      <c r="J127" s="131">
        <v>5394</v>
      </c>
      <c r="K127" s="88"/>
      <c r="L127" s="88"/>
      <c r="M127" s="88"/>
      <c r="N127" s="88"/>
      <c r="O127" s="88"/>
      <c r="P127" s="88"/>
      <c r="Q127" s="88"/>
      <c r="R127" s="70"/>
      <c r="S127" s="88"/>
      <c r="T127" s="88"/>
      <c r="U127" s="88"/>
      <c r="V127" s="88"/>
      <c r="W127" s="88"/>
      <c r="X127" s="88"/>
      <c r="Y127" s="88"/>
      <c r="Z127" s="70"/>
    </row>
    <row r="128" spans="1:26" s="128" customFormat="1" x14ac:dyDescent="0.2">
      <c r="A128" s="69" t="s">
        <v>67</v>
      </c>
      <c r="B128" s="70" t="s">
        <v>108</v>
      </c>
      <c r="C128" s="131">
        <v>11</v>
      </c>
      <c r="D128" s="131">
        <v>40</v>
      </c>
      <c r="E128" s="131">
        <v>43</v>
      </c>
      <c r="F128" s="131">
        <v>44</v>
      </c>
      <c r="G128" s="131">
        <v>33</v>
      </c>
      <c r="H128" s="131">
        <v>34</v>
      </c>
      <c r="I128" s="131">
        <v>205</v>
      </c>
      <c r="J128" s="131">
        <v>210</v>
      </c>
      <c r="K128" s="88"/>
      <c r="L128" s="88"/>
      <c r="M128" s="88"/>
      <c r="N128" s="88"/>
      <c r="O128" s="88"/>
      <c r="P128" s="88"/>
      <c r="Q128" s="88"/>
      <c r="R128" s="70"/>
      <c r="S128" s="88"/>
      <c r="T128" s="88"/>
      <c r="U128" s="88"/>
      <c r="V128" s="88"/>
      <c r="W128" s="88"/>
      <c r="X128" s="88"/>
      <c r="Y128" s="88"/>
      <c r="Z128" s="70"/>
    </row>
    <row r="129" spans="1:26" s="128" customFormat="1" x14ac:dyDescent="0.2">
      <c r="A129" s="69" t="s">
        <v>67</v>
      </c>
      <c r="B129" s="70" t="s">
        <v>109</v>
      </c>
      <c r="C129" s="131">
        <v>61</v>
      </c>
      <c r="D129" s="131">
        <v>318</v>
      </c>
      <c r="E129" s="131">
        <v>742</v>
      </c>
      <c r="F129" s="131">
        <v>870</v>
      </c>
      <c r="G129" s="131">
        <v>526</v>
      </c>
      <c r="H129" s="131">
        <v>255</v>
      </c>
      <c r="I129" s="131">
        <v>2772</v>
      </c>
      <c r="J129" s="131">
        <v>2804</v>
      </c>
      <c r="K129" s="88"/>
      <c r="L129" s="88"/>
      <c r="M129" s="88"/>
      <c r="N129" s="88"/>
      <c r="O129" s="88"/>
      <c r="P129" s="88"/>
      <c r="Q129" s="88"/>
      <c r="R129" s="70"/>
      <c r="S129" s="88"/>
      <c r="T129" s="88"/>
      <c r="U129" s="88"/>
      <c r="V129" s="88"/>
      <c r="W129" s="88"/>
      <c r="X129" s="88"/>
      <c r="Y129" s="88"/>
      <c r="Z129" s="70"/>
    </row>
    <row r="130" spans="1:26" s="128" customFormat="1" x14ac:dyDescent="0.2">
      <c r="A130" s="69" t="s">
        <v>67</v>
      </c>
      <c r="B130" s="70" t="s">
        <v>110</v>
      </c>
      <c r="C130" s="131">
        <v>6</v>
      </c>
      <c r="D130" s="131">
        <v>48</v>
      </c>
      <c r="E130" s="131">
        <v>61</v>
      </c>
      <c r="F130" s="131">
        <v>80</v>
      </c>
      <c r="G130" s="131">
        <v>57</v>
      </c>
      <c r="H130" s="131">
        <v>21</v>
      </c>
      <c r="I130" s="131">
        <v>273</v>
      </c>
      <c r="J130" s="131">
        <v>285</v>
      </c>
      <c r="K130" s="88"/>
      <c r="L130" s="88"/>
      <c r="M130" s="88"/>
      <c r="N130" s="88"/>
      <c r="O130" s="88"/>
      <c r="P130" s="88"/>
      <c r="Q130" s="88"/>
      <c r="R130" s="70"/>
      <c r="S130" s="88"/>
      <c r="T130" s="88"/>
      <c r="U130" s="88"/>
      <c r="V130" s="88"/>
      <c r="W130" s="88"/>
      <c r="X130" s="88"/>
      <c r="Y130" s="88"/>
      <c r="Z130" s="70"/>
    </row>
    <row r="131" spans="1:26" s="128" customFormat="1" x14ac:dyDescent="0.2">
      <c r="A131" s="69" t="s">
        <v>67</v>
      </c>
      <c r="B131" s="70" t="s">
        <v>111</v>
      </c>
      <c r="C131" s="131">
        <v>23</v>
      </c>
      <c r="D131" s="131">
        <v>161</v>
      </c>
      <c r="E131" s="131">
        <v>253</v>
      </c>
      <c r="F131" s="131">
        <v>258</v>
      </c>
      <c r="G131" s="131">
        <v>214</v>
      </c>
      <c r="H131" s="131">
        <v>120</v>
      </c>
      <c r="I131" s="131">
        <v>1029</v>
      </c>
      <c r="J131" s="131">
        <v>1073</v>
      </c>
      <c r="K131" s="88"/>
      <c r="L131" s="88"/>
      <c r="M131" s="88"/>
      <c r="N131" s="88"/>
      <c r="O131" s="88"/>
      <c r="P131" s="88"/>
      <c r="Q131" s="88"/>
      <c r="R131" s="70"/>
      <c r="S131" s="88"/>
      <c r="T131" s="88"/>
      <c r="U131" s="88"/>
      <c r="V131" s="88"/>
      <c r="W131" s="88"/>
      <c r="X131" s="88"/>
      <c r="Y131" s="88"/>
      <c r="Z131" s="70"/>
    </row>
    <row r="132" spans="1:26" s="128" customFormat="1" x14ac:dyDescent="0.2">
      <c r="A132" s="69" t="s">
        <v>67</v>
      </c>
      <c r="B132" s="70" t="s">
        <v>112</v>
      </c>
      <c r="C132" s="131">
        <v>433</v>
      </c>
      <c r="D132" s="131">
        <v>1561</v>
      </c>
      <c r="E132" s="131">
        <v>3194</v>
      </c>
      <c r="F132" s="131">
        <v>3248</v>
      </c>
      <c r="G132" s="131">
        <v>1864</v>
      </c>
      <c r="H132" s="131">
        <v>671</v>
      </c>
      <c r="I132" s="131">
        <v>10971</v>
      </c>
      <c r="J132" s="131">
        <v>11082</v>
      </c>
      <c r="K132" s="88"/>
      <c r="L132" s="88"/>
      <c r="M132" s="88"/>
      <c r="N132" s="88"/>
      <c r="O132" s="88"/>
      <c r="P132" s="88"/>
      <c r="Q132" s="88"/>
      <c r="R132" s="70"/>
      <c r="S132" s="88"/>
      <c r="T132" s="88"/>
      <c r="U132" s="88"/>
      <c r="V132" s="88"/>
      <c r="W132" s="88"/>
      <c r="X132" s="88"/>
      <c r="Y132" s="88"/>
      <c r="Z132" s="70"/>
    </row>
    <row r="133" spans="1:26" s="128" customFormat="1" x14ac:dyDescent="0.2">
      <c r="A133" s="69" t="s">
        <v>67</v>
      </c>
      <c r="B133" s="70" t="s">
        <v>113</v>
      </c>
      <c r="C133" s="131">
        <v>634</v>
      </c>
      <c r="D133" s="131">
        <v>2206</v>
      </c>
      <c r="E133" s="131">
        <v>2173</v>
      </c>
      <c r="F133" s="131">
        <v>1385</v>
      </c>
      <c r="G133" s="131">
        <v>681</v>
      </c>
      <c r="H133" s="131">
        <v>271</v>
      </c>
      <c r="I133" s="131">
        <v>7350</v>
      </c>
      <c r="J133" s="131">
        <v>7404</v>
      </c>
      <c r="K133" s="88"/>
      <c r="L133" s="88"/>
      <c r="M133" s="88"/>
      <c r="N133" s="88"/>
      <c r="O133" s="88"/>
      <c r="P133" s="88"/>
      <c r="Q133" s="88"/>
      <c r="R133" s="70"/>
      <c r="S133" s="88"/>
      <c r="T133" s="88"/>
      <c r="U133" s="88"/>
      <c r="V133" s="88"/>
      <c r="W133" s="88"/>
      <c r="X133" s="88"/>
      <c r="Y133" s="88"/>
      <c r="Z133" s="70"/>
    </row>
    <row r="134" spans="1:26" s="128" customFormat="1" x14ac:dyDescent="0.2">
      <c r="A134" s="69" t="s">
        <v>67</v>
      </c>
      <c r="B134" s="70" t="s">
        <v>114</v>
      </c>
      <c r="C134" s="131">
        <v>1091</v>
      </c>
      <c r="D134" s="131">
        <v>3908</v>
      </c>
      <c r="E134" s="131">
        <v>4430</v>
      </c>
      <c r="F134" s="131">
        <v>3166</v>
      </c>
      <c r="G134" s="131">
        <v>1487</v>
      </c>
      <c r="H134" s="131">
        <v>441</v>
      </c>
      <c r="I134" s="131">
        <v>14523</v>
      </c>
      <c r="J134" s="131">
        <v>14568</v>
      </c>
      <c r="K134" s="88"/>
      <c r="L134" s="88"/>
      <c r="M134" s="88"/>
      <c r="N134" s="88"/>
      <c r="O134" s="88"/>
      <c r="P134" s="88"/>
      <c r="Q134" s="88"/>
      <c r="R134" s="70"/>
      <c r="S134" s="88"/>
      <c r="T134" s="88"/>
      <c r="U134" s="88"/>
      <c r="V134" s="88"/>
      <c r="W134" s="88"/>
      <c r="X134" s="88"/>
      <c r="Y134" s="88"/>
      <c r="Z134" s="70"/>
    </row>
    <row r="135" spans="1:26" s="128" customFormat="1" x14ac:dyDescent="0.2">
      <c r="A135" s="69" t="s">
        <v>67</v>
      </c>
      <c r="B135" s="70" t="s">
        <v>115</v>
      </c>
      <c r="C135" s="131">
        <v>500</v>
      </c>
      <c r="D135" s="131">
        <v>1520</v>
      </c>
      <c r="E135" s="131">
        <v>1675</v>
      </c>
      <c r="F135" s="131">
        <v>1231</v>
      </c>
      <c r="G135" s="131">
        <v>609</v>
      </c>
      <c r="H135" s="131">
        <v>269</v>
      </c>
      <c r="I135" s="131">
        <v>5804</v>
      </c>
      <c r="J135" s="131">
        <v>5858</v>
      </c>
      <c r="K135" s="88"/>
      <c r="L135" s="88"/>
      <c r="M135" s="88"/>
      <c r="N135" s="88"/>
      <c r="O135" s="88"/>
      <c r="P135" s="88"/>
      <c r="Q135" s="88"/>
      <c r="R135" s="70"/>
      <c r="S135" s="88"/>
      <c r="T135" s="88"/>
      <c r="U135" s="88"/>
      <c r="V135" s="88"/>
      <c r="W135" s="88"/>
      <c r="X135" s="88"/>
      <c r="Y135" s="88"/>
      <c r="Z135" s="70"/>
    </row>
    <row r="136" spans="1:26" s="128" customFormat="1" x14ac:dyDescent="0.2">
      <c r="A136" s="69" t="s">
        <v>67</v>
      </c>
      <c r="B136" s="70" t="s">
        <v>116</v>
      </c>
      <c r="C136" s="131">
        <v>1804</v>
      </c>
      <c r="D136" s="131">
        <v>5018</v>
      </c>
      <c r="E136" s="131">
        <v>7462</v>
      </c>
      <c r="F136" s="131">
        <v>6012</v>
      </c>
      <c r="G136" s="131">
        <v>2864</v>
      </c>
      <c r="H136" s="131">
        <v>797</v>
      </c>
      <c r="I136" s="131">
        <v>23957</v>
      </c>
      <c r="J136" s="131">
        <v>24071</v>
      </c>
      <c r="K136" s="88"/>
      <c r="L136" s="88"/>
      <c r="M136" s="88"/>
      <c r="N136" s="88"/>
      <c r="O136" s="88"/>
      <c r="P136" s="88"/>
      <c r="Q136" s="88"/>
      <c r="R136" s="70"/>
      <c r="S136" s="88"/>
      <c r="T136" s="88"/>
      <c r="U136" s="88"/>
      <c r="V136" s="88"/>
      <c r="W136" s="88"/>
      <c r="X136" s="88"/>
      <c r="Y136" s="88"/>
      <c r="Z136" s="70"/>
    </row>
    <row r="137" spans="1:26" s="128" customFormat="1" x14ac:dyDescent="0.2">
      <c r="A137" s="69" t="s">
        <v>67</v>
      </c>
      <c r="B137" s="70" t="s">
        <v>117</v>
      </c>
      <c r="C137" s="131">
        <v>342</v>
      </c>
      <c r="D137" s="131">
        <v>1108</v>
      </c>
      <c r="E137" s="131">
        <v>1907</v>
      </c>
      <c r="F137" s="131">
        <v>1852</v>
      </c>
      <c r="G137" s="131">
        <v>1267</v>
      </c>
      <c r="H137" s="131">
        <v>593</v>
      </c>
      <c r="I137" s="131">
        <v>7069</v>
      </c>
      <c r="J137" s="131">
        <v>7236</v>
      </c>
      <c r="K137" s="88"/>
      <c r="L137" s="88"/>
      <c r="M137" s="88"/>
      <c r="N137" s="88"/>
      <c r="O137" s="88"/>
      <c r="P137" s="88"/>
      <c r="Q137" s="88"/>
      <c r="R137" s="70"/>
      <c r="S137" s="88"/>
      <c r="T137" s="88"/>
      <c r="U137" s="88"/>
      <c r="V137" s="88"/>
      <c r="W137" s="88"/>
      <c r="X137" s="88"/>
      <c r="Y137" s="88"/>
      <c r="Z137" s="70"/>
    </row>
    <row r="138" spans="1:26" s="128" customFormat="1" x14ac:dyDescent="0.2">
      <c r="A138" s="69" t="s">
        <v>67</v>
      </c>
      <c r="B138" s="70" t="s">
        <v>118</v>
      </c>
      <c r="C138" s="131">
        <v>1921</v>
      </c>
      <c r="D138" s="131">
        <v>6086</v>
      </c>
      <c r="E138" s="131">
        <v>11081</v>
      </c>
      <c r="F138" s="131">
        <v>10455</v>
      </c>
      <c r="G138" s="131">
        <v>6770</v>
      </c>
      <c r="H138" s="131">
        <v>2784</v>
      </c>
      <c r="I138" s="131">
        <v>39097</v>
      </c>
      <c r="J138" s="131">
        <v>39707</v>
      </c>
      <c r="K138" s="88"/>
      <c r="L138" s="88"/>
      <c r="M138" s="88"/>
      <c r="N138" s="88"/>
      <c r="O138" s="88"/>
      <c r="P138" s="88"/>
      <c r="Q138" s="88"/>
      <c r="R138" s="70"/>
      <c r="S138" s="88"/>
      <c r="T138" s="88"/>
      <c r="U138" s="88"/>
      <c r="V138" s="88"/>
      <c r="W138" s="88"/>
      <c r="X138" s="88"/>
      <c r="Y138" s="88"/>
      <c r="Z138" s="70"/>
    </row>
    <row r="139" spans="1:26" s="128" customFormat="1" x14ac:dyDescent="0.2">
      <c r="A139" s="69" t="s">
        <v>67</v>
      </c>
      <c r="B139" s="70" t="s">
        <v>119</v>
      </c>
      <c r="C139" s="131">
        <v>948</v>
      </c>
      <c r="D139" s="131">
        <v>3239</v>
      </c>
      <c r="E139" s="131">
        <v>6121</v>
      </c>
      <c r="F139" s="131">
        <v>5970</v>
      </c>
      <c r="G139" s="131">
        <v>3371</v>
      </c>
      <c r="H139" s="131">
        <v>1234</v>
      </c>
      <c r="I139" s="131">
        <v>20883</v>
      </c>
      <c r="J139" s="131">
        <v>21148</v>
      </c>
      <c r="K139" s="88"/>
      <c r="L139" s="88"/>
      <c r="M139" s="88"/>
      <c r="N139" s="88"/>
      <c r="O139" s="88"/>
      <c r="P139" s="88"/>
      <c r="Q139" s="88"/>
      <c r="R139" s="70"/>
      <c r="S139" s="88"/>
      <c r="T139" s="88"/>
      <c r="U139" s="88"/>
      <c r="V139" s="88"/>
      <c r="W139" s="88"/>
      <c r="X139" s="88"/>
      <c r="Y139" s="88"/>
      <c r="Z139" s="70"/>
    </row>
    <row r="140" spans="1:26" s="128" customFormat="1" x14ac:dyDescent="0.2">
      <c r="A140" s="69" t="s">
        <v>67</v>
      </c>
      <c r="B140" s="70" t="s">
        <v>120</v>
      </c>
      <c r="C140" s="131">
        <v>126</v>
      </c>
      <c r="D140" s="131">
        <v>380</v>
      </c>
      <c r="E140" s="131">
        <v>650</v>
      </c>
      <c r="F140" s="131">
        <v>561</v>
      </c>
      <c r="G140" s="131">
        <v>343</v>
      </c>
      <c r="H140" s="131">
        <v>155</v>
      </c>
      <c r="I140" s="131">
        <v>2215</v>
      </c>
      <c r="J140" s="131">
        <v>2263</v>
      </c>
      <c r="K140" s="88"/>
      <c r="L140" s="88"/>
      <c r="M140" s="88"/>
      <c r="N140" s="88"/>
      <c r="O140" s="88"/>
      <c r="P140" s="88"/>
      <c r="Q140" s="88"/>
      <c r="R140" s="70"/>
      <c r="S140" s="88"/>
      <c r="T140" s="88"/>
      <c r="U140" s="88"/>
      <c r="V140" s="88"/>
      <c r="W140" s="88"/>
      <c r="X140" s="88"/>
      <c r="Y140" s="88"/>
      <c r="Z140" s="70"/>
    </row>
    <row r="141" spans="1:26" s="128" customFormat="1" x14ac:dyDescent="0.2">
      <c r="A141" s="69" t="s">
        <v>67</v>
      </c>
      <c r="B141" s="70" t="s">
        <v>121</v>
      </c>
      <c r="C141" s="131">
        <v>3879</v>
      </c>
      <c r="D141" s="131">
        <v>5368</v>
      </c>
      <c r="E141" s="131">
        <v>9437</v>
      </c>
      <c r="F141" s="131">
        <v>7712</v>
      </c>
      <c r="G141" s="131">
        <v>3455</v>
      </c>
      <c r="H141" s="131">
        <v>878</v>
      </c>
      <c r="I141" s="131">
        <v>30729</v>
      </c>
      <c r="J141" s="131">
        <v>30945</v>
      </c>
      <c r="K141" s="88"/>
      <c r="L141" s="88"/>
      <c r="M141" s="88"/>
      <c r="N141" s="88"/>
      <c r="O141" s="88"/>
      <c r="P141" s="88"/>
      <c r="Q141" s="88"/>
      <c r="R141" s="70"/>
      <c r="S141" s="88"/>
      <c r="T141" s="88"/>
      <c r="U141" s="88"/>
      <c r="V141" s="88"/>
      <c r="W141" s="88"/>
      <c r="X141" s="88"/>
      <c r="Y141" s="88"/>
      <c r="Z141" s="70"/>
    </row>
    <row r="142" spans="1:26" s="128" customFormat="1" x14ac:dyDescent="0.2">
      <c r="A142" s="69" t="s">
        <v>67</v>
      </c>
      <c r="B142" s="70" t="s">
        <v>122</v>
      </c>
      <c r="C142" s="131">
        <v>413</v>
      </c>
      <c r="D142" s="131">
        <v>1149</v>
      </c>
      <c r="E142" s="131">
        <v>2857</v>
      </c>
      <c r="F142" s="131">
        <v>2654</v>
      </c>
      <c r="G142" s="131">
        <v>1250</v>
      </c>
      <c r="H142" s="131">
        <v>248</v>
      </c>
      <c r="I142" s="131">
        <v>8571</v>
      </c>
      <c r="J142" s="131">
        <v>8603</v>
      </c>
      <c r="K142" s="88"/>
      <c r="L142" s="88"/>
      <c r="M142" s="88"/>
      <c r="N142" s="88"/>
      <c r="O142" s="88"/>
      <c r="P142" s="88"/>
      <c r="Q142" s="88"/>
      <c r="R142" s="70"/>
      <c r="S142" s="88"/>
      <c r="T142" s="88"/>
      <c r="U142" s="88"/>
      <c r="V142" s="88"/>
      <c r="W142" s="88"/>
      <c r="X142" s="88"/>
      <c r="Y142" s="88"/>
      <c r="Z142" s="70"/>
    </row>
    <row r="143" spans="1:26" s="128" customFormat="1" x14ac:dyDescent="0.2">
      <c r="A143" s="69" t="s">
        <v>67</v>
      </c>
      <c r="B143" s="70" t="s">
        <v>123</v>
      </c>
      <c r="C143" s="131">
        <v>3740</v>
      </c>
      <c r="D143" s="131">
        <v>8999</v>
      </c>
      <c r="E143" s="131">
        <v>17270</v>
      </c>
      <c r="F143" s="131">
        <v>18506</v>
      </c>
      <c r="G143" s="131">
        <v>9296</v>
      </c>
      <c r="H143" s="131">
        <v>1974</v>
      </c>
      <c r="I143" s="131">
        <v>59785</v>
      </c>
      <c r="J143" s="131">
        <v>59990</v>
      </c>
      <c r="K143" s="88"/>
      <c r="L143" s="88"/>
      <c r="M143" s="88"/>
      <c r="N143" s="88"/>
      <c r="O143" s="88"/>
      <c r="P143" s="88"/>
      <c r="Q143" s="88"/>
      <c r="R143" s="70"/>
      <c r="S143" s="88"/>
      <c r="T143" s="88"/>
      <c r="U143" s="88"/>
      <c r="V143" s="88"/>
      <c r="W143" s="88"/>
      <c r="X143" s="88"/>
      <c r="Y143" s="88"/>
      <c r="Z143" s="70"/>
    </row>
    <row r="144" spans="1:26" s="128" customFormat="1" x14ac:dyDescent="0.2">
      <c r="A144" s="69" t="s">
        <v>67</v>
      </c>
      <c r="B144" s="70" t="s">
        <v>124</v>
      </c>
      <c r="C144" s="131">
        <v>176</v>
      </c>
      <c r="D144" s="131">
        <v>1401</v>
      </c>
      <c r="E144" s="131">
        <v>4276</v>
      </c>
      <c r="F144" s="131">
        <v>4202</v>
      </c>
      <c r="G144" s="131">
        <v>1600</v>
      </c>
      <c r="H144" s="131">
        <v>281</v>
      </c>
      <c r="I144" s="131">
        <v>11936</v>
      </c>
      <c r="J144" s="131">
        <v>11996</v>
      </c>
      <c r="K144" s="88"/>
      <c r="L144" s="88"/>
      <c r="M144" s="88"/>
      <c r="N144" s="88"/>
      <c r="O144" s="88"/>
      <c r="P144" s="88"/>
      <c r="Q144" s="88"/>
      <c r="R144" s="70"/>
      <c r="S144" s="88"/>
      <c r="T144" s="88"/>
      <c r="U144" s="88"/>
      <c r="V144" s="88"/>
      <c r="W144" s="88"/>
      <c r="X144" s="88"/>
      <c r="Y144" s="88"/>
      <c r="Z144" s="70"/>
    </row>
    <row r="145" spans="1:26" s="128" customFormat="1" x14ac:dyDescent="0.2">
      <c r="A145" s="69" t="s">
        <v>67</v>
      </c>
      <c r="B145" s="70" t="s">
        <v>125</v>
      </c>
      <c r="C145" s="131">
        <v>89</v>
      </c>
      <c r="D145" s="131">
        <v>576</v>
      </c>
      <c r="E145" s="131">
        <v>1641</v>
      </c>
      <c r="F145" s="131">
        <v>1716</v>
      </c>
      <c r="G145" s="131">
        <v>613</v>
      </c>
      <c r="H145" s="131">
        <v>99</v>
      </c>
      <c r="I145" s="131">
        <v>4734</v>
      </c>
      <c r="J145" s="131">
        <v>4758</v>
      </c>
      <c r="K145" s="88"/>
      <c r="L145" s="88"/>
      <c r="M145" s="88"/>
      <c r="N145" s="88"/>
      <c r="O145" s="88"/>
      <c r="P145" s="88"/>
      <c r="Q145" s="88"/>
      <c r="R145" s="70"/>
      <c r="S145" s="88"/>
      <c r="T145" s="88"/>
      <c r="U145" s="88"/>
      <c r="V145" s="88"/>
      <c r="W145" s="88"/>
      <c r="X145" s="88"/>
      <c r="Y145" s="88"/>
      <c r="Z145" s="70"/>
    </row>
    <row r="146" spans="1:26" s="128" customFormat="1" x14ac:dyDescent="0.2">
      <c r="A146" s="69" t="s">
        <v>67</v>
      </c>
      <c r="B146" s="70" t="s">
        <v>126</v>
      </c>
      <c r="C146" s="131">
        <v>425</v>
      </c>
      <c r="D146" s="131">
        <v>2187</v>
      </c>
      <c r="E146" s="131">
        <v>2046</v>
      </c>
      <c r="F146" s="131">
        <v>1261</v>
      </c>
      <c r="G146" s="131">
        <v>616</v>
      </c>
      <c r="H146" s="131">
        <v>201</v>
      </c>
      <c r="I146" s="131">
        <v>6736</v>
      </c>
      <c r="J146" s="131">
        <v>6772</v>
      </c>
      <c r="K146" s="88"/>
      <c r="L146" s="88"/>
      <c r="M146" s="88"/>
      <c r="N146" s="88"/>
      <c r="O146" s="88"/>
      <c r="P146" s="88"/>
      <c r="Q146" s="88"/>
      <c r="R146" s="70"/>
      <c r="S146" s="88"/>
      <c r="T146" s="88"/>
      <c r="U146" s="88"/>
      <c r="V146" s="88"/>
      <c r="W146" s="88"/>
      <c r="X146" s="88"/>
      <c r="Y146" s="88"/>
      <c r="Z146" s="70"/>
    </row>
    <row r="147" spans="1:26" s="128" customFormat="1" x14ac:dyDescent="0.2">
      <c r="A147" s="69" t="s">
        <v>67</v>
      </c>
      <c r="B147" s="70" t="s">
        <v>127</v>
      </c>
      <c r="C147" s="131">
        <v>162</v>
      </c>
      <c r="D147" s="131">
        <v>708</v>
      </c>
      <c r="E147" s="131">
        <v>640</v>
      </c>
      <c r="F147" s="131">
        <v>440</v>
      </c>
      <c r="G147" s="131">
        <v>223</v>
      </c>
      <c r="H147" s="131">
        <v>91</v>
      </c>
      <c r="I147" s="131">
        <v>2264</v>
      </c>
      <c r="J147" s="131">
        <v>2275</v>
      </c>
      <c r="K147" s="88"/>
      <c r="L147" s="88"/>
      <c r="M147" s="88"/>
      <c r="N147" s="88"/>
      <c r="O147" s="88"/>
      <c r="P147" s="88"/>
      <c r="Q147" s="88"/>
      <c r="R147" s="70"/>
      <c r="S147" s="88"/>
      <c r="T147" s="88"/>
      <c r="U147" s="88"/>
      <c r="V147" s="88"/>
      <c r="W147" s="88"/>
      <c r="X147" s="88"/>
      <c r="Y147" s="88"/>
      <c r="Z147" s="70"/>
    </row>
    <row r="148" spans="1:26" s="128" customFormat="1" x14ac:dyDescent="0.2">
      <c r="A148" s="69" t="s">
        <v>67</v>
      </c>
      <c r="B148" s="70" t="s">
        <v>128</v>
      </c>
      <c r="C148" s="131">
        <v>320</v>
      </c>
      <c r="D148" s="131">
        <v>1272</v>
      </c>
      <c r="E148" s="131">
        <v>1357</v>
      </c>
      <c r="F148" s="131">
        <v>810</v>
      </c>
      <c r="G148" s="131">
        <v>425</v>
      </c>
      <c r="H148" s="131">
        <v>162</v>
      </c>
      <c r="I148" s="131">
        <v>4346</v>
      </c>
      <c r="J148" s="131">
        <v>4376</v>
      </c>
      <c r="K148" s="88"/>
      <c r="L148" s="88"/>
      <c r="M148" s="88"/>
      <c r="N148" s="88"/>
      <c r="O148" s="88"/>
      <c r="P148" s="88"/>
      <c r="Q148" s="88"/>
      <c r="R148" s="70"/>
      <c r="S148" s="88"/>
      <c r="T148" s="88"/>
      <c r="U148" s="88"/>
      <c r="V148" s="88"/>
      <c r="W148" s="88"/>
      <c r="X148" s="88"/>
      <c r="Y148" s="88"/>
      <c r="Z148" s="70"/>
    </row>
    <row r="149" spans="1:26" s="128" customFormat="1" x14ac:dyDescent="0.2">
      <c r="A149" s="69" t="s">
        <v>67</v>
      </c>
      <c r="B149" s="70" t="s">
        <v>129</v>
      </c>
      <c r="C149" s="131">
        <v>604</v>
      </c>
      <c r="D149" s="131">
        <v>1611</v>
      </c>
      <c r="E149" s="131">
        <v>1168</v>
      </c>
      <c r="F149" s="131">
        <v>428</v>
      </c>
      <c r="G149" s="131">
        <v>161</v>
      </c>
      <c r="H149" s="131">
        <v>83</v>
      </c>
      <c r="I149" s="131">
        <v>4055</v>
      </c>
      <c r="J149" s="131">
        <v>4114</v>
      </c>
      <c r="K149" s="88"/>
      <c r="L149" s="88"/>
      <c r="M149" s="88"/>
      <c r="N149" s="88"/>
      <c r="O149" s="88"/>
      <c r="P149" s="88"/>
      <c r="Q149" s="88"/>
      <c r="R149" s="70"/>
      <c r="S149" s="88"/>
      <c r="T149" s="88"/>
      <c r="U149" s="88"/>
      <c r="V149" s="88"/>
      <c r="W149" s="88"/>
      <c r="X149" s="88"/>
      <c r="Y149" s="88"/>
      <c r="Z149" s="70"/>
    </row>
    <row r="150" spans="1:26" s="128" customFormat="1" x14ac:dyDescent="0.2">
      <c r="A150" s="69" t="s">
        <v>67</v>
      </c>
      <c r="B150" s="70" t="s">
        <v>130</v>
      </c>
      <c r="C150" s="131">
        <v>418</v>
      </c>
      <c r="D150" s="131">
        <v>968</v>
      </c>
      <c r="E150" s="131">
        <v>985</v>
      </c>
      <c r="F150" s="131">
        <v>614</v>
      </c>
      <c r="G150" s="131">
        <v>286</v>
      </c>
      <c r="H150" s="131">
        <v>98</v>
      </c>
      <c r="I150" s="131">
        <v>3369</v>
      </c>
      <c r="J150" s="131">
        <v>3389</v>
      </c>
      <c r="K150" s="88"/>
      <c r="L150" s="88"/>
      <c r="M150" s="88"/>
      <c r="N150" s="88"/>
      <c r="O150" s="88"/>
      <c r="P150" s="88"/>
      <c r="Q150" s="88"/>
      <c r="R150" s="70"/>
      <c r="S150" s="88"/>
      <c r="T150" s="88"/>
      <c r="U150" s="88"/>
      <c r="V150" s="88"/>
      <c r="W150" s="88"/>
      <c r="X150" s="88"/>
      <c r="Y150" s="88"/>
      <c r="Z150" s="70"/>
    </row>
    <row r="151" spans="1:26" s="128" customFormat="1" x14ac:dyDescent="0.2">
      <c r="A151" s="69" t="s">
        <v>67</v>
      </c>
      <c r="B151" s="70" t="s">
        <v>131</v>
      </c>
      <c r="C151" s="131">
        <v>724</v>
      </c>
      <c r="D151" s="131">
        <v>2778</v>
      </c>
      <c r="E151" s="131">
        <v>3855</v>
      </c>
      <c r="F151" s="131">
        <v>3146</v>
      </c>
      <c r="G151" s="131">
        <v>1751</v>
      </c>
      <c r="H151" s="131">
        <v>626</v>
      </c>
      <c r="I151" s="131">
        <v>12880</v>
      </c>
      <c r="J151" s="131">
        <v>12985</v>
      </c>
      <c r="K151" s="88"/>
      <c r="L151" s="88"/>
      <c r="M151" s="88"/>
      <c r="N151" s="88"/>
      <c r="O151" s="88"/>
      <c r="P151" s="88"/>
      <c r="Q151" s="88"/>
      <c r="R151" s="70"/>
      <c r="S151" s="88"/>
      <c r="T151" s="88"/>
      <c r="U151" s="88"/>
      <c r="V151" s="88"/>
      <c r="W151" s="88"/>
      <c r="X151" s="88"/>
      <c r="Y151" s="88"/>
      <c r="Z151" s="70"/>
    </row>
    <row r="152" spans="1:26" s="128" customFormat="1" x14ac:dyDescent="0.2">
      <c r="A152" s="69" t="s">
        <v>67</v>
      </c>
      <c r="B152" s="70" t="s">
        <v>132</v>
      </c>
      <c r="C152" s="131">
        <v>115</v>
      </c>
      <c r="D152" s="131">
        <v>522</v>
      </c>
      <c r="E152" s="131">
        <v>749</v>
      </c>
      <c r="F152" s="131">
        <v>788</v>
      </c>
      <c r="G152" s="131">
        <v>524</v>
      </c>
      <c r="H152" s="131">
        <v>206</v>
      </c>
      <c r="I152" s="131">
        <v>2904</v>
      </c>
      <c r="J152" s="131">
        <v>2933</v>
      </c>
      <c r="K152" s="88"/>
      <c r="L152" s="88"/>
      <c r="M152" s="88"/>
      <c r="N152" s="88"/>
      <c r="O152" s="88"/>
      <c r="P152" s="88"/>
      <c r="Q152" s="88"/>
      <c r="R152" s="70"/>
      <c r="S152" s="88"/>
      <c r="T152" s="88"/>
      <c r="U152" s="88"/>
      <c r="V152" s="88"/>
      <c r="W152" s="88"/>
      <c r="X152" s="88"/>
      <c r="Y152" s="88"/>
      <c r="Z152" s="70"/>
    </row>
    <row r="153" spans="1:26" s="128" customFormat="1" x14ac:dyDescent="0.2">
      <c r="A153" s="69" t="s">
        <v>67</v>
      </c>
      <c r="B153" s="70" t="s">
        <v>133</v>
      </c>
      <c r="C153" s="131">
        <v>368</v>
      </c>
      <c r="D153" s="131">
        <v>1038</v>
      </c>
      <c r="E153" s="131">
        <v>1883</v>
      </c>
      <c r="F153" s="131">
        <v>1564</v>
      </c>
      <c r="G153" s="131">
        <v>1011</v>
      </c>
      <c r="H153" s="131">
        <v>410</v>
      </c>
      <c r="I153" s="131">
        <v>6274</v>
      </c>
      <c r="J153" s="131">
        <v>6332</v>
      </c>
      <c r="K153" s="88"/>
      <c r="L153" s="88"/>
      <c r="M153" s="88"/>
      <c r="N153" s="88"/>
      <c r="O153" s="88"/>
      <c r="P153" s="88"/>
      <c r="Q153" s="88"/>
      <c r="R153" s="70"/>
      <c r="S153" s="88"/>
      <c r="T153" s="88"/>
      <c r="U153" s="88"/>
      <c r="V153" s="88"/>
      <c r="W153" s="88"/>
      <c r="X153" s="88"/>
      <c r="Y153" s="88"/>
      <c r="Z153" s="70"/>
    </row>
    <row r="154" spans="1:26" s="128" customFormat="1" x14ac:dyDescent="0.2">
      <c r="A154" s="69" t="s">
        <v>67</v>
      </c>
      <c r="B154" s="70" t="s">
        <v>134</v>
      </c>
      <c r="C154" s="131">
        <v>888</v>
      </c>
      <c r="D154" s="131">
        <v>1587</v>
      </c>
      <c r="E154" s="131">
        <v>3673</v>
      </c>
      <c r="F154" s="131">
        <v>4627</v>
      </c>
      <c r="G154" s="131">
        <v>4250</v>
      </c>
      <c r="H154" s="131">
        <v>2666</v>
      </c>
      <c r="I154" s="131">
        <v>17691</v>
      </c>
      <c r="J154" s="131">
        <v>18368</v>
      </c>
      <c r="K154" s="88"/>
      <c r="L154" s="88"/>
      <c r="M154" s="88"/>
      <c r="N154" s="88"/>
      <c r="O154" s="88"/>
      <c r="P154" s="88"/>
      <c r="Q154" s="88"/>
      <c r="R154" s="70"/>
      <c r="S154" s="88"/>
      <c r="T154" s="88"/>
      <c r="U154" s="88"/>
      <c r="V154" s="88"/>
      <c r="W154" s="88"/>
      <c r="X154" s="88"/>
      <c r="Y154" s="88"/>
      <c r="Z154" s="70"/>
    </row>
    <row r="155" spans="1:26" s="128" customFormat="1" x14ac:dyDescent="0.2">
      <c r="A155" s="69" t="s">
        <v>100</v>
      </c>
      <c r="B155" s="70" t="s">
        <v>100</v>
      </c>
      <c r="C155" s="131">
        <v>60875</v>
      </c>
      <c r="D155" s="131">
        <v>146054</v>
      </c>
      <c r="E155" s="131">
        <v>205324</v>
      </c>
      <c r="F155" s="131">
        <v>187924</v>
      </c>
      <c r="G155" s="131">
        <v>115111</v>
      </c>
      <c r="H155" s="131">
        <v>48304</v>
      </c>
      <c r="I155" s="131">
        <v>763592</v>
      </c>
      <c r="J155" s="131">
        <v>773645</v>
      </c>
      <c r="K155" s="88"/>
      <c r="L155" s="88"/>
      <c r="M155" s="88"/>
      <c r="N155" s="88"/>
      <c r="O155" s="88"/>
      <c r="P155" s="88"/>
      <c r="Q155" s="88"/>
      <c r="R155" s="70"/>
      <c r="S155" s="88"/>
      <c r="T155" s="88"/>
      <c r="U155" s="88"/>
      <c r="V155" s="88"/>
      <c r="W155" s="88"/>
      <c r="X155" s="88"/>
      <c r="Y155" s="88"/>
      <c r="Z155" s="70"/>
    </row>
    <row r="156" spans="1:26" s="128" customFormat="1" x14ac:dyDescent="0.2">
      <c r="A156" s="69" t="s">
        <v>100</v>
      </c>
      <c r="B156" s="70" t="s">
        <v>101</v>
      </c>
      <c r="C156" s="131">
        <v>4746</v>
      </c>
      <c r="D156" s="131">
        <v>11765</v>
      </c>
      <c r="E156" s="131">
        <v>13971</v>
      </c>
      <c r="F156" s="131">
        <v>12103</v>
      </c>
      <c r="G156" s="131">
        <v>8826</v>
      </c>
      <c r="H156" s="131">
        <v>4898</v>
      </c>
      <c r="I156" s="131">
        <v>56309</v>
      </c>
      <c r="J156" s="131">
        <v>57234</v>
      </c>
      <c r="K156" s="88"/>
      <c r="L156" s="88"/>
      <c r="M156" s="88"/>
      <c r="N156" s="88"/>
      <c r="O156" s="88"/>
      <c r="P156" s="88"/>
      <c r="Q156" s="88"/>
      <c r="R156" s="70"/>
      <c r="S156" s="88"/>
      <c r="T156" s="88"/>
      <c r="U156" s="88"/>
      <c r="V156" s="88"/>
      <c r="W156" s="88"/>
      <c r="X156" s="88"/>
      <c r="Y156" s="88"/>
      <c r="Z156" s="70"/>
    </row>
    <row r="157" spans="1:26" s="128" customFormat="1" x14ac:dyDescent="0.2">
      <c r="A157" s="69" t="s">
        <v>100</v>
      </c>
      <c r="B157" s="70" t="s">
        <v>102</v>
      </c>
      <c r="C157" s="131">
        <v>3985</v>
      </c>
      <c r="D157" s="131">
        <v>12115</v>
      </c>
      <c r="E157" s="131">
        <v>12901</v>
      </c>
      <c r="F157" s="131">
        <v>8904</v>
      </c>
      <c r="G157" s="131">
        <v>5711</v>
      </c>
      <c r="H157" s="131">
        <v>3040</v>
      </c>
      <c r="I157" s="131">
        <v>46656</v>
      </c>
      <c r="J157" s="131">
        <v>47319</v>
      </c>
      <c r="K157" s="88"/>
      <c r="L157" s="88"/>
      <c r="M157" s="88"/>
      <c r="N157" s="88"/>
      <c r="O157" s="88"/>
      <c r="P157" s="88"/>
      <c r="Q157" s="88"/>
      <c r="R157" s="70"/>
      <c r="S157" s="88"/>
      <c r="T157" s="88"/>
      <c r="U157" s="88"/>
      <c r="V157" s="88"/>
      <c r="W157" s="88"/>
      <c r="X157" s="88"/>
      <c r="Y157" s="88"/>
      <c r="Z157" s="70"/>
    </row>
    <row r="158" spans="1:26" s="128" customFormat="1" x14ac:dyDescent="0.2">
      <c r="A158" s="69" t="s">
        <v>100</v>
      </c>
      <c r="B158" s="70" t="s">
        <v>103</v>
      </c>
      <c r="C158" s="131">
        <v>3172</v>
      </c>
      <c r="D158" s="131">
        <v>7000</v>
      </c>
      <c r="E158" s="131">
        <v>7501</v>
      </c>
      <c r="F158" s="131">
        <v>6180</v>
      </c>
      <c r="G158" s="131">
        <v>4526</v>
      </c>
      <c r="H158" s="131">
        <v>2866</v>
      </c>
      <c r="I158" s="131">
        <v>31245</v>
      </c>
      <c r="J158" s="131">
        <v>31908</v>
      </c>
      <c r="K158" s="88"/>
      <c r="L158" s="88"/>
      <c r="M158" s="88"/>
      <c r="N158" s="88"/>
      <c r="O158" s="88"/>
      <c r="P158" s="88"/>
      <c r="Q158" s="88"/>
      <c r="R158" s="70"/>
      <c r="S158" s="88"/>
      <c r="T158" s="88"/>
      <c r="U158" s="88"/>
      <c r="V158" s="88"/>
      <c r="W158" s="88"/>
      <c r="X158" s="88"/>
      <c r="Y158" s="88"/>
      <c r="Z158" s="70"/>
    </row>
    <row r="159" spans="1:26" s="128" customFormat="1" x14ac:dyDescent="0.2">
      <c r="A159" s="69" t="s">
        <v>100</v>
      </c>
      <c r="B159" s="70" t="s">
        <v>104</v>
      </c>
      <c r="C159" s="131">
        <v>289</v>
      </c>
      <c r="D159" s="131">
        <v>737</v>
      </c>
      <c r="E159" s="131">
        <v>1050</v>
      </c>
      <c r="F159" s="131">
        <v>975</v>
      </c>
      <c r="G159" s="131">
        <v>684</v>
      </c>
      <c r="H159" s="131">
        <v>348</v>
      </c>
      <c r="I159" s="131">
        <v>4083</v>
      </c>
      <c r="J159" s="131">
        <v>4181</v>
      </c>
      <c r="K159" s="88"/>
      <c r="L159" s="88"/>
      <c r="M159" s="88"/>
      <c r="N159" s="88"/>
      <c r="O159" s="88"/>
      <c r="P159" s="88"/>
      <c r="Q159" s="88"/>
      <c r="R159" s="70"/>
      <c r="S159" s="88"/>
      <c r="T159" s="88"/>
      <c r="U159" s="88"/>
      <c r="V159" s="88"/>
      <c r="W159" s="88"/>
      <c r="X159" s="88"/>
      <c r="Y159" s="88"/>
      <c r="Z159" s="70"/>
    </row>
    <row r="160" spans="1:26" s="128" customFormat="1" x14ac:dyDescent="0.2">
      <c r="A160" s="69" t="s">
        <v>100</v>
      </c>
      <c r="B160" s="70" t="s">
        <v>105</v>
      </c>
      <c r="C160" s="131">
        <v>13813</v>
      </c>
      <c r="D160" s="131">
        <v>21383</v>
      </c>
      <c r="E160" s="131">
        <v>17859</v>
      </c>
      <c r="F160" s="131">
        <v>13020</v>
      </c>
      <c r="G160" s="131">
        <v>8740</v>
      </c>
      <c r="H160" s="131">
        <v>4707</v>
      </c>
      <c r="I160" s="131">
        <v>79522</v>
      </c>
      <c r="J160" s="131">
        <v>80567</v>
      </c>
      <c r="K160" s="88"/>
      <c r="L160" s="88"/>
      <c r="M160" s="88"/>
      <c r="N160" s="88"/>
      <c r="O160" s="88"/>
      <c r="P160" s="88"/>
      <c r="Q160" s="88"/>
      <c r="R160" s="70"/>
      <c r="S160" s="88"/>
      <c r="T160" s="88"/>
      <c r="U160" s="88"/>
      <c r="V160" s="88"/>
      <c r="W160" s="88"/>
      <c r="X160" s="88"/>
      <c r="Y160" s="88"/>
      <c r="Z160" s="70"/>
    </row>
    <row r="161" spans="1:26" s="128" customFormat="1" x14ac:dyDescent="0.2">
      <c r="A161" s="69" t="s">
        <v>100</v>
      </c>
      <c r="B161" s="70" t="s">
        <v>106</v>
      </c>
      <c r="C161" s="131">
        <v>3617</v>
      </c>
      <c r="D161" s="131">
        <v>3828</v>
      </c>
      <c r="E161" s="131">
        <v>2793</v>
      </c>
      <c r="F161" s="131">
        <v>1467</v>
      </c>
      <c r="G161" s="131">
        <v>735</v>
      </c>
      <c r="H161" s="131">
        <v>360</v>
      </c>
      <c r="I161" s="131">
        <v>12800</v>
      </c>
      <c r="J161" s="131">
        <v>12881</v>
      </c>
      <c r="K161" s="88"/>
      <c r="L161" s="88"/>
      <c r="M161" s="88"/>
      <c r="N161" s="88"/>
      <c r="O161" s="88"/>
      <c r="P161" s="88"/>
      <c r="Q161" s="88"/>
      <c r="R161" s="70"/>
      <c r="S161" s="88"/>
      <c r="T161" s="88"/>
      <c r="U161" s="88"/>
      <c r="V161" s="88"/>
      <c r="W161" s="88"/>
      <c r="X161" s="88"/>
      <c r="Y161" s="88"/>
      <c r="Z161" s="70"/>
    </row>
    <row r="162" spans="1:26" s="128" customFormat="1" x14ac:dyDescent="0.2">
      <c r="A162" s="69" t="s">
        <v>100</v>
      </c>
      <c r="B162" s="70" t="s">
        <v>107</v>
      </c>
      <c r="C162" s="131">
        <v>469</v>
      </c>
      <c r="D162" s="131">
        <v>1722</v>
      </c>
      <c r="E162" s="131">
        <v>3186</v>
      </c>
      <c r="F162" s="131">
        <v>3400</v>
      </c>
      <c r="G162" s="131">
        <v>2436</v>
      </c>
      <c r="H162" s="131">
        <v>1056</v>
      </c>
      <c r="I162" s="131">
        <v>12269</v>
      </c>
      <c r="J162" s="131">
        <v>12467</v>
      </c>
      <c r="K162" s="88"/>
      <c r="L162" s="88"/>
      <c r="M162" s="88"/>
      <c r="N162" s="88"/>
      <c r="O162" s="88"/>
      <c r="P162" s="88"/>
      <c r="Q162" s="88"/>
      <c r="R162" s="70"/>
      <c r="S162" s="88"/>
      <c r="T162" s="88"/>
      <c r="U162" s="88"/>
      <c r="V162" s="88"/>
      <c r="W162" s="88"/>
      <c r="X162" s="88"/>
      <c r="Y162" s="88"/>
      <c r="Z162" s="70"/>
    </row>
    <row r="163" spans="1:26" s="128" customFormat="1" x14ac:dyDescent="0.2">
      <c r="A163" s="69" t="s">
        <v>100</v>
      </c>
      <c r="B163" s="70" t="s">
        <v>108</v>
      </c>
      <c r="C163" s="131">
        <v>122</v>
      </c>
      <c r="D163" s="131">
        <v>457</v>
      </c>
      <c r="E163" s="131">
        <v>725</v>
      </c>
      <c r="F163" s="131">
        <v>841</v>
      </c>
      <c r="G163" s="131">
        <v>702</v>
      </c>
      <c r="H163" s="131">
        <v>454</v>
      </c>
      <c r="I163" s="131">
        <v>3301</v>
      </c>
      <c r="J163" s="131">
        <v>3399</v>
      </c>
      <c r="K163" s="88"/>
      <c r="L163" s="88"/>
      <c r="M163" s="88"/>
      <c r="N163" s="88"/>
      <c r="O163" s="88"/>
      <c r="P163" s="88"/>
      <c r="Q163" s="88"/>
      <c r="R163" s="70"/>
      <c r="S163" s="88"/>
      <c r="T163" s="88"/>
      <c r="U163" s="88"/>
      <c r="V163" s="88"/>
      <c r="W163" s="88"/>
      <c r="X163" s="88"/>
      <c r="Y163" s="88"/>
      <c r="Z163" s="70"/>
    </row>
    <row r="164" spans="1:26" s="128" customFormat="1" x14ac:dyDescent="0.2">
      <c r="A164" s="69" t="s">
        <v>100</v>
      </c>
      <c r="B164" s="70" t="s">
        <v>109</v>
      </c>
      <c r="C164" s="131">
        <v>130</v>
      </c>
      <c r="D164" s="131">
        <v>654</v>
      </c>
      <c r="E164" s="131">
        <v>1733</v>
      </c>
      <c r="F164" s="131">
        <v>2349</v>
      </c>
      <c r="G164" s="131">
        <v>1759</v>
      </c>
      <c r="H164" s="131">
        <v>931</v>
      </c>
      <c r="I164" s="131">
        <v>7556</v>
      </c>
      <c r="J164" s="131">
        <v>7696</v>
      </c>
      <c r="K164" s="88"/>
      <c r="L164" s="88"/>
      <c r="M164" s="88"/>
      <c r="N164" s="88"/>
      <c r="O164" s="88"/>
      <c r="P164" s="88"/>
      <c r="Q164" s="88"/>
      <c r="R164" s="70"/>
      <c r="S164" s="88"/>
      <c r="T164" s="88"/>
      <c r="U164" s="88"/>
      <c r="V164" s="88"/>
      <c r="W164" s="88"/>
      <c r="X164" s="88"/>
      <c r="Y164" s="88"/>
      <c r="Z164" s="70"/>
    </row>
    <row r="165" spans="1:26" s="128" customFormat="1" x14ac:dyDescent="0.2">
      <c r="A165" s="69" t="s">
        <v>100</v>
      </c>
      <c r="B165" s="70" t="s">
        <v>110</v>
      </c>
      <c r="C165" s="131">
        <v>6</v>
      </c>
      <c r="D165" s="131">
        <v>48</v>
      </c>
      <c r="E165" s="131">
        <v>69</v>
      </c>
      <c r="F165" s="131">
        <v>93</v>
      </c>
      <c r="G165" s="131">
        <v>72</v>
      </c>
      <c r="H165" s="131">
        <v>29</v>
      </c>
      <c r="I165" s="131">
        <v>317</v>
      </c>
      <c r="J165" s="131">
        <v>331</v>
      </c>
      <c r="K165" s="88"/>
      <c r="L165" s="88"/>
      <c r="M165" s="88"/>
      <c r="N165" s="88"/>
      <c r="O165" s="88"/>
      <c r="P165" s="88"/>
      <c r="Q165" s="88"/>
      <c r="R165" s="70"/>
      <c r="S165" s="88"/>
      <c r="T165" s="88"/>
      <c r="U165" s="88"/>
      <c r="V165" s="88"/>
      <c r="W165" s="88"/>
      <c r="X165" s="88"/>
      <c r="Y165" s="88"/>
      <c r="Z165" s="70"/>
    </row>
    <row r="166" spans="1:26" s="128" customFormat="1" x14ac:dyDescent="0.2">
      <c r="A166" s="69" t="s">
        <v>100</v>
      </c>
      <c r="B166" s="70" t="s">
        <v>111</v>
      </c>
      <c r="C166" s="131">
        <v>53</v>
      </c>
      <c r="D166" s="131">
        <v>404</v>
      </c>
      <c r="E166" s="131">
        <v>722</v>
      </c>
      <c r="F166" s="131">
        <v>805</v>
      </c>
      <c r="G166" s="131">
        <v>647</v>
      </c>
      <c r="H166" s="131">
        <v>360</v>
      </c>
      <c r="I166" s="131">
        <v>2991</v>
      </c>
      <c r="J166" s="131">
        <v>3118</v>
      </c>
      <c r="K166" s="88"/>
      <c r="L166" s="88"/>
      <c r="M166" s="88"/>
      <c r="N166" s="88"/>
      <c r="O166" s="88"/>
      <c r="P166" s="88"/>
      <c r="Q166" s="88"/>
      <c r="R166" s="70"/>
      <c r="S166" s="88"/>
      <c r="T166" s="88"/>
      <c r="U166" s="88"/>
      <c r="V166" s="88"/>
      <c r="W166" s="88"/>
      <c r="X166" s="88"/>
      <c r="Y166" s="88"/>
      <c r="Z166" s="70"/>
    </row>
    <row r="167" spans="1:26" s="128" customFormat="1" x14ac:dyDescent="0.2">
      <c r="A167" s="69" t="s">
        <v>100</v>
      </c>
      <c r="B167" s="70" t="s">
        <v>112</v>
      </c>
      <c r="C167" s="131">
        <v>859</v>
      </c>
      <c r="D167" s="131">
        <v>3400</v>
      </c>
      <c r="E167" s="131">
        <v>7695</v>
      </c>
      <c r="F167" s="131">
        <v>8182</v>
      </c>
      <c r="G167" s="131">
        <v>4846</v>
      </c>
      <c r="H167" s="131">
        <v>1746</v>
      </c>
      <c r="I167" s="131">
        <v>26728</v>
      </c>
      <c r="J167" s="131">
        <v>27038</v>
      </c>
      <c r="K167" s="88"/>
      <c r="L167" s="88"/>
      <c r="M167" s="88"/>
      <c r="N167" s="88"/>
      <c r="O167" s="88"/>
      <c r="P167" s="88"/>
      <c r="Q167" s="88"/>
      <c r="R167" s="70"/>
      <c r="S167" s="88"/>
      <c r="T167" s="88"/>
      <c r="U167" s="88"/>
      <c r="V167" s="88"/>
      <c r="W167" s="88"/>
      <c r="X167" s="88"/>
      <c r="Y167" s="88"/>
      <c r="Z167" s="70"/>
    </row>
    <row r="168" spans="1:26" s="128" customFormat="1" x14ac:dyDescent="0.2">
      <c r="A168" s="69" t="s">
        <v>100</v>
      </c>
      <c r="B168" s="70" t="s">
        <v>113</v>
      </c>
      <c r="C168" s="131">
        <v>1770</v>
      </c>
      <c r="D168" s="131">
        <v>6172</v>
      </c>
      <c r="E168" s="131">
        <v>6752</v>
      </c>
      <c r="F168" s="131">
        <v>4746</v>
      </c>
      <c r="G168" s="131">
        <v>2508</v>
      </c>
      <c r="H168" s="131">
        <v>1004</v>
      </c>
      <c r="I168" s="131">
        <v>22952</v>
      </c>
      <c r="J168" s="131">
        <v>23117</v>
      </c>
      <c r="K168" s="88"/>
      <c r="L168" s="88"/>
      <c r="M168" s="88"/>
      <c r="N168" s="88"/>
      <c r="O168" s="88"/>
      <c r="P168" s="88"/>
      <c r="Q168" s="88"/>
      <c r="R168" s="70"/>
      <c r="S168" s="88"/>
      <c r="T168" s="88"/>
      <c r="U168" s="88"/>
      <c r="V168" s="88"/>
      <c r="W168" s="88"/>
      <c r="X168" s="88"/>
      <c r="Y168" s="88"/>
      <c r="Z168" s="70"/>
    </row>
    <row r="169" spans="1:26" s="128" customFormat="1" x14ac:dyDescent="0.2">
      <c r="A169" s="69" t="s">
        <v>100</v>
      </c>
      <c r="B169" s="70" t="s">
        <v>114</v>
      </c>
      <c r="C169" s="131">
        <v>1804</v>
      </c>
      <c r="D169" s="131">
        <v>6960</v>
      </c>
      <c r="E169" s="131">
        <v>8743</v>
      </c>
      <c r="F169" s="131">
        <v>7209</v>
      </c>
      <c r="G169" s="131">
        <v>3684</v>
      </c>
      <c r="H169" s="131">
        <v>1168</v>
      </c>
      <c r="I169" s="131">
        <v>29568</v>
      </c>
      <c r="J169" s="131">
        <v>29719</v>
      </c>
      <c r="K169" s="88"/>
      <c r="L169" s="88"/>
      <c r="M169" s="88"/>
      <c r="N169" s="88"/>
      <c r="O169" s="88"/>
      <c r="P169" s="88"/>
      <c r="Q169" s="88"/>
      <c r="R169" s="70"/>
      <c r="S169" s="88"/>
      <c r="T169" s="88"/>
      <c r="U169" s="88"/>
      <c r="V169" s="88"/>
      <c r="W169" s="88"/>
      <c r="X169" s="88"/>
      <c r="Y169" s="88"/>
      <c r="Z169" s="70"/>
    </row>
    <row r="170" spans="1:26" s="128" customFormat="1" x14ac:dyDescent="0.2">
      <c r="A170" s="69" t="s">
        <v>100</v>
      </c>
      <c r="B170" s="70" t="s">
        <v>115</v>
      </c>
      <c r="C170" s="131">
        <v>1015</v>
      </c>
      <c r="D170" s="131">
        <v>3219</v>
      </c>
      <c r="E170" s="131">
        <v>3977</v>
      </c>
      <c r="F170" s="131">
        <v>3117</v>
      </c>
      <c r="G170" s="131">
        <v>1658</v>
      </c>
      <c r="H170" s="131">
        <v>685</v>
      </c>
      <c r="I170" s="131">
        <v>13671</v>
      </c>
      <c r="J170" s="131">
        <v>13790</v>
      </c>
      <c r="K170" s="88"/>
      <c r="L170" s="88"/>
      <c r="M170" s="88"/>
      <c r="N170" s="88"/>
      <c r="O170" s="88"/>
      <c r="P170" s="88"/>
      <c r="Q170" s="88"/>
      <c r="R170" s="70"/>
      <c r="S170" s="88"/>
      <c r="T170" s="88"/>
      <c r="U170" s="88"/>
      <c r="V170" s="88"/>
      <c r="W170" s="88"/>
      <c r="X170" s="88"/>
      <c r="Y170" s="88"/>
      <c r="Z170" s="70"/>
    </row>
    <row r="171" spans="1:26" s="128" customFormat="1" x14ac:dyDescent="0.2">
      <c r="A171" s="69" t="s">
        <v>100</v>
      </c>
      <c r="B171" s="70" t="s">
        <v>116</v>
      </c>
      <c r="C171" s="131">
        <v>3192</v>
      </c>
      <c r="D171" s="131">
        <v>9068</v>
      </c>
      <c r="E171" s="131">
        <v>13890</v>
      </c>
      <c r="F171" s="131">
        <v>12245</v>
      </c>
      <c r="G171" s="131">
        <v>6055</v>
      </c>
      <c r="H171" s="131">
        <v>1737</v>
      </c>
      <c r="I171" s="131">
        <v>46187</v>
      </c>
      <c r="J171" s="131">
        <v>46420</v>
      </c>
      <c r="K171" s="88"/>
      <c r="L171" s="88"/>
      <c r="M171" s="88"/>
      <c r="N171" s="88"/>
      <c r="O171" s="88"/>
      <c r="P171" s="88"/>
      <c r="Q171" s="88"/>
      <c r="R171" s="70"/>
      <c r="S171" s="88"/>
      <c r="T171" s="88"/>
      <c r="U171" s="88"/>
      <c r="V171" s="88"/>
      <c r="W171" s="88"/>
      <c r="X171" s="88"/>
      <c r="Y171" s="88"/>
      <c r="Z171" s="70"/>
    </row>
    <row r="172" spans="1:26" s="128" customFormat="1" x14ac:dyDescent="0.2">
      <c r="A172" s="69" t="s">
        <v>100</v>
      </c>
      <c r="B172" s="70" t="s">
        <v>117</v>
      </c>
      <c r="C172" s="131">
        <v>487</v>
      </c>
      <c r="D172" s="131">
        <v>1651</v>
      </c>
      <c r="E172" s="131">
        <v>2956</v>
      </c>
      <c r="F172" s="131">
        <v>3039</v>
      </c>
      <c r="G172" s="131">
        <v>2206</v>
      </c>
      <c r="H172" s="131">
        <v>1093</v>
      </c>
      <c r="I172" s="131">
        <v>11432</v>
      </c>
      <c r="J172" s="131">
        <v>11744</v>
      </c>
      <c r="K172" s="88"/>
      <c r="L172" s="88"/>
      <c r="M172" s="88"/>
      <c r="N172" s="88"/>
      <c r="O172" s="88"/>
      <c r="P172" s="88"/>
      <c r="Q172" s="88"/>
      <c r="R172" s="70"/>
      <c r="S172" s="88"/>
      <c r="T172" s="88"/>
      <c r="U172" s="88"/>
      <c r="V172" s="88"/>
      <c r="W172" s="88"/>
      <c r="X172" s="88"/>
      <c r="Y172" s="88"/>
      <c r="Z172" s="70"/>
    </row>
    <row r="173" spans="1:26" s="128" customFormat="1" x14ac:dyDescent="0.2">
      <c r="A173" s="69" t="s">
        <v>100</v>
      </c>
      <c r="B173" s="70" t="s">
        <v>118</v>
      </c>
      <c r="C173" s="131">
        <v>2200</v>
      </c>
      <c r="D173" s="131">
        <v>7169</v>
      </c>
      <c r="E173" s="131">
        <v>14093</v>
      </c>
      <c r="F173" s="131">
        <v>14347</v>
      </c>
      <c r="G173" s="131">
        <v>10072</v>
      </c>
      <c r="H173" s="131">
        <v>4457</v>
      </c>
      <c r="I173" s="131">
        <v>52338</v>
      </c>
      <c r="J173" s="131">
        <v>53344</v>
      </c>
      <c r="K173" s="88"/>
      <c r="L173" s="88"/>
      <c r="M173" s="88"/>
      <c r="N173" s="88"/>
      <c r="O173" s="88"/>
      <c r="P173" s="88"/>
      <c r="Q173" s="88"/>
      <c r="R173" s="70"/>
      <c r="S173" s="88"/>
      <c r="T173" s="88"/>
      <c r="U173" s="88"/>
      <c r="V173" s="88"/>
      <c r="W173" s="88"/>
      <c r="X173" s="88"/>
      <c r="Y173" s="88"/>
      <c r="Z173" s="70"/>
    </row>
    <row r="174" spans="1:26" s="128" customFormat="1" x14ac:dyDescent="0.2">
      <c r="A174" s="69" t="s">
        <v>100</v>
      </c>
      <c r="B174" s="70" t="s">
        <v>119</v>
      </c>
      <c r="C174" s="131">
        <v>1192</v>
      </c>
      <c r="D174" s="131">
        <v>3927</v>
      </c>
      <c r="E174" s="131">
        <v>7863</v>
      </c>
      <c r="F174" s="131">
        <v>8060</v>
      </c>
      <c r="G174" s="131">
        <v>4749</v>
      </c>
      <c r="H174" s="131">
        <v>1778</v>
      </c>
      <c r="I174" s="131">
        <v>27569</v>
      </c>
      <c r="J174" s="131">
        <v>27953</v>
      </c>
      <c r="K174" s="88"/>
      <c r="L174" s="88"/>
      <c r="M174" s="88"/>
      <c r="N174" s="88"/>
      <c r="O174" s="88"/>
      <c r="P174" s="88"/>
      <c r="Q174" s="88"/>
      <c r="R174" s="70"/>
      <c r="S174" s="88"/>
      <c r="T174" s="88"/>
      <c r="U174" s="88"/>
      <c r="V174" s="88"/>
      <c r="W174" s="88"/>
      <c r="X174" s="88"/>
      <c r="Y174" s="88"/>
      <c r="Z174" s="70"/>
    </row>
    <row r="175" spans="1:26" s="128" customFormat="1" x14ac:dyDescent="0.2">
      <c r="A175" s="69" t="s">
        <v>100</v>
      </c>
      <c r="B175" s="70" t="s">
        <v>120</v>
      </c>
      <c r="C175" s="131">
        <v>229</v>
      </c>
      <c r="D175" s="131">
        <v>654</v>
      </c>
      <c r="E175" s="131">
        <v>1175</v>
      </c>
      <c r="F175" s="131">
        <v>1013</v>
      </c>
      <c r="G175" s="131">
        <v>670</v>
      </c>
      <c r="H175" s="131">
        <v>294</v>
      </c>
      <c r="I175" s="131">
        <v>4035</v>
      </c>
      <c r="J175" s="131">
        <v>4138</v>
      </c>
      <c r="K175" s="88"/>
      <c r="L175" s="88"/>
      <c r="M175" s="88"/>
      <c r="N175" s="88"/>
      <c r="O175" s="88"/>
      <c r="P175" s="88"/>
      <c r="Q175" s="88"/>
      <c r="R175" s="70"/>
      <c r="S175" s="88"/>
      <c r="T175" s="88"/>
      <c r="U175" s="88"/>
      <c r="V175" s="88"/>
      <c r="W175" s="88"/>
      <c r="X175" s="88"/>
      <c r="Y175" s="88"/>
      <c r="Z175" s="70"/>
    </row>
    <row r="176" spans="1:26" s="128" customFormat="1" x14ac:dyDescent="0.2">
      <c r="A176" s="69" t="s">
        <v>100</v>
      </c>
      <c r="B176" s="70" t="s">
        <v>121</v>
      </c>
      <c r="C176" s="131">
        <v>5053</v>
      </c>
      <c r="D176" s="131">
        <v>6663</v>
      </c>
      <c r="E176" s="131">
        <v>12095</v>
      </c>
      <c r="F176" s="131">
        <v>10575</v>
      </c>
      <c r="G176" s="131">
        <v>5157</v>
      </c>
      <c r="H176" s="131">
        <v>1486</v>
      </c>
      <c r="I176" s="131">
        <v>41029</v>
      </c>
      <c r="J176" s="131">
        <v>41388</v>
      </c>
      <c r="K176" s="88"/>
      <c r="L176" s="88"/>
      <c r="M176" s="88"/>
      <c r="N176" s="88"/>
      <c r="O176" s="88"/>
      <c r="P176" s="88"/>
      <c r="Q176" s="88"/>
      <c r="R176" s="70"/>
      <c r="S176" s="88"/>
      <c r="T176" s="88"/>
      <c r="U176" s="88"/>
      <c r="V176" s="88"/>
      <c r="W176" s="88"/>
      <c r="X176" s="88"/>
      <c r="Y176" s="88"/>
      <c r="Z176" s="70"/>
    </row>
    <row r="177" spans="1:26" s="128" customFormat="1" x14ac:dyDescent="0.2">
      <c r="A177" s="69" t="s">
        <v>100</v>
      </c>
      <c r="B177" s="70" t="s">
        <v>122</v>
      </c>
      <c r="C177" s="131">
        <v>500</v>
      </c>
      <c r="D177" s="131">
        <v>1510</v>
      </c>
      <c r="E177" s="131">
        <v>3920</v>
      </c>
      <c r="F177" s="131">
        <v>3967</v>
      </c>
      <c r="G177" s="131">
        <v>2100</v>
      </c>
      <c r="H177" s="131">
        <v>482</v>
      </c>
      <c r="I177" s="131">
        <v>12479</v>
      </c>
      <c r="J177" s="131">
        <v>12540</v>
      </c>
      <c r="K177" s="88"/>
      <c r="L177" s="88"/>
      <c r="M177" s="88"/>
      <c r="N177" s="88"/>
      <c r="O177" s="88"/>
      <c r="P177" s="88"/>
      <c r="Q177" s="88"/>
      <c r="R177" s="70"/>
      <c r="S177" s="88"/>
      <c r="T177" s="88"/>
      <c r="U177" s="88"/>
      <c r="V177" s="88"/>
      <c r="W177" s="88"/>
      <c r="X177" s="88"/>
      <c r="Y177" s="88"/>
      <c r="Z177" s="70"/>
    </row>
    <row r="178" spans="1:26" s="128" customFormat="1" x14ac:dyDescent="0.2">
      <c r="A178" s="69" t="s">
        <v>100</v>
      </c>
      <c r="B178" s="70" t="s">
        <v>123</v>
      </c>
      <c r="C178" s="131">
        <v>5246</v>
      </c>
      <c r="D178" s="131">
        <v>12279</v>
      </c>
      <c r="E178" s="131">
        <v>23355</v>
      </c>
      <c r="F178" s="131">
        <v>25552</v>
      </c>
      <c r="G178" s="131">
        <v>13613</v>
      </c>
      <c r="H178" s="131">
        <v>3036</v>
      </c>
      <c r="I178" s="131">
        <v>83081</v>
      </c>
      <c r="J178" s="131">
        <v>83425</v>
      </c>
      <c r="K178" s="88"/>
      <c r="L178" s="88"/>
      <c r="M178" s="88"/>
      <c r="N178" s="88"/>
      <c r="O178" s="88"/>
      <c r="P178" s="88"/>
      <c r="Q178" s="88"/>
      <c r="R178" s="70"/>
      <c r="S178" s="88"/>
      <c r="T178" s="88"/>
      <c r="U178" s="88"/>
      <c r="V178" s="88"/>
      <c r="W178" s="88"/>
      <c r="X178" s="88"/>
      <c r="Y178" s="88"/>
      <c r="Z178" s="70"/>
    </row>
    <row r="179" spans="1:26" s="128" customFormat="1" x14ac:dyDescent="0.2">
      <c r="A179" s="69" t="s">
        <v>100</v>
      </c>
      <c r="B179" s="70" t="s">
        <v>124</v>
      </c>
      <c r="C179" s="131">
        <v>259</v>
      </c>
      <c r="D179" s="131">
        <v>1959</v>
      </c>
      <c r="E179" s="131">
        <v>6506</v>
      </c>
      <c r="F179" s="131">
        <v>7642</v>
      </c>
      <c r="G179" s="131">
        <v>3564</v>
      </c>
      <c r="H179" s="131">
        <v>732</v>
      </c>
      <c r="I179" s="131">
        <v>20662</v>
      </c>
      <c r="J179" s="131">
        <v>20800</v>
      </c>
      <c r="K179" s="88"/>
      <c r="L179" s="88"/>
      <c r="M179" s="88"/>
      <c r="N179" s="88"/>
      <c r="O179" s="88"/>
      <c r="P179" s="88"/>
      <c r="Q179" s="88"/>
      <c r="R179" s="70"/>
      <c r="S179" s="88"/>
      <c r="T179" s="88"/>
      <c r="U179" s="88"/>
      <c r="V179" s="88"/>
      <c r="W179" s="88"/>
      <c r="X179" s="88"/>
      <c r="Y179" s="88"/>
      <c r="Z179" s="70"/>
    </row>
    <row r="180" spans="1:26" s="128" customFormat="1" x14ac:dyDescent="0.2">
      <c r="A180" s="69" t="s">
        <v>100</v>
      </c>
      <c r="B180" s="70" t="s">
        <v>125</v>
      </c>
      <c r="C180" s="131">
        <v>148</v>
      </c>
      <c r="D180" s="131">
        <v>846</v>
      </c>
      <c r="E180" s="131">
        <v>2750</v>
      </c>
      <c r="F180" s="131">
        <v>3180</v>
      </c>
      <c r="G180" s="131">
        <v>1294</v>
      </c>
      <c r="H180" s="131">
        <v>231</v>
      </c>
      <c r="I180" s="131">
        <v>8449</v>
      </c>
      <c r="J180" s="131">
        <v>8505</v>
      </c>
      <c r="K180" s="88"/>
      <c r="L180" s="88"/>
      <c r="M180" s="88"/>
      <c r="N180" s="88"/>
      <c r="O180" s="88"/>
      <c r="P180" s="88"/>
      <c r="Q180" s="88"/>
      <c r="R180" s="70"/>
      <c r="S180" s="88"/>
      <c r="T180" s="88"/>
      <c r="U180" s="88"/>
      <c r="V180" s="88"/>
      <c r="W180" s="88"/>
      <c r="X180" s="88"/>
      <c r="Y180" s="88"/>
      <c r="Z180" s="70"/>
    </row>
    <row r="181" spans="1:26" s="128" customFormat="1" x14ac:dyDescent="0.2">
      <c r="A181" s="69" t="s">
        <v>100</v>
      </c>
      <c r="B181" s="70" t="s">
        <v>126</v>
      </c>
      <c r="C181" s="131">
        <v>651</v>
      </c>
      <c r="D181" s="131">
        <v>3301</v>
      </c>
      <c r="E181" s="131">
        <v>2940</v>
      </c>
      <c r="F181" s="131">
        <v>1763</v>
      </c>
      <c r="G181" s="131">
        <v>876</v>
      </c>
      <c r="H181" s="131">
        <v>286</v>
      </c>
      <c r="I181" s="131">
        <v>9817</v>
      </c>
      <c r="J181" s="131">
        <v>9878</v>
      </c>
      <c r="K181" s="88"/>
      <c r="L181" s="88"/>
      <c r="M181" s="88"/>
      <c r="N181" s="88"/>
      <c r="O181" s="88"/>
      <c r="P181" s="88"/>
      <c r="Q181" s="88"/>
      <c r="R181" s="70"/>
      <c r="S181" s="88"/>
      <c r="T181" s="88"/>
      <c r="U181" s="88"/>
      <c r="V181" s="88"/>
      <c r="W181" s="88"/>
      <c r="X181" s="88"/>
      <c r="Y181" s="88"/>
      <c r="Z181" s="70"/>
    </row>
    <row r="182" spans="1:26" s="128" customFormat="1" x14ac:dyDescent="0.2">
      <c r="A182" s="69" t="s">
        <v>100</v>
      </c>
      <c r="B182" s="70" t="s">
        <v>127</v>
      </c>
      <c r="C182" s="131">
        <v>276</v>
      </c>
      <c r="D182" s="131">
        <v>1244</v>
      </c>
      <c r="E182" s="131">
        <v>1005</v>
      </c>
      <c r="F182" s="131">
        <v>700</v>
      </c>
      <c r="G182" s="131">
        <v>382</v>
      </c>
      <c r="H182" s="131">
        <v>151</v>
      </c>
      <c r="I182" s="131">
        <v>3758</v>
      </c>
      <c r="J182" s="131">
        <v>3774</v>
      </c>
      <c r="K182" s="88"/>
      <c r="L182" s="88"/>
      <c r="M182" s="88"/>
      <c r="N182" s="88"/>
      <c r="O182" s="88"/>
      <c r="P182" s="88"/>
      <c r="Q182" s="88"/>
      <c r="R182" s="70"/>
      <c r="S182" s="88"/>
      <c r="T182" s="88"/>
      <c r="U182" s="88"/>
      <c r="V182" s="88"/>
      <c r="W182" s="88"/>
      <c r="X182" s="88"/>
      <c r="Y182" s="88"/>
      <c r="Z182" s="70"/>
    </row>
    <row r="183" spans="1:26" s="128" customFormat="1" x14ac:dyDescent="0.2">
      <c r="A183" s="69" t="s">
        <v>100</v>
      </c>
      <c r="B183" s="70" t="s">
        <v>128</v>
      </c>
      <c r="C183" s="131">
        <v>481</v>
      </c>
      <c r="D183" s="131">
        <v>1949</v>
      </c>
      <c r="E183" s="131">
        <v>1957</v>
      </c>
      <c r="F183" s="131">
        <v>1255</v>
      </c>
      <c r="G183" s="131">
        <v>613</v>
      </c>
      <c r="H183" s="131">
        <v>221</v>
      </c>
      <c r="I183" s="131">
        <v>6476</v>
      </c>
      <c r="J183" s="131">
        <v>6516</v>
      </c>
      <c r="K183" s="88"/>
      <c r="L183" s="88"/>
      <c r="M183" s="88"/>
      <c r="N183" s="88"/>
      <c r="O183" s="88"/>
      <c r="P183" s="88"/>
      <c r="Q183" s="88"/>
      <c r="R183" s="70"/>
      <c r="S183" s="88"/>
      <c r="T183" s="88"/>
      <c r="U183" s="88"/>
      <c r="V183" s="88"/>
      <c r="W183" s="88"/>
      <c r="X183" s="88"/>
      <c r="Y183" s="88"/>
      <c r="Z183" s="70"/>
    </row>
    <row r="184" spans="1:26" s="128" customFormat="1" x14ac:dyDescent="0.2">
      <c r="A184" s="69" t="s">
        <v>100</v>
      </c>
      <c r="B184" s="70" t="s">
        <v>129</v>
      </c>
      <c r="C184" s="131">
        <v>961</v>
      </c>
      <c r="D184" s="131">
        <v>2637</v>
      </c>
      <c r="E184" s="131">
        <v>2119</v>
      </c>
      <c r="F184" s="131">
        <v>820</v>
      </c>
      <c r="G184" s="131">
        <v>287</v>
      </c>
      <c r="H184" s="131">
        <v>148</v>
      </c>
      <c r="I184" s="131">
        <v>6972</v>
      </c>
      <c r="J184" s="131">
        <v>7084</v>
      </c>
      <c r="K184" s="88"/>
      <c r="L184" s="88"/>
      <c r="M184" s="88"/>
      <c r="N184" s="88"/>
      <c r="O184" s="88"/>
      <c r="P184" s="88"/>
      <c r="Q184" s="88"/>
      <c r="R184" s="70"/>
      <c r="S184" s="88"/>
      <c r="T184" s="88"/>
      <c r="U184" s="88"/>
      <c r="V184" s="88"/>
      <c r="W184" s="88"/>
      <c r="X184" s="88"/>
      <c r="Y184" s="88"/>
      <c r="Z184" s="70"/>
    </row>
    <row r="185" spans="1:26" s="128" customFormat="1" x14ac:dyDescent="0.2">
      <c r="A185" s="69" t="s">
        <v>100</v>
      </c>
      <c r="B185" s="70" t="s">
        <v>130</v>
      </c>
      <c r="C185" s="131">
        <v>672</v>
      </c>
      <c r="D185" s="131">
        <v>1609</v>
      </c>
      <c r="E185" s="131">
        <v>1744</v>
      </c>
      <c r="F185" s="131">
        <v>1196</v>
      </c>
      <c r="G185" s="131">
        <v>591</v>
      </c>
      <c r="H185" s="131">
        <v>225</v>
      </c>
      <c r="I185" s="131">
        <v>6037</v>
      </c>
      <c r="J185" s="131">
        <v>6080</v>
      </c>
      <c r="K185" s="88"/>
      <c r="L185" s="88"/>
      <c r="M185" s="88"/>
      <c r="N185" s="88"/>
      <c r="O185" s="88"/>
      <c r="P185" s="88"/>
      <c r="Q185" s="88"/>
      <c r="R185" s="70"/>
      <c r="S185" s="88"/>
      <c r="T185" s="88"/>
      <c r="U185" s="88"/>
      <c r="V185" s="88"/>
      <c r="W185" s="88"/>
      <c r="X185" s="88"/>
      <c r="Y185" s="88"/>
      <c r="Z185" s="70"/>
    </row>
    <row r="186" spans="1:26" s="128" customFormat="1" x14ac:dyDescent="0.2">
      <c r="A186" s="69" t="s">
        <v>100</v>
      </c>
      <c r="B186" s="70" t="s">
        <v>131</v>
      </c>
      <c r="C186" s="131">
        <v>1076</v>
      </c>
      <c r="D186" s="131">
        <v>3985</v>
      </c>
      <c r="E186" s="131">
        <v>5531</v>
      </c>
      <c r="F186" s="131">
        <v>4739</v>
      </c>
      <c r="G186" s="131">
        <v>2689</v>
      </c>
      <c r="H186" s="131">
        <v>975</v>
      </c>
      <c r="I186" s="131">
        <v>18995</v>
      </c>
      <c r="J186" s="131">
        <v>19171</v>
      </c>
      <c r="K186" s="88"/>
      <c r="L186" s="88"/>
      <c r="M186" s="88"/>
      <c r="N186" s="88"/>
      <c r="O186" s="88"/>
      <c r="P186" s="88"/>
      <c r="Q186" s="88"/>
      <c r="R186" s="70"/>
      <c r="S186" s="88"/>
      <c r="T186" s="88"/>
      <c r="U186" s="88"/>
      <c r="V186" s="88"/>
      <c r="W186" s="88"/>
      <c r="X186" s="88"/>
      <c r="Y186" s="88"/>
      <c r="Z186" s="70"/>
    </row>
    <row r="187" spans="1:26" s="128" customFormat="1" x14ac:dyDescent="0.2">
      <c r="A187" s="69" t="s">
        <v>100</v>
      </c>
      <c r="B187" s="70" t="s">
        <v>132</v>
      </c>
      <c r="C187" s="131">
        <v>300</v>
      </c>
      <c r="D187" s="131">
        <v>1096</v>
      </c>
      <c r="E187" s="131">
        <v>1825</v>
      </c>
      <c r="F187" s="131">
        <v>2107</v>
      </c>
      <c r="G187" s="131">
        <v>1608</v>
      </c>
      <c r="H187" s="131">
        <v>620</v>
      </c>
      <c r="I187" s="131">
        <v>7556</v>
      </c>
      <c r="J187" s="131">
        <v>7655</v>
      </c>
      <c r="K187" s="88"/>
      <c r="L187" s="88"/>
      <c r="M187" s="88"/>
      <c r="N187" s="88"/>
      <c r="O187" s="88"/>
      <c r="P187" s="88"/>
      <c r="Q187" s="88"/>
      <c r="R187" s="70"/>
      <c r="S187" s="88"/>
      <c r="T187" s="88"/>
      <c r="U187" s="88"/>
      <c r="V187" s="88"/>
      <c r="W187" s="88"/>
      <c r="X187" s="88"/>
      <c r="Y187" s="88"/>
      <c r="Z187" s="70"/>
    </row>
    <row r="188" spans="1:26" s="128" customFormat="1" x14ac:dyDescent="0.2">
      <c r="A188" s="69" t="s">
        <v>100</v>
      </c>
      <c r="B188" s="70" t="s">
        <v>133</v>
      </c>
      <c r="C188" s="131">
        <v>585</v>
      </c>
      <c r="D188" s="131">
        <v>1867</v>
      </c>
      <c r="E188" s="131">
        <v>3703</v>
      </c>
      <c r="F188" s="131">
        <v>3972</v>
      </c>
      <c r="G188" s="131">
        <v>3103</v>
      </c>
      <c r="H188" s="131">
        <v>1557</v>
      </c>
      <c r="I188" s="131">
        <v>14787</v>
      </c>
      <c r="J188" s="131">
        <v>15013</v>
      </c>
      <c r="K188" s="88"/>
      <c r="L188" s="88"/>
      <c r="M188" s="88"/>
      <c r="N188" s="88"/>
      <c r="O188" s="88"/>
      <c r="P188" s="88"/>
      <c r="Q188" s="88"/>
      <c r="R188" s="70"/>
      <c r="S188" s="88"/>
      <c r="T188" s="88"/>
      <c r="U188" s="88"/>
      <c r="V188" s="88"/>
      <c r="W188" s="88"/>
      <c r="X188" s="88"/>
      <c r="Y188" s="88"/>
      <c r="Z188" s="70"/>
    </row>
    <row r="189" spans="1:26" s="128" customFormat="1" x14ac:dyDescent="0.2">
      <c r="A189" s="69" t="s">
        <v>100</v>
      </c>
      <c r="B189" s="70" t="s">
        <v>134</v>
      </c>
      <c r="C189" s="131">
        <v>1517</v>
      </c>
      <c r="D189" s="131">
        <v>2776</v>
      </c>
      <c r="E189" s="131">
        <v>6220</v>
      </c>
      <c r="F189" s="131">
        <v>8361</v>
      </c>
      <c r="G189" s="131">
        <v>7948</v>
      </c>
      <c r="H189" s="131">
        <v>5143</v>
      </c>
      <c r="I189" s="131">
        <v>31965</v>
      </c>
      <c r="J189" s="131">
        <v>33452</v>
      </c>
      <c r="K189" s="88"/>
      <c r="L189" s="88"/>
      <c r="M189" s="88"/>
      <c r="N189" s="88"/>
      <c r="O189" s="88"/>
      <c r="P189" s="88"/>
      <c r="Q189" s="88"/>
      <c r="R189" s="70"/>
      <c r="S189" s="88"/>
      <c r="T189" s="88"/>
      <c r="U189" s="88"/>
      <c r="V189" s="88"/>
      <c r="W189" s="88"/>
      <c r="X189" s="88"/>
      <c r="Y189" s="88"/>
      <c r="Z189" s="70"/>
    </row>
    <row r="190" spans="1:26" s="128" customFormat="1" x14ac:dyDescent="0.2">
      <c r="A190" s="69"/>
      <c r="B190" s="70"/>
      <c r="C190" s="131"/>
      <c r="D190" s="131"/>
      <c r="E190" s="131"/>
      <c r="F190" s="131"/>
      <c r="G190" s="131"/>
      <c r="H190" s="131"/>
      <c r="I190" s="131"/>
      <c r="J190" s="131"/>
      <c r="K190" s="88"/>
      <c r="L190" s="88"/>
      <c r="M190" s="88"/>
      <c r="N190" s="88"/>
      <c r="O190" s="88"/>
      <c r="P190" s="88"/>
      <c r="Q190" s="88"/>
      <c r="R190" s="70"/>
      <c r="S190" s="88"/>
      <c r="T190" s="88"/>
      <c r="U190" s="88"/>
      <c r="V190" s="88"/>
      <c r="W190" s="88"/>
      <c r="X190" s="88"/>
      <c r="Y190" s="88"/>
      <c r="Z190" s="70"/>
    </row>
    <row r="191" spans="1:26" s="128" customFormat="1" x14ac:dyDescent="0.2">
      <c r="A191" s="69"/>
      <c r="B191" s="70"/>
      <c r="C191" s="131"/>
      <c r="D191" s="131"/>
      <c r="E191" s="131"/>
      <c r="F191" s="131"/>
      <c r="G191" s="131"/>
      <c r="H191" s="131"/>
      <c r="I191" s="131"/>
      <c r="J191" s="131"/>
      <c r="K191" s="88"/>
      <c r="L191" s="88"/>
      <c r="M191" s="88"/>
      <c r="N191" s="88"/>
      <c r="O191" s="88"/>
      <c r="P191" s="88"/>
      <c r="Q191" s="88"/>
      <c r="R191" s="70"/>
      <c r="S191" s="88"/>
      <c r="T191" s="88"/>
      <c r="U191" s="88"/>
      <c r="V191" s="88"/>
      <c r="W191" s="88"/>
      <c r="X191" s="88"/>
      <c r="Y191" s="88"/>
      <c r="Z191" s="70"/>
    </row>
    <row r="192" spans="1:26" s="128" customFormat="1" x14ac:dyDescent="0.2">
      <c r="A192" s="69"/>
      <c r="B192" s="70"/>
      <c r="C192" s="131"/>
      <c r="D192" s="131"/>
      <c r="E192" s="131"/>
      <c r="F192" s="131"/>
      <c r="G192" s="131"/>
      <c r="H192" s="131"/>
      <c r="I192" s="131"/>
      <c r="J192" s="131"/>
      <c r="K192" s="88"/>
      <c r="L192" s="88"/>
      <c r="M192" s="88"/>
      <c r="N192" s="88"/>
      <c r="O192" s="88"/>
      <c r="P192" s="88"/>
      <c r="Q192" s="88"/>
      <c r="R192" s="70"/>
      <c r="S192" s="88"/>
      <c r="T192" s="88"/>
      <c r="U192" s="88"/>
      <c r="V192" s="88"/>
      <c r="W192" s="88"/>
      <c r="X192" s="88"/>
      <c r="Y192" s="88"/>
      <c r="Z192" s="70"/>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Z189"/>
  <sheetViews>
    <sheetView showGridLines="0" workbookViewId="0">
      <selection activeCell="P13" sqref="P13:Q14"/>
    </sheetView>
  </sheetViews>
  <sheetFormatPr defaultRowHeight="12.75" x14ac:dyDescent="0.2"/>
  <sheetData>
    <row r="1" spans="1:26" ht="15.75" x14ac:dyDescent="0.25">
      <c r="A1" s="123" t="s">
        <v>253</v>
      </c>
    </row>
    <row r="3" spans="1:26" x14ac:dyDescent="0.2">
      <c r="B3" s="67"/>
      <c r="C3" s="86" t="s">
        <v>39</v>
      </c>
      <c r="D3" s="86"/>
      <c r="E3" s="86"/>
      <c r="F3" s="86"/>
      <c r="G3" s="86"/>
      <c r="H3" s="86"/>
      <c r="I3" s="86"/>
      <c r="J3" s="67"/>
      <c r="K3" s="86" t="s">
        <v>40</v>
      </c>
      <c r="L3" s="86"/>
      <c r="M3" s="86"/>
      <c r="N3" s="86"/>
      <c r="O3" s="86"/>
      <c r="P3" s="86"/>
      <c r="Q3" s="86"/>
      <c r="R3" s="67"/>
      <c r="S3" s="86" t="s">
        <v>54</v>
      </c>
      <c r="T3" s="86"/>
      <c r="U3" s="86"/>
      <c r="V3" s="86"/>
      <c r="W3" s="86"/>
      <c r="X3" s="86"/>
      <c r="Y3" s="86"/>
      <c r="Z3" s="67"/>
    </row>
    <row r="4" spans="1:26" x14ac:dyDescent="0.2">
      <c r="B4" s="67"/>
      <c r="C4" s="86" t="s">
        <v>69</v>
      </c>
      <c r="D4" s="86" t="s">
        <v>33</v>
      </c>
      <c r="E4" s="86" t="s">
        <v>34</v>
      </c>
      <c r="F4" s="86" t="s">
        <v>35</v>
      </c>
      <c r="G4" s="86" t="s">
        <v>36</v>
      </c>
      <c r="H4" s="86" t="s">
        <v>37</v>
      </c>
      <c r="I4" s="86" t="s">
        <v>47</v>
      </c>
      <c r="J4" s="67" t="s">
        <v>58</v>
      </c>
      <c r="K4" s="86" t="s">
        <v>69</v>
      </c>
      <c r="L4" s="86" t="s">
        <v>33</v>
      </c>
      <c r="M4" s="86" t="s">
        <v>34</v>
      </c>
      <c r="N4" s="86" t="s">
        <v>35</v>
      </c>
      <c r="O4" s="86" t="s">
        <v>36</v>
      </c>
      <c r="P4" s="86" t="s">
        <v>37</v>
      </c>
      <c r="Q4" s="86" t="s">
        <v>47</v>
      </c>
      <c r="R4" s="68" t="s">
        <v>58</v>
      </c>
      <c r="S4" s="86" t="s">
        <v>69</v>
      </c>
      <c r="T4" s="86" t="s">
        <v>33</v>
      </c>
      <c r="U4" s="86" t="s">
        <v>34</v>
      </c>
      <c r="V4" s="86" t="s">
        <v>35</v>
      </c>
      <c r="W4" s="86" t="s">
        <v>36</v>
      </c>
      <c r="X4" s="86" t="s">
        <v>37</v>
      </c>
      <c r="Y4" s="86" t="s">
        <v>47</v>
      </c>
      <c r="Z4" s="68" t="s">
        <v>58</v>
      </c>
    </row>
    <row r="5" spans="1:26" x14ac:dyDescent="0.2">
      <c r="B5" s="67" t="s">
        <v>0</v>
      </c>
      <c r="C5" s="87">
        <f>IF(OR(C47=1,C47=2),"x",ROUND(C47/$J47*100,1))</f>
        <v>10</v>
      </c>
      <c r="D5" s="87">
        <f t="shared" ref="D5:I5" si="0">IF(OR(D47=1,D47=2),"x",ROUND(D47/$J47*100,1))</f>
        <v>17.5</v>
      </c>
      <c r="E5" s="87">
        <f t="shared" si="0"/>
        <v>23</v>
      </c>
      <c r="F5" s="87">
        <f t="shared" si="0"/>
        <v>21</v>
      </c>
      <c r="G5" s="87">
        <f t="shared" si="0"/>
        <v>16.7</v>
      </c>
      <c r="H5" s="87">
        <f t="shared" si="0"/>
        <v>9.8000000000000007</v>
      </c>
      <c r="I5" s="87">
        <f t="shared" si="0"/>
        <v>98</v>
      </c>
      <c r="J5" s="66">
        <f>ROUND(J47,0)</f>
        <v>22808</v>
      </c>
      <c r="K5" s="87">
        <f>IF(OR(K47=1,K47=2),"x",ROUND(K47/$R47*100,1))</f>
        <v>10.3</v>
      </c>
      <c r="L5" s="87">
        <f t="shared" ref="L5:Q5" si="1">IF(OR(L47=1,L47=2),"x",ROUND(L47/$R47*100,1))</f>
        <v>18.7</v>
      </c>
      <c r="M5" s="87">
        <f t="shared" si="1"/>
        <v>23.7</v>
      </c>
      <c r="N5" s="87">
        <f t="shared" si="1"/>
        <v>20.8</v>
      </c>
      <c r="O5" s="87">
        <f t="shared" si="1"/>
        <v>15.9</v>
      </c>
      <c r="P5" s="87">
        <f t="shared" si="1"/>
        <v>9.1999999999999993</v>
      </c>
      <c r="Q5" s="87">
        <f t="shared" si="1"/>
        <v>98.6</v>
      </c>
      <c r="R5" s="66">
        <f>ROUND(R47,0)</f>
        <v>33039</v>
      </c>
      <c r="S5" s="87">
        <f>IF(OR(S47=1,S47=2),"x",ROUND(S47/$Z47*100,1))</f>
        <v>10.1</v>
      </c>
      <c r="T5" s="87">
        <f t="shared" ref="T5:Y5" si="2">IF(OR(T47=1,T47=2),"x",ROUND(T47/$Z47*100,1))</f>
        <v>18.2</v>
      </c>
      <c r="U5" s="87">
        <f t="shared" si="2"/>
        <v>23.4</v>
      </c>
      <c r="V5" s="87">
        <f t="shared" si="2"/>
        <v>20.9</v>
      </c>
      <c r="W5" s="87">
        <f t="shared" si="2"/>
        <v>16.3</v>
      </c>
      <c r="X5" s="87">
        <f t="shared" si="2"/>
        <v>9.4</v>
      </c>
      <c r="Y5" s="87">
        <f t="shared" si="2"/>
        <v>98.4</v>
      </c>
      <c r="Z5" s="66">
        <f>ROUND(Z47,0)</f>
        <v>55847</v>
      </c>
    </row>
    <row r="6" spans="1:26" x14ac:dyDescent="0.2">
      <c r="B6" s="67" t="s">
        <v>1</v>
      </c>
      <c r="C6" s="87">
        <f t="shared" ref="C6:I21" si="3">IF(OR(C48=1,C48=2),"x",ROUND(C48/$J48*100,1))</f>
        <v>10.3</v>
      </c>
      <c r="D6" s="87">
        <f t="shared" si="3"/>
        <v>23.5</v>
      </c>
      <c r="E6" s="87">
        <f t="shared" si="3"/>
        <v>25.5</v>
      </c>
      <c r="F6" s="87">
        <f t="shared" si="3"/>
        <v>18.600000000000001</v>
      </c>
      <c r="G6" s="87">
        <f t="shared" si="3"/>
        <v>12.7</v>
      </c>
      <c r="H6" s="87">
        <f t="shared" si="3"/>
        <v>7.6</v>
      </c>
      <c r="I6" s="87">
        <f t="shared" si="3"/>
        <v>98.2</v>
      </c>
      <c r="J6" s="66">
        <f t="shared" ref="J6:J39" si="4">ROUND(J48,0)</f>
        <v>24321</v>
      </c>
      <c r="K6" s="87">
        <f t="shared" ref="K6:Q21" si="5">IF(OR(K48=1,K48=2),"x",ROUND(K48/$R48*100,1))</f>
        <v>8.6</v>
      </c>
      <c r="L6" s="87">
        <f t="shared" si="5"/>
        <v>24.6</v>
      </c>
      <c r="M6" s="87">
        <f t="shared" si="5"/>
        <v>27</v>
      </c>
      <c r="N6" s="87">
        <f t="shared" si="5"/>
        <v>19.5</v>
      </c>
      <c r="O6" s="87">
        <f t="shared" si="5"/>
        <v>12.4</v>
      </c>
      <c r="P6" s="87">
        <f t="shared" si="5"/>
        <v>6.7</v>
      </c>
      <c r="Q6" s="87">
        <f t="shared" si="5"/>
        <v>98.8</v>
      </c>
      <c r="R6" s="66">
        <f t="shared" ref="R6:R39" si="6">ROUND(R48,0)</f>
        <v>22823</v>
      </c>
      <c r="S6" s="87">
        <f t="shared" ref="S6:Y21" si="7">IF(OR(S48=1,S48=2),"x",ROUND(S48/$Z48*100,1))</f>
        <v>9.4</v>
      </c>
      <c r="T6" s="87">
        <f t="shared" si="7"/>
        <v>24</v>
      </c>
      <c r="U6" s="87">
        <f t="shared" si="7"/>
        <v>26.3</v>
      </c>
      <c r="V6" s="87">
        <f t="shared" si="7"/>
        <v>19</v>
      </c>
      <c r="W6" s="87">
        <f t="shared" si="7"/>
        <v>12.6</v>
      </c>
      <c r="X6" s="87">
        <f t="shared" si="7"/>
        <v>7.2</v>
      </c>
      <c r="Y6" s="87">
        <f t="shared" si="7"/>
        <v>98.5</v>
      </c>
      <c r="Z6" s="66">
        <f t="shared" ref="Z6:Z39" si="8">ROUND(Z48,0)</f>
        <v>47144</v>
      </c>
    </row>
    <row r="7" spans="1:26" x14ac:dyDescent="0.2">
      <c r="B7" s="67" t="s">
        <v>2</v>
      </c>
      <c r="C7" s="87">
        <f t="shared" si="3"/>
        <v>10.4</v>
      </c>
      <c r="D7" s="87">
        <f t="shared" si="3"/>
        <v>20.100000000000001</v>
      </c>
      <c r="E7" s="87">
        <f t="shared" si="3"/>
        <v>22.5</v>
      </c>
      <c r="F7" s="87">
        <f t="shared" si="3"/>
        <v>19</v>
      </c>
      <c r="G7" s="87">
        <f t="shared" si="3"/>
        <v>15.2</v>
      </c>
      <c r="H7" s="87">
        <f t="shared" si="3"/>
        <v>10.4</v>
      </c>
      <c r="I7" s="87">
        <f t="shared" si="3"/>
        <v>97.7</v>
      </c>
      <c r="J7" s="66">
        <f t="shared" si="4"/>
        <v>25490</v>
      </c>
      <c r="K7" s="87">
        <f t="shared" si="5"/>
        <v>12.2</v>
      </c>
      <c r="L7" s="87">
        <f t="shared" si="5"/>
        <v>23.6</v>
      </c>
      <c r="M7" s="87">
        <f t="shared" si="5"/>
        <v>23.3</v>
      </c>
      <c r="N7" s="87">
        <f t="shared" si="5"/>
        <v>18.100000000000001</v>
      </c>
      <c r="O7" s="87">
        <f t="shared" si="5"/>
        <v>12.4</v>
      </c>
      <c r="P7" s="87">
        <f t="shared" si="5"/>
        <v>8.5</v>
      </c>
      <c r="Q7" s="87">
        <f t="shared" si="5"/>
        <v>98</v>
      </c>
      <c r="R7" s="66">
        <f t="shared" si="6"/>
        <v>6736</v>
      </c>
      <c r="S7" s="87">
        <f t="shared" si="7"/>
        <v>10.8</v>
      </c>
      <c r="T7" s="87">
        <f t="shared" si="7"/>
        <v>20.8</v>
      </c>
      <c r="U7" s="87">
        <f t="shared" si="7"/>
        <v>22.7</v>
      </c>
      <c r="V7" s="87">
        <f t="shared" si="7"/>
        <v>18.8</v>
      </c>
      <c r="W7" s="87">
        <f t="shared" si="7"/>
        <v>14.6</v>
      </c>
      <c r="X7" s="87">
        <f t="shared" si="7"/>
        <v>10</v>
      </c>
      <c r="Y7" s="87">
        <f t="shared" si="7"/>
        <v>97.7</v>
      </c>
      <c r="Z7" s="66">
        <f t="shared" si="8"/>
        <v>32226</v>
      </c>
    </row>
    <row r="8" spans="1:26" x14ac:dyDescent="0.2">
      <c r="B8" s="67" t="s">
        <v>3</v>
      </c>
      <c r="C8" s="87">
        <f t="shared" si="3"/>
        <v>8.1999999999999993</v>
      </c>
      <c r="D8" s="87">
        <f t="shared" si="3"/>
        <v>18.100000000000001</v>
      </c>
      <c r="E8" s="87">
        <f t="shared" si="3"/>
        <v>23.5</v>
      </c>
      <c r="F8" s="87">
        <f t="shared" si="3"/>
        <v>21.4</v>
      </c>
      <c r="G8" s="87">
        <f t="shared" si="3"/>
        <v>17.100000000000001</v>
      </c>
      <c r="H8" s="87">
        <f t="shared" si="3"/>
        <v>9.6999999999999993</v>
      </c>
      <c r="I8" s="87">
        <f t="shared" si="3"/>
        <v>97.9</v>
      </c>
      <c r="J8" s="66">
        <f t="shared" si="4"/>
        <v>2907</v>
      </c>
      <c r="K8" s="87">
        <f t="shared" si="5"/>
        <v>6.6</v>
      </c>
      <c r="L8" s="87">
        <f t="shared" si="5"/>
        <v>16.8</v>
      </c>
      <c r="M8" s="87">
        <f t="shared" si="5"/>
        <v>25.7</v>
      </c>
      <c r="N8" s="87">
        <f t="shared" si="5"/>
        <v>22.9</v>
      </c>
      <c r="O8" s="87">
        <f t="shared" si="5"/>
        <v>15.2</v>
      </c>
      <c r="P8" s="87">
        <f t="shared" si="5"/>
        <v>9.8000000000000007</v>
      </c>
      <c r="Q8" s="87">
        <f t="shared" si="5"/>
        <v>97</v>
      </c>
      <c r="R8" s="66">
        <f t="shared" si="6"/>
        <v>1214</v>
      </c>
      <c r="S8" s="87">
        <f t="shared" si="7"/>
        <v>7.7</v>
      </c>
      <c r="T8" s="87">
        <f t="shared" si="7"/>
        <v>17.7</v>
      </c>
      <c r="U8" s="87">
        <f t="shared" si="7"/>
        <v>24.1</v>
      </c>
      <c r="V8" s="87">
        <f t="shared" si="7"/>
        <v>21.8</v>
      </c>
      <c r="W8" s="87">
        <f t="shared" si="7"/>
        <v>16.5</v>
      </c>
      <c r="X8" s="87">
        <f t="shared" si="7"/>
        <v>9.6999999999999993</v>
      </c>
      <c r="Y8" s="87">
        <f t="shared" si="7"/>
        <v>97.6</v>
      </c>
      <c r="Z8" s="66">
        <f t="shared" si="8"/>
        <v>4121</v>
      </c>
    </row>
    <row r="9" spans="1:26" x14ac:dyDescent="0.2">
      <c r="B9" s="67" t="s">
        <v>4</v>
      </c>
      <c r="C9" s="87">
        <f t="shared" si="3"/>
        <v>19.399999999999999</v>
      </c>
      <c r="D9" s="87">
        <f t="shared" si="3"/>
        <v>24.1</v>
      </c>
      <c r="E9" s="87">
        <f t="shared" si="3"/>
        <v>21.6</v>
      </c>
      <c r="F9" s="87">
        <f t="shared" si="3"/>
        <v>16</v>
      </c>
      <c r="G9" s="87">
        <f t="shared" si="3"/>
        <v>11.1</v>
      </c>
      <c r="H9" s="87">
        <f t="shared" si="3"/>
        <v>6.3</v>
      </c>
      <c r="I9" s="87">
        <f t="shared" si="3"/>
        <v>98.5</v>
      </c>
      <c r="J9" s="66">
        <f t="shared" si="4"/>
        <v>48401</v>
      </c>
      <c r="K9" s="87">
        <f t="shared" si="5"/>
        <v>16.2</v>
      </c>
      <c r="L9" s="87">
        <f t="shared" si="5"/>
        <v>26.4</v>
      </c>
      <c r="M9" s="87">
        <f t="shared" si="5"/>
        <v>24</v>
      </c>
      <c r="N9" s="87">
        <f t="shared" si="5"/>
        <v>15.9</v>
      </c>
      <c r="O9" s="87">
        <f t="shared" si="5"/>
        <v>10.6</v>
      </c>
      <c r="P9" s="87">
        <f t="shared" si="5"/>
        <v>5.7</v>
      </c>
      <c r="Q9" s="87">
        <f t="shared" si="5"/>
        <v>98.8</v>
      </c>
      <c r="R9" s="66">
        <f t="shared" si="6"/>
        <v>30635</v>
      </c>
      <c r="S9" s="87">
        <f t="shared" si="7"/>
        <v>18.2</v>
      </c>
      <c r="T9" s="87">
        <f t="shared" si="7"/>
        <v>25</v>
      </c>
      <c r="U9" s="87">
        <f t="shared" si="7"/>
        <v>22.5</v>
      </c>
      <c r="V9" s="87">
        <f t="shared" si="7"/>
        <v>15.9</v>
      </c>
      <c r="W9" s="87">
        <f t="shared" si="7"/>
        <v>10.9</v>
      </c>
      <c r="X9" s="87">
        <f t="shared" si="7"/>
        <v>6</v>
      </c>
      <c r="Y9" s="87">
        <f t="shared" si="7"/>
        <v>98.6</v>
      </c>
      <c r="Z9" s="66">
        <f t="shared" si="8"/>
        <v>79036</v>
      </c>
    </row>
    <row r="10" spans="1:26" x14ac:dyDescent="0.2">
      <c r="B10" s="67" t="s">
        <v>5</v>
      </c>
      <c r="C10" s="87">
        <f t="shared" si="3"/>
        <v>26.9</v>
      </c>
      <c r="D10" s="87">
        <f t="shared" si="3"/>
        <v>30.4</v>
      </c>
      <c r="E10" s="87">
        <f t="shared" si="3"/>
        <v>19.3</v>
      </c>
      <c r="F10" s="87">
        <f t="shared" si="3"/>
        <v>12</v>
      </c>
      <c r="G10" s="87">
        <f t="shared" si="3"/>
        <v>6.7</v>
      </c>
      <c r="H10" s="87">
        <f t="shared" si="3"/>
        <v>3.6</v>
      </c>
      <c r="I10" s="87">
        <f t="shared" si="3"/>
        <v>99</v>
      </c>
      <c r="J10" s="66">
        <f t="shared" si="4"/>
        <v>9312</v>
      </c>
      <c r="K10" s="87">
        <f t="shared" si="5"/>
        <v>25.1</v>
      </c>
      <c r="L10" s="87">
        <f t="shared" si="5"/>
        <v>33</v>
      </c>
      <c r="M10" s="87">
        <f t="shared" si="5"/>
        <v>20.2</v>
      </c>
      <c r="N10" s="87">
        <f t="shared" si="5"/>
        <v>12</v>
      </c>
      <c r="O10" s="87">
        <f t="shared" si="5"/>
        <v>6.2</v>
      </c>
      <c r="P10" s="87">
        <f t="shared" si="5"/>
        <v>2.5</v>
      </c>
      <c r="Q10" s="87">
        <f t="shared" si="5"/>
        <v>99.1</v>
      </c>
      <c r="R10" s="66">
        <f t="shared" si="6"/>
        <v>3719</v>
      </c>
      <c r="S10" s="87">
        <f t="shared" si="7"/>
        <v>26.4</v>
      </c>
      <c r="T10" s="87">
        <f t="shared" si="7"/>
        <v>31.1</v>
      </c>
      <c r="U10" s="87">
        <f t="shared" si="7"/>
        <v>19.600000000000001</v>
      </c>
      <c r="V10" s="87">
        <f t="shared" si="7"/>
        <v>12</v>
      </c>
      <c r="W10" s="87">
        <f t="shared" si="7"/>
        <v>6.6</v>
      </c>
      <c r="X10" s="87">
        <f t="shared" si="7"/>
        <v>3.3</v>
      </c>
      <c r="Y10" s="87">
        <f t="shared" si="7"/>
        <v>99</v>
      </c>
      <c r="Z10" s="66">
        <f t="shared" si="8"/>
        <v>13031</v>
      </c>
    </row>
    <row r="11" spans="1:26" x14ac:dyDescent="0.2">
      <c r="B11" s="67" t="s">
        <v>6</v>
      </c>
      <c r="C11" s="87">
        <f t="shared" si="3"/>
        <v>4</v>
      </c>
      <c r="D11" s="87">
        <f t="shared" si="3"/>
        <v>11.4</v>
      </c>
      <c r="E11" s="87">
        <f t="shared" si="3"/>
        <v>22.2</v>
      </c>
      <c r="F11" s="87">
        <f t="shared" si="3"/>
        <v>27.4</v>
      </c>
      <c r="G11" s="87">
        <f t="shared" si="3"/>
        <v>23</v>
      </c>
      <c r="H11" s="87">
        <f t="shared" si="3"/>
        <v>10.5</v>
      </c>
      <c r="I11" s="87">
        <f t="shared" si="3"/>
        <v>98.5</v>
      </c>
      <c r="J11" s="66">
        <f t="shared" si="4"/>
        <v>6800</v>
      </c>
      <c r="K11" s="87">
        <f t="shared" si="5"/>
        <v>5.7</v>
      </c>
      <c r="L11" s="87">
        <f t="shared" si="5"/>
        <v>14.7</v>
      </c>
      <c r="M11" s="87">
        <f t="shared" si="5"/>
        <v>27.6</v>
      </c>
      <c r="N11" s="87">
        <f t="shared" si="5"/>
        <v>26.5</v>
      </c>
      <c r="O11" s="87">
        <f t="shared" si="5"/>
        <v>18.100000000000001</v>
      </c>
      <c r="P11" s="87">
        <f t="shared" si="5"/>
        <v>6.4</v>
      </c>
      <c r="Q11" s="87">
        <f t="shared" si="5"/>
        <v>99.1</v>
      </c>
      <c r="R11" s="66">
        <f t="shared" si="6"/>
        <v>5032</v>
      </c>
      <c r="S11" s="87">
        <f t="shared" si="7"/>
        <v>4.7</v>
      </c>
      <c r="T11" s="87">
        <f t="shared" si="7"/>
        <v>12.8</v>
      </c>
      <c r="U11" s="87">
        <f t="shared" si="7"/>
        <v>24.5</v>
      </c>
      <c r="V11" s="87">
        <f t="shared" si="7"/>
        <v>27</v>
      </c>
      <c r="W11" s="87">
        <f t="shared" si="7"/>
        <v>20.9</v>
      </c>
      <c r="X11" s="87">
        <f t="shared" si="7"/>
        <v>8.8000000000000007</v>
      </c>
      <c r="Y11" s="87">
        <f t="shared" si="7"/>
        <v>98.8</v>
      </c>
      <c r="Z11" s="66">
        <f t="shared" si="8"/>
        <v>11832</v>
      </c>
    </row>
    <row r="12" spans="1:26" x14ac:dyDescent="0.2">
      <c r="B12" s="67" t="s">
        <v>168</v>
      </c>
      <c r="C12" s="87">
        <f t="shared" si="3"/>
        <v>3</v>
      </c>
      <c r="D12" s="87">
        <f t="shared" si="3"/>
        <v>13.4</v>
      </c>
      <c r="E12" s="87">
        <f t="shared" si="3"/>
        <v>21</v>
      </c>
      <c r="F12" s="87">
        <f t="shared" si="3"/>
        <v>24.7</v>
      </c>
      <c r="G12" s="87">
        <f t="shared" si="3"/>
        <v>21.1</v>
      </c>
      <c r="H12" s="87">
        <f t="shared" si="3"/>
        <v>13.6</v>
      </c>
      <c r="I12" s="87">
        <f t="shared" si="3"/>
        <v>96.8</v>
      </c>
      <c r="J12" s="66">
        <f t="shared" si="4"/>
        <v>3451</v>
      </c>
      <c r="K12" s="87">
        <f t="shared" si="5"/>
        <v>2.8</v>
      </c>
      <c r="L12" s="87">
        <f t="shared" si="5"/>
        <v>17.5</v>
      </c>
      <c r="M12" s="87">
        <f t="shared" si="5"/>
        <v>24.9</v>
      </c>
      <c r="N12" s="87">
        <f t="shared" si="5"/>
        <v>20.7</v>
      </c>
      <c r="O12" s="87">
        <f t="shared" si="5"/>
        <v>20.399999999999999</v>
      </c>
      <c r="P12" s="87">
        <f t="shared" si="5"/>
        <v>11.9</v>
      </c>
      <c r="Q12" s="87">
        <f t="shared" si="5"/>
        <v>98.2</v>
      </c>
      <c r="R12" s="66">
        <f t="shared" si="6"/>
        <v>285</v>
      </c>
      <c r="S12" s="87">
        <f t="shared" si="7"/>
        <v>3</v>
      </c>
      <c r="T12" s="87">
        <f t="shared" si="7"/>
        <v>13.7</v>
      </c>
      <c r="U12" s="87">
        <f t="shared" si="7"/>
        <v>21.3</v>
      </c>
      <c r="V12" s="87">
        <f t="shared" si="7"/>
        <v>24.4</v>
      </c>
      <c r="W12" s="87">
        <f t="shared" si="7"/>
        <v>21</v>
      </c>
      <c r="X12" s="87">
        <f t="shared" si="7"/>
        <v>13.5</v>
      </c>
      <c r="Y12" s="87">
        <f t="shared" si="7"/>
        <v>96.9</v>
      </c>
      <c r="Z12" s="66">
        <f t="shared" si="8"/>
        <v>3736</v>
      </c>
    </row>
    <row r="13" spans="1:26" x14ac:dyDescent="0.2">
      <c r="B13" s="67" t="s">
        <v>8</v>
      </c>
      <c r="C13" s="87">
        <f t="shared" si="3"/>
        <v>1.2</v>
      </c>
      <c r="D13" s="87">
        <f t="shared" si="3"/>
        <v>6.2</v>
      </c>
      <c r="E13" s="87">
        <f t="shared" si="3"/>
        <v>20.5</v>
      </c>
      <c r="F13" s="87">
        <f t="shared" si="3"/>
        <v>26.5</v>
      </c>
      <c r="G13" s="87">
        <f t="shared" si="3"/>
        <v>26.6</v>
      </c>
      <c r="H13" s="87">
        <f t="shared" si="3"/>
        <v>15.9</v>
      </c>
      <c r="I13" s="87">
        <f t="shared" si="3"/>
        <v>97</v>
      </c>
      <c r="J13" s="66">
        <f t="shared" si="4"/>
        <v>4476</v>
      </c>
      <c r="K13" s="87">
        <f t="shared" si="5"/>
        <v>1.7</v>
      </c>
      <c r="L13" s="87">
        <f t="shared" si="5"/>
        <v>10.8</v>
      </c>
      <c r="M13" s="87">
        <f t="shared" si="5"/>
        <v>24.4</v>
      </c>
      <c r="N13" s="87">
        <f t="shared" si="5"/>
        <v>27.3</v>
      </c>
      <c r="O13" s="87">
        <f t="shared" si="5"/>
        <v>22.1</v>
      </c>
      <c r="P13" s="87">
        <f t="shared" si="5"/>
        <v>12</v>
      </c>
      <c r="Q13" s="87">
        <f t="shared" si="5"/>
        <v>98.3</v>
      </c>
      <c r="R13" s="66">
        <f t="shared" si="6"/>
        <v>2459</v>
      </c>
      <c r="S13" s="87">
        <f t="shared" si="7"/>
        <v>1.4</v>
      </c>
      <c r="T13" s="87">
        <f t="shared" si="7"/>
        <v>7.9</v>
      </c>
      <c r="U13" s="87">
        <f t="shared" si="7"/>
        <v>21.9</v>
      </c>
      <c r="V13" s="87">
        <f t="shared" si="7"/>
        <v>26.8</v>
      </c>
      <c r="W13" s="87">
        <f t="shared" si="7"/>
        <v>25</v>
      </c>
      <c r="X13" s="87">
        <f t="shared" si="7"/>
        <v>14.5</v>
      </c>
      <c r="Y13" s="87">
        <f t="shared" si="7"/>
        <v>97.5</v>
      </c>
      <c r="Z13" s="66">
        <f t="shared" si="8"/>
        <v>6935</v>
      </c>
    </row>
    <row r="14" spans="1:26" x14ac:dyDescent="0.2">
      <c r="B14" s="67" t="s">
        <v>9</v>
      </c>
      <c r="C14" s="154" t="s">
        <v>78</v>
      </c>
      <c r="D14" s="87" t="str">
        <f t="shared" si="3"/>
        <v>x</v>
      </c>
      <c r="E14" s="87">
        <f t="shared" si="3"/>
        <v>8.8000000000000007</v>
      </c>
      <c r="F14" s="87">
        <f t="shared" si="3"/>
        <v>8.8000000000000007</v>
      </c>
      <c r="G14" s="87">
        <f t="shared" si="3"/>
        <v>38.200000000000003</v>
      </c>
      <c r="H14" s="87">
        <f t="shared" si="3"/>
        <v>35.299999999999997</v>
      </c>
      <c r="I14" s="87">
        <f t="shared" si="3"/>
        <v>94.1</v>
      </c>
      <c r="J14" s="66">
        <f t="shared" si="4"/>
        <v>34</v>
      </c>
      <c r="K14" s="87">
        <f t="shared" si="5"/>
        <v>2.2000000000000002</v>
      </c>
      <c r="L14" s="87">
        <f t="shared" si="5"/>
        <v>16.7</v>
      </c>
      <c r="M14" s="87">
        <f t="shared" si="5"/>
        <v>28</v>
      </c>
      <c r="N14" s="87">
        <f t="shared" si="5"/>
        <v>29.5</v>
      </c>
      <c r="O14" s="87">
        <f t="shared" si="5"/>
        <v>17.5</v>
      </c>
      <c r="P14" s="87">
        <f t="shared" si="5"/>
        <v>5.8</v>
      </c>
      <c r="Q14" s="87">
        <f t="shared" si="5"/>
        <v>99.6</v>
      </c>
      <c r="R14" s="66">
        <f t="shared" si="6"/>
        <v>275</v>
      </c>
      <c r="S14" s="87">
        <f t="shared" si="7"/>
        <v>1.9</v>
      </c>
      <c r="T14" s="87">
        <f t="shared" si="7"/>
        <v>15.2</v>
      </c>
      <c r="U14" s="87">
        <f t="shared" si="7"/>
        <v>25.9</v>
      </c>
      <c r="V14" s="87">
        <f t="shared" si="7"/>
        <v>27.2</v>
      </c>
      <c r="W14" s="87">
        <f t="shared" si="7"/>
        <v>19.7</v>
      </c>
      <c r="X14" s="87">
        <f t="shared" si="7"/>
        <v>9.1</v>
      </c>
      <c r="Y14" s="87">
        <f t="shared" si="7"/>
        <v>99</v>
      </c>
      <c r="Z14" s="66">
        <f t="shared" si="8"/>
        <v>309</v>
      </c>
    </row>
    <row r="15" spans="1:26" x14ac:dyDescent="0.2">
      <c r="B15" s="67" t="s">
        <v>10</v>
      </c>
      <c r="C15" s="87">
        <f t="shared" si="3"/>
        <v>2.1</v>
      </c>
      <c r="D15" s="87">
        <f t="shared" si="3"/>
        <v>10.1</v>
      </c>
      <c r="E15" s="87">
        <f t="shared" si="3"/>
        <v>22.2</v>
      </c>
      <c r="F15" s="87">
        <f t="shared" si="3"/>
        <v>25.7</v>
      </c>
      <c r="G15" s="87">
        <f t="shared" si="3"/>
        <v>20</v>
      </c>
      <c r="H15" s="87">
        <f t="shared" si="3"/>
        <v>14.6</v>
      </c>
      <c r="I15" s="87">
        <f t="shared" si="3"/>
        <v>94.7</v>
      </c>
      <c r="J15" s="66">
        <f t="shared" si="4"/>
        <v>1836</v>
      </c>
      <c r="K15" s="87">
        <f t="shared" si="5"/>
        <v>2</v>
      </c>
      <c r="L15" s="87">
        <f t="shared" si="5"/>
        <v>12</v>
      </c>
      <c r="M15" s="87">
        <f t="shared" si="5"/>
        <v>25.4</v>
      </c>
      <c r="N15" s="87">
        <f t="shared" si="5"/>
        <v>24.7</v>
      </c>
      <c r="O15" s="87">
        <f t="shared" si="5"/>
        <v>19.100000000000001</v>
      </c>
      <c r="P15" s="87">
        <f t="shared" si="5"/>
        <v>12.8</v>
      </c>
      <c r="Q15" s="87">
        <f t="shared" si="5"/>
        <v>95.9</v>
      </c>
      <c r="R15" s="66">
        <f t="shared" si="6"/>
        <v>912</v>
      </c>
      <c r="S15" s="87">
        <f t="shared" si="7"/>
        <v>2</v>
      </c>
      <c r="T15" s="87">
        <f t="shared" si="7"/>
        <v>10.7</v>
      </c>
      <c r="U15" s="87">
        <f t="shared" si="7"/>
        <v>23.3</v>
      </c>
      <c r="V15" s="87">
        <f t="shared" si="7"/>
        <v>25.4</v>
      </c>
      <c r="W15" s="87">
        <f t="shared" si="7"/>
        <v>19.7</v>
      </c>
      <c r="X15" s="87">
        <f t="shared" si="7"/>
        <v>14</v>
      </c>
      <c r="Y15" s="87">
        <f t="shared" si="7"/>
        <v>95.1</v>
      </c>
      <c r="Z15" s="66">
        <f t="shared" si="8"/>
        <v>2748</v>
      </c>
    </row>
    <row r="16" spans="1:26" x14ac:dyDescent="0.2">
      <c r="B16" s="67" t="s">
        <v>11</v>
      </c>
      <c r="C16" s="87">
        <f t="shared" si="3"/>
        <v>3.4</v>
      </c>
      <c r="D16" s="87">
        <f t="shared" si="3"/>
        <v>10.7</v>
      </c>
      <c r="E16" s="87">
        <f t="shared" si="3"/>
        <v>26.7</v>
      </c>
      <c r="F16" s="87">
        <f t="shared" si="3"/>
        <v>30.7</v>
      </c>
      <c r="G16" s="87">
        <f t="shared" si="3"/>
        <v>19.2</v>
      </c>
      <c r="H16" s="87">
        <f t="shared" si="3"/>
        <v>7.8</v>
      </c>
      <c r="I16" s="87">
        <f t="shared" si="3"/>
        <v>98.4</v>
      </c>
      <c r="J16" s="66">
        <f t="shared" si="4"/>
        <v>15032</v>
      </c>
      <c r="K16" s="87">
        <f t="shared" si="5"/>
        <v>4.5999999999999996</v>
      </c>
      <c r="L16" s="87">
        <f t="shared" si="5"/>
        <v>12.7</v>
      </c>
      <c r="M16" s="87">
        <f t="shared" si="5"/>
        <v>27.9</v>
      </c>
      <c r="N16" s="87">
        <f t="shared" si="5"/>
        <v>28.7</v>
      </c>
      <c r="O16" s="87">
        <f t="shared" si="5"/>
        <v>17.8</v>
      </c>
      <c r="P16" s="87">
        <f t="shared" si="5"/>
        <v>6.8</v>
      </c>
      <c r="Q16" s="87">
        <f t="shared" si="5"/>
        <v>98.6</v>
      </c>
      <c r="R16" s="66">
        <f t="shared" si="6"/>
        <v>10673</v>
      </c>
      <c r="S16" s="87">
        <f t="shared" si="7"/>
        <v>3.9</v>
      </c>
      <c r="T16" s="87">
        <f t="shared" si="7"/>
        <v>11.6</v>
      </c>
      <c r="U16" s="87">
        <f t="shared" si="7"/>
        <v>27.2</v>
      </c>
      <c r="V16" s="87">
        <f t="shared" si="7"/>
        <v>29.9</v>
      </c>
      <c r="W16" s="87">
        <f t="shared" si="7"/>
        <v>18.600000000000001</v>
      </c>
      <c r="X16" s="87">
        <f t="shared" si="7"/>
        <v>7.4</v>
      </c>
      <c r="Y16" s="87">
        <f t="shared" si="7"/>
        <v>98.5</v>
      </c>
      <c r="Z16" s="66">
        <f t="shared" si="8"/>
        <v>25705</v>
      </c>
    </row>
    <row r="17" spans="2:26" x14ac:dyDescent="0.2">
      <c r="B17" s="67" t="s">
        <v>12</v>
      </c>
      <c r="C17" s="87">
        <f t="shared" si="3"/>
        <v>9.1</v>
      </c>
      <c r="D17" s="87">
        <f t="shared" si="3"/>
        <v>23.2</v>
      </c>
      <c r="E17" s="87">
        <f t="shared" si="3"/>
        <v>28.1</v>
      </c>
      <c r="F17" s="87">
        <f t="shared" si="3"/>
        <v>21</v>
      </c>
      <c r="G17" s="87">
        <f t="shared" si="3"/>
        <v>12.2</v>
      </c>
      <c r="H17" s="87">
        <f t="shared" si="3"/>
        <v>5.3</v>
      </c>
      <c r="I17" s="87">
        <f t="shared" si="3"/>
        <v>98.9</v>
      </c>
      <c r="J17" s="66">
        <f t="shared" si="4"/>
        <v>15658</v>
      </c>
      <c r="K17" s="87">
        <f t="shared" si="5"/>
        <v>11.2</v>
      </c>
      <c r="L17" s="87">
        <f t="shared" si="5"/>
        <v>26.2</v>
      </c>
      <c r="M17" s="87">
        <f t="shared" si="5"/>
        <v>27.1</v>
      </c>
      <c r="N17" s="87">
        <f t="shared" si="5"/>
        <v>19.7</v>
      </c>
      <c r="O17" s="87">
        <f t="shared" si="5"/>
        <v>10.3</v>
      </c>
      <c r="P17" s="87">
        <f t="shared" si="5"/>
        <v>4.4000000000000004</v>
      </c>
      <c r="Q17" s="87">
        <f t="shared" si="5"/>
        <v>98.9</v>
      </c>
      <c r="R17" s="66">
        <f t="shared" si="6"/>
        <v>7226</v>
      </c>
      <c r="S17" s="87">
        <f t="shared" si="7"/>
        <v>9.6999999999999993</v>
      </c>
      <c r="T17" s="87">
        <f t="shared" si="7"/>
        <v>24.1</v>
      </c>
      <c r="U17" s="87">
        <f t="shared" si="7"/>
        <v>27.8</v>
      </c>
      <c r="V17" s="87">
        <f t="shared" si="7"/>
        <v>20.6</v>
      </c>
      <c r="W17" s="87">
        <f t="shared" si="7"/>
        <v>11.6</v>
      </c>
      <c r="X17" s="87">
        <f t="shared" si="7"/>
        <v>5</v>
      </c>
      <c r="Y17" s="87">
        <f t="shared" si="7"/>
        <v>98.9</v>
      </c>
      <c r="Z17" s="66">
        <f t="shared" si="8"/>
        <v>22884</v>
      </c>
    </row>
    <row r="18" spans="2:26" x14ac:dyDescent="0.2">
      <c r="B18" s="67" t="s">
        <v>13</v>
      </c>
      <c r="C18" s="87">
        <f t="shared" si="3"/>
        <v>5.3</v>
      </c>
      <c r="D18" s="87">
        <f t="shared" si="3"/>
        <v>18.2</v>
      </c>
      <c r="E18" s="87">
        <f t="shared" si="3"/>
        <v>28.3</v>
      </c>
      <c r="F18" s="87">
        <f t="shared" si="3"/>
        <v>26.8</v>
      </c>
      <c r="G18" s="87">
        <f t="shared" si="3"/>
        <v>15.4</v>
      </c>
      <c r="H18" s="87">
        <f t="shared" si="3"/>
        <v>5.3</v>
      </c>
      <c r="I18" s="87">
        <f t="shared" si="3"/>
        <v>99.2</v>
      </c>
      <c r="J18" s="66">
        <f t="shared" si="4"/>
        <v>14781</v>
      </c>
      <c r="K18" s="87">
        <f t="shared" si="5"/>
        <v>8.4</v>
      </c>
      <c r="L18" s="87">
        <f t="shared" si="5"/>
        <v>25.6</v>
      </c>
      <c r="M18" s="87">
        <f t="shared" si="5"/>
        <v>29.8</v>
      </c>
      <c r="N18" s="87">
        <f t="shared" si="5"/>
        <v>22.1</v>
      </c>
      <c r="O18" s="87">
        <f t="shared" si="5"/>
        <v>10.5</v>
      </c>
      <c r="P18" s="87">
        <f t="shared" si="5"/>
        <v>3.3</v>
      </c>
      <c r="Q18" s="87">
        <f t="shared" si="5"/>
        <v>99.6</v>
      </c>
      <c r="R18" s="66">
        <f t="shared" si="6"/>
        <v>14914</v>
      </c>
      <c r="S18" s="87">
        <f t="shared" si="7"/>
        <v>6.8</v>
      </c>
      <c r="T18" s="87">
        <f t="shared" si="7"/>
        <v>21.9</v>
      </c>
      <c r="U18" s="87">
        <f t="shared" si="7"/>
        <v>29.1</v>
      </c>
      <c r="V18" s="87">
        <f t="shared" si="7"/>
        <v>24.4</v>
      </c>
      <c r="W18" s="87">
        <f t="shared" si="7"/>
        <v>12.9</v>
      </c>
      <c r="X18" s="87">
        <f t="shared" si="7"/>
        <v>4.3</v>
      </c>
      <c r="Y18" s="87">
        <f t="shared" si="7"/>
        <v>99.4</v>
      </c>
      <c r="Z18" s="66">
        <f t="shared" si="8"/>
        <v>29695</v>
      </c>
    </row>
    <row r="19" spans="2:26" x14ac:dyDescent="0.2">
      <c r="B19" s="67" t="s">
        <v>14</v>
      </c>
      <c r="C19" s="87">
        <f t="shared" si="3"/>
        <v>7.5</v>
      </c>
      <c r="D19" s="87">
        <f t="shared" si="3"/>
        <v>19.399999999999999</v>
      </c>
      <c r="E19" s="87">
        <f t="shared" si="3"/>
        <v>27.8</v>
      </c>
      <c r="F19" s="87">
        <f t="shared" si="3"/>
        <v>23.2</v>
      </c>
      <c r="G19" s="87">
        <f t="shared" si="3"/>
        <v>14.6</v>
      </c>
      <c r="H19" s="87">
        <f t="shared" si="3"/>
        <v>6</v>
      </c>
      <c r="I19" s="87">
        <f t="shared" si="3"/>
        <v>98.5</v>
      </c>
      <c r="J19" s="66">
        <f t="shared" si="4"/>
        <v>7021</v>
      </c>
      <c r="K19" s="87">
        <f t="shared" si="5"/>
        <v>9.6</v>
      </c>
      <c r="L19" s="87">
        <f t="shared" si="5"/>
        <v>22.4</v>
      </c>
      <c r="M19" s="87">
        <f t="shared" si="5"/>
        <v>27.9</v>
      </c>
      <c r="N19" s="87">
        <f t="shared" si="5"/>
        <v>21.3</v>
      </c>
      <c r="O19" s="87">
        <f t="shared" si="5"/>
        <v>12.1</v>
      </c>
      <c r="P19" s="87">
        <f t="shared" si="5"/>
        <v>5.3</v>
      </c>
      <c r="Q19" s="87">
        <f t="shared" si="5"/>
        <v>98.5</v>
      </c>
      <c r="R19" s="66">
        <f t="shared" si="6"/>
        <v>5296</v>
      </c>
      <c r="S19" s="87">
        <f t="shared" si="7"/>
        <v>8.4</v>
      </c>
      <c r="T19" s="87">
        <f t="shared" si="7"/>
        <v>20.7</v>
      </c>
      <c r="U19" s="87">
        <f t="shared" si="7"/>
        <v>27.8</v>
      </c>
      <c r="V19" s="87">
        <f t="shared" si="7"/>
        <v>22.4</v>
      </c>
      <c r="W19" s="87">
        <f t="shared" si="7"/>
        <v>13.5</v>
      </c>
      <c r="X19" s="87">
        <f t="shared" si="7"/>
        <v>5.7</v>
      </c>
      <c r="Y19" s="87">
        <f t="shared" si="7"/>
        <v>98.5</v>
      </c>
      <c r="Z19" s="66">
        <f t="shared" si="8"/>
        <v>12317</v>
      </c>
    </row>
    <row r="20" spans="2:26" x14ac:dyDescent="0.2">
      <c r="B20" s="67" t="s">
        <v>15</v>
      </c>
      <c r="C20" s="87">
        <f t="shared" si="3"/>
        <v>6</v>
      </c>
      <c r="D20" s="87">
        <f t="shared" si="3"/>
        <v>17.8</v>
      </c>
      <c r="E20" s="87">
        <f t="shared" si="3"/>
        <v>29.3</v>
      </c>
      <c r="F20" s="87">
        <f t="shared" si="3"/>
        <v>27.4</v>
      </c>
      <c r="G20" s="87">
        <f t="shared" si="3"/>
        <v>14.7</v>
      </c>
      <c r="H20" s="87">
        <f t="shared" si="3"/>
        <v>4.0999999999999996</v>
      </c>
      <c r="I20" s="87">
        <f t="shared" si="3"/>
        <v>99.4</v>
      </c>
      <c r="J20" s="66">
        <f t="shared" si="4"/>
        <v>21737</v>
      </c>
      <c r="K20" s="87">
        <f t="shared" si="5"/>
        <v>7.5</v>
      </c>
      <c r="L20" s="87">
        <f t="shared" si="5"/>
        <v>20.3</v>
      </c>
      <c r="M20" s="87">
        <f t="shared" si="5"/>
        <v>31.4</v>
      </c>
      <c r="N20" s="87">
        <f t="shared" si="5"/>
        <v>25.1</v>
      </c>
      <c r="O20" s="87">
        <f t="shared" si="5"/>
        <v>11.8</v>
      </c>
      <c r="P20" s="87">
        <f t="shared" si="5"/>
        <v>3.5</v>
      </c>
      <c r="Q20" s="87">
        <f t="shared" si="5"/>
        <v>99.5</v>
      </c>
      <c r="R20" s="66">
        <f t="shared" si="6"/>
        <v>24266</v>
      </c>
      <c r="S20" s="87">
        <f t="shared" si="7"/>
        <v>6.8</v>
      </c>
      <c r="T20" s="87">
        <f t="shared" si="7"/>
        <v>19.100000000000001</v>
      </c>
      <c r="U20" s="87">
        <f t="shared" si="7"/>
        <v>30.4</v>
      </c>
      <c r="V20" s="87">
        <f t="shared" si="7"/>
        <v>26.2</v>
      </c>
      <c r="W20" s="87">
        <f t="shared" si="7"/>
        <v>13.2</v>
      </c>
      <c r="X20" s="87">
        <f t="shared" si="7"/>
        <v>3.8</v>
      </c>
      <c r="Y20" s="87">
        <f t="shared" si="7"/>
        <v>99.5</v>
      </c>
      <c r="Z20" s="66">
        <f t="shared" si="8"/>
        <v>46003</v>
      </c>
    </row>
    <row r="21" spans="2:26" x14ac:dyDescent="0.2">
      <c r="B21" s="67" t="s">
        <v>16</v>
      </c>
      <c r="C21" s="87">
        <f t="shared" si="3"/>
        <v>3.7</v>
      </c>
      <c r="D21" s="87">
        <f t="shared" si="3"/>
        <v>9.9</v>
      </c>
      <c r="E21" s="87">
        <f t="shared" si="3"/>
        <v>23.1</v>
      </c>
      <c r="F21" s="87">
        <f t="shared" si="3"/>
        <v>25.1</v>
      </c>
      <c r="G21" s="87">
        <f t="shared" si="3"/>
        <v>21.7</v>
      </c>
      <c r="H21" s="87">
        <f t="shared" si="3"/>
        <v>12</v>
      </c>
      <c r="I21" s="87">
        <f t="shared" si="3"/>
        <v>95.6</v>
      </c>
      <c r="J21" s="66">
        <f t="shared" si="4"/>
        <v>3766</v>
      </c>
      <c r="K21" s="87">
        <f t="shared" si="5"/>
        <v>5.3</v>
      </c>
      <c r="L21" s="87">
        <f t="shared" si="5"/>
        <v>14.4</v>
      </c>
      <c r="M21" s="87">
        <f t="shared" si="5"/>
        <v>25.7</v>
      </c>
      <c r="N21" s="87">
        <f t="shared" si="5"/>
        <v>25.9</v>
      </c>
      <c r="O21" s="87">
        <f t="shared" si="5"/>
        <v>17.7</v>
      </c>
      <c r="P21" s="87">
        <f t="shared" si="5"/>
        <v>8.5</v>
      </c>
      <c r="Q21" s="87">
        <f t="shared" si="5"/>
        <v>97.5</v>
      </c>
      <c r="R21" s="66">
        <f t="shared" si="6"/>
        <v>6585</v>
      </c>
      <c r="S21" s="87">
        <f t="shared" si="7"/>
        <v>4.7</v>
      </c>
      <c r="T21" s="87">
        <f t="shared" si="7"/>
        <v>12.8</v>
      </c>
      <c r="U21" s="87">
        <f t="shared" si="7"/>
        <v>24.8</v>
      </c>
      <c r="V21" s="87">
        <f t="shared" si="7"/>
        <v>25.6</v>
      </c>
      <c r="W21" s="87">
        <f t="shared" si="7"/>
        <v>19.2</v>
      </c>
      <c r="X21" s="87">
        <f t="shared" si="7"/>
        <v>9.8000000000000007</v>
      </c>
      <c r="Y21" s="87">
        <f t="shared" si="7"/>
        <v>96.8</v>
      </c>
      <c r="Z21" s="66">
        <f t="shared" si="8"/>
        <v>10351</v>
      </c>
    </row>
    <row r="22" spans="2:26" x14ac:dyDescent="0.2">
      <c r="B22" s="67" t="s">
        <v>17</v>
      </c>
      <c r="C22" s="87">
        <f t="shared" ref="C22:I37" si="9">IF(OR(C64=1,C64=2),"x",ROUND(C64/$J64*100,1))</f>
        <v>2.5</v>
      </c>
      <c r="D22" s="87">
        <f t="shared" si="9"/>
        <v>8.1999999999999993</v>
      </c>
      <c r="E22" s="87">
        <f t="shared" si="9"/>
        <v>21.5</v>
      </c>
      <c r="F22" s="87">
        <f t="shared" si="9"/>
        <v>28</v>
      </c>
      <c r="G22" s="87">
        <f t="shared" si="9"/>
        <v>23.4</v>
      </c>
      <c r="H22" s="87">
        <f t="shared" si="9"/>
        <v>12.8</v>
      </c>
      <c r="I22" s="87">
        <f t="shared" si="9"/>
        <v>96.4</v>
      </c>
      <c r="J22" s="66">
        <f t="shared" si="4"/>
        <v>12645</v>
      </c>
      <c r="K22" s="87">
        <f t="shared" ref="K22:Q37" si="10">IF(OR(K64=1,K64=2),"x",ROUND(K64/$R64*100,1))</f>
        <v>5.8</v>
      </c>
      <c r="L22" s="87">
        <f t="shared" si="10"/>
        <v>14</v>
      </c>
      <c r="M22" s="87">
        <f t="shared" si="10"/>
        <v>27</v>
      </c>
      <c r="N22" s="87">
        <f t="shared" si="10"/>
        <v>26.4</v>
      </c>
      <c r="O22" s="87">
        <f t="shared" si="10"/>
        <v>17.3</v>
      </c>
      <c r="P22" s="87">
        <f t="shared" si="10"/>
        <v>7.6</v>
      </c>
      <c r="Q22" s="87">
        <f t="shared" si="10"/>
        <v>98.1</v>
      </c>
      <c r="R22" s="66">
        <f t="shared" si="6"/>
        <v>38546</v>
      </c>
      <c r="S22" s="87">
        <f t="shared" ref="S22:Y37" si="11">IF(OR(S64=1,S64=2),"x",ROUND(S64/$Z64*100,1))</f>
        <v>5</v>
      </c>
      <c r="T22" s="87">
        <f t="shared" si="11"/>
        <v>12.5</v>
      </c>
      <c r="U22" s="87">
        <f t="shared" si="11"/>
        <v>25.6</v>
      </c>
      <c r="V22" s="87">
        <f t="shared" si="11"/>
        <v>26.8</v>
      </c>
      <c r="W22" s="87">
        <f t="shared" si="11"/>
        <v>18.8</v>
      </c>
      <c r="X22" s="87">
        <f t="shared" si="11"/>
        <v>8.9</v>
      </c>
      <c r="Y22" s="87">
        <f t="shared" si="11"/>
        <v>97.7</v>
      </c>
      <c r="Z22" s="66">
        <f t="shared" si="8"/>
        <v>51191</v>
      </c>
    </row>
    <row r="23" spans="2:26" x14ac:dyDescent="0.2">
      <c r="B23" s="67" t="s">
        <v>18</v>
      </c>
      <c r="C23" s="87">
        <f t="shared" si="9"/>
        <v>3.7</v>
      </c>
      <c r="D23" s="87">
        <f t="shared" si="9"/>
        <v>9.3000000000000007</v>
      </c>
      <c r="E23" s="87">
        <f t="shared" si="9"/>
        <v>26.2</v>
      </c>
      <c r="F23" s="87">
        <f t="shared" si="9"/>
        <v>30</v>
      </c>
      <c r="G23" s="87">
        <f t="shared" si="9"/>
        <v>20</v>
      </c>
      <c r="H23" s="87">
        <f t="shared" si="9"/>
        <v>8.4</v>
      </c>
      <c r="I23" s="87">
        <f t="shared" si="9"/>
        <v>97.7</v>
      </c>
      <c r="J23" s="66">
        <f t="shared" si="4"/>
        <v>6654</v>
      </c>
      <c r="K23" s="87">
        <f t="shared" si="10"/>
        <v>5.8</v>
      </c>
      <c r="L23" s="87">
        <f t="shared" si="10"/>
        <v>14.5</v>
      </c>
      <c r="M23" s="87">
        <f t="shared" si="10"/>
        <v>29.2</v>
      </c>
      <c r="N23" s="87">
        <f t="shared" si="10"/>
        <v>27.9</v>
      </c>
      <c r="O23" s="87">
        <f t="shared" si="10"/>
        <v>15.5</v>
      </c>
      <c r="P23" s="87">
        <f t="shared" si="10"/>
        <v>5.7</v>
      </c>
      <c r="Q23" s="87">
        <f t="shared" si="10"/>
        <v>98.6</v>
      </c>
      <c r="R23" s="66">
        <f t="shared" si="6"/>
        <v>21076</v>
      </c>
      <c r="S23" s="87">
        <f t="shared" si="11"/>
        <v>5.3</v>
      </c>
      <c r="T23" s="87">
        <f t="shared" si="11"/>
        <v>13.3</v>
      </c>
      <c r="U23" s="87">
        <f t="shared" si="11"/>
        <v>28.5</v>
      </c>
      <c r="V23" s="87">
        <f t="shared" si="11"/>
        <v>28.4</v>
      </c>
      <c r="W23" s="87">
        <f t="shared" si="11"/>
        <v>16.600000000000001</v>
      </c>
      <c r="X23" s="87">
        <f t="shared" si="11"/>
        <v>6.3</v>
      </c>
      <c r="Y23" s="87">
        <f t="shared" si="11"/>
        <v>98.4</v>
      </c>
      <c r="Z23" s="66">
        <f t="shared" si="8"/>
        <v>27730</v>
      </c>
    </row>
    <row r="24" spans="2:26" x14ac:dyDescent="0.2">
      <c r="B24" s="67" t="s">
        <v>19</v>
      </c>
      <c r="C24" s="87">
        <f t="shared" si="9"/>
        <v>6.8</v>
      </c>
      <c r="D24" s="87">
        <f t="shared" si="9"/>
        <v>13.9</v>
      </c>
      <c r="E24" s="87">
        <f t="shared" si="9"/>
        <v>28.3</v>
      </c>
      <c r="F24" s="87">
        <f t="shared" si="9"/>
        <v>24.9</v>
      </c>
      <c r="G24" s="87">
        <f t="shared" si="9"/>
        <v>17.399999999999999</v>
      </c>
      <c r="H24" s="87">
        <f t="shared" si="9"/>
        <v>7.2</v>
      </c>
      <c r="I24" s="87">
        <f t="shared" si="9"/>
        <v>98.6</v>
      </c>
      <c r="J24" s="66">
        <f t="shared" si="4"/>
        <v>1601</v>
      </c>
      <c r="K24" s="87">
        <f t="shared" si="10"/>
        <v>5.4</v>
      </c>
      <c r="L24" s="87">
        <f t="shared" si="10"/>
        <v>14.9</v>
      </c>
      <c r="M24" s="87">
        <f t="shared" si="10"/>
        <v>27.7</v>
      </c>
      <c r="N24" s="87">
        <f t="shared" si="10"/>
        <v>28.1</v>
      </c>
      <c r="O24" s="87">
        <f t="shared" si="10"/>
        <v>16.399999999999999</v>
      </c>
      <c r="P24" s="87">
        <f t="shared" si="10"/>
        <v>5.9</v>
      </c>
      <c r="Q24" s="87">
        <f t="shared" si="10"/>
        <v>98.5</v>
      </c>
      <c r="R24" s="66">
        <f t="shared" si="6"/>
        <v>2004</v>
      </c>
      <c r="S24" s="87">
        <f t="shared" si="11"/>
        <v>6</v>
      </c>
      <c r="T24" s="87">
        <f t="shared" si="11"/>
        <v>14.5</v>
      </c>
      <c r="U24" s="87">
        <f t="shared" si="11"/>
        <v>28</v>
      </c>
      <c r="V24" s="87">
        <f t="shared" si="11"/>
        <v>26.7</v>
      </c>
      <c r="W24" s="87">
        <f t="shared" si="11"/>
        <v>16.8</v>
      </c>
      <c r="X24" s="87">
        <f t="shared" si="11"/>
        <v>6.5</v>
      </c>
      <c r="Y24" s="87">
        <f t="shared" si="11"/>
        <v>98.5</v>
      </c>
      <c r="Z24" s="66">
        <f t="shared" si="8"/>
        <v>3605</v>
      </c>
    </row>
    <row r="25" spans="2:26" x14ac:dyDescent="0.2">
      <c r="B25" s="67" t="s">
        <v>20</v>
      </c>
      <c r="C25" s="87">
        <f t="shared" si="9"/>
        <v>10.6</v>
      </c>
      <c r="D25" s="87">
        <f t="shared" si="9"/>
        <v>12.3</v>
      </c>
      <c r="E25" s="87">
        <f t="shared" si="9"/>
        <v>26.1</v>
      </c>
      <c r="F25" s="87">
        <f t="shared" si="9"/>
        <v>27.9</v>
      </c>
      <c r="G25" s="87">
        <f t="shared" si="9"/>
        <v>16.2</v>
      </c>
      <c r="H25" s="87">
        <f t="shared" si="9"/>
        <v>5.7</v>
      </c>
      <c r="I25" s="87">
        <f t="shared" si="9"/>
        <v>98.8</v>
      </c>
      <c r="J25" s="66">
        <f t="shared" si="4"/>
        <v>9954</v>
      </c>
      <c r="K25" s="87">
        <f t="shared" si="10"/>
        <v>12.4</v>
      </c>
      <c r="L25" s="87">
        <f t="shared" si="10"/>
        <v>16.899999999999999</v>
      </c>
      <c r="M25" s="87">
        <f t="shared" si="10"/>
        <v>30.2</v>
      </c>
      <c r="N25" s="87">
        <f t="shared" si="10"/>
        <v>25.6</v>
      </c>
      <c r="O25" s="87">
        <f t="shared" si="10"/>
        <v>11.1</v>
      </c>
      <c r="P25" s="87">
        <f t="shared" si="10"/>
        <v>3.1</v>
      </c>
      <c r="Q25" s="87">
        <f t="shared" si="10"/>
        <v>99.4</v>
      </c>
      <c r="R25" s="66">
        <f t="shared" si="6"/>
        <v>30809</v>
      </c>
      <c r="S25" s="87">
        <f t="shared" si="11"/>
        <v>12</v>
      </c>
      <c r="T25" s="87">
        <f t="shared" si="11"/>
        <v>15.8</v>
      </c>
      <c r="U25" s="87">
        <f t="shared" si="11"/>
        <v>29.2</v>
      </c>
      <c r="V25" s="87">
        <f t="shared" si="11"/>
        <v>26.2</v>
      </c>
      <c r="W25" s="87">
        <f t="shared" si="11"/>
        <v>12.3</v>
      </c>
      <c r="X25" s="87">
        <f t="shared" si="11"/>
        <v>3.7</v>
      </c>
      <c r="Y25" s="87">
        <f t="shared" si="11"/>
        <v>99.3</v>
      </c>
      <c r="Z25" s="66">
        <f t="shared" si="8"/>
        <v>40763</v>
      </c>
    </row>
    <row r="26" spans="2:26" x14ac:dyDescent="0.2">
      <c r="B26" s="67" t="s">
        <v>21</v>
      </c>
      <c r="C26" s="87">
        <f t="shared" si="9"/>
        <v>2.9</v>
      </c>
      <c r="D26" s="87">
        <f t="shared" si="9"/>
        <v>9.3000000000000007</v>
      </c>
      <c r="E26" s="87">
        <f t="shared" si="9"/>
        <v>26</v>
      </c>
      <c r="F26" s="87">
        <f t="shared" si="9"/>
        <v>33</v>
      </c>
      <c r="G26" s="87">
        <f t="shared" si="9"/>
        <v>21.4</v>
      </c>
      <c r="H26" s="87">
        <f t="shared" si="9"/>
        <v>6.7</v>
      </c>
      <c r="I26" s="87">
        <f t="shared" si="9"/>
        <v>99.3</v>
      </c>
      <c r="J26" s="66">
        <f t="shared" si="4"/>
        <v>3621</v>
      </c>
      <c r="K26" s="87">
        <f t="shared" si="10"/>
        <v>4.5</v>
      </c>
      <c r="L26" s="87">
        <f t="shared" si="10"/>
        <v>12.3</v>
      </c>
      <c r="M26" s="87">
        <f t="shared" si="10"/>
        <v>33.200000000000003</v>
      </c>
      <c r="N26" s="87">
        <f t="shared" si="10"/>
        <v>31.4</v>
      </c>
      <c r="O26" s="87">
        <f t="shared" si="10"/>
        <v>14.6</v>
      </c>
      <c r="P26" s="87">
        <f t="shared" si="10"/>
        <v>3.6</v>
      </c>
      <c r="Q26" s="87">
        <f t="shared" si="10"/>
        <v>99.6</v>
      </c>
      <c r="R26" s="66">
        <f t="shared" si="6"/>
        <v>8185</v>
      </c>
      <c r="S26" s="87">
        <f t="shared" si="11"/>
        <v>4</v>
      </c>
      <c r="T26" s="87">
        <f t="shared" si="11"/>
        <v>11.4</v>
      </c>
      <c r="U26" s="87">
        <f t="shared" si="11"/>
        <v>31</v>
      </c>
      <c r="V26" s="87">
        <f t="shared" si="11"/>
        <v>31.9</v>
      </c>
      <c r="W26" s="87">
        <f t="shared" si="11"/>
        <v>16.7</v>
      </c>
      <c r="X26" s="87">
        <f t="shared" si="11"/>
        <v>4.5</v>
      </c>
      <c r="Y26" s="87">
        <f t="shared" si="11"/>
        <v>99.5</v>
      </c>
      <c r="Z26" s="66">
        <f t="shared" si="8"/>
        <v>11806</v>
      </c>
    </row>
    <row r="27" spans="2:26" x14ac:dyDescent="0.2">
      <c r="B27" s="67" t="s">
        <v>22</v>
      </c>
      <c r="C27" s="87">
        <f t="shared" si="9"/>
        <v>6.8</v>
      </c>
      <c r="D27" s="87">
        <f t="shared" si="9"/>
        <v>12.5</v>
      </c>
      <c r="E27" s="87">
        <f t="shared" si="9"/>
        <v>25.8</v>
      </c>
      <c r="F27" s="87">
        <f t="shared" si="9"/>
        <v>31.2</v>
      </c>
      <c r="G27" s="87">
        <f t="shared" si="9"/>
        <v>18.8</v>
      </c>
      <c r="H27" s="87">
        <f t="shared" si="9"/>
        <v>4.4000000000000004</v>
      </c>
      <c r="I27" s="87">
        <f t="shared" si="9"/>
        <v>99.5</v>
      </c>
      <c r="J27" s="66">
        <f t="shared" si="4"/>
        <v>21966</v>
      </c>
      <c r="K27" s="87">
        <f t="shared" si="10"/>
        <v>6.2</v>
      </c>
      <c r="L27" s="87">
        <f t="shared" si="10"/>
        <v>14.7</v>
      </c>
      <c r="M27" s="87">
        <f t="shared" si="10"/>
        <v>28.7</v>
      </c>
      <c r="N27" s="87">
        <f t="shared" si="10"/>
        <v>31.4</v>
      </c>
      <c r="O27" s="87">
        <f t="shared" si="10"/>
        <v>15.7</v>
      </c>
      <c r="P27" s="87">
        <f t="shared" si="10"/>
        <v>3</v>
      </c>
      <c r="Q27" s="87">
        <f t="shared" si="10"/>
        <v>99.7</v>
      </c>
      <c r="R27" s="66">
        <f t="shared" si="6"/>
        <v>56249</v>
      </c>
      <c r="S27" s="87">
        <f t="shared" si="11"/>
        <v>6.4</v>
      </c>
      <c r="T27" s="87">
        <f t="shared" si="11"/>
        <v>14.1</v>
      </c>
      <c r="U27" s="87">
        <f t="shared" si="11"/>
        <v>27.9</v>
      </c>
      <c r="V27" s="87">
        <f t="shared" si="11"/>
        <v>31.3</v>
      </c>
      <c r="W27" s="87">
        <f t="shared" si="11"/>
        <v>16.600000000000001</v>
      </c>
      <c r="X27" s="87">
        <f t="shared" si="11"/>
        <v>3.4</v>
      </c>
      <c r="Y27" s="87">
        <f t="shared" si="11"/>
        <v>99.6</v>
      </c>
      <c r="Z27" s="66">
        <f t="shared" si="8"/>
        <v>78215</v>
      </c>
    </row>
    <row r="28" spans="2:26" x14ac:dyDescent="0.2">
      <c r="B28" s="67" t="s">
        <v>51</v>
      </c>
      <c r="C28" s="87">
        <f t="shared" si="9"/>
        <v>0.8</v>
      </c>
      <c r="D28" s="87">
        <f t="shared" si="9"/>
        <v>6.1</v>
      </c>
      <c r="E28" s="87">
        <f t="shared" si="9"/>
        <v>25.7</v>
      </c>
      <c r="F28" s="87">
        <f t="shared" si="9"/>
        <v>39.799999999999997</v>
      </c>
      <c r="G28" s="87">
        <f t="shared" si="9"/>
        <v>21.6</v>
      </c>
      <c r="H28" s="87">
        <f t="shared" si="9"/>
        <v>5.4</v>
      </c>
      <c r="I28" s="87">
        <f t="shared" si="9"/>
        <v>99.4</v>
      </c>
      <c r="J28" s="66">
        <f t="shared" si="4"/>
        <v>8384</v>
      </c>
      <c r="K28" s="87">
        <f t="shared" si="10"/>
        <v>1.9</v>
      </c>
      <c r="L28" s="87">
        <f t="shared" si="10"/>
        <v>11.2</v>
      </c>
      <c r="M28" s="87">
        <f t="shared" si="10"/>
        <v>35</v>
      </c>
      <c r="N28" s="87">
        <f t="shared" si="10"/>
        <v>35.4</v>
      </c>
      <c r="O28" s="87">
        <f t="shared" si="10"/>
        <v>13.8</v>
      </c>
      <c r="P28" s="87">
        <f t="shared" si="10"/>
        <v>2.2999999999999998</v>
      </c>
      <c r="Q28" s="87">
        <f t="shared" si="10"/>
        <v>99.5</v>
      </c>
      <c r="R28" s="66">
        <f t="shared" si="6"/>
        <v>11282</v>
      </c>
      <c r="S28" s="87">
        <f t="shared" si="11"/>
        <v>1.4</v>
      </c>
      <c r="T28" s="87">
        <f t="shared" si="11"/>
        <v>9</v>
      </c>
      <c r="U28" s="87">
        <f t="shared" si="11"/>
        <v>31</v>
      </c>
      <c r="V28" s="87">
        <f t="shared" si="11"/>
        <v>37.299999999999997</v>
      </c>
      <c r="W28" s="87">
        <f t="shared" si="11"/>
        <v>17.100000000000001</v>
      </c>
      <c r="X28" s="87">
        <f t="shared" si="11"/>
        <v>3.6</v>
      </c>
      <c r="Y28" s="87">
        <f t="shared" si="11"/>
        <v>99.4</v>
      </c>
      <c r="Z28" s="66">
        <f t="shared" si="8"/>
        <v>19666</v>
      </c>
    </row>
    <row r="29" spans="2:26" x14ac:dyDescent="0.2">
      <c r="B29" s="67" t="s">
        <v>23</v>
      </c>
      <c r="C29" s="87">
        <f t="shared" si="9"/>
        <v>1.2</v>
      </c>
      <c r="D29" s="87">
        <f t="shared" si="9"/>
        <v>7.4</v>
      </c>
      <c r="E29" s="87">
        <f t="shared" si="9"/>
        <v>30.8</v>
      </c>
      <c r="F29" s="87">
        <f t="shared" si="9"/>
        <v>38.799999999999997</v>
      </c>
      <c r="G29" s="87">
        <f t="shared" si="9"/>
        <v>17.600000000000001</v>
      </c>
      <c r="H29" s="87">
        <f t="shared" si="9"/>
        <v>3.5</v>
      </c>
      <c r="I29" s="87">
        <f t="shared" si="9"/>
        <v>99.2</v>
      </c>
      <c r="J29" s="66">
        <f t="shared" si="4"/>
        <v>3657</v>
      </c>
      <c r="K29" s="87">
        <f t="shared" si="10"/>
        <v>2.2000000000000002</v>
      </c>
      <c r="L29" s="87">
        <f t="shared" si="10"/>
        <v>11.7</v>
      </c>
      <c r="M29" s="87">
        <f t="shared" si="10"/>
        <v>36.9</v>
      </c>
      <c r="N29" s="87">
        <f t="shared" si="10"/>
        <v>35.200000000000003</v>
      </c>
      <c r="O29" s="87">
        <f t="shared" si="10"/>
        <v>11.8</v>
      </c>
      <c r="P29" s="87">
        <f t="shared" si="10"/>
        <v>1.8</v>
      </c>
      <c r="Q29" s="87">
        <f t="shared" si="10"/>
        <v>99.6</v>
      </c>
      <c r="R29" s="66">
        <f t="shared" si="6"/>
        <v>4578</v>
      </c>
      <c r="S29" s="87">
        <f t="shared" si="11"/>
        <v>1.7</v>
      </c>
      <c r="T29" s="87">
        <f t="shared" si="11"/>
        <v>9.8000000000000007</v>
      </c>
      <c r="U29" s="87">
        <f t="shared" si="11"/>
        <v>34.200000000000003</v>
      </c>
      <c r="V29" s="87">
        <f t="shared" si="11"/>
        <v>36.799999999999997</v>
      </c>
      <c r="W29" s="87">
        <f t="shared" si="11"/>
        <v>14.4</v>
      </c>
      <c r="X29" s="87">
        <f t="shared" si="11"/>
        <v>2.6</v>
      </c>
      <c r="Y29" s="87">
        <f t="shared" si="11"/>
        <v>99.4</v>
      </c>
      <c r="Z29" s="66">
        <f t="shared" si="8"/>
        <v>8235</v>
      </c>
    </row>
    <row r="30" spans="2:26" x14ac:dyDescent="0.2">
      <c r="B30" s="67" t="s">
        <v>24</v>
      </c>
      <c r="C30" s="87">
        <f t="shared" si="9"/>
        <v>6.9</v>
      </c>
      <c r="D30" s="87">
        <f t="shared" si="9"/>
        <v>33.200000000000003</v>
      </c>
      <c r="E30" s="87">
        <f t="shared" si="9"/>
        <v>29.2</v>
      </c>
      <c r="F30" s="87">
        <f t="shared" si="9"/>
        <v>17.600000000000001</v>
      </c>
      <c r="G30" s="87">
        <f t="shared" si="9"/>
        <v>9.9</v>
      </c>
      <c r="H30" s="87">
        <f t="shared" si="9"/>
        <v>2.8</v>
      </c>
      <c r="I30" s="87">
        <f t="shared" si="9"/>
        <v>99.6</v>
      </c>
      <c r="J30" s="66">
        <f t="shared" si="4"/>
        <v>2911</v>
      </c>
      <c r="K30" s="87">
        <f t="shared" si="10"/>
        <v>6.7</v>
      </c>
      <c r="L30" s="87">
        <f t="shared" si="10"/>
        <v>32.1</v>
      </c>
      <c r="M30" s="87">
        <f t="shared" si="10"/>
        <v>29.2</v>
      </c>
      <c r="N30" s="87">
        <f t="shared" si="10"/>
        <v>19.3</v>
      </c>
      <c r="O30" s="87">
        <f t="shared" si="10"/>
        <v>9.3000000000000007</v>
      </c>
      <c r="P30" s="87">
        <f t="shared" si="10"/>
        <v>3.1</v>
      </c>
      <c r="Q30" s="87">
        <f t="shared" si="10"/>
        <v>99.7</v>
      </c>
      <c r="R30" s="66">
        <f t="shared" si="6"/>
        <v>6167</v>
      </c>
      <c r="S30" s="87">
        <f t="shared" si="11"/>
        <v>6.7</v>
      </c>
      <c r="T30" s="87">
        <f t="shared" si="11"/>
        <v>32.5</v>
      </c>
      <c r="U30" s="87">
        <f t="shared" si="11"/>
        <v>29.2</v>
      </c>
      <c r="V30" s="87">
        <f t="shared" si="11"/>
        <v>18.7</v>
      </c>
      <c r="W30" s="87">
        <f t="shared" si="11"/>
        <v>9.5</v>
      </c>
      <c r="X30" s="87">
        <f t="shared" si="11"/>
        <v>3</v>
      </c>
      <c r="Y30" s="87">
        <f t="shared" si="11"/>
        <v>99.6</v>
      </c>
      <c r="Z30" s="66">
        <f t="shared" si="8"/>
        <v>9078</v>
      </c>
    </row>
    <row r="31" spans="2:26" x14ac:dyDescent="0.2">
      <c r="B31" s="67" t="s">
        <v>25</v>
      </c>
      <c r="C31" s="87">
        <f t="shared" si="9"/>
        <v>9.5</v>
      </c>
      <c r="D31" s="87">
        <f t="shared" si="9"/>
        <v>32.6</v>
      </c>
      <c r="E31" s="87">
        <f t="shared" si="9"/>
        <v>27.7</v>
      </c>
      <c r="F31" s="87">
        <f t="shared" si="9"/>
        <v>16.899999999999999</v>
      </c>
      <c r="G31" s="87">
        <f t="shared" si="9"/>
        <v>8.9</v>
      </c>
      <c r="H31" s="87">
        <f t="shared" si="9"/>
        <v>3.9</v>
      </c>
      <c r="I31" s="87">
        <f t="shared" si="9"/>
        <v>99.5</v>
      </c>
      <c r="J31" s="66">
        <f t="shared" si="4"/>
        <v>1476</v>
      </c>
      <c r="K31" s="87">
        <f t="shared" si="10"/>
        <v>7.4</v>
      </c>
      <c r="L31" s="87">
        <f t="shared" si="10"/>
        <v>31</v>
      </c>
      <c r="M31" s="87">
        <f t="shared" si="10"/>
        <v>29.3</v>
      </c>
      <c r="N31" s="87">
        <f t="shared" si="10"/>
        <v>17.600000000000001</v>
      </c>
      <c r="O31" s="87">
        <f t="shared" si="10"/>
        <v>10.8</v>
      </c>
      <c r="P31" s="87">
        <f t="shared" si="10"/>
        <v>3.3</v>
      </c>
      <c r="Q31" s="87">
        <f t="shared" si="10"/>
        <v>99.5</v>
      </c>
      <c r="R31" s="66">
        <f t="shared" si="6"/>
        <v>2240</v>
      </c>
      <c r="S31" s="87">
        <f t="shared" si="11"/>
        <v>8.1999999999999993</v>
      </c>
      <c r="T31" s="87">
        <f t="shared" si="11"/>
        <v>31.6</v>
      </c>
      <c r="U31" s="87">
        <f t="shared" si="11"/>
        <v>28.7</v>
      </c>
      <c r="V31" s="87">
        <f t="shared" si="11"/>
        <v>17.3</v>
      </c>
      <c r="W31" s="87">
        <f t="shared" si="11"/>
        <v>10.1</v>
      </c>
      <c r="X31" s="87">
        <f t="shared" si="11"/>
        <v>3.6</v>
      </c>
      <c r="Y31" s="87">
        <f t="shared" si="11"/>
        <v>99.5</v>
      </c>
      <c r="Z31" s="66">
        <f t="shared" si="8"/>
        <v>3716</v>
      </c>
    </row>
    <row r="32" spans="2:26" x14ac:dyDescent="0.2">
      <c r="B32" s="67" t="s">
        <v>26</v>
      </c>
      <c r="C32" s="87">
        <f t="shared" si="9"/>
        <v>8.4</v>
      </c>
      <c r="D32" s="87">
        <f t="shared" si="9"/>
        <v>30.3</v>
      </c>
      <c r="E32" s="87">
        <f t="shared" si="9"/>
        <v>31.2</v>
      </c>
      <c r="F32" s="87">
        <f t="shared" si="9"/>
        <v>18.600000000000001</v>
      </c>
      <c r="G32" s="87">
        <f t="shared" si="9"/>
        <v>8.4</v>
      </c>
      <c r="H32" s="87">
        <f t="shared" si="9"/>
        <v>2.6</v>
      </c>
      <c r="I32" s="87">
        <f t="shared" si="9"/>
        <v>99.6</v>
      </c>
      <c r="J32" s="66">
        <f t="shared" si="4"/>
        <v>2299</v>
      </c>
      <c r="K32" s="87">
        <f t="shared" si="10"/>
        <v>7.9</v>
      </c>
      <c r="L32" s="87">
        <f t="shared" si="10"/>
        <v>28.2</v>
      </c>
      <c r="M32" s="87">
        <f t="shared" si="10"/>
        <v>31.7</v>
      </c>
      <c r="N32" s="87">
        <f t="shared" si="10"/>
        <v>20.2</v>
      </c>
      <c r="O32" s="87">
        <f t="shared" si="10"/>
        <v>9.4</v>
      </c>
      <c r="P32" s="87">
        <f t="shared" si="10"/>
        <v>2.2999999999999998</v>
      </c>
      <c r="Q32" s="87">
        <f t="shared" si="10"/>
        <v>99.7</v>
      </c>
      <c r="R32" s="66">
        <f t="shared" si="6"/>
        <v>4318</v>
      </c>
      <c r="S32" s="87">
        <f t="shared" si="11"/>
        <v>8.1</v>
      </c>
      <c r="T32" s="87">
        <f t="shared" si="11"/>
        <v>28.9</v>
      </c>
      <c r="U32" s="87">
        <f t="shared" si="11"/>
        <v>31.5</v>
      </c>
      <c r="V32" s="87">
        <f t="shared" si="11"/>
        <v>19.7</v>
      </c>
      <c r="W32" s="87">
        <f t="shared" si="11"/>
        <v>9.1</v>
      </c>
      <c r="X32" s="87">
        <f t="shared" si="11"/>
        <v>2.4</v>
      </c>
      <c r="Y32" s="87">
        <f t="shared" si="11"/>
        <v>99.6</v>
      </c>
      <c r="Z32" s="66">
        <f t="shared" si="8"/>
        <v>6617</v>
      </c>
    </row>
    <row r="33" spans="1:26" x14ac:dyDescent="0.2">
      <c r="B33" s="67" t="s">
        <v>27</v>
      </c>
      <c r="C33" s="87">
        <f t="shared" si="9"/>
        <v>11.6</v>
      </c>
      <c r="D33" s="87">
        <f t="shared" si="9"/>
        <v>36.700000000000003</v>
      </c>
      <c r="E33" s="87">
        <f t="shared" si="9"/>
        <v>31.2</v>
      </c>
      <c r="F33" s="87">
        <f t="shared" si="9"/>
        <v>12.2</v>
      </c>
      <c r="G33" s="87">
        <f t="shared" si="9"/>
        <v>4.2</v>
      </c>
      <c r="H33" s="87">
        <f t="shared" si="9"/>
        <v>2.2000000000000002</v>
      </c>
      <c r="I33" s="87">
        <f t="shared" si="9"/>
        <v>98.2</v>
      </c>
      <c r="J33" s="66">
        <f t="shared" si="4"/>
        <v>2928</v>
      </c>
      <c r="K33" s="87">
        <f t="shared" si="10"/>
        <v>15.8</v>
      </c>
      <c r="L33" s="87">
        <f t="shared" si="10"/>
        <v>40.700000000000003</v>
      </c>
      <c r="M33" s="87">
        <f t="shared" si="10"/>
        <v>25.9</v>
      </c>
      <c r="N33" s="87">
        <f t="shared" si="10"/>
        <v>10.8</v>
      </c>
      <c r="O33" s="87">
        <f t="shared" si="10"/>
        <v>4</v>
      </c>
      <c r="P33" s="87">
        <f t="shared" si="10"/>
        <v>1.9</v>
      </c>
      <c r="Q33" s="87">
        <f t="shared" si="10"/>
        <v>99</v>
      </c>
      <c r="R33" s="66">
        <f t="shared" si="6"/>
        <v>4138</v>
      </c>
      <c r="S33" s="87">
        <f t="shared" si="11"/>
        <v>14.1</v>
      </c>
      <c r="T33" s="87">
        <f t="shared" si="11"/>
        <v>39</v>
      </c>
      <c r="U33" s="87">
        <f t="shared" si="11"/>
        <v>28.1</v>
      </c>
      <c r="V33" s="87">
        <f t="shared" si="11"/>
        <v>11.4</v>
      </c>
      <c r="W33" s="87">
        <f t="shared" si="11"/>
        <v>4.0999999999999996</v>
      </c>
      <c r="X33" s="87">
        <f t="shared" si="11"/>
        <v>2</v>
      </c>
      <c r="Y33" s="87">
        <f t="shared" si="11"/>
        <v>98.6</v>
      </c>
      <c r="Z33" s="66">
        <f t="shared" si="8"/>
        <v>7066</v>
      </c>
    </row>
    <row r="34" spans="1:26" x14ac:dyDescent="0.2">
      <c r="B34" s="67" t="s">
        <v>28</v>
      </c>
      <c r="C34" s="87">
        <f t="shared" si="9"/>
        <v>11.2</v>
      </c>
      <c r="D34" s="87">
        <f t="shared" si="9"/>
        <v>24.9</v>
      </c>
      <c r="E34" s="87">
        <f t="shared" si="9"/>
        <v>28</v>
      </c>
      <c r="F34" s="87">
        <f t="shared" si="9"/>
        <v>20.5</v>
      </c>
      <c r="G34" s="87">
        <f t="shared" si="9"/>
        <v>10.5</v>
      </c>
      <c r="H34" s="87">
        <f t="shared" si="9"/>
        <v>3.8</v>
      </c>
      <c r="I34" s="87">
        <f t="shared" si="9"/>
        <v>98.9</v>
      </c>
      <c r="J34" s="66">
        <f t="shared" si="4"/>
        <v>2631</v>
      </c>
      <c r="K34" s="87">
        <f t="shared" si="10"/>
        <v>10.3</v>
      </c>
      <c r="L34" s="87">
        <f t="shared" si="10"/>
        <v>28</v>
      </c>
      <c r="M34" s="87">
        <f t="shared" si="10"/>
        <v>28.9</v>
      </c>
      <c r="N34" s="87">
        <f t="shared" si="10"/>
        <v>20</v>
      </c>
      <c r="O34" s="87">
        <f t="shared" si="10"/>
        <v>8.9</v>
      </c>
      <c r="P34" s="87">
        <f t="shared" si="10"/>
        <v>3</v>
      </c>
      <c r="Q34" s="87">
        <f t="shared" si="10"/>
        <v>99.2</v>
      </c>
      <c r="R34" s="66">
        <f t="shared" si="6"/>
        <v>3587</v>
      </c>
      <c r="S34" s="87">
        <f t="shared" si="11"/>
        <v>10.7</v>
      </c>
      <c r="T34" s="87">
        <f t="shared" si="11"/>
        <v>26.7</v>
      </c>
      <c r="U34" s="87">
        <f t="shared" si="11"/>
        <v>28.5</v>
      </c>
      <c r="V34" s="87">
        <f t="shared" si="11"/>
        <v>20.2</v>
      </c>
      <c r="W34" s="87">
        <f t="shared" si="11"/>
        <v>9.6</v>
      </c>
      <c r="X34" s="87">
        <f t="shared" si="11"/>
        <v>3.4</v>
      </c>
      <c r="Y34" s="87">
        <f t="shared" si="11"/>
        <v>99.1</v>
      </c>
      <c r="Z34" s="66">
        <f t="shared" si="8"/>
        <v>6218</v>
      </c>
    </row>
    <row r="35" spans="1:26" x14ac:dyDescent="0.2">
      <c r="B35" s="67" t="s">
        <v>29</v>
      </c>
      <c r="C35" s="87">
        <f t="shared" si="9"/>
        <v>6.3</v>
      </c>
      <c r="D35" s="87">
        <f t="shared" si="9"/>
        <v>18.5</v>
      </c>
      <c r="E35" s="87">
        <f t="shared" si="9"/>
        <v>26.7</v>
      </c>
      <c r="F35" s="87">
        <f t="shared" si="9"/>
        <v>24.8</v>
      </c>
      <c r="G35" s="87">
        <f t="shared" si="9"/>
        <v>15.6</v>
      </c>
      <c r="H35" s="87">
        <f t="shared" si="9"/>
        <v>6.6</v>
      </c>
      <c r="I35" s="87">
        <f t="shared" si="9"/>
        <v>98.4</v>
      </c>
      <c r="J35" s="66">
        <f t="shared" si="4"/>
        <v>6108</v>
      </c>
      <c r="K35" s="87">
        <f t="shared" si="10"/>
        <v>7.3</v>
      </c>
      <c r="L35" s="87">
        <f t="shared" si="10"/>
        <v>18.8</v>
      </c>
      <c r="M35" s="87">
        <f t="shared" si="10"/>
        <v>29</v>
      </c>
      <c r="N35" s="87">
        <f t="shared" si="10"/>
        <v>25.2</v>
      </c>
      <c r="O35" s="87">
        <f t="shared" si="10"/>
        <v>13.6</v>
      </c>
      <c r="P35" s="87">
        <f t="shared" si="10"/>
        <v>4.9000000000000004</v>
      </c>
      <c r="Q35" s="87">
        <f t="shared" si="10"/>
        <v>99</v>
      </c>
      <c r="R35" s="66">
        <f t="shared" si="6"/>
        <v>13730</v>
      </c>
      <c r="S35" s="87">
        <f t="shared" si="11"/>
        <v>7</v>
      </c>
      <c r="T35" s="87">
        <f t="shared" si="11"/>
        <v>18.7</v>
      </c>
      <c r="U35" s="87">
        <f t="shared" si="11"/>
        <v>28.3</v>
      </c>
      <c r="V35" s="87">
        <f t="shared" si="11"/>
        <v>25.1</v>
      </c>
      <c r="W35" s="87">
        <f t="shared" si="11"/>
        <v>14.2</v>
      </c>
      <c r="X35" s="87">
        <f t="shared" si="11"/>
        <v>5.4</v>
      </c>
      <c r="Y35" s="87">
        <f t="shared" si="11"/>
        <v>98.8</v>
      </c>
      <c r="Z35" s="66">
        <f t="shared" si="8"/>
        <v>19838</v>
      </c>
    </row>
    <row r="36" spans="1:26" x14ac:dyDescent="0.2">
      <c r="B36" s="67" t="s">
        <v>30</v>
      </c>
      <c r="C36" s="87">
        <f t="shared" si="9"/>
        <v>3.3</v>
      </c>
      <c r="D36" s="87">
        <f t="shared" si="9"/>
        <v>13.3</v>
      </c>
      <c r="E36" s="87">
        <f t="shared" si="9"/>
        <v>23.5</v>
      </c>
      <c r="F36" s="87">
        <f t="shared" si="9"/>
        <v>27.9</v>
      </c>
      <c r="G36" s="87">
        <f t="shared" si="9"/>
        <v>21.3</v>
      </c>
      <c r="H36" s="87">
        <f t="shared" si="9"/>
        <v>9.1999999999999993</v>
      </c>
      <c r="I36" s="87">
        <f t="shared" si="9"/>
        <v>98.7</v>
      </c>
      <c r="J36" s="66">
        <f t="shared" si="4"/>
        <v>4376</v>
      </c>
      <c r="K36" s="87">
        <f t="shared" si="10"/>
        <v>3.6</v>
      </c>
      <c r="L36" s="87">
        <f t="shared" si="10"/>
        <v>16.5</v>
      </c>
      <c r="M36" s="87">
        <f t="shared" si="10"/>
        <v>28.4</v>
      </c>
      <c r="N36" s="87">
        <f t="shared" si="10"/>
        <v>26.9</v>
      </c>
      <c r="O36" s="87">
        <f t="shared" si="10"/>
        <v>17</v>
      </c>
      <c r="P36" s="87">
        <f t="shared" si="10"/>
        <v>6.9</v>
      </c>
      <c r="Q36" s="87">
        <f t="shared" si="10"/>
        <v>99.2</v>
      </c>
      <c r="R36" s="66">
        <f t="shared" si="6"/>
        <v>2808</v>
      </c>
      <c r="S36" s="87">
        <f t="shared" si="11"/>
        <v>3.4</v>
      </c>
      <c r="T36" s="87">
        <f t="shared" si="11"/>
        <v>14.6</v>
      </c>
      <c r="U36" s="87">
        <f t="shared" si="11"/>
        <v>25.4</v>
      </c>
      <c r="V36" s="87">
        <f t="shared" si="11"/>
        <v>27.5</v>
      </c>
      <c r="W36" s="87">
        <f t="shared" si="11"/>
        <v>19.600000000000001</v>
      </c>
      <c r="X36" s="87">
        <f t="shared" si="11"/>
        <v>8.3000000000000007</v>
      </c>
      <c r="Y36" s="87">
        <f t="shared" si="11"/>
        <v>98.9</v>
      </c>
      <c r="Z36" s="66">
        <f t="shared" si="8"/>
        <v>7184</v>
      </c>
    </row>
    <row r="37" spans="1:26" x14ac:dyDescent="0.2">
      <c r="B37" s="67" t="s">
        <v>31</v>
      </c>
      <c r="C37" s="87">
        <f t="shared" si="9"/>
        <v>2.1</v>
      </c>
      <c r="D37" s="87">
        <f t="shared" si="9"/>
        <v>9.3000000000000007</v>
      </c>
      <c r="E37" s="87">
        <f t="shared" si="9"/>
        <v>21.1</v>
      </c>
      <c r="F37" s="87">
        <f t="shared" si="9"/>
        <v>26.6</v>
      </c>
      <c r="G37" s="87">
        <f t="shared" si="9"/>
        <v>23.8</v>
      </c>
      <c r="H37" s="87">
        <f t="shared" si="9"/>
        <v>14.8</v>
      </c>
      <c r="I37" s="87">
        <f t="shared" si="9"/>
        <v>97.7</v>
      </c>
      <c r="J37" s="66">
        <f t="shared" si="4"/>
        <v>7457</v>
      </c>
      <c r="K37" s="87">
        <f t="shared" si="10"/>
        <v>5.5</v>
      </c>
      <c r="L37" s="87">
        <f t="shared" si="10"/>
        <v>15.8</v>
      </c>
      <c r="M37" s="87">
        <f t="shared" si="10"/>
        <v>28.6</v>
      </c>
      <c r="N37" s="87">
        <f t="shared" si="10"/>
        <v>25.1</v>
      </c>
      <c r="O37" s="87">
        <f t="shared" si="10"/>
        <v>16.2</v>
      </c>
      <c r="P37" s="87">
        <f t="shared" si="10"/>
        <v>8</v>
      </c>
      <c r="Q37" s="87">
        <f t="shared" si="10"/>
        <v>99.2</v>
      </c>
      <c r="R37" s="66">
        <f t="shared" si="6"/>
        <v>5741</v>
      </c>
      <c r="S37" s="87">
        <f t="shared" si="11"/>
        <v>3.6</v>
      </c>
      <c r="T37" s="87">
        <f t="shared" si="11"/>
        <v>12.2</v>
      </c>
      <c r="U37" s="87">
        <f t="shared" si="11"/>
        <v>24.4</v>
      </c>
      <c r="V37" s="87">
        <f t="shared" si="11"/>
        <v>26</v>
      </c>
      <c r="W37" s="87">
        <f t="shared" si="11"/>
        <v>20.5</v>
      </c>
      <c r="X37" s="87">
        <f t="shared" si="11"/>
        <v>11.8</v>
      </c>
      <c r="Y37" s="87">
        <f t="shared" si="11"/>
        <v>98.4</v>
      </c>
      <c r="Z37" s="66">
        <f t="shared" si="8"/>
        <v>13198</v>
      </c>
    </row>
    <row r="38" spans="1:26" x14ac:dyDescent="0.2">
      <c r="B38" s="67" t="s">
        <v>32</v>
      </c>
      <c r="C38" s="87">
        <f t="shared" ref="C38:I39" si="12">IF(OR(C80=1,C80=2),"x",ROUND(C80/$J80*100,1))</f>
        <v>3.5</v>
      </c>
      <c r="D38" s="87">
        <f t="shared" si="12"/>
        <v>7.9</v>
      </c>
      <c r="E38" s="87">
        <f t="shared" si="12"/>
        <v>17.899999999999999</v>
      </c>
      <c r="F38" s="87">
        <f t="shared" si="12"/>
        <v>23.5</v>
      </c>
      <c r="G38" s="87">
        <f t="shared" si="12"/>
        <v>23.3</v>
      </c>
      <c r="H38" s="87">
        <f t="shared" si="12"/>
        <v>15.6</v>
      </c>
      <c r="I38" s="87">
        <f t="shared" si="12"/>
        <v>91.7</v>
      </c>
      <c r="J38" s="66">
        <f t="shared" si="4"/>
        <v>10689</v>
      </c>
      <c r="K38" s="87">
        <f t="shared" ref="K38:Q39" si="13">IF(OR(K80=1,K80=2),"x",ROUND(K80/$R80*100,1))</f>
        <v>4.5999999999999996</v>
      </c>
      <c r="L38" s="87">
        <f t="shared" si="13"/>
        <v>9.5</v>
      </c>
      <c r="M38" s="87">
        <f t="shared" si="13"/>
        <v>20.9</v>
      </c>
      <c r="N38" s="87">
        <f t="shared" si="13"/>
        <v>25.6</v>
      </c>
      <c r="O38" s="87">
        <f t="shared" si="13"/>
        <v>21.2</v>
      </c>
      <c r="P38" s="87">
        <f t="shared" si="13"/>
        <v>12.9</v>
      </c>
      <c r="Q38" s="87">
        <f t="shared" si="13"/>
        <v>94.7</v>
      </c>
      <c r="R38" s="66">
        <f t="shared" si="6"/>
        <v>13412</v>
      </c>
      <c r="S38" s="87">
        <f t="shared" ref="S38:Y39" si="14">IF(OR(S80=1,S80=2),"x",ROUND(S80/$Z80*100,1))</f>
        <v>4.0999999999999996</v>
      </c>
      <c r="T38" s="87">
        <f t="shared" si="14"/>
        <v>8.8000000000000007</v>
      </c>
      <c r="U38" s="87">
        <f t="shared" si="14"/>
        <v>19.600000000000001</v>
      </c>
      <c r="V38" s="87">
        <f t="shared" si="14"/>
        <v>24.7</v>
      </c>
      <c r="W38" s="87">
        <f t="shared" si="14"/>
        <v>22.1</v>
      </c>
      <c r="X38" s="87">
        <f t="shared" si="14"/>
        <v>14.1</v>
      </c>
      <c r="Y38" s="87">
        <f t="shared" si="14"/>
        <v>93.4</v>
      </c>
      <c r="Z38" s="66">
        <f t="shared" si="8"/>
        <v>24101</v>
      </c>
    </row>
    <row r="39" spans="1:26" x14ac:dyDescent="0.2">
      <c r="B39" s="67" t="s">
        <v>46</v>
      </c>
      <c r="C39" s="87">
        <f t="shared" si="12"/>
        <v>9</v>
      </c>
      <c r="D39" s="87">
        <f t="shared" si="12"/>
        <v>17.600000000000001</v>
      </c>
      <c r="E39" s="87">
        <f t="shared" si="12"/>
        <v>24.5</v>
      </c>
      <c r="F39" s="87">
        <f t="shared" si="12"/>
        <v>23.5</v>
      </c>
      <c r="G39" s="87">
        <f t="shared" si="12"/>
        <v>16</v>
      </c>
      <c r="H39" s="87">
        <f t="shared" si="12"/>
        <v>7.6</v>
      </c>
      <c r="I39" s="87">
        <f t="shared" si="12"/>
        <v>98.2</v>
      </c>
      <c r="J39" s="66">
        <f t="shared" si="4"/>
        <v>337188</v>
      </c>
      <c r="K39" s="87">
        <f t="shared" si="13"/>
        <v>8.1999999999999993</v>
      </c>
      <c r="L39" s="87">
        <f t="shared" si="13"/>
        <v>18.5</v>
      </c>
      <c r="M39" s="87">
        <f t="shared" si="13"/>
        <v>27.8</v>
      </c>
      <c r="N39" s="87">
        <f t="shared" si="13"/>
        <v>24.8</v>
      </c>
      <c r="O39" s="87">
        <f t="shared" si="13"/>
        <v>14</v>
      </c>
      <c r="P39" s="87">
        <f t="shared" si="13"/>
        <v>5.5</v>
      </c>
      <c r="Q39" s="87">
        <f t="shared" si="13"/>
        <v>98.9</v>
      </c>
      <c r="R39" s="66">
        <f t="shared" si="6"/>
        <v>404959</v>
      </c>
      <c r="S39" s="87">
        <f t="shared" si="14"/>
        <v>8.6</v>
      </c>
      <c r="T39" s="87">
        <f t="shared" si="14"/>
        <v>18.100000000000001</v>
      </c>
      <c r="U39" s="87">
        <f t="shared" si="14"/>
        <v>26.3</v>
      </c>
      <c r="V39" s="87">
        <f t="shared" si="14"/>
        <v>24.2</v>
      </c>
      <c r="W39" s="87">
        <f t="shared" si="14"/>
        <v>14.9</v>
      </c>
      <c r="X39" s="87">
        <f t="shared" si="14"/>
        <v>6.5</v>
      </c>
      <c r="Y39" s="87">
        <f t="shared" si="14"/>
        <v>98.6</v>
      </c>
      <c r="Z39" s="66">
        <f t="shared" si="8"/>
        <v>742147</v>
      </c>
    </row>
    <row r="41" spans="1:26" ht="15" x14ac:dyDescent="0.2">
      <c r="A41" s="130" t="s">
        <v>136</v>
      </c>
    </row>
    <row r="42" spans="1:26" x14ac:dyDescent="0.2">
      <c r="A42" s="132" t="s">
        <v>137</v>
      </c>
    </row>
    <row r="44" spans="1:26" x14ac:dyDescent="0.2">
      <c r="A44" s="125"/>
      <c r="B44" s="125"/>
      <c r="C44" s="125" t="s">
        <v>42</v>
      </c>
      <c r="D44" s="125"/>
      <c r="E44" s="125"/>
      <c r="F44" s="125"/>
      <c r="G44" s="125"/>
      <c r="H44" s="125"/>
      <c r="I44" s="125"/>
      <c r="J44" s="125"/>
      <c r="K44" s="125" t="s">
        <v>43</v>
      </c>
      <c r="L44" s="125"/>
      <c r="M44" s="125"/>
      <c r="N44" s="125"/>
      <c r="O44" s="125"/>
      <c r="P44" s="125"/>
      <c r="Q44" s="125"/>
      <c r="R44" s="125"/>
      <c r="S44" s="125" t="s">
        <v>141</v>
      </c>
      <c r="T44" s="125"/>
      <c r="U44" s="125"/>
      <c r="V44" s="125"/>
      <c r="W44" s="125"/>
      <c r="X44" s="125"/>
      <c r="Y44" s="125"/>
      <c r="Z44" s="125"/>
    </row>
    <row r="45" spans="1:26" x14ac:dyDescent="0.2">
      <c r="A45" s="125"/>
      <c r="B45" s="125"/>
      <c r="C45" s="134" t="s">
        <v>69</v>
      </c>
      <c r="D45" s="134" t="s">
        <v>33</v>
      </c>
      <c r="E45" s="134" t="s">
        <v>34</v>
      </c>
      <c r="F45" s="134" t="s">
        <v>35</v>
      </c>
      <c r="G45" s="134" t="s">
        <v>36</v>
      </c>
      <c r="H45" s="134" t="s">
        <v>37</v>
      </c>
      <c r="I45" s="134" t="s">
        <v>140</v>
      </c>
      <c r="J45" s="134" t="s">
        <v>54</v>
      </c>
      <c r="K45" s="134" t="s">
        <v>69</v>
      </c>
      <c r="L45" s="134" t="s">
        <v>33</v>
      </c>
      <c r="M45" s="134" t="s">
        <v>34</v>
      </c>
      <c r="N45" s="134" t="s">
        <v>35</v>
      </c>
      <c r="O45" s="134" t="s">
        <v>36</v>
      </c>
      <c r="P45" s="134" t="s">
        <v>37</v>
      </c>
      <c r="Q45" s="134" t="s">
        <v>140</v>
      </c>
      <c r="R45" s="134" t="s">
        <v>54</v>
      </c>
      <c r="S45" s="134" t="s">
        <v>69</v>
      </c>
      <c r="T45" s="134" t="s">
        <v>33</v>
      </c>
      <c r="U45" s="134" t="s">
        <v>34</v>
      </c>
      <c r="V45" s="134" t="s">
        <v>35</v>
      </c>
      <c r="W45" s="134" t="s">
        <v>36</v>
      </c>
      <c r="X45" s="134" t="s">
        <v>37</v>
      </c>
      <c r="Y45" s="134" t="s">
        <v>140</v>
      </c>
      <c r="Z45" s="134" t="s">
        <v>54</v>
      </c>
    </row>
    <row r="46" spans="1:26" x14ac:dyDescent="0.2">
      <c r="A46" s="125"/>
      <c r="B46" s="125"/>
      <c r="C46" s="125"/>
      <c r="D46" s="125"/>
      <c r="E46" s="125"/>
      <c r="F46" s="125"/>
      <c r="G46" s="125"/>
      <c r="H46" s="125"/>
      <c r="I46" s="125"/>
      <c r="J46" s="125"/>
      <c r="K46" s="125"/>
      <c r="L46" s="125"/>
      <c r="M46" s="125"/>
      <c r="N46" s="125"/>
      <c r="O46" s="125"/>
      <c r="P46" s="125"/>
      <c r="Q46" s="125"/>
      <c r="R46" s="125"/>
      <c r="S46" s="125"/>
      <c r="T46" s="125"/>
      <c r="U46" s="125"/>
      <c r="V46" s="125"/>
      <c r="W46" s="125"/>
      <c r="X46" s="125"/>
      <c r="Y46" s="125"/>
      <c r="Z46" s="125"/>
    </row>
    <row r="47" spans="1:26" x14ac:dyDescent="0.2">
      <c r="A47" s="125"/>
      <c r="B47" s="125" t="s">
        <v>0</v>
      </c>
      <c r="C47" s="125">
        <v>2272</v>
      </c>
      <c r="D47" s="125">
        <v>3995</v>
      </c>
      <c r="E47" s="125">
        <v>5241</v>
      </c>
      <c r="F47" s="125">
        <v>4800</v>
      </c>
      <c r="G47" s="125">
        <v>3816</v>
      </c>
      <c r="H47" s="125">
        <v>2238</v>
      </c>
      <c r="I47" s="125">
        <v>22362</v>
      </c>
      <c r="J47" s="125">
        <v>22808</v>
      </c>
      <c r="K47" s="125">
        <v>3396</v>
      </c>
      <c r="L47" s="125">
        <v>6191</v>
      </c>
      <c r="M47" s="125">
        <v>7834</v>
      </c>
      <c r="N47" s="125">
        <v>6861</v>
      </c>
      <c r="O47" s="125">
        <v>5268</v>
      </c>
      <c r="P47" s="125">
        <v>3024</v>
      </c>
      <c r="Q47" s="125">
        <v>32574</v>
      </c>
      <c r="R47" s="125">
        <v>33039</v>
      </c>
      <c r="S47" s="125">
        <v>5668</v>
      </c>
      <c r="T47" s="125">
        <v>10186</v>
      </c>
      <c r="U47" s="125">
        <v>13075</v>
      </c>
      <c r="V47" s="125">
        <v>11661</v>
      </c>
      <c r="W47" s="125">
        <v>9084</v>
      </c>
      <c r="X47" s="125">
        <v>5262</v>
      </c>
      <c r="Y47" s="125">
        <v>54936</v>
      </c>
      <c r="Z47" s="125">
        <v>55847</v>
      </c>
    </row>
    <row r="48" spans="1:26" x14ac:dyDescent="0.2">
      <c r="A48" s="125"/>
      <c r="B48" s="125" t="s">
        <v>1</v>
      </c>
      <c r="C48" s="125">
        <v>2498</v>
      </c>
      <c r="D48" s="125">
        <v>5718</v>
      </c>
      <c r="E48" s="125">
        <v>6214</v>
      </c>
      <c r="F48" s="125">
        <v>4519</v>
      </c>
      <c r="G48" s="125">
        <v>3092</v>
      </c>
      <c r="H48" s="125">
        <v>1841</v>
      </c>
      <c r="I48" s="125">
        <v>23882</v>
      </c>
      <c r="J48" s="125">
        <v>24321</v>
      </c>
      <c r="K48" s="125">
        <v>1956</v>
      </c>
      <c r="L48" s="125">
        <v>5613</v>
      </c>
      <c r="M48" s="125">
        <v>6171</v>
      </c>
      <c r="N48" s="125">
        <v>4458</v>
      </c>
      <c r="O48" s="125">
        <v>2825</v>
      </c>
      <c r="P48" s="125">
        <v>1532</v>
      </c>
      <c r="Q48" s="125">
        <v>22555</v>
      </c>
      <c r="R48" s="125">
        <v>22823</v>
      </c>
      <c r="S48" s="125">
        <v>4454</v>
      </c>
      <c r="T48" s="125">
        <v>11331</v>
      </c>
      <c r="U48" s="125">
        <v>12385</v>
      </c>
      <c r="V48" s="125">
        <v>8977</v>
      </c>
      <c r="W48" s="125">
        <v>5917</v>
      </c>
      <c r="X48" s="125">
        <v>3373</v>
      </c>
      <c r="Y48" s="125">
        <v>46437</v>
      </c>
      <c r="Z48" s="125">
        <v>47144</v>
      </c>
    </row>
    <row r="49" spans="1:26" x14ac:dyDescent="0.2">
      <c r="A49" s="125"/>
      <c r="B49" s="125" t="s">
        <v>2</v>
      </c>
      <c r="C49" s="125">
        <v>2652</v>
      </c>
      <c r="D49" s="125">
        <v>5114</v>
      </c>
      <c r="E49" s="125">
        <v>5739</v>
      </c>
      <c r="F49" s="125">
        <v>4847</v>
      </c>
      <c r="G49" s="125">
        <v>3882</v>
      </c>
      <c r="H49" s="125">
        <v>2658</v>
      </c>
      <c r="I49" s="125">
        <v>24892</v>
      </c>
      <c r="J49" s="125">
        <v>25490</v>
      </c>
      <c r="K49" s="125">
        <v>821</v>
      </c>
      <c r="L49" s="125">
        <v>1592</v>
      </c>
      <c r="M49" s="125">
        <v>1567</v>
      </c>
      <c r="N49" s="125">
        <v>1218</v>
      </c>
      <c r="O49" s="125">
        <v>836</v>
      </c>
      <c r="P49" s="125">
        <v>570</v>
      </c>
      <c r="Q49" s="125">
        <v>6604</v>
      </c>
      <c r="R49" s="125">
        <v>6736</v>
      </c>
      <c r="S49" s="125">
        <v>3473</v>
      </c>
      <c r="T49" s="125">
        <v>6706</v>
      </c>
      <c r="U49" s="125">
        <v>7306</v>
      </c>
      <c r="V49" s="125">
        <v>6065</v>
      </c>
      <c r="W49" s="125">
        <v>4718</v>
      </c>
      <c r="X49" s="125">
        <v>3228</v>
      </c>
      <c r="Y49" s="125">
        <v>31496</v>
      </c>
      <c r="Z49" s="125">
        <v>32226</v>
      </c>
    </row>
    <row r="50" spans="1:26" x14ac:dyDescent="0.2">
      <c r="A50" s="125"/>
      <c r="B50" s="125" t="s">
        <v>3</v>
      </c>
      <c r="C50" s="125">
        <v>239</v>
      </c>
      <c r="D50" s="125">
        <v>526</v>
      </c>
      <c r="E50" s="125">
        <v>682</v>
      </c>
      <c r="F50" s="125">
        <v>621</v>
      </c>
      <c r="G50" s="125">
        <v>497</v>
      </c>
      <c r="H50" s="125">
        <v>281</v>
      </c>
      <c r="I50" s="125">
        <v>2846</v>
      </c>
      <c r="J50" s="125">
        <v>2907</v>
      </c>
      <c r="K50" s="125">
        <v>80</v>
      </c>
      <c r="L50" s="125">
        <v>204</v>
      </c>
      <c r="M50" s="125">
        <v>312</v>
      </c>
      <c r="N50" s="125">
        <v>278</v>
      </c>
      <c r="O50" s="125">
        <v>185</v>
      </c>
      <c r="P50" s="125">
        <v>119</v>
      </c>
      <c r="Q50" s="125">
        <v>1178</v>
      </c>
      <c r="R50" s="125">
        <v>1214</v>
      </c>
      <c r="S50" s="125">
        <v>319</v>
      </c>
      <c r="T50" s="125">
        <v>730</v>
      </c>
      <c r="U50" s="125">
        <v>994</v>
      </c>
      <c r="V50" s="125">
        <v>899</v>
      </c>
      <c r="W50" s="125">
        <v>682</v>
      </c>
      <c r="X50" s="125">
        <v>400</v>
      </c>
      <c r="Y50" s="125">
        <v>4024</v>
      </c>
      <c r="Z50" s="125">
        <v>4121</v>
      </c>
    </row>
    <row r="51" spans="1:26" x14ac:dyDescent="0.2">
      <c r="A51" s="125"/>
      <c r="B51" s="125" t="s">
        <v>4</v>
      </c>
      <c r="C51" s="125">
        <v>9410</v>
      </c>
      <c r="D51" s="125">
        <v>11675</v>
      </c>
      <c r="E51" s="125">
        <v>10460</v>
      </c>
      <c r="F51" s="125">
        <v>7720</v>
      </c>
      <c r="G51" s="125">
        <v>5359</v>
      </c>
      <c r="H51" s="125">
        <v>3040</v>
      </c>
      <c r="I51" s="125">
        <v>47664</v>
      </c>
      <c r="J51" s="125">
        <v>48401</v>
      </c>
      <c r="K51" s="125">
        <v>4954</v>
      </c>
      <c r="L51" s="125">
        <v>8102</v>
      </c>
      <c r="M51" s="125">
        <v>7352</v>
      </c>
      <c r="N51" s="125">
        <v>4871</v>
      </c>
      <c r="O51" s="125">
        <v>3257</v>
      </c>
      <c r="P51" s="125">
        <v>1733</v>
      </c>
      <c r="Q51" s="125">
        <v>30269</v>
      </c>
      <c r="R51" s="125">
        <v>30635</v>
      </c>
      <c r="S51" s="125">
        <v>14364</v>
      </c>
      <c r="T51" s="125">
        <v>19777</v>
      </c>
      <c r="U51" s="125">
        <v>17812</v>
      </c>
      <c r="V51" s="125">
        <v>12591</v>
      </c>
      <c r="W51" s="125">
        <v>8616</v>
      </c>
      <c r="X51" s="125">
        <v>4773</v>
      </c>
      <c r="Y51" s="125">
        <v>77933</v>
      </c>
      <c r="Z51" s="125">
        <v>79036</v>
      </c>
    </row>
    <row r="52" spans="1:26" x14ac:dyDescent="0.2">
      <c r="A52" s="125"/>
      <c r="B52" s="125" t="s">
        <v>5</v>
      </c>
      <c r="C52" s="125">
        <v>2505</v>
      </c>
      <c r="D52" s="125">
        <v>2833</v>
      </c>
      <c r="E52" s="125">
        <v>1801</v>
      </c>
      <c r="F52" s="125">
        <v>1120</v>
      </c>
      <c r="G52" s="125">
        <v>626</v>
      </c>
      <c r="H52" s="125">
        <v>336</v>
      </c>
      <c r="I52" s="125">
        <v>9221</v>
      </c>
      <c r="J52" s="125">
        <v>9312</v>
      </c>
      <c r="K52" s="125">
        <v>935</v>
      </c>
      <c r="L52" s="125">
        <v>1226</v>
      </c>
      <c r="M52" s="125">
        <v>753</v>
      </c>
      <c r="N52" s="125">
        <v>446</v>
      </c>
      <c r="O52" s="125">
        <v>231</v>
      </c>
      <c r="P52" s="125">
        <v>93</v>
      </c>
      <c r="Q52" s="125">
        <v>3684</v>
      </c>
      <c r="R52" s="125">
        <v>3719</v>
      </c>
      <c r="S52" s="125">
        <v>3440</v>
      </c>
      <c r="T52" s="125">
        <v>4059</v>
      </c>
      <c r="U52" s="125">
        <v>2554</v>
      </c>
      <c r="V52" s="125">
        <v>1566</v>
      </c>
      <c r="W52" s="125">
        <v>857</v>
      </c>
      <c r="X52" s="125">
        <v>429</v>
      </c>
      <c r="Y52" s="125">
        <v>12905</v>
      </c>
      <c r="Z52" s="125">
        <v>13031</v>
      </c>
    </row>
    <row r="53" spans="1:26" x14ac:dyDescent="0.2">
      <c r="A53" s="125"/>
      <c r="B53" s="125" t="s">
        <v>6</v>
      </c>
      <c r="C53" s="125">
        <v>269</v>
      </c>
      <c r="D53" s="125">
        <v>778</v>
      </c>
      <c r="E53" s="125">
        <v>1507</v>
      </c>
      <c r="F53" s="125">
        <v>1865</v>
      </c>
      <c r="G53" s="125">
        <v>1565</v>
      </c>
      <c r="H53" s="125">
        <v>717</v>
      </c>
      <c r="I53" s="125">
        <v>6701</v>
      </c>
      <c r="J53" s="125">
        <v>6800</v>
      </c>
      <c r="K53" s="125">
        <v>287</v>
      </c>
      <c r="L53" s="125">
        <v>741</v>
      </c>
      <c r="M53" s="125">
        <v>1391</v>
      </c>
      <c r="N53" s="125">
        <v>1334</v>
      </c>
      <c r="O53" s="125">
        <v>913</v>
      </c>
      <c r="P53" s="125">
        <v>321</v>
      </c>
      <c r="Q53" s="125">
        <v>4987</v>
      </c>
      <c r="R53" s="125">
        <v>5032</v>
      </c>
      <c r="S53" s="125">
        <v>556</v>
      </c>
      <c r="T53" s="125">
        <v>1519</v>
      </c>
      <c r="U53" s="125">
        <v>2898</v>
      </c>
      <c r="V53" s="125">
        <v>3199</v>
      </c>
      <c r="W53" s="125">
        <v>2478</v>
      </c>
      <c r="X53" s="125">
        <v>1038</v>
      </c>
      <c r="Y53" s="125">
        <v>11688</v>
      </c>
      <c r="Z53" s="125">
        <v>11832</v>
      </c>
    </row>
    <row r="54" spans="1:26" x14ac:dyDescent="0.2">
      <c r="A54" s="125"/>
      <c r="B54" s="125" t="s">
        <v>168</v>
      </c>
      <c r="C54" s="125">
        <v>103</v>
      </c>
      <c r="D54" s="125">
        <v>461</v>
      </c>
      <c r="E54" s="125">
        <v>724</v>
      </c>
      <c r="F54" s="125">
        <v>854</v>
      </c>
      <c r="G54" s="125">
        <v>728</v>
      </c>
      <c r="H54" s="125">
        <v>469</v>
      </c>
      <c r="I54" s="125">
        <v>3339</v>
      </c>
      <c r="J54" s="125">
        <v>3451</v>
      </c>
      <c r="K54" s="125">
        <v>8</v>
      </c>
      <c r="L54" s="125">
        <v>50</v>
      </c>
      <c r="M54" s="125">
        <v>71</v>
      </c>
      <c r="N54" s="125">
        <v>59</v>
      </c>
      <c r="O54" s="125">
        <v>58</v>
      </c>
      <c r="P54" s="125">
        <v>34</v>
      </c>
      <c r="Q54" s="125">
        <v>280</v>
      </c>
      <c r="R54" s="125">
        <v>285</v>
      </c>
      <c r="S54" s="125">
        <v>111</v>
      </c>
      <c r="T54" s="125">
        <v>511</v>
      </c>
      <c r="U54" s="125">
        <v>795</v>
      </c>
      <c r="V54" s="125">
        <v>913</v>
      </c>
      <c r="W54" s="125">
        <v>786</v>
      </c>
      <c r="X54" s="125">
        <v>503</v>
      </c>
      <c r="Y54" s="125">
        <v>3619</v>
      </c>
      <c r="Z54" s="125">
        <v>3736</v>
      </c>
    </row>
    <row r="55" spans="1:26" x14ac:dyDescent="0.2">
      <c r="A55" s="125"/>
      <c r="B55" s="125" t="s">
        <v>8</v>
      </c>
      <c r="C55" s="125">
        <v>54</v>
      </c>
      <c r="D55" s="125">
        <v>279</v>
      </c>
      <c r="E55" s="125">
        <v>917</v>
      </c>
      <c r="F55" s="125">
        <v>1188</v>
      </c>
      <c r="G55" s="125">
        <v>1191</v>
      </c>
      <c r="H55" s="125">
        <v>713</v>
      </c>
      <c r="I55" s="125">
        <v>4342</v>
      </c>
      <c r="J55" s="125">
        <v>4476</v>
      </c>
      <c r="K55" s="125">
        <v>41</v>
      </c>
      <c r="L55" s="125">
        <v>266</v>
      </c>
      <c r="M55" s="125">
        <v>599</v>
      </c>
      <c r="N55" s="125">
        <v>672</v>
      </c>
      <c r="O55" s="125">
        <v>544</v>
      </c>
      <c r="P55" s="125">
        <v>296</v>
      </c>
      <c r="Q55" s="125">
        <v>2418</v>
      </c>
      <c r="R55" s="125">
        <v>2459</v>
      </c>
      <c r="S55" s="125">
        <v>95</v>
      </c>
      <c r="T55" s="125">
        <v>545</v>
      </c>
      <c r="U55" s="125">
        <v>1516</v>
      </c>
      <c r="V55" s="125">
        <v>1860</v>
      </c>
      <c r="W55" s="125">
        <v>1735</v>
      </c>
      <c r="X55" s="125">
        <v>1009</v>
      </c>
      <c r="Y55" s="125">
        <v>6760</v>
      </c>
      <c r="Z55" s="125">
        <v>6935</v>
      </c>
    </row>
    <row r="56" spans="1:26" x14ac:dyDescent="0.2">
      <c r="A56" s="125"/>
      <c r="B56" s="125" t="s">
        <v>9</v>
      </c>
      <c r="C56" s="125">
        <v>0</v>
      </c>
      <c r="D56" s="125">
        <v>1</v>
      </c>
      <c r="E56" s="125">
        <v>3</v>
      </c>
      <c r="F56" s="125">
        <v>3</v>
      </c>
      <c r="G56" s="125">
        <v>13</v>
      </c>
      <c r="H56" s="125">
        <v>12</v>
      </c>
      <c r="I56" s="125">
        <v>32</v>
      </c>
      <c r="J56" s="125">
        <v>34</v>
      </c>
      <c r="K56" s="125">
        <v>6</v>
      </c>
      <c r="L56" s="125">
        <v>46</v>
      </c>
      <c r="M56" s="125">
        <v>77</v>
      </c>
      <c r="N56" s="125">
        <v>81</v>
      </c>
      <c r="O56" s="125">
        <v>48</v>
      </c>
      <c r="P56" s="125">
        <v>16</v>
      </c>
      <c r="Q56" s="125">
        <v>274</v>
      </c>
      <c r="R56" s="125">
        <v>275</v>
      </c>
      <c r="S56" s="125">
        <v>6</v>
      </c>
      <c r="T56" s="125">
        <v>47</v>
      </c>
      <c r="U56" s="125">
        <v>80</v>
      </c>
      <c r="V56" s="125">
        <v>84</v>
      </c>
      <c r="W56" s="125">
        <v>61</v>
      </c>
      <c r="X56" s="125">
        <v>28</v>
      </c>
      <c r="Y56" s="125">
        <v>306</v>
      </c>
      <c r="Z56" s="125">
        <v>309</v>
      </c>
    </row>
    <row r="57" spans="1:26" x14ac:dyDescent="0.2">
      <c r="A57" s="125"/>
      <c r="B57" s="125" t="s">
        <v>10</v>
      </c>
      <c r="C57" s="125">
        <v>38</v>
      </c>
      <c r="D57" s="125">
        <v>185</v>
      </c>
      <c r="E57" s="125">
        <v>408</v>
      </c>
      <c r="F57" s="125">
        <v>472</v>
      </c>
      <c r="G57" s="125">
        <v>368</v>
      </c>
      <c r="H57" s="125">
        <v>268</v>
      </c>
      <c r="I57" s="125">
        <v>1739</v>
      </c>
      <c r="J57" s="125">
        <v>1836</v>
      </c>
      <c r="K57" s="125">
        <v>18</v>
      </c>
      <c r="L57" s="125">
        <v>109</v>
      </c>
      <c r="M57" s="125">
        <v>232</v>
      </c>
      <c r="N57" s="125">
        <v>225</v>
      </c>
      <c r="O57" s="125">
        <v>174</v>
      </c>
      <c r="P57" s="125">
        <v>117</v>
      </c>
      <c r="Q57" s="125">
        <v>875</v>
      </c>
      <c r="R57" s="125">
        <v>912</v>
      </c>
      <c r="S57" s="125">
        <v>56</v>
      </c>
      <c r="T57" s="125">
        <v>294</v>
      </c>
      <c r="U57" s="125">
        <v>640</v>
      </c>
      <c r="V57" s="125">
        <v>697</v>
      </c>
      <c r="W57" s="125">
        <v>542</v>
      </c>
      <c r="X57" s="125">
        <v>385</v>
      </c>
      <c r="Y57" s="125">
        <v>2614</v>
      </c>
      <c r="Z57" s="125">
        <v>2748</v>
      </c>
    </row>
    <row r="58" spans="1:26" x14ac:dyDescent="0.2">
      <c r="A58" s="125"/>
      <c r="B58" s="125" t="s">
        <v>11</v>
      </c>
      <c r="C58" s="125">
        <v>504</v>
      </c>
      <c r="D58" s="125">
        <v>1611</v>
      </c>
      <c r="E58" s="125">
        <v>4011</v>
      </c>
      <c r="F58" s="125">
        <v>4612</v>
      </c>
      <c r="G58" s="125">
        <v>2889</v>
      </c>
      <c r="H58" s="125">
        <v>1172</v>
      </c>
      <c r="I58" s="125">
        <v>14799</v>
      </c>
      <c r="J58" s="125">
        <v>15032</v>
      </c>
      <c r="K58" s="125">
        <v>494</v>
      </c>
      <c r="L58" s="125">
        <v>1359</v>
      </c>
      <c r="M58" s="125">
        <v>2980</v>
      </c>
      <c r="N58" s="125">
        <v>3067</v>
      </c>
      <c r="O58" s="125">
        <v>1899</v>
      </c>
      <c r="P58" s="125">
        <v>723</v>
      </c>
      <c r="Q58" s="125">
        <v>10522</v>
      </c>
      <c r="R58" s="125">
        <v>10673</v>
      </c>
      <c r="S58" s="125">
        <v>998</v>
      </c>
      <c r="T58" s="125">
        <v>2970</v>
      </c>
      <c r="U58" s="125">
        <v>6991</v>
      </c>
      <c r="V58" s="125">
        <v>7679</v>
      </c>
      <c r="W58" s="125">
        <v>4788</v>
      </c>
      <c r="X58" s="125">
        <v>1895</v>
      </c>
      <c r="Y58" s="125">
        <v>25321</v>
      </c>
      <c r="Z58" s="125">
        <v>25705</v>
      </c>
    </row>
    <row r="59" spans="1:26" x14ac:dyDescent="0.2">
      <c r="A59" s="125"/>
      <c r="B59" s="125" t="s">
        <v>12</v>
      </c>
      <c r="C59" s="125">
        <v>1423</v>
      </c>
      <c r="D59" s="125">
        <v>3629</v>
      </c>
      <c r="E59" s="125">
        <v>4406</v>
      </c>
      <c r="F59" s="125">
        <v>3294</v>
      </c>
      <c r="G59" s="125">
        <v>1904</v>
      </c>
      <c r="H59" s="125">
        <v>829</v>
      </c>
      <c r="I59" s="125">
        <v>15485</v>
      </c>
      <c r="J59" s="125">
        <v>15658</v>
      </c>
      <c r="K59" s="125">
        <v>807</v>
      </c>
      <c r="L59" s="125">
        <v>1893</v>
      </c>
      <c r="M59" s="125">
        <v>1959</v>
      </c>
      <c r="N59" s="125">
        <v>1426</v>
      </c>
      <c r="O59" s="125">
        <v>743</v>
      </c>
      <c r="P59" s="125">
        <v>320</v>
      </c>
      <c r="Q59" s="125">
        <v>7148</v>
      </c>
      <c r="R59" s="125">
        <v>7226</v>
      </c>
      <c r="S59" s="125">
        <v>2230</v>
      </c>
      <c r="T59" s="125">
        <v>5522</v>
      </c>
      <c r="U59" s="125">
        <v>6365</v>
      </c>
      <c r="V59" s="125">
        <v>4720</v>
      </c>
      <c r="W59" s="125">
        <v>2647</v>
      </c>
      <c r="X59" s="125">
        <v>1149</v>
      </c>
      <c r="Y59" s="125">
        <v>22633</v>
      </c>
      <c r="Z59" s="125">
        <v>22884</v>
      </c>
    </row>
    <row r="60" spans="1:26" x14ac:dyDescent="0.2">
      <c r="A60" s="125"/>
      <c r="B60" s="125" t="s">
        <v>13</v>
      </c>
      <c r="C60" s="125">
        <v>778</v>
      </c>
      <c r="D60" s="125">
        <v>2686</v>
      </c>
      <c r="E60" s="125">
        <v>4190</v>
      </c>
      <c r="F60" s="125">
        <v>3956</v>
      </c>
      <c r="G60" s="125">
        <v>2273</v>
      </c>
      <c r="H60" s="125">
        <v>787</v>
      </c>
      <c r="I60" s="125">
        <v>14670</v>
      </c>
      <c r="J60" s="125">
        <v>14781</v>
      </c>
      <c r="K60" s="125">
        <v>1248</v>
      </c>
      <c r="L60" s="125">
        <v>3812</v>
      </c>
      <c r="M60" s="125">
        <v>4437</v>
      </c>
      <c r="N60" s="125">
        <v>3297</v>
      </c>
      <c r="O60" s="125">
        <v>1566</v>
      </c>
      <c r="P60" s="125">
        <v>496</v>
      </c>
      <c r="Q60" s="125">
        <v>14856</v>
      </c>
      <c r="R60" s="125">
        <v>14914</v>
      </c>
      <c r="S60" s="125">
        <v>2026</v>
      </c>
      <c r="T60" s="125">
        <v>6498</v>
      </c>
      <c r="U60" s="125">
        <v>8627</v>
      </c>
      <c r="V60" s="125">
        <v>7253</v>
      </c>
      <c r="W60" s="125">
        <v>3839</v>
      </c>
      <c r="X60" s="125">
        <v>1283</v>
      </c>
      <c r="Y60" s="125">
        <v>29526</v>
      </c>
      <c r="Z60" s="125">
        <v>29695</v>
      </c>
    </row>
    <row r="61" spans="1:26" x14ac:dyDescent="0.2">
      <c r="A61" s="125"/>
      <c r="B61" s="125" t="s">
        <v>14</v>
      </c>
      <c r="C61" s="125">
        <v>529</v>
      </c>
      <c r="D61" s="125">
        <v>1359</v>
      </c>
      <c r="E61" s="125">
        <v>1951</v>
      </c>
      <c r="F61" s="125">
        <v>1630</v>
      </c>
      <c r="G61" s="125">
        <v>1027</v>
      </c>
      <c r="H61" s="125">
        <v>423</v>
      </c>
      <c r="I61" s="125">
        <v>6919</v>
      </c>
      <c r="J61" s="125">
        <v>7021</v>
      </c>
      <c r="K61" s="125">
        <v>509</v>
      </c>
      <c r="L61" s="125">
        <v>1185</v>
      </c>
      <c r="M61" s="125">
        <v>1475</v>
      </c>
      <c r="N61" s="125">
        <v>1126</v>
      </c>
      <c r="O61" s="125">
        <v>639</v>
      </c>
      <c r="P61" s="125">
        <v>283</v>
      </c>
      <c r="Q61" s="125">
        <v>5217</v>
      </c>
      <c r="R61" s="125">
        <v>5296</v>
      </c>
      <c r="S61" s="125">
        <v>1038</v>
      </c>
      <c r="T61" s="125">
        <v>2544</v>
      </c>
      <c r="U61" s="125">
        <v>3426</v>
      </c>
      <c r="V61" s="125">
        <v>2756</v>
      </c>
      <c r="W61" s="125">
        <v>1666</v>
      </c>
      <c r="X61" s="125">
        <v>706</v>
      </c>
      <c r="Y61" s="125">
        <v>12136</v>
      </c>
      <c r="Z61" s="125">
        <v>12317</v>
      </c>
    </row>
    <row r="62" spans="1:26" x14ac:dyDescent="0.2">
      <c r="A62" s="125"/>
      <c r="B62" s="125" t="s">
        <v>15</v>
      </c>
      <c r="C62" s="125">
        <v>1311</v>
      </c>
      <c r="D62" s="125">
        <v>3867</v>
      </c>
      <c r="E62" s="125">
        <v>6378</v>
      </c>
      <c r="F62" s="125">
        <v>5959</v>
      </c>
      <c r="G62" s="125">
        <v>3200</v>
      </c>
      <c r="H62" s="125">
        <v>888</v>
      </c>
      <c r="I62" s="125">
        <v>21603</v>
      </c>
      <c r="J62" s="125">
        <v>21737</v>
      </c>
      <c r="K62" s="125">
        <v>1830</v>
      </c>
      <c r="L62" s="125">
        <v>4933</v>
      </c>
      <c r="M62" s="125">
        <v>7611</v>
      </c>
      <c r="N62" s="125">
        <v>6085</v>
      </c>
      <c r="O62" s="125">
        <v>2853</v>
      </c>
      <c r="P62" s="125">
        <v>842</v>
      </c>
      <c r="Q62" s="125">
        <v>24154</v>
      </c>
      <c r="R62" s="125">
        <v>24266</v>
      </c>
      <c r="S62" s="125">
        <v>3141</v>
      </c>
      <c r="T62" s="125">
        <v>8800</v>
      </c>
      <c r="U62" s="125">
        <v>13989</v>
      </c>
      <c r="V62" s="125">
        <v>12044</v>
      </c>
      <c r="W62" s="125">
        <v>6053</v>
      </c>
      <c r="X62" s="125">
        <v>1730</v>
      </c>
      <c r="Y62" s="125">
        <v>45757</v>
      </c>
      <c r="Z62" s="125">
        <v>46003</v>
      </c>
    </row>
    <row r="63" spans="1:26" x14ac:dyDescent="0.2">
      <c r="A63" s="125"/>
      <c r="B63" s="125" t="s">
        <v>16</v>
      </c>
      <c r="C63" s="125">
        <v>140</v>
      </c>
      <c r="D63" s="125">
        <v>373</v>
      </c>
      <c r="E63" s="125">
        <v>871</v>
      </c>
      <c r="F63" s="125">
        <v>944</v>
      </c>
      <c r="G63" s="125">
        <v>819</v>
      </c>
      <c r="H63" s="125">
        <v>453</v>
      </c>
      <c r="I63" s="125">
        <v>3600</v>
      </c>
      <c r="J63" s="125">
        <v>3766</v>
      </c>
      <c r="K63" s="125">
        <v>347</v>
      </c>
      <c r="L63" s="125">
        <v>951</v>
      </c>
      <c r="M63" s="125">
        <v>1694</v>
      </c>
      <c r="N63" s="125">
        <v>1703</v>
      </c>
      <c r="O63" s="125">
        <v>1165</v>
      </c>
      <c r="P63" s="125">
        <v>563</v>
      </c>
      <c r="Q63" s="125">
        <v>6423</v>
      </c>
      <c r="R63" s="125">
        <v>6585</v>
      </c>
      <c r="S63" s="125">
        <v>487</v>
      </c>
      <c r="T63" s="125">
        <v>1324</v>
      </c>
      <c r="U63" s="125">
        <v>2565</v>
      </c>
      <c r="V63" s="125">
        <v>2647</v>
      </c>
      <c r="W63" s="125">
        <v>1984</v>
      </c>
      <c r="X63" s="125">
        <v>1016</v>
      </c>
      <c r="Y63" s="125">
        <v>10023</v>
      </c>
      <c r="Z63" s="125">
        <v>10351</v>
      </c>
    </row>
    <row r="64" spans="1:26" x14ac:dyDescent="0.2">
      <c r="A64" s="125"/>
      <c r="B64" s="125" t="s">
        <v>17</v>
      </c>
      <c r="C64" s="125">
        <v>319</v>
      </c>
      <c r="D64" s="125">
        <v>1033</v>
      </c>
      <c r="E64" s="125">
        <v>2716</v>
      </c>
      <c r="F64" s="125">
        <v>3539</v>
      </c>
      <c r="G64" s="125">
        <v>2954</v>
      </c>
      <c r="H64" s="125">
        <v>1623</v>
      </c>
      <c r="I64" s="125">
        <v>12184</v>
      </c>
      <c r="J64" s="125">
        <v>12645</v>
      </c>
      <c r="K64" s="125">
        <v>2244</v>
      </c>
      <c r="L64" s="125">
        <v>5385</v>
      </c>
      <c r="M64" s="125">
        <v>10406</v>
      </c>
      <c r="N64" s="125">
        <v>10176</v>
      </c>
      <c r="O64" s="125">
        <v>6668</v>
      </c>
      <c r="P64" s="125">
        <v>2946</v>
      </c>
      <c r="Q64" s="125">
        <v>37825</v>
      </c>
      <c r="R64" s="125">
        <v>38546</v>
      </c>
      <c r="S64" s="125">
        <v>2563</v>
      </c>
      <c r="T64" s="125">
        <v>6418</v>
      </c>
      <c r="U64" s="125">
        <v>13122</v>
      </c>
      <c r="V64" s="125">
        <v>13715</v>
      </c>
      <c r="W64" s="125">
        <v>9622</v>
      </c>
      <c r="X64" s="125">
        <v>4569</v>
      </c>
      <c r="Y64" s="125">
        <v>50009</v>
      </c>
      <c r="Z64" s="125">
        <v>51191</v>
      </c>
    </row>
    <row r="65" spans="1:26" x14ac:dyDescent="0.2">
      <c r="A65" s="125"/>
      <c r="B65" s="125" t="s">
        <v>18</v>
      </c>
      <c r="C65" s="125">
        <v>249</v>
      </c>
      <c r="D65" s="125">
        <v>620</v>
      </c>
      <c r="E65" s="125">
        <v>1743</v>
      </c>
      <c r="F65" s="125">
        <v>1999</v>
      </c>
      <c r="G65" s="125">
        <v>1332</v>
      </c>
      <c r="H65" s="125">
        <v>557</v>
      </c>
      <c r="I65" s="125">
        <v>6500</v>
      </c>
      <c r="J65" s="125">
        <v>6654</v>
      </c>
      <c r="K65" s="125">
        <v>1215</v>
      </c>
      <c r="L65" s="125">
        <v>3062</v>
      </c>
      <c r="M65" s="125">
        <v>6153</v>
      </c>
      <c r="N65" s="125">
        <v>5880</v>
      </c>
      <c r="O65" s="125">
        <v>3268</v>
      </c>
      <c r="P65" s="125">
        <v>1200</v>
      </c>
      <c r="Q65" s="125">
        <v>20778</v>
      </c>
      <c r="R65" s="125">
        <v>21076</v>
      </c>
      <c r="S65" s="125">
        <v>1464</v>
      </c>
      <c r="T65" s="125">
        <v>3682</v>
      </c>
      <c r="U65" s="125">
        <v>7896</v>
      </c>
      <c r="V65" s="125">
        <v>7879</v>
      </c>
      <c r="W65" s="125">
        <v>4600</v>
      </c>
      <c r="X65" s="125">
        <v>1757</v>
      </c>
      <c r="Y65" s="125">
        <v>27278</v>
      </c>
      <c r="Z65" s="125">
        <v>27730</v>
      </c>
    </row>
    <row r="66" spans="1:26" x14ac:dyDescent="0.2">
      <c r="A66" s="125"/>
      <c r="B66" s="125" t="s">
        <v>73</v>
      </c>
      <c r="C66" s="125">
        <v>109</v>
      </c>
      <c r="D66" s="125">
        <v>223</v>
      </c>
      <c r="E66" s="125">
        <v>453</v>
      </c>
      <c r="F66" s="125">
        <v>398</v>
      </c>
      <c r="G66" s="125">
        <v>279</v>
      </c>
      <c r="H66" s="125">
        <v>116</v>
      </c>
      <c r="I66" s="125">
        <v>1578</v>
      </c>
      <c r="J66" s="125">
        <v>1601</v>
      </c>
      <c r="K66" s="125">
        <v>108</v>
      </c>
      <c r="L66" s="125">
        <v>298</v>
      </c>
      <c r="M66" s="125">
        <v>556</v>
      </c>
      <c r="N66" s="125">
        <v>564</v>
      </c>
      <c r="O66" s="125">
        <v>328</v>
      </c>
      <c r="P66" s="125">
        <v>119</v>
      </c>
      <c r="Q66" s="125">
        <v>1973</v>
      </c>
      <c r="R66" s="125">
        <v>2004</v>
      </c>
      <c r="S66" s="125">
        <v>217</v>
      </c>
      <c r="T66" s="125">
        <v>521</v>
      </c>
      <c r="U66" s="125">
        <v>1009</v>
      </c>
      <c r="V66" s="125">
        <v>962</v>
      </c>
      <c r="W66" s="125">
        <v>607</v>
      </c>
      <c r="X66" s="125">
        <v>235</v>
      </c>
      <c r="Y66" s="125">
        <v>3551</v>
      </c>
      <c r="Z66" s="125">
        <v>3605</v>
      </c>
    </row>
    <row r="67" spans="1:26" x14ac:dyDescent="0.2">
      <c r="A67" s="125"/>
      <c r="B67" s="125" t="s">
        <v>20</v>
      </c>
      <c r="C67" s="125">
        <v>1059</v>
      </c>
      <c r="D67" s="125">
        <v>1227</v>
      </c>
      <c r="E67" s="125">
        <v>2595</v>
      </c>
      <c r="F67" s="125">
        <v>2776</v>
      </c>
      <c r="G67" s="125">
        <v>1617</v>
      </c>
      <c r="H67" s="125">
        <v>564</v>
      </c>
      <c r="I67" s="125">
        <v>9838</v>
      </c>
      <c r="J67" s="125">
        <v>9954</v>
      </c>
      <c r="K67" s="125">
        <v>3830</v>
      </c>
      <c r="L67" s="125">
        <v>5217</v>
      </c>
      <c r="M67" s="125">
        <v>9310</v>
      </c>
      <c r="N67" s="125">
        <v>7900</v>
      </c>
      <c r="O67" s="125">
        <v>3411</v>
      </c>
      <c r="P67" s="125">
        <v>956</v>
      </c>
      <c r="Q67" s="125">
        <v>30624</v>
      </c>
      <c r="R67" s="125">
        <v>30809</v>
      </c>
      <c r="S67" s="125">
        <v>4889</v>
      </c>
      <c r="T67" s="125">
        <v>6444</v>
      </c>
      <c r="U67" s="125">
        <v>11905</v>
      </c>
      <c r="V67" s="125">
        <v>10676</v>
      </c>
      <c r="W67" s="125">
        <v>5028</v>
      </c>
      <c r="X67" s="125">
        <v>1520</v>
      </c>
      <c r="Y67" s="125">
        <v>40462</v>
      </c>
      <c r="Z67" s="125">
        <v>40763</v>
      </c>
    </row>
    <row r="68" spans="1:26" x14ac:dyDescent="0.2">
      <c r="A68" s="125"/>
      <c r="B68" s="125" t="s">
        <v>21</v>
      </c>
      <c r="C68" s="125">
        <v>105</v>
      </c>
      <c r="D68" s="125">
        <v>338</v>
      </c>
      <c r="E68" s="125">
        <v>940</v>
      </c>
      <c r="F68" s="125">
        <v>1194</v>
      </c>
      <c r="G68" s="125">
        <v>776</v>
      </c>
      <c r="H68" s="125">
        <v>241</v>
      </c>
      <c r="I68" s="125">
        <v>3594</v>
      </c>
      <c r="J68" s="125">
        <v>3621</v>
      </c>
      <c r="K68" s="125">
        <v>372</v>
      </c>
      <c r="L68" s="125">
        <v>1005</v>
      </c>
      <c r="M68" s="125">
        <v>2716</v>
      </c>
      <c r="N68" s="125">
        <v>2574</v>
      </c>
      <c r="O68" s="125">
        <v>1198</v>
      </c>
      <c r="P68" s="125">
        <v>291</v>
      </c>
      <c r="Q68" s="125">
        <v>8156</v>
      </c>
      <c r="R68" s="125">
        <v>8185</v>
      </c>
      <c r="S68" s="125">
        <v>477</v>
      </c>
      <c r="T68" s="125">
        <v>1343</v>
      </c>
      <c r="U68" s="125">
        <v>3656</v>
      </c>
      <c r="V68" s="125">
        <v>3768</v>
      </c>
      <c r="W68" s="125">
        <v>1974</v>
      </c>
      <c r="X68" s="125">
        <v>532</v>
      </c>
      <c r="Y68" s="125">
        <v>11750</v>
      </c>
      <c r="Z68" s="125">
        <v>11806</v>
      </c>
    </row>
    <row r="69" spans="1:26" x14ac:dyDescent="0.2">
      <c r="A69" s="125"/>
      <c r="B69" s="125" t="s">
        <v>22</v>
      </c>
      <c r="C69" s="125">
        <v>1488</v>
      </c>
      <c r="D69" s="125">
        <v>2744</v>
      </c>
      <c r="E69" s="125">
        <v>5662</v>
      </c>
      <c r="F69" s="125">
        <v>6848</v>
      </c>
      <c r="G69" s="125">
        <v>4129</v>
      </c>
      <c r="H69" s="125">
        <v>976</v>
      </c>
      <c r="I69" s="125">
        <v>21847</v>
      </c>
      <c r="J69" s="125">
        <v>21966</v>
      </c>
      <c r="K69" s="125">
        <v>3484</v>
      </c>
      <c r="L69" s="125">
        <v>8263</v>
      </c>
      <c r="M69" s="125">
        <v>16151</v>
      </c>
      <c r="N69" s="125">
        <v>17659</v>
      </c>
      <c r="O69" s="125">
        <v>8834</v>
      </c>
      <c r="P69" s="125">
        <v>1687</v>
      </c>
      <c r="Q69" s="125">
        <v>56078</v>
      </c>
      <c r="R69" s="125">
        <v>56249</v>
      </c>
      <c r="S69" s="125">
        <v>4972</v>
      </c>
      <c r="T69" s="125">
        <v>11007</v>
      </c>
      <c r="U69" s="125">
        <v>21813</v>
      </c>
      <c r="V69" s="125">
        <v>24507</v>
      </c>
      <c r="W69" s="125">
        <v>12963</v>
      </c>
      <c r="X69" s="125">
        <v>2663</v>
      </c>
      <c r="Y69" s="125">
        <v>77925</v>
      </c>
      <c r="Z69" s="125">
        <v>78215</v>
      </c>
    </row>
    <row r="70" spans="1:26" x14ac:dyDescent="0.2">
      <c r="A70" s="125"/>
      <c r="B70" s="125" t="s">
        <v>61</v>
      </c>
      <c r="C70" s="125">
        <v>65</v>
      </c>
      <c r="D70" s="125">
        <v>508</v>
      </c>
      <c r="E70" s="125">
        <v>2158</v>
      </c>
      <c r="F70" s="125">
        <v>3334</v>
      </c>
      <c r="G70" s="125">
        <v>1812</v>
      </c>
      <c r="H70" s="125">
        <v>455</v>
      </c>
      <c r="I70" s="125">
        <v>8332</v>
      </c>
      <c r="J70" s="125">
        <v>8384</v>
      </c>
      <c r="K70" s="125">
        <v>211</v>
      </c>
      <c r="L70" s="125">
        <v>1261</v>
      </c>
      <c r="M70" s="125">
        <v>3945</v>
      </c>
      <c r="N70" s="125">
        <v>3995</v>
      </c>
      <c r="O70" s="125">
        <v>1554</v>
      </c>
      <c r="P70" s="125">
        <v>258</v>
      </c>
      <c r="Q70" s="125">
        <v>11224</v>
      </c>
      <c r="R70" s="125">
        <v>11282</v>
      </c>
      <c r="S70" s="125">
        <v>276</v>
      </c>
      <c r="T70" s="125">
        <v>1769</v>
      </c>
      <c r="U70" s="125">
        <v>6103</v>
      </c>
      <c r="V70" s="125">
        <v>7329</v>
      </c>
      <c r="W70" s="125">
        <v>3366</v>
      </c>
      <c r="X70" s="125">
        <v>713</v>
      </c>
      <c r="Y70" s="125">
        <v>19556</v>
      </c>
      <c r="Z70" s="125">
        <v>19666</v>
      </c>
    </row>
    <row r="71" spans="1:26" x14ac:dyDescent="0.2">
      <c r="A71" s="125"/>
      <c r="B71" s="125" t="s">
        <v>23</v>
      </c>
      <c r="C71" s="125">
        <v>44</v>
      </c>
      <c r="D71" s="125">
        <v>269</v>
      </c>
      <c r="E71" s="125">
        <v>1125</v>
      </c>
      <c r="F71" s="125">
        <v>1419</v>
      </c>
      <c r="G71" s="125">
        <v>643</v>
      </c>
      <c r="H71" s="125">
        <v>129</v>
      </c>
      <c r="I71" s="125">
        <v>3629</v>
      </c>
      <c r="J71" s="125">
        <v>3657</v>
      </c>
      <c r="K71" s="125">
        <v>99</v>
      </c>
      <c r="L71" s="125">
        <v>537</v>
      </c>
      <c r="M71" s="125">
        <v>1690</v>
      </c>
      <c r="N71" s="125">
        <v>1610</v>
      </c>
      <c r="O71" s="125">
        <v>540</v>
      </c>
      <c r="P71" s="125">
        <v>84</v>
      </c>
      <c r="Q71" s="125">
        <v>4560</v>
      </c>
      <c r="R71" s="125">
        <v>4578</v>
      </c>
      <c r="S71" s="125">
        <v>143</v>
      </c>
      <c r="T71" s="125">
        <v>806</v>
      </c>
      <c r="U71" s="125">
        <v>2815</v>
      </c>
      <c r="V71" s="125">
        <v>3029</v>
      </c>
      <c r="W71" s="125">
        <v>1183</v>
      </c>
      <c r="X71" s="125">
        <v>213</v>
      </c>
      <c r="Y71" s="125">
        <v>8189</v>
      </c>
      <c r="Z71" s="125">
        <v>8235</v>
      </c>
    </row>
    <row r="72" spans="1:26" x14ac:dyDescent="0.2">
      <c r="A72" s="125"/>
      <c r="B72" s="125" t="s">
        <v>24</v>
      </c>
      <c r="C72" s="125">
        <v>200</v>
      </c>
      <c r="D72" s="125">
        <v>967</v>
      </c>
      <c r="E72" s="125">
        <v>849</v>
      </c>
      <c r="F72" s="125">
        <v>511</v>
      </c>
      <c r="G72" s="125">
        <v>289</v>
      </c>
      <c r="H72" s="125">
        <v>82</v>
      </c>
      <c r="I72" s="125">
        <v>2898</v>
      </c>
      <c r="J72" s="125">
        <v>2911</v>
      </c>
      <c r="K72" s="125">
        <v>411</v>
      </c>
      <c r="L72" s="125">
        <v>1979</v>
      </c>
      <c r="M72" s="125">
        <v>1798</v>
      </c>
      <c r="N72" s="125">
        <v>1191</v>
      </c>
      <c r="O72" s="125">
        <v>576</v>
      </c>
      <c r="P72" s="125">
        <v>191</v>
      </c>
      <c r="Q72" s="125">
        <v>6146</v>
      </c>
      <c r="R72" s="125">
        <v>6167</v>
      </c>
      <c r="S72" s="125">
        <v>611</v>
      </c>
      <c r="T72" s="125">
        <v>2946</v>
      </c>
      <c r="U72" s="125">
        <v>2647</v>
      </c>
      <c r="V72" s="125">
        <v>1702</v>
      </c>
      <c r="W72" s="125">
        <v>865</v>
      </c>
      <c r="X72" s="125">
        <v>273</v>
      </c>
      <c r="Y72" s="125">
        <v>9044</v>
      </c>
      <c r="Z72" s="125">
        <v>9078</v>
      </c>
    </row>
    <row r="73" spans="1:26" x14ac:dyDescent="0.2">
      <c r="A73" s="125"/>
      <c r="B73" s="125" t="s">
        <v>25</v>
      </c>
      <c r="C73" s="125">
        <v>140</v>
      </c>
      <c r="D73" s="125">
        <v>481</v>
      </c>
      <c r="E73" s="125">
        <v>409</v>
      </c>
      <c r="F73" s="125">
        <v>249</v>
      </c>
      <c r="G73" s="125">
        <v>131</v>
      </c>
      <c r="H73" s="125">
        <v>58</v>
      </c>
      <c r="I73" s="125">
        <v>1468</v>
      </c>
      <c r="J73" s="125">
        <v>1476</v>
      </c>
      <c r="K73" s="125">
        <v>166</v>
      </c>
      <c r="L73" s="125">
        <v>694</v>
      </c>
      <c r="M73" s="125">
        <v>656</v>
      </c>
      <c r="N73" s="125">
        <v>395</v>
      </c>
      <c r="O73" s="125">
        <v>243</v>
      </c>
      <c r="P73" s="125">
        <v>75</v>
      </c>
      <c r="Q73" s="125">
        <v>2229</v>
      </c>
      <c r="R73" s="125">
        <v>2240</v>
      </c>
      <c r="S73" s="125">
        <v>306</v>
      </c>
      <c r="T73" s="125">
        <v>1175</v>
      </c>
      <c r="U73" s="125">
        <v>1065</v>
      </c>
      <c r="V73" s="125">
        <v>644</v>
      </c>
      <c r="W73" s="125">
        <v>374</v>
      </c>
      <c r="X73" s="125">
        <v>133</v>
      </c>
      <c r="Y73" s="125">
        <v>3697</v>
      </c>
      <c r="Z73" s="125">
        <v>3716</v>
      </c>
    </row>
    <row r="74" spans="1:26" x14ac:dyDescent="0.2">
      <c r="A74" s="125"/>
      <c r="B74" s="125" t="s">
        <v>26</v>
      </c>
      <c r="C74" s="125">
        <v>194</v>
      </c>
      <c r="D74" s="125">
        <v>697</v>
      </c>
      <c r="E74" s="125">
        <v>717</v>
      </c>
      <c r="F74" s="125">
        <v>427</v>
      </c>
      <c r="G74" s="125">
        <v>194</v>
      </c>
      <c r="H74" s="125">
        <v>60</v>
      </c>
      <c r="I74" s="125">
        <v>2289</v>
      </c>
      <c r="J74" s="125">
        <v>2299</v>
      </c>
      <c r="K74" s="125">
        <v>340</v>
      </c>
      <c r="L74" s="125">
        <v>1216</v>
      </c>
      <c r="M74" s="125">
        <v>1367</v>
      </c>
      <c r="N74" s="125">
        <v>874</v>
      </c>
      <c r="O74" s="125">
        <v>407</v>
      </c>
      <c r="P74" s="125">
        <v>100</v>
      </c>
      <c r="Q74" s="125">
        <v>4304</v>
      </c>
      <c r="R74" s="125">
        <v>4318</v>
      </c>
      <c r="S74" s="125">
        <v>534</v>
      </c>
      <c r="T74" s="125">
        <v>1913</v>
      </c>
      <c r="U74" s="125">
        <v>2084</v>
      </c>
      <c r="V74" s="125">
        <v>1301</v>
      </c>
      <c r="W74" s="125">
        <v>601</v>
      </c>
      <c r="X74" s="125">
        <v>160</v>
      </c>
      <c r="Y74" s="125">
        <v>6593</v>
      </c>
      <c r="Z74" s="125">
        <v>6617</v>
      </c>
    </row>
    <row r="75" spans="1:26" x14ac:dyDescent="0.2">
      <c r="A75" s="125"/>
      <c r="B75" s="125" t="s">
        <v>74</v>
      </c>
      <c r="C75" s="125">
        <v>340</v>
      </c>
      <c r="D75" s="125">
        <v>1076</v>
      </c>
      <c r="E75" s="125">
        <v>914</v>
      </c>
      <c r="F75" s="125">
        <v>358</v>
      </c>
      <c r="G75" s="125">
        <v>124</v>
      </c>
      <c r="H75" s="125">
        <v>63</v>
      </c>
      <c r="I75" s="125">
        <v>2875</v>
      </c>
      <c r="J75" s="125">
        <v>2928</v>
      </c>
      <c r="K75" s="125">
        <v>655</v>
      </c>
      <c r="L75" s="125">
        <v>1683</v>
      </c>
      <c r="M75" s="125">
        <v>1070</v>
      </c>
      <c r="N75" s="125">
        <v>445</v>
      </c>
      <c r="O75" s="125">
        <v>165</v>
      </c>
      <c r="P75" s="125">
        <v>77</v>
      </c>
      <c r="Q75" s="125">
        <v>4095</v>
      </c>
      <c r="R75" s="125">
        <v>4138</v>
      </c>
      <c r="S75" s="125">
        <v>995</v>
      </c>
      <c r="T75" s="125">
        <v>2759</v>
      </c>
      <c r="U75" s="125">
        <v>1984</v>
      </c>
      <c r="V75" s="125">
        <v>803</v>
      </c>
      <c r="W75" s="125">
        <v>289</v>
      </c>
      <c r="X75" s="125">
        <v>140</v>
      </c>
      <c r="Y75" s="125">
        <v>6970</v>
      </c>
      <c r="Z75" s="125">
        <v>7066</v>
      </c>
    </row>
    <row r="76" spans="1:26" x14ac:dyDescent="0.2">
      <c r="A76" s="125"/>
      <c r="B76" s="125" t="s">
        <v>28</v>
      </c>
      <c r="C76" s="125">
        <v>294</v>
      </c>
      <c r="D76" s="125">
        <v>654</v>
      </c>
      <c r="E76" s="125">
        <v>736</v>
      </c>
      <c r="F76" s="125">
        <v>540</v>
      </c>
      <c r="G76" s="125">
        <v>277</v>
      </c>
      <c r="H76" s="125">
        <v>101</v>
      </c>
      <c r="I76" s="125">
        <v>2602</v>
      </c>
      <c r="J76" s="125">
        <v>2631</v>
      </c>
      <c r="K76" s="125">
        <v>369</v>
      </c>
      <c r="L76" s="125">
        <v>1005</v>
      </c>
      <c r="M76" s="125">
        <v>1037</v>
      </c>
      <c r="N76" s="125">
        <v>719</v>
      </c>
      <c r="O76" s="125">
        <v>320</v>
      </c>
      <c r="P76" s="125">
        <v>109</v>
      </c>
      <c r="Q76" s="125">
        <v>3559</v>
      </c>
      <c r="R76" s="125">
        <v>3587</v>
      </c>
      <c r="S76" s="125">
        <v>663</v>
      </c>
      <c r="T76" s="125">
        <v>1659</v>
      </c>
      <c r="U76" s="125">
        <v>1773</v>
      </c>
      <c r="V76" s="125">
        <v>1259</v>
      </c>
      <c r="W76" s="125">
        <v>597</v>
      </c>
      <c r="X76" s="125">
        <v>210</v>
      </c>
      <c r="Y76" s="125">
        <v>6161</v>
      </c>
      <c r="Z76" s="125">
        <v>6218</v>
      </c>
    </row>
    <row r="77" spans="1:26" x14ac:dyDescent="0.2">
      <c r="A77" s="125"/>
      <c r="B77" s="125" t="s">
        <v>29</v>
      </c>
      <c r="C77" s="125">
        <v>385</v>
      </c>
      <c r="D77" s="125">
        <v>1130</v>
      </c>
      <c r="E77" s="125">
        <v>1631</v>
      </c>
      <c r="F77" s="125">
        <v>1514</v>
      </c>
      <c r="G77" s="125">
        <v>950</v>
      </c>
      <c r="H77" s="125">
        <v>401</v>
      </c>
      <c r="I77" s="125">
        <v>6011</v>
      </c>
      <c r="J77" s="125">
        <v>6108</v>
      </c>
      <c r="K77" s="125">
        <v>1008</v>
      </c>
      <c r="L77" s="125">
        <v>2583</v>
      </c>
      <c r="M77" s="125">
        <v>3988</v>
      </c>
      <c r="N77" s="125">
        <v>3466</v>
      </c>
      <c r="O77" s="125">
        <v>1870</v>
      </c>
      <c r="P77" s="125">
        <v>675</v>
      </c>
      <c r="Q77" s="125">
        <v>13590</v>
      </c>
      <c r="R77" s="125">
        <v>13730</v>
      </c>
      <c r="S77" s="125">
        <v>1393</v>
      </c>
      <c r="T77" s="125">
        <v>3713</v>
      </c>
      <c r="U77" s="125">
        <v>5619</v>
      </c>
      <c r="V77" s="125">
        <v>4980</v>
      </c>
      <c r="W77" s="125">
        <v>2820</v>
      </c>
      <c r="X77" s="125">
        <v>1076</v>
      </c>
      <c r="Y77" s="125">
        <v>19601</v>
      </c>
      <c r="Z77" s="125">
        <v>19838</v>
      </c>
    </row>
    <row r="78" spans="1:26" x14ac:dyDescent="0.2">
      <c r="A78" s="125"/>
      <c r="B78" s="125" t="s">
        <v>30</v>
      </c>
      <c r="C78" s="125">
        <v>146</v>
      </c>
      <c r="D78" s="125">
        <v>584</v>
      </c>
      <c r="E78" s="125">
        <v>1028</v>
      </c>
      <c r="F78" s="125">
        <v>1223</v>
      </c>
      <c r="G78" s="125">
        <v>933</v>
      </c>
      <c r="H78" s="125">
        <v>403</v>
      </c>
      <c r="I78" s="125">
        <v>4317</v>
      </c>
      <c r="J78" s="125">
        <v>4376</v>
      </c>
      <c r="K78" s="125">
        <v>100</v>
      </c>
      <c r="L78" s="125">
        <v>463</v>
      </c>
      <c r="M78" s="125">
        <v>797</v>
      </c>
      <c r="N78" s="125">
        <v>755</v>
      </c>
      <c r="O78" s="125">
        <v>477</v>
      </c>
      <c r="P78" s="125">
        <v>194</v>
      </c>
      <c r="Q78" s="125">
        <v>2786</v>
      </c>
      <c r="R78" s="125">
        <v>2808</v>
      </c>
      <c r="S78" s="125">
        <v>246</v>
      </c>
      <c r="T78" s="125">
        <v>1047</v>
      </c>
      <c r="U78" s="125">
        <v>1825</v>
      </c>
      <c r="V78" s="125">
        <v>1978</v>
      </c>
      <c r="W78" s="125">
        <v>1410</v>
      </c>
      <c r="X78" s="125">
        <v>597</v>
      </c>
      <c r="Y78" s="125">
        <v>7103</v>
      </c>
      <c r="Z78" s="125">
        <v>7184</v>
      </c>
    </row>
    <row r="79" spans="1:26" x14ac:dyDescent="0.2">
      <c r="A79" s="125"/>
      <c r="B79" s="125" t="s">
        <v>31</v>
      </c>
      <c r="C79" s="125">
        <v>156</v>
      </c>
      <c r="D79" s="125">
        <v>696</v>
      </c>
      <c r="E79" s="125">
        <v>1576</v>
      </c>
      <c r="F79" s="125">
        <v>1982</v>
      </c>
      <c r="G79" s="125">
        <v>1773</v>
      </c>
      <c r="H79" s="125">
        <v>1105</v>
      </c>
      <c r="I79" s="125">
        <v>7288</v>
      </c>
      <c r="J79" s="125">
        <v>7457</v>
      </c>
      <c r="K79" s="125">
        <v>313</v>
      </c>
      <c r="L79" s="125">
        <v>909</v>
      </c>
      <c r="M79" s="125">
        <v>1641</v>
      </c>
      <c r="N79" s="125">
        <v>1443</v>
      </c>
      <c r="O79" s="125">
        <v>931</v>
      </c>
      <c r="P79" s="125">
        <v>458</v>
      </c>
      <c r="Q79" s="125">
        <v>5695</v>
      </c>
      <c r="R79" s="125">
        <v>5741</v>
      </c>
      <c r="S79" s="125">
        <v>469</v>
      </c>
      <c r="T79" s="125">
        <v>1605</v>
      </c>
      <c r="U79" s="125">
        <v>3217</v>
      </c>
      <c r="V79" s="125">
        <v>3425</v>
      </c>
      <c r="W79" s="125">
        <v>2704</v>
      </c>
      <c r="X79" s="125">
        <v>1563</v>
      </c>
      <c r="Y79" s="125">
        <v>12983</v>
      </c>
      <c r="Z79" s="125">
        <v>13198</v>
      </c>
    </row>
    <row r="80" spans="1:26" x14ac:dyDescent="0.2">
      <c r="A80" s="125"/>
      <c r="B80" s="125" t="s">
        <v>32</v>
      </c>
      <c r="C80" s="125">
        <v>373</v>
      </c>
      <c r="D80" s="125">
        <v>844</v>
      </c>
      <c r="E80" s="125">
        <v>1915</v>
      </c>
      <c r="F80" s="125">
        <v>2517</v>
      </c>
      <c r="G80" s="125">
        <v>2489</v>
      </c>
      <c r="H80" s="125">
        <v>1667</v>
      </c>
      <c r="I80" s="125">
        <v>9805</v>
      </c>
      <c r="J80" s="125">
        <v>10689</v>
      </c>
      <c r="K80" s="125">
        <v>612</v>
      </c>
      <c r="L80" s="125">
        <v>1277</v>
      </c>
      <c r="M80" s="125">
        <v>2806</v>
      </c>
      <c r="N80" s="125">
        <v>3428</v>
      </c>
      <c r="O80" s="125">
        <v>2848</v>
      </c>
      <c r="P80" s="125">
        <v>1729</v>
      </c>
      <c r="Q80" s="125">
        <v>12700</v>
      </c>
      <c r="R80" s="125">
        <v>13412</v>
      </c>
      <c r="S80" s="125">
        <v>985</v>
      </c>
      <c r="T80" s="125">
        <v>2121</v>
      </c>
      <c r="U80" s="125">
        <v>4721</v>
      </c>
      <c r="V80" s="125">
        <v>5945</v>
      </c>
      <c r="W80" s="125">
        <v>5337</v>
      </c>
      <c r="X80" s="125">
        <v>3396</v>
      </c>
      <c r="Y80" s="125">
        <v>22505</v>
      </c>
      <c r="Z80" s="125">
        <v>24101</v>
      </c>
    </row>
    <row r="81" spans="1:26" x14ac:dyDescent="0.2">
      <c r="A81" s="125"/>
      <c r="B81" s="125" t="s">
        <v>54</v>
      </c>
      <c r="C81" s="125">
        <v>30391</v>
      </c>
      <c r="D81" s="125">
        <v>59181</v>
      </c>
      <c r="E81" s="125">
        <v>82670</v>
      </c>
      <c r="F81" s="125">
        <v>79232</v>
      </c>
      <c r="G81" s="125">
        <v>53951</v>
      </c>
      <c r="H81" s="125">
        <v>25726</v>
      </c>
      <c r="I81" s="125">
        <v>331151</v>
      </c>
      <c r="J81" s="125">
        <v>337188</v>
      </c>
      <c r="K81" s="125">
        <v>33274</v>
      </c>
      <c r="L81" s="125">
        <v>75110</v>
      </c>
      <c r="M81" s="125">
        <v>112602</v>
      </c>
      <c r="N81" s="125">
        <v>100281</v>
      </c>
      <c r="O81" s="125">
        <v>56842</v>
      </c>
      <c r="P81" s="125">
        <v>22231</v>
      </c>
      <c r="Q81" s="125">
        <v>400340</v>
      </c>
      <c r="R81" s="125">
        <v>404959</v>
      </c>
      <c r="S81" s="125">
        <v>63665</v>
      </c>
      <c r="T81" s="125">
        <v>134291</v>
      </c>
      <c r="U81" s="125">
        <v>195272</v>
      </c>
      <c r="V81" s="125">
        <v>179513</v>
      </c>
      <c r="W81" s="125">
        <v>110793</v>
      </c>
      <c r="X81" s="125">
        <v>47957</v>
      </c>
      <c r="Y81" s="125">
        <v>731491</v>
      </c>
      <c r="Z81" s="125">
        <v>742147</v>
      </c>
    </row>
    <row r="84" spans="1:26" x14ac:dyDescent="0.2">
      <c r="A84" t="s">
        <v>65</v>
      </c>
      <c r="B84" t="s">
        <v>92</v>
      </c>
      <c r="C84" t="s">
        <v>93</v>
      </c>
      <c r="D84" t="s">
        <v>94</v>
      </c>
      <c r="E84" t="s">
        <v>95</v>
      </c>
      <c r="F84" t="s">
        <v>96</v>
      </c>
      <c r="G84" t="s">
        <v>97</v>
      </c>
      <c r="H84" t="s">
        <v>98</v>
      </c>
      <c r="I84" t="s">
        <v>99</v>
      </c>
      <c r="J84" t="s">
        <v>58</v>
      </c>
    </row>
    <row r="85" spans="1:26" x14ac:dyDescent="0.2">
      <c r="A85" t="s">
        <v>66</v>
      </c>
      <c r="B85" t="s">
        <v>100</v>
      </c>
      <c r="C85">
        <v>30391</v>
      </c>
      <c r="D85">
        <v>59181</v>
      </c>
      <c r="E85">
        <v>82670</v>
      </c>
      <c r="F85">
        <v>79232</v>
      </c>
      <c r="G85">
        <v>53951</v>
      </c>
      <c r="H85">
        <v>25726</v>
      </c>
      <c r="I85">
        <v>331151</v>
      </c>
      <c r="J85">
        <v>337188</v>
      </c>
    </row>
    <row r="86" spans="1:26" x14ac:dyDescent="0.2">
      <c r="A86" t="s">
        <v>66</v>
      </c>
      <c r="B86" t="s">
        <v>101</v>
      </c>
      <c r="C86">
        <v>2272</v>
      </c>
      <c r="D86">
        <v>3995</v>
      </c>
      <c r="E86">
        <v>5241</v>
      </c>
      <c r="F86">
        <v>4800</v>
      </c>
      <c r="G86">
        <v>3816</v>
      </c>
      <c r="H86">
        <v>2238</v>
      </c>
      <c r="I86">
        <v>22362</v>
      </c>
      <c r="J86">
        <v>22808</v>
      </c>
    </row>
    <row r="87" spans="1:26" x14ac:dyDescent="0.2">
      <c r="A87" t="s">
        <v>66</v>
      </c>
      <c r="B87" t="s">
        <v>102</v>
      </c>
      <c r="C87">
        <v>2498</v>
      </c>
      <c r="D87">
        <v>5718</v>
      </c>
      <c r="E87">
        <v>6214</v>
      </c>
      <c r="F87">
        <v>4519</v>
      </c>
      <c r="G87">
        <v>3092</v>
      </c>
      <c r="H87">
        <v>1841</v>
      </c>
      <c r="I87">
        <v>23882</v>
      </c>
      <c r="J87">
        <v>24321</v>
      </c>
    </row>
    <row r="88" spans="1:26" x14ac:dyDescent="0.2">
      <c r="A88" t="s">
        <v>66</v>
      </c>
      <c r="B88" t="s">
        <v>103</v>
      </c>
      <c r="C88">
        <v>2652</v>
      </c>
      <c r="D88">
        <v>5114</v>
      </c>
      <c r="E88">
        <v>5739</v>
      </c>
      <c r="F88">
        <v>4847</v>
      </c>
      <c r="G88">
        <v>3882</v>
      </c>
      <c r="H88">
        <v>2658</v>
      </c>
      <c r="I88">
        <v>24892</v>
      </c>
      <c r="J88">
        <v>25490</v>
      </c>
    </row>
    <row r="89" spans="1:26" x14ac:dyDescent="0.2">
      <c r="A89" t="s">
        <v>66</v>
      </c>
      <c r="B89" t="s">
        <v>104</v>
      </c>
      <c r="C89">
        <v>239</v>
      </c>
      <c r="D89">
        <v>526</v>
      </c>
      <c r="E89">
        <v>682</v>
      </c>
      <c r="F89">
        <v>621</v>
      </c>
      <c r="G89">
        <v>497</v>
      </c>
      <c r="H89">
        <v>281</v>
      </c>
      <c r="I89">
        <v>2846</v>
      </c>
      <c r="J89">
        <v>2907</v>
      </c>
    </row>
    <row r="90" spans="1:26" x14ac:dyDescent="0.2">
      <c r="A90" t="s">
        <v>66</v>
      </c>
      <c r="B90" t="s">
        <v>105</v>
      </c>
      <c r="C90">
        <v>9410</v>
      </c>
      <c r="D90">
        <v>11675</v>
      </c>
      <c r="E90">
        <v>10460</v>
      </c>
      <c r="F90">
        <v>7720</v>
      </c>
      <c r="G90">
        <v>5359</v>
      </c>
      <c r="H90">
        <v>3040</v>
      </c>
      <c r="I90">
        <v>47664</v>
      </c>
      <c r="J90">
        <v>48401</v>
      </c>
    </row>
    <row r="91" spans="1:26" x14ac:dyDescent="0.2">
      <c r="A91" t="s">
        <v>66</v>
      </c>
      <c r="B91" t="s">
        <v>106</v>
      </c>
      <c r="C91">
        <v>2505</v>
      </c>
      <c r="D91">
        <v>2833</v>
      </c>
      <c r="E91">
        <v>1801</v>
      </c>
      <c r="F91">
        <v>1120</v>
      </c>
      <c r="G91">
        <v>626</v>
      </c>
      <c r="H91">
        <v>336</v>
      </c>
      <c r="I91">
        <v>9221</v>
      </c>
      <c r="J91">
        <v>9312</v>
      </c>
    </row>
    <row r="92" spans="1:26" x14ac:dyDescent="0.2">
      <c r="A92" t="s">
        <v>66</v>
      </c>
      <c r="B92" t="s">
        <v>107</v>
      </c>
      <c r="C92">
        <v>269</v>
      </c>
      <c r="D92">
        <v>778</v>
      </c>
      <c r="E92">
        <v>1507</v>
      </c>
      <c r="F92">
        <v>1865</v>
      </c>
      <c r="G92">
        <v>1565</v>
      </c>
      <c r="H92">
        <v>717</v>
      </c>
      <c r="I92">
        <v>6701</v>
      </c>
      <c r="J92">
        <v>6800</v>
      </c>
    </row>
    <row r="93" spans="1:26" x14ac:dyDescent="0.2">
      <c r="A93" t="s">
        <v>66</v>
      </c>
      <c r="B93" t="s">
        <v>239</v>
      </c>
      <c r="C93">
        <v>103</v>
      </c>
      <c r="D93">
        <v>461</v>
      </c>
      <c r="E93">
        <v>724</v>
      </c>
      <c r="F93">
        <v>854</v>
      </c>
      <c r="G93">
        <v>728</v>
      </c>
      <c r="H93">
        <v>469</v>
      </c>
      <c r="I93">
        <v>3339</v>
      </c>
      <c r="J93">
        <v>3451</v>
      </c>
    </row>
    <row r="94" spans="1:26" x14ac:dyDescent="0.2">
      <c r="A94" t="s">
        <v>66</v>
      </c>
      <c r="B94" t="s">
        <v>109</v>
      </c>
      <c r="C94">
        <v>54</v>
      </c>
      <c r="D94">
        <v>279</v>
      </c>
      <c r="E94">
        <v>917</v>
      </c>
      <c r="F94">
        <v>1188</v>
      </c>
      <c r="G94">
        <v>1191</v>
      </c>
      <c r="H94">
        <v>713</v>
      </c>
      <c r="I94">
        <v>4342</v>
      </c>
      <c r="J94">
        <v>4476</v>
      </c>
    </row>
    <row r="95" spans="1:26" x14ac:dyDescent="0.2">
      <c r="A95" t="s">
        <v>66</v>
      </c>
      <c r="B95" t="s">
        <v>110</v>
      </c>
      <c r="C95">
        <v>0</v>
      </c>
      <c r="D95">
        <v>1</v>
      </c>
      <c r="E95">
        <v>3</v>
      </c>
      <c r="F95">
        <v>3</v>
      </c>
      <c r="G95">
        <v>13</v>
      </c>
      <c r="H95">
        <v>12</v>
      </c>
      <c r="I95">
        <v>32</v>
      </c>
      <c r="J95">
        <v>34</v>
      </c>
    </row>
    <row r="96" spans="1:26" x14ac:dyDescent="0.2">
      <c r="A96" t="s">
        <v>66</v>
      </c>
      <c r="B96" t="s">
        <v>111</v>
      </c>
      <c r="C96">
        <v>38</v>
      </c>
      <c r="D96">
        <v>185</v>
      </c>
      <c r="E96">
        <v>408</v>
      </c>
      <c r="F96">
        <v>472</v>
      </c>
      <c r="G96">
        <v>368</v>
      </c>
      <c r="H96">
        <v>268</v>
      </c>
      <c r="I96">
        <v>1739</v>
      </c>
      <c r="J96">
        <v>1836</v>
      </c>
    </row>
    <row r="97" spans="1:10" x14ac:dyDescent="0.2">
      <c r="A97" t="s">
        <v>66</v>
      </c>
      <c r="B97" t="s">
        <v>112</v>
      </c>
      <c r="C97">
        <v>504</v>
      </c>
      <c r="D97">
        <v>1611</v>
      </c>
      <c r="E97">
        <v>4011</v>
      </c>
      <c r="F97">
        <v>4612</v>
      </c>
      <c r="G97">
        <v>2889</v>
      </c>
      <c r="H97">
        <v>1172</v>
      </c>
      <c r="I97">
        <v>14799</v>
      </c>
      <c r="J97">
        <v>15032</v>
      </c>
    </row>
    <row r="98" spans="1:10" x14ac:dyDescent="0.2">
      <c r="A98" t="s">
        <v>66</v>
      </c>
      <c r="B98" t="s">
        <v>113</v>
      </c>
      <c r="C98">
        <v>1423</v>
      </c>
      <c r="D98">
        <v>3629</v>
      </c>
      <c r="E98">
        <v>4406</v>
      </c>
      <c r="F98">
        <v>3294</v>
      </c>
      <c r="G98">
        <v>1904</v>
      </c>
      <c r="H98">
        <v>829</v>
      </c>
      <c r="I98">
        <v>15485</v>
      </c>
      <c r="J98">
        <v>15658</v>
      </c>
    </row>
    <row r="99" spans="1:10" x14ac:dyDescent="0.2">
      <c r="A99" t="s">
        <v>66</v>
      </c>
      <c r="B99" t="s">
        <v>114</v>
      </c>
      <c r="C99">
        <v>778</v>
      </c>
      <c r="D99">
        <v>2686</v>
      </c>
      <c r="E99">
        <v>4190</v>
      </c>
      <c r="F99">
        <v>3956</v>
      </c>
      <c r="G99">
        <v>2273</v>
      </c>
      <c r="H99">
        <v>787</v>
      </c>
      <c r="I99">
        <v>14670</v>
      </c>
      <c r="J99">
        <v>14781</v>
      </c>
    </row>
    <row r="100" spans="1:10" x14ac:dyDescent="0.2">
      <c r="A100" t="s">
        <v>66</v>
      </c>
      <c r="B100" t="s">
        <v>115</v>
      </c>
      <c r="C100">
        <v>529</v>
      </c>
      <c r="D100">
        <v>1359</v>
      </c>
      <c r="E100">
        <v>1951</v>
      </c>
      <c r="F100">
        <v>1630</v>
      </c>
      <c r="G100">
        <v>1027</v>
      </c>
      <c r="H100">
        <v>423</v>
      </c>
      <c r="I100">
        <v>6919</v>
      </c>
      <c r="J100">
        <v>7021</v>
      </c>
    </row>
    <row r="101" spans="1:10" x14ac:dyDescent="0.2">
      <c r="A101" t="s">
        <v>66</v>
      </c>
      <c r="B101" t="s">
        <v>116</v>
      </c>
      <c r="C101">
        <v>1311</v>
      </c>
      <c r="D101">
        <v>3867</v>
      </c>
      <c r="E101">
        <v>6378</v>
      </c>
      <c r="F101">
        <v>5959</v>
      </c>
      <c r="G101">
        <v>3200</v>
      </c>
      <c r="H101">
        <v>888</v>
      </c>
      <c r="I101">
        <v>21603</v>
      </c>
      <c r="J101">
        <v>21737</v>
      </c>
    </row>
    <row r="102" spans="1:10" x14ac:dyDescent="0.2">
      <c r="A102" t="s">
        <v>66</v>
      </c>
      <c r="B102" t="s">
        <v>117</v>
      </c>
      <c r="C102">
        <v>140</v>
      </c>
      <c r="D102">
        <v>373</v>
      </c>
      <c r="E102">
        <v>871</v>
      </c>
      <c r="F102">
        <v>944</v>
      </c>
      <c r="G102">
        <v>819</v>
      </c>
      <c r="H102">
        <v>453</v>
      </c>
      <c r="I102">
        <v>3600</v>
      </c>
      <c r="J102">
        <v>3766</v>
      </c>
    </row>
    <row r="103" spans="1:10" x14ac:dyDescent="0.2">
      <c r="A103" t="s">
        <v>66</v>
      </c>
      <c r="B103" t="s">
        <v>118</v>
      </c>
      <c r="C103">
        <v>319</v>
      </c>
      <c r="D103">
        <v>1033</v>
      </c>
      <c r="E103">
        <v>2716</v>
      </c>
      <c r="F103">
        <v>3539</v>
      </c>
      <c r="G103">
        <v>2954</v>
      </c>
      <c r="H103">
        <v>1623</v>
      </c>
      <c r="I103">
        <v>12184</v>
      </c>
      <c r="J103">
        <v>12645</v>
      </c>
    </row>
    <row r="104" spans="1:10" x14ac:dyDescent="0.2">
      <c r="A104" t="s">
        <v>66</v>
      </c>
      <c r="B104" t="s">
        <v>119</v>
      </c>
      <c r="C104">
        <v>249</v>
      </c>
      <c r="D104">
        <v>620</v>
      </c>
      <c r="E104">
        <v>1743</v>
      </c>
      <c r="F104">
        <v>1999</v>
      </c>
      <c r="G104">
        <v>1332</v>
      </c>
      <c r="H104">
        <v>557</v>
      </c>
      <c r="I104">
        <v>6500</v>
      </c>
      <c r="J104">
        <v>6654</v>
      </c>
    </row>
    <row r="105" spans="1:10" x14ac:dyDescent="0.2">
      <c r="A105" t="s">
        <v>66</v>
      </c>
      <c r="B105" t="s">
        <v>120</v>
      </c>
      <c r="C105">
        <v>109</v>
      </c>
      <c r="D105">
        <v>223</v>
      </c>
      <c r="E105">
        <v>453</v>
      </c>
      <c r="F105">
        <v>398</v>
      </c>
      <c r="G105">
        <v>279</v>
      </c>
      <c r="H105">
        <v>116</v>
      </c>
      <c r="I105">
        <v>1578</v>
      </c>
      <c r="J105">
        <v>1601</v>
      </c>
    </row>
    <row r="106" spans="1:10" x14ac:dyDescent="0.2">
      <c r="A106" t="s">
        <v>66</v>
      </c>
      <c r="B106" t="s">
        <v>121</v>
      </c>
      <c r="C106">
        <v>1059</v>
      </c>
      <c r="D106">
        <v>1227</v>
      </c>
      <c r="E106">
        <v>2595</v>
      </c>
      <c r="F106">
        <v>2776</v>
      </c>
      <c r="G106">
        <v>1617</v>
      </c>
      <c r="H106">
        <v>564</v>
      </c>
      <c r="I106">
        <v>9838</v>
      </c>
      <c r="J106">
        <v>9954</v>
      </c>
    </row>
    <row r="107" spans="1:10" x14ac:dyDescent="0.2">
      <c r="A107" t="s">
        <v>66</v>
      </c>
      <c r="B107" t="s">
        <v>122</v>
      </c>
      <c r="C107">
        <v>105</v>
      </c>
      <c r="D107">
        <v>338</v>
      </c>
      <c r="E107">
        <v>940</v>
      </c>
      <c r="F107">
        <v>1194</v>
      </c>
      <c r="G107">
        <v>776</v>
      </c>
      <c r="H107">
        <v>241</v>
      </c>
      <c r="I107">
        <v>3594</v>
      </c>
      <c r="J107">
        <v>3621</v>
      </c>
    </row>
    <row r="108" spans="1:10" x14ac:dyDescent="0.2">
      <c r="A108" t="s">
        <v>66</v>
      </c>
      <c r="B108" t="s">
        <v>123</v>
      </c>
      <c r="C108">
        <v>1488</v>
      </c>
      <c r="D108">
        <v>2744</v>
      </c>
      <c r="E108">
        <v>5662</v>
      </c>
      <c r="F108">
        <v>6848</v>
      </c>
      <c r="G108">
        <v>4129</v>
      </c>
      <c r="H108">
        <v>976</v>
      </c>
      <c r="I108">
        <v>21847</v>
      </c>
      <c r="J108">
        <v>21966</v>
      </c>
    </row>
    <row r="109" spans="1:10" x14ac:dyDescent="0.2">
      <c r="A109" t="s">
        <v>66</v>
      </c>
      <c r="B109" t="s">
        <v>124</v>
      </c>
      <c r="C109">
        <v>65</v>
      </c>
      <c r="D109">
        <v>508</v>
      </c>
      <c r="E109">
        <v>2158</v>
      </c>
      <c r="F109">
        <v>3334</v>
      </c>
      <c r="G109">
        <v>1812</v>
      </c>
      <c r="H109">
        <v>455</v>
      </c>
      <c r="I109">
        <v>8332</v>
      </c>
      <c r="J109">
        <v>8384</v>
      </c>
    </row>
    <row r="110" spans="1:10" x14ac:dyDescent="0.2">
      <c r="A110" t="s">
        <v>66</v>
      </c>
      <c r="B110" t="s">
        <v>125</v>
      </c>
      <c r="C110">
        <v>44</v>
      </c>
      <c r="D110">
        <v>269</v>
      </c>
      <c r="E110">
        <v>1125</v>
      </c>
      <c r="F110">
        <v>1419</v>
      </c>
      <c r="G110">
        <v>643</v>
      </c>
      <c r="H110">
        <v>129</v>
      </c>
      <c r="I110">
        <v>3629</v>
      </c>
      <c r="J110">
        <v>3657</v>
      </c>
    </row>
    <row r="111" spans="1:10" x14ac:dyDescent="0.2">
      <c r="A111" t="s">
        <v>66</v>
      </c>
      <c r="B111" t="s">
        <v>126</v>
      </c>
      <c r="C111">
        <v>200</v>
      </c>
      <c r="D111">
        <v>967</v>
      </c>
      <c r="E111">
        <v>849</v>
      </c>
      <c r="F111">
        <v>511</v>
      </c>
      <c r="G111">
        <v>289</v>
      </c>
      <c r="H111">
        <v>82</v>
      </c>
      <c r="I111">
        <v>2898</v>
      </c>
      <c r="J111">
        <v>2911</v>
      </c>
    </row>
    <row r="112" spans="1:10" x14ac:dyDescent="0.2">
      <c r="A112" t="s">
        <v>66</v>
      </c>
      <c r="B112" t="s">
        <v>127</v>
      </c>
      <c r="C112">
        <v>140</v>
      </c>
      <c r="D112">
        <v>481</v>
      </c>
      <c r="E112">
        <v>409</v>
      </c>
      <c r="F112">
        <v>249</v>
      </c>
      <c r="G112">
        <v>131</v>
      </c>
      <c r="H112">
        <v>58</v>
      </c>
      <c r="I112">
        <v>1468</v>
      </c>
      <c r="J112">
        <v>1476</v>
      </c>
    </row>
    <row r="113" spans="1:10" x14ac:dyDescent="0.2">
      <c r="A113" t="s">
        <v>66</v>
      </c>
      <c r="B113" t="s">
        <v>128</v>
      </c>
      <c r="C113">
        <v>194</v>
      </c>
      <c r="D113">
        <v>697</v>
      </c>
      <c r="E113">
        <v>717</v>
      </c>
      <c r="F113">
        <v>427</v>
      </c>
      <c r="G113">
        <v>194</v>
      </c>
      <c r="H113">
        <v>60</v>
      </c>
      <c r="I113">
        <v>2289</v>
      </c>
      <c r="J113">
        <v>2299</v>
      </c>
    </row>
    <row r="114" spans="1:10" x14ac:dyDescent="0.2">
      <c r="A114" t="s">
        <v>66</v>
      </c>
      <c r="B114" t="s">
        <v>129</v>
      </c>
      <c r="C114">
        <v>340</v>
      </c>
      <c r="D114">
        <v>1076</v>
      </c>
      <c r="E114">
        <v>914</v>
      </c>
      <c r="F114">
        <v>358</v>
      </c>
      <c r="G114">
        <v>124</v>
      </c>
      <c r="H114">
        <v>63</v>
      </c>
      <c r="I114">
        <v>2875</v>
      </c>
      <c r="J114">
        <v>2928</v>
      </c>
    </row>
    <row r="115" spans="1:10" x14ac:dyDescent="0.2">
      <c r="A115" t="s">
        <v>66</v>
      </c>
      <c r="B115" t="s">
        <v>130</v>
      </c>
      <c r="C115">
        <v>294</v>
      </c>
      <c r="D115">
        <v>654</v>
      </c>
      <c r="E115">
        <v>736</v>
      </c>
      <c r="F115">
        <v>540</v>
      </c>
      <c r="G115">
        <v>277</v>
      </c>
      <c r="H115">
        <v>101</v>
      </c>
      <c r="I115">
        <v>2602</v>
      </c>
      <c r="J115">
        <v>2631</v>
      </c>
    </row>
    <row r="116" spans="1:10" x14ac:dyDescent="0.2">
      <c r="A116" t="s">
        <v>66</v>
      </c>
      <c r="B116" t="s">
        <v>131</v>
      </c>
      <c r="C116">
        <v>385</v>
      </c>
      <c r="D116">
        <v>1130</v>
      </c>
      <c r="E116">
        <v>1631</v>
      </c>
      <c r="F116">
        <v>1514</v>
      </c>
      <c r="G116">
        <v>950</v>
      </c>
      <c r="H116">
        <v>401</v>
      </c>
      <c r="I116">
        <v>6011</v>
      </c>
      <c r="J116">
        <v>6108</v>
      </c>
    </row>
    <row r="117" spans="1:10" x14ac:dyDescent="0.2">
      <c r="A117" t="s">
        <v>66</v>
      </c>
      <c r="B117" t="s">
        <v>132</v>
      </c>
      <c r="C117">
        <v>146</v>
      </c>
      <c r="D117">
        <v>584</v>
      </c>
      <c r="E117">
        <v>1028</v>
      </c>
      <c r="F117">
        <v>1223</v>
      </c>
      <c r="G117">
        <v>933</v>
      </c>
      <c r="H117">
        <v>403</v>
      </c>
      <c r="I117">
        <v>4317</v>
      </c>
      <c r="J117">
        <v>4376</v>
      </c>
    </row>
    <row r="118" spans="1:10" x14ac:dyDescent="0.2">
      <c r="A118" t="s">
        <v>66</v>
      </c>
      <c r="B118" t="s">
        <v>133</v>
      </c>
      <c r="C118">
        <v>156</v>
      </c>
      <c r="D118">
        <v>696</v>
      </c>
      <c r="E118">
        <v>1576</v>
      </c>
      <c r="F118">
        <v>1982</v>
      </c>
      <c r="G118">
        <v>1773</v>
      </c>
      <c r="H118">
        <v>1105</v>
      </c>
      <c r="I118">
        <v>7288</v>
      </c>
      <c r="J118">
        <v>7457</v>
      </c>
    </row>
    <row r="119" spans="1:10" x14ac:dyDescent="0.2">
      <c r="A119" t="s">
        <v>66</v>
      </c>
      <c r="B119" t="s">
        <v>134</v>
      </c>
      <c r="C119">
        <v>373</v>
      </c>
      <c r="D119">
        <v>844</v>
      </c>
      <c r="E119">
        <v>1915</v>
      </c>
      <c r="F119">
        <v>2517</v>
      </c>
      <c r="G119">
        <v>2489</v>
      </c>
      <c r="H119">
        <v>1667</v>
      </c>
      <c r="I119">
        <v>9805</v>
      </c>
      <c r="J119">
        <v>10689</v>
      </c>
    </row>
    <row r="120" spans="1:10" x14ac:dyDescent="0.2">
      <c r="A120" t="s">
        <v>67</v>
      </c>
      <c r="B120" t="s">
        <v>100</v>
      </c>
      <c r="C120">
        <v>33274</v>
      </c>
      <c r="D120">
        <v>75110</v>
      </c>
      <c r="E120">
        <v>112602</v>
      </c>
      <c r="F120">
        <v>100281</v>
      </c>
      <c r="G120">
        <v>56842</v>
      </c>
      <c r="H120">
        <v>22231</v>
      </c>
      <c r="I120">
        <v>400340</v>
      </c>
      <c r="J120">
        <v>404959</v>
      </c>
    </row>
    <row r="121" spans="1:10" x14ac:dyDescent="0.2">
      <c r="A121" t="s">
        <v>67</v>
      </c>
      <c r="B121" t="s">
        <v>101</v>
      </c>
      <c r="C121">
        <v>3396</v>
      </c>
      <c r="D121">
        <v>6191</v>
      </c>
      <c r="E121">
        <v>7834</v>
      </c>
      <c r="F121">
        <v>6861</v>
      </c>
      <c r="G121">
        <v>5268</v>
      </c>
      <c r="H121">
        <v>3024</v>
      </c>
      <c r="I121">
        <v>32574</v>
      </c>
      <c r="J121">
        <v>33039</v>
      </c>
    </row>
    <row r="122" spans="1:10" x14ac:dyDescent="0.2">
      <c r="A122" t="s">
        <v>67</v>
      </c>
      <c r="B122" t="s">
        <v>102</v>
      </c>
      <c r="C122">
        <v>1956</v>
      </c>
      <c r="D122">
        <v>5613</v>
      </c>
      <c r="E122">
        <v>6171</v>
      </c>
      <c r="F122">
        <v>4458</v>
      </c>
      <c r="G122">
        <v>2825</v>
      </c>
      <c r="H122">
        <v>1532</v>
      </c>
      <c r="I122">
        <v>22555</v>
      </c>
      <c r="J122">
        <v>22823</v>
      </c>
    </row>
    <row r="123" spans="1:10" x14ac:dyDescent="0.2">
      <c r="A123" t="s">
        <v>67</v>
      </c>
      <c r="B123" t="s">
        <v>103</v>
      </c>
      <c r="C123">
        <v>821</v>
      </c>
      <c r="D123">
        <v>1592</v>
      </c>
      <c r="E123">
        <v>1567</v>
      </c>
      <c r="F123">
        <v>1218</v>
      </c>
      <c r="G123">
        <v>836</v>
      </c>
      <c r="H123">
        <v>570</v>
      </c>
      <c r="I123">
        <v>6604</v>
      </c>
      <c r="J123">
        <v>6736</v>
      </c>
    </row>
    <row r="124" spans="1:10" x14ac:dyDescent="0.2">
      <c r="A124" t="s">
        <v>67</v>
      </c>
      <c r="B124" t="s">
        <v>104</v>
      </c>
      <c r="C124">
        <v>80</v>
      </c>
      <c r="D124">
        <v>204</v>
      </c>
      <c r="E124">
        <v>312</v>
      </c>
      <c r="F124">
        <v>278</v>
      </c>
      <c r="G124">
        <v>185</v>
      </c>
      <c r="H124">
        <v>119</v>
      </c>
      <c r="I124">
        <v>1178</v>
      </c>
      <c r="J124">
        <v>1214</v>
      </c>
    </row>
    <row r="125" spans="1:10" x14ac:dyDescent="0.2">
      <c r="A125" t="s">
        <v>67</v>
      </c>
      <c r="B125" t="s">
        <v>105</v>
      </c>
      <c r="C125">
        <v>4954</v>
      </c>
      <c r="D125">
        <v>8102</v>
      </c>
      <c r="E125">
        <v>7352</v>
      </c>
      <c r="F125">
        <v>4871</v>
      </c>
      <c r="G125">
        <v>3257</v>
      </c>
      <c r="H125">
        <v>1733</v>
      </c>
      <c r="I125">
        <v>30269</v>
      </c>
      <c r="J125">
        <v>30635</v>
      </c>
    </row>
    <row r="126" spans="1:10" x14ac:dyDescent="0.2">
      <c r="A126" t="s">
        <v>67</v>
      </c>
      <c r="B126" t="s">
        <v>106</v>
      </c>
      <c r="C126">
        <v>935</v>
      </c>
      <c r="D126">
        <v>1226</v>
      </c>
      <c r="E126">
        <v>753</v>
      </c>
      <c r="F126">
        <v>446</v>
      </c>
      <c r="G126">
        <v>231</v>
      </c>
      <c r="H126">
        <v>93</v>
      </c>
      <c r="I126">
        <v>3684</v>
      </c>
      <c r="J126">
        <v>3719</v>
      </c>
    </row>
    <row r="127" spans="1:10" x14ac:dyDescent="0.2">
      <c r="A127" t="s">
        <v>67</v>
      </c>
      <c r="B127" t="s">
        <v>107</v>
      </c>
      <c r="C127">
        <v>287</v>
      </c>
      <c r="D127">
        <v>741</v>
      </c>
      <c r="E127">
        <v>1391</v>
      </c>
      <c r="F127">
        <v>1334</v>
      </c>
      <c r="G127">
        <v>913</v>
      </c>
      <c r="H127">
        <v>321</v>
      </c>
      <c r="I127">
        <v>4987</v>
      </c>
      <c r="J127">
        <v>5032</v>
      </c>
    </row>
    <row r="128" spans="1:10" x14ac:dyDescent="0.2">
      <c r="A128" t="s">
        <v>67</v>
      </c>
      <c r="B128" t="s">
        <v>239</v>
      </c>
      <c r="C128">
        <v>8</v>
      </c>
      <c r="D128">
        <v>50</v>
      </c>
      <c r="E128">
        <v>71</v>
      </c>
      <c r="F128">
        <v>59</v>
      </c>
      <c r="G128">
        <v>58</v>
      </c>
      <c r="H128">
        <v>34</v>
      </c>
      <c r="I128">
        <v>280</v>
      </c>
      <c r="J128">
        <v>285</v>
      </c>
    </row>
    <row r="129" spans="1:10" x14ac:dyDescent="0.2">
      <c r="A129" t="s">
        <v>67</v>
      </c>
      <c r="B129" t="s">
        <v>109</v>
      </c>
      <c r="C129">
        <v>41</v>
      </c>
      <c r="D129">
        <v>266</v>
      </c>
      <c r="E129">
        <v>599</v>
      </c>
      <c r="F129">
        <v>672</v>
      </c>
      <c r="G129">
        <v>544</v>
      </c>
      <c r="H129">
        <v>296</v>
      </c>
      <c r="I129">
        <v>2418</v>
      </c>
      <c r="J129">
        <v>2459</v>
      </c>
    </row>
    <row r="130" spans="1:10" x14ac:dyDescent="0.2">
      <c r="A130" t="s">
        <v>67</v>
      </c>
      <c r="B130" t="s">
        <v>110</v>
      </c>
      <c r="C130">
        <v>6</v>
      </c>
      <c r="D130">
        <v>46</v>
      </c>
      <c r="E130">
        <v>77</v>
      </c>
      <c r="F130">
        <v>81</v>
      </c>
      <c r="G130">
        <v>48</v>
      </c>
      <c r="H130">
        <v>16</v>
      </c>
      <c r="I130">
        <v>274</v>
      </c>
      <c r="J130">
        <v>275</v>
      </c>
    </row>
    <row r="131" spans="1:10" x14ac:dyDescent="0.2">
      <c r="A131" t="s">
        <v>67</v>
      </c>
      <c r="B131" t="s">
        <v>111</v>
      </c>
      <c r="C131">
        <v>18</v>
      </c>
      <c r="D131">
        <v>109</v>
      </c>
      <c r="E131">
        <v>232</v>
      </c>
      <c r="F131">
        <v>225</v>
      </c>
      <c r="G131">
        <v>174</v>
      </c>
      <c r="H131">
        <v>117</v>
      </c>
      <c r="I131">
        <v>875</v>
      </c>
      <c r="J131">
        <v>912</v>
      </c>
    </row>
    <row r="132" spans="1:10" x14ac:dyDescent="0.2">
      <c r="A132" t="s">
        <v>67</v>
      </c>
      <c r="B132" t="s">
        <v>112</v>
      </c>
      <c r="C132">
        <v>494</v>
      </c>
      <c r="D132">
        <v>1359</v>
      </c>
      <c r="E132">
        <v>2980</v>
      </c>
      <c r="F132">
        <v>3067</v>
      </c>
      <c r="G132">
        <v>1899</v>
      </c>
      <c r="H132">
        <v>723</v>
      </c>
      <c r="I132">
        <v>10522</v>
      </c>
      <c r="J132">
        <v>10673</v>
      </c>
    </row>
    <row r="133" spans="1:10" x14ac:dyDescent="0.2">
      <c r="A133" t="s">
        <v>67</v>
      </c>
      <c r="B133" t="s">
        <v>113</v>
      </c>
      <c r="C133">
        <v>807</v>
      </c>
      <c r="D133">
        <v>1893</v>
      </c>
      <c r="E133">
        <v>1959</v>
      </c>
      <c r="F133">
        <v>1426</v>
      </c>
      <c r="G133">
        <v>743</v>
      </c>
      <c r="H133">
        <v>320</v>
      </c>
      <c r="I133">
        <v>7148</v>
      </c>
      <c r="J133">
        <v>7226</v>
      </c>
    </row>
    <row r="134" spans="1:10" x14ac:dyDescent="0.2">
      <c r="A134" t="s">
        <v>67</v>
      </c>
      <c r="B134" t="s">
        <v>114</v>
      </c>
      <c r="C134">
        <v>1248</v>
      </c>
      <c r="D134">
        <v>3812</v>
      </c>
      <c r="E134">
        <v>4437</v>
      </c>
      <c r="F134">
        <v>3297</v>
      </c>
      <c r="G134">
        <v>1566</v>
      </c>
      <c r="H134">
        <v>496</v>
      </c>
      <c r="I134">
        <v>14856</v>
      </c>
      <c r="J134">
        <v>14914</v>
      </c>
    </row>
    <row r="135" spans="1:10" x14ac:dyDescent="0.2">
      <c r="A135" t="s">
        <v>67</v>
      </c>
      <c r="B135" t="s">
        <v>115</v>
      </c>
      <c r="C135">
        <v>509</v>
      </c>
      <c r="D135">
        <v>1185</v>
      </c>
      <c r="E135">
        <v>1475</v>
      </c>
      <c r="F135">
        <v>1126</v>
      </c>
      <c r="G135">
        <v>639</v>
      </c>
      <c r="H135">
        <v>283</v>
      </c>
      <c r="I135">
        <v>5217</v>
      </c>
      <c r="J135">
        <v>5296</v>
      </c>
    </row>
    <row r="136" spans="1:10" x14ac:dyDescent="0.2">
      <c r="A136" t="s">
        <v>67</v>
      </c>
      <c r="B136" t="s">
        <v>116</v>
      </c>
      <c r="C136">
        <v>1830</v>
      </c>
      <c r="D136">
        <v>4933</v>
      </c>
      <c r="E136">
        <v>7611</v>
      </c>
      <c r="F136">
        <v>6085</v>
      </c>
      <c r="G136">
        <v>2853</v>
      </c>
      <c r="H136">
        <v>842</v>
      </c>
      <c r="I136">
        <v>24154</v>
      </c>
      <c r="J136">
        <v>24266</v>
      </c>
    </row>
    <row r="137" spans="1:10" x14ac:dyDescent="0.2">
      <c r="A137" t="s">
        <v>67</v>
      </c>
      <c r="B137" t="s">
        <v>117</v>
      </c>
      <c r="C137">
        <v>347</v>
      </c>
      <c r="D137">
        <v>951</v>
      </c>
      <c r="E137">
        <v>1694</v>
      </c>
      <c r="F137">
        <v>1703</v>
      </c>
      <c r="G137">
        <v>1165</v>
      </c>
      <c r="H137">
        <v>563</v>
      </c>
      <c r="I137">
        <v>6423</v>
      </c>
      <c r="J137">
        <v>6585</v>
      </c>
    </row>
    <row r="138" spans="1:10" x14ac:dyDescent="0.2">
      <c r="A138" t="s">
        <v>67</v>
      </c>
      <c r="B138" t="s">
        <v>118</v>
      </c>
      <c r="C138">
        <v>2244</v>
      </c>
      <c r="D138">
        <v>5385</v>
      </c>
      <c r="E138">
        <v>10406</v>
      </c>
      <c r="F138">
        <v>10176</v>
      </c>
      <c r="G138">
        <v>6668</v>
      </c>
      <c r="H138">
        <v>2946</v>
      </c>
      <c r="I138">
        <v>37825</v>
      </c>
      <c r="J138">
        <v>38546</v>
      </c>
    </row>
    <row r="139" spans="1:10" x14ac:dyDescent="0.2">
      <c r="A139" t="s">
        <v>67</v>
      </c>
      <c r="B139" t="s">
        <v>119</v>
      </c>
      <c r="C139">
        <v>1215</v>
      </c>
      <c r="D139">
        <v>3062</v>
      </c>
      <c r="E139">
        <v>6153</v>
      </c>
      <c r="F139">
        <v>5880</v>
      </c>
      <c r="G139">
        <v>3268</v>
      </c>
      <c r="H139">
        <v>1200</v>
      </c>
      <c r="I139">
        <v>20778</v>
      </c>
      <c r="J139">
        <v>21076</v>
      </c>
    </row>
    <row r="140" spans="1:10" x14ac:dyDescent="0.2">
      <c r="A140" t="s">
        <v>67</v>
      </c>
      <c r="B140" t="s">
        <v>120</v>
      </c>
      <c r="C140">
        <v>108</v>
      </c>
      <c r="D140">
        <v>298</v>
      </c>
      <c r="E140">
        <v>556</v>
      </c>
      <c r="F140">
        <v>564</v>
      </c>
      <c r="G140">
        <v>328</v>
      </c>
      <c r="H140">
        <v>119</v>
      </c>
      <c r="I140">
        <v>1973</v>
      </c>
      <c r="J140">
        <v>2004</v>
      </c>
    </row>
    <row r="141" spans="1:10" x14ac:dyDescent="0.2">
      <c r="A141" t="s">
        <v>67</v>
      </c>
      <c r="B141" t="s">
        <v>121</v>
      </c>
      <c r="C141">
        <v>3830</v>
      </c>
      <c r="D141">
        <v>5217</v>
      </c>
      <c r="E141">
        <v>9310</v>
      </c>
      <c r="F141">
        <v>7900</v>
      </c>
      <c r="G141">
        <v>3411</v>
      </c>
      <c r="H141">
        <v>956</v>
      </c>
      <c r="I141">
        <v>30624</v>
      </c>
      <c r="J141">
        <v>30809</v>
      </c>
    </row>
    <row r="142" spans="1:10" x14ac:dyDescent="0.2">
      <c r="A142" t="s">
        <v>67</v>
      </c>
      <c r="B142" t="s">
        <v>122</v>
      </c>
      <c r="C142">
        <v>372</v>
      </c>
      <c r="D142">
        <v>1005</v>
      </c>
      <c r="E142">
        <v>2716</v>
      </c>
      <c r="F142">
        <v>2574</v>
      </c>
      <c r="G142">
        <v>1198</v>
      </c>
      <c r="H142">
        <v>291</v>
      </c>
      <c r="I142">
        <v>8156</v>
      </c>
      <c r="J142">
        <v>8185</v>
      </c>
    </row>
    <row r="143" spans="1:10" x14ac:dyDescent="0.2">
      <c r="A143" t="s">
        <v>67</v>
      </c>
      <c r="B143" t="s">
        <v>123</v>
      </c>
      <c r="C143">
        <v>3484</v>
      </c>
      <c r="D143">
        <v>8263</v>
      </c>
      <c r="E143">
        <v>16151</v>
      </c>
      <c r="F143">
        <v>17659</v>
      </c>
      <c r="G143">
        <v>8834</v>
      </c>
      <c r="H143">
        <v>1687</v>
      </c>
      <c r="I143">
        <v>56078</v>
      </c>
      <c r="J143">
        <v>56249</v>
      </c>
    </row>
    <row r="144" spans="1:10" x14ac:dyDescent="0.2">
      <c r="A144" t="s">
        <v>67</v>
      </c>
      <c r="B144" t="s">
        <v>124</v>
      </c>
      <c r="C144">
        <v>211</v>
      </c>
      <c r="D144">
        <v>1261</v>
      </c>
      <c r="E144">
        <v>3945</v>
      </c>
      <c r="F144">
        <v>3995</v>
      </c>
      <c r="G144">
        <v>1554</v>
      </c>
      <c r="H144">
        <v>258</v>
      </c>
      <c r="I144">
        <v>11224</v>
      </c>
      <c r="J144">
        <v>11282</v>
      </c>
    </row>
    <row r="145" spans="1:10" x14ac:dyDescent="0.2">
      <c r="A145" t="s">
        <v>67</v>
      </c>
      <c r="B145" t="s">
        <v>125</v>
      </c>
      <c r="C145">
        <v>99</v>
      </c>
      <c r="D145">
        <v>537</v>
      </c>
      <c r="E145">
        <v>1690</v>
      </c>
      <c r="F145">
        <v>1610</v>
      </c>
      <c r="G145">
        <v>540</v>
      </c>
      <c r="H145">
        <v>84</v>
      </c>
      <c r="I145">
        <v>4560</v>
      </c>
      <c r="J145">
        <v>4578</v>
      </c>
    </row>
    <row r="146" spans="1:10" x14ac:dyDescent="0.2">
      <c r="A146" t="s">
        <v>67</v>
      </c>
      <c r="B146" t="s">
        <v>126</v>
      </c>
      <c r="C146">
        <v>411</v>
      </c>
      <c r="D146">
        <v>1979</v>
      </c>
      <c r="E146">
        <v>1798</v>
      </c>
      <c r="F146">
        <v>1191</v>
      </c>
      <c r="G146">
        <v>576</v>
      </c>
      <c r="H146">
        <v>191</v>
      </c>
      <c r="I146">
        <v>6146</v>
      </c>
      <c r="J146">
        <v>6167</v>
      </c>
    </row>
    <row r="147" spans="1:10" x14ac:dyDescent="0.2">
      <c r="A147" t="s">
        <v>67</v>
      </c>
      <c r="B147" t="s">
        <v>127</v>
      </c>
      <c r="C147">
        <v>166</v>
      </c>
      <c r="D147">
        <v>694</v>
      </c>
      <c r="E147">
        <v>656</v>
      </c>
      <c r="F147">
        <v>395</v>
      </c>
      <c r="G147">
        <v>243</v>
      </c>
      <c r="H147">
        <v>75</v>
      </c>
      <c r="I147">
        <v>2229</v>
      </c>
      <c r="J147">
        <v>2240</v>
      </c>
    </row>
    <row r="148" spans="1:10" x14ac:dyDescent="0.2">
      <c r="A148" t="s">
        <v>67</v>
      </c>
      <c r="B148" t="s">
        <v>128</v>
      </c>
      <c r="C148">
        <v>340</v>
      </c>
      <c r="D148">
        <v>1216</v>
      </c>
      <c r="E148">
        <v>1367</v>
      </c>
      <c r="F148">
        <v>874</v>
      </c>
      <c r="G148">
        <v>407</v>
      </c>
      <c r="H148">
        <v>100</v>
      </c>
      <c r="I148">
        <v>4304</v>
      </c>
      <c r="J148">
        <v>4318</v>
      </c>
    </row>
    <row r="149" spans="1:10" x14ac:dyDescent="0.2">
      <c r="A149" t="s">
        <v>67</v>
      </c>
      <c r="B149" t="s">
        <v>129</v>
      </c>
      <c r="C149">
        <v>655</v>
      </c>
      <c r="D149">
        <v>1683</v>
      </c>
      <c r="E149">
        <v>1070</v>
      </c>
      <c r="F149">
        <v>445</v>
      </c>
      <c r="G149">
        <v>165</v>
      </c>
      <c r="H149">
        <v>77</v>
      </c>
      <c r="I149">
        <v>4095</v>
      </c>
      <c r="J149">
        <v>4138</v>
      </c>
    </row>
    <row r="150" spans="1:10" x14ac:dyDescent="0.2">
      <c r="A150" t="s">
        <v>67</v>
      </c>
      <c r="B150" t="s">
        <v>130</v>
      </c>
      <c r="C150">
        <v>369</v>
      </c>
      <c r="D150">
        <v>1005</v>
      </c>
      <c r="E150">
        <v>1037</v>
      </c>
      <c r="F150">
        <v>719</v>
      </c>
      <c r="G150">
        <v>320</v>
      </c>
      <c r="H150">
        <v>109</v>
      </c>
      <c r="I150">
        <v>3559</v>
      </c>
      <c r="J150">
        <v>3587</v>
      </c>
    </row>
    <row r="151" spans="1:10" x14ac:dyDescent="0.2">
      <c r="A151" t="s">
        <v>67</v>
      </c>
      <c r="B151" t="s">
        <v>131</v>
      </c>
      <c r="C151">
        <v>1008</v>
      </c>
      <c r="D151">
        <v>2583</v>
      </c>
      <c r="E151">
        <v>3988</v>
      </c>
      <c r="F151">
        <v>3466</v>
      </c>
      <c r="G151">
        <v>1870</v>
      </c>
      <c r="H151">
        <v>675</v>
      </c>
      <c r="I151">
        <v>13590</v>
      </c>
      <c r="J151">
        <v>13730</v>
      </c>
    </row>
    <row r="152" spans="1:10" x14ac:dyDescent="0.2">
      <c r="A152" t="s">
        <v>67</v>
      </c>
      <c r="B152" t="s">
        <v>132</v>
      </c>
      <c r="C152">
        <v>100</v>
      </c>
      <c r="D152">
        <v>463</v>
      </c>
      <c r="E152">
        <v>797</v>
      </c>
      <c r="F152">
        <v>755</v>
      </c>
      <c r="G152">
        <v>477</v>
      </c>
      <c r="H152">
        <v>194</v>
      </c>
      <c r="I152">
        <v>2786</v>
      </c>
      <c r="J152">
        <v>2808</v>
      </c>
    </row>
    <row r="153" spans="1:10" x14ac:dyDescent="0.2">
      <c r="A153" t="s">
        <v>67</v>
      </c>
      <c r="B153" t="s">
        <v>133</v>
      </c>
      <c r="C153">
        <v>313</v>
      </c>
      <c r="D153">
        <v>909</v>
      </c>
      <c r="E153">
        <v>1641</v>
      </c>
      <c r="F153">
        <v>1443</v>
      </c>
      <c r="G153">
        <v>931</v>
      </c>
      <c r="H153">
        <v>458</v>
      </c>
      <c r="I153">
        <v>5695</v>
      </c>
      <c r="J153">
        <v>5741</v>
      </c>
    </row>
    <row r="154" spans="1:10" x14ac:dyDescent="0.2">
      <c r="A154" t="s">
        <v>67</v>
      </c>
      <c r="B154" t="s">
        <v>134</v>
      </c>
      <c r="C154">
        <v>612</v>
      </c>
      <c r="D154">
        <v>1277</v>
      </c>
      <c r="E154">
        <v>2806</v>
      </c>
      <c r="F154">
        <v>3428</v>
      </c>
      <c r="G154">
        <v>2848</v>
      </c>
      <c r="H154">
        <v>1729</v>
      </c>
      <c r="I154">
        <v>12700</v>
      </c>
      <c r="J154">
        <v>13412</v>
      </c>
    </row>
    <row r="155" spans="1:10" x14ac:dyDescent="0.2">
      <c r="A155" t="s">
        <v>100</v>
      </c>
      <c r="B155" t="s">
        <v>100</v>
      </c>
      <c r="C155">
        <v>63665</v>
      </c>
      <c r="D155">
        <v>134291</v>
      </c>
      <c r="E155">
        <v>195272</v>
      </c>
      <c r="F155">
        <v>179513</v>
      </c>
      <c r="G155">
        <v>110793</v>
      </c>
      <c r="H155">
        <v>47957</v>
      </c>
      <c r="I155">
        <v>731491</v>
      </c>
      <c r="J155">
        <v>742147</v>
      </c>
    </row>
    <row r="156" spans="1:10" x14ac:dyDescent="0.2">
      <c r="A156" t="s">
        <v>100</v>
      </c>
      <c r="B156" t="s">
        <v>101</v>
      </c>
      <c r="C156">
        <v>5668</v>
      </c>
      <c r="D156">
        <v>10186</v>
      </c>
      <c r="E156">
        <v>13075</v>
      </c>
      <c r="F156">
        <v>11661</v>
      </c>
      <c r="G156">
        <v>9084</v>
      </c>
      <c r="H156">
        <v>5262</v>
      </c>
      <c r="I156">
        <v>54936</v>
      </c>
      <c r="J156">
        <v>55847</v>
      </c>
    </row>
    <row r="157" spans="1:10" x14ac:dyDescent="0.2">
      <c r="A157" t="s">
        <v>100</v>
      </c>
      <c r="B157" t="s">
        <v>102</v>
      </c>
      <c r="C157">
        <v>4454</v>
      </c>
      <c r="D157">
        <v>11331</v>
      </c>
      <c r="E157">
        <v>12385</v>
      </c>
      <c r="F157">
        <v>8977</v>
      </c>
      <c r="G157">
        <v>5917</v>
      </c>
      <c r="H157">
        <v>3373</v>
      </c>
      <c r="I157">
        <v>46437</v>
      </c>
      <c r="J157">
        <v>47144</v>
      </c>
    </row>
    <row r="158" spans="1:10" x14ac:dyDescent="0.2">
      <c r="A158" t="s">
        <v>100</v>
      </c>
      <c r="B158" t="s">
        <v>103</v>
      </c>
      <c r="C158">
        <v>3473</v>
      </c>
      <c r="D158">
        <v>6706</v>
      </c>
      <c r="E158">
        <v>7306</v>
      </c>
      <c r="F158">
        <v>6065</v>
      </c>
      <c r="G158">
        <v>4718</v>
      </c>
      <c r="H158">
        <v>3228</v>
      </c>
      <c r="I158">
        <v>31496</v>
      </c>
      <c r="J158">
        <v>32226</v>
      </c>
    </row>
    <row r="159" spans="1:10" x14ac:dyDescent="0.2">
      <c r="A159" t="s">
        <v>100</v>
      </c>
      <c r="B159" t="s">
        <v>104</v>
      </c>
      <c r="C159">
        <v>319</v>
      </c>
      <c r="D159">
        <v>730</v>
      </c>
      <c r="E159">
        <v>994</v>
      </c>
      <c r="F159">
        <v>899</v>
      </c>
      <c r="G159">
        <v>682</v>
      </c>
      <c r="H159">
        <v>400</v>
      </c>
      <c r="I159">
        <v>4024</v>
      </c>
      <c r="J159">
        <v>4121</v>
      </c>
    </row>
    <row r="160" spans="1:10" x14ac:dyDescent="0.2">
      <c r="A160" t="s">
        <v>100</v>
      </c>
      <c r="B160" t="s">
        <v>105</v>
      </c>
      <c r="C160">
        <v>14364</v>
      </c>
      <c r="D160">
        <v>19777</v>
      </c>
      <c r="E160">
        <v>17812</v>
      </c>
      <c r="F160">
        <v>12591</v>
      </c>
      <c r="G160">
        <v>8616</v>
      </c>
      <c r="H160">
        <v>4773</v>
      </c>
      <c r="I160">
        <v>77933</v>
      </c>
      <c r="J160">
        <v>79036</v>
      </c>
    </row>
    <row r="161" spans="1:10" x14ac:dyDescent="0.2">
      <c r="A161" t="s">
        <v>100</v>
      </c>
      <c r="B161" t="s">
        <v>106</v>
      </c>
      <c r="C161">
        <v>3440</v>
      </c>
      <c r="D161">
        <v>4059</v>
      </c>
      <c r="E161">
        <v>2554</v>
      </c>
      <c r="F161">
        <v>1566</v>
      </c>
      <c r="G161">
        <v>857</v>
      </c>
      <c r="H161">
        <v>429</v>
      </c>
      <c r="I161">
        <v>12905</v>
      </c>
      <c r="J161">
        <v>13031</v>
      </c>
    </row>
    <row r="162" spans="1:10" x14ac:dyDescent="0.2">
      <c r="A162" t="s">
        <v>100</v>
      </c>
      <c r="B162" t="s">
        <v>107</v>
      </c>
      <c r="C162">
        <v>556</v>
      </c>
      <c r="D162">
        <v>1519</v>
      </c>
      <c r="E162">
        <v>2898</v>
      </c>
      <c r="F162">
        <v>3199</v>
      </c>
      <c r="G162">
        <v>2478</v>
      </c>
      <c r="H162">
        <v>1038</v>
      </c>
      <c r="I162">
        <v>11688</v>
      </c>
      <c r="J162">
        <v>11832</v>
      </c>
    </row>
    <row r="163" spans="1:10" x14ac:dyDescent="0.2">
      <c r="A163" t="s">
        <v>100</v>
      </c>
      <c r="B163" t="s">
        <v>239</v>
      </c>
      <c r="C163">
        <v>111</v>
      </c>
      <c r="D163">
        <v>511</v>
      </c>
      <c r="E163">
        <v>795</v>
      </c>
      <c r="F163">
        <v>913</v>
      </c>
      <c r="G163">
        <v>786</v>
      </c>
      <c r="H163">
        <v>503</v>
      </c>
      <c r="I163">
        <v>3619</v>
      </c>
      <c r="J163">
        <v>3736</v>
      </c>
    </row>
    <row r="164" spans="1:10" x14ac:dyDescent="0.2">
      <c r="A164" t="s">
        <v>100</v>
      </c>
      <c r="B164" t="s">
        <v>109</v>
      </c>
      <c r="C164">
        <v>95</v>
      </c>
      <c r="D164">
        <v>545</v>
      </c>
      <c r="E164">
        <v>1516</v>
      </c>
      <c r="F164">
        <v>1860</v>
      </c>
      <c r="G164">
        <v>1735</v>
      </c>
      <c r="H164">
        <v>1009</v>
      </c>
      <c r="I164">
        <v>6760</v>
      </c>
      <c r="J164">
        <v>6935</v>
      </c>
    </row>
    <row r="165" spans="1:10" x14ac:dyDescent="0.2">
      <c r="A165" t="s">
        <v>100</v>
      </c>
      <c r="B165" t="s">
        <v>110</v>
      </c>
      <c r="C165">
        <v>6</v>
      </c>
      <c r="D165">
        <v>47</v>
      </c>
      <c r="E165">
        <v>80</v>
      </c>
      <c r="F165">
        <v>84</v>
      </c>
      <c r="G165">
        <v>61</v>
      </c>
      <c r="H165">
        <v>28</v>
      </c>
      <c r="I165">
        <v>306</v>
      </c>
      <c r="J165">
        <v>309</v>
      </c>
    </row>
    <row r="166" spans="1:10" x14ac:dyDescent="0.2">
      <c r="A166" t="s">
        <v>100</v>
      </c>
      <c r="B166" t="s">
        <v>111</v>
      </c>
      <c r="C166">
        <v>56</v>
      </c>
      <c r="D166">
        <v>294</v>
      </c>
      <c r="E166">
        <v>640</v>
      </c>
      <c r="F166">
        <v>697</v>
      </c>
      <c r="G166">
        <v>542</v>
      </c>
      <c r="H166">
        <v>385</v>
      </c>
      <c r="I166">
        <v>2614</v>
      </c>
      <c r="J166">
        <v>2748</v>
      </c>
    </row>
    <row r="167" spans="1:10" x14ac:dyDescent="0.2">
      <c r="A167" t="s">
        <v>100</v>
      </c>
      <c r="B167" t="s">
        <v>112</v>
      </c>
      <c r="C167">
        <v>998</v>
      </c>
      <c r="D167">
        <v>2970</v>
      </c>
      <c r="E167">
        <v>6991</v>
      </c>
      <c r="F167">
        <v>7679</v>
      </c>
      <c r="G167">
        <v>4788</v>
      </c>
      <c r="H167">
        <v>1895</v>
      </c>
      <c r="I167">
        <v>25321</v>
      </c>
      <c r="J167">
        <v>25705</v>
      </c>
    </row>
    <row r="168" spans="1:10" x14ac:dyDescent="0.2">
      <c r="A168" t="s">
        <v>100</v>
      </c>
      <c r="B168" t="s">
        <v>113</v>
      </c>
      <c r="C168">
        <v>2230</v>
      </c>
      <c r="D168">
        <v>5522</v>
      </c>
      <c r="E168">
        <v>6365</v>
      </c>
      <c r="F168">
        <v>4720</v>
      </c>
      <c r="G168">
        <v>2647</v>
      </c>
      <c r="H168">
        <v>1149</v>
      </c>
      <c r="I168">
        <v>22633</v>
      </c>
      <c r="J168">
        <v>22884</v>
      </c>
    </row>
    <row r="169" spans="1:10" x14ac:dyDescent="0.2">
      <c r="A169" t="s">
        <v>100</v>
      </c>
      <c r="B169" t="s">
        <v>114</v>
      </c>
      <c r="C169">
        <v>2026</v>
      </c>
      <c r="D169">
        <v>6498</v>
      </c>
      <c r="E169">
        <v>8627</v>
      </c>
      <c r="F169">
        <v>7253</v>
      </c>
      <c r="G169">
        <v>3839</v>
      </c>
      <c r="H169">
        <v>1283</v>
      </c>
      <c r="I169">
        <v>29526</v>
      </c>
      <c r="J169">
        <v>29695</v>
      </c>
    </row>
    <row r="170" spans="1:10" x14ac:dyDescent="0.2">
      <c r="A170" t="s">
        <v>100</v>
      </c>
      <c r="B170" t="s">
        <v>115</v>
      </c>
      <c r="C170">
        <v>1038</v>
      </c>
      <c r="D170">
        <v>2544</v>
      </c>
      <c r="E170">
        <v>3426</v>
      </c>
      <c r="F170">
        <v>2756</v>
      </c>
      <c r="G170">
        <v>1666</v>
      </c>
      <c r="H170">
        <v>706</v>
      </c>
      <c r="I170">
        <v>12136</v>
      </c>
      <c r="J170">
        <v>12317</v>
      </c>
    </row>
    <row r="171" spans="1:10" x14ac:dyDescent="0.2">
      <c r="A171" t="s">
        <v>100</v>
      </c>
      <c r="B171" t="s">
        <v>116</v>
      </c>
      <c r="C171">
        <v>3141</v>
      </c>
      <c r="D171">
        <v>8800</v>
      </c>
      <c r="E171">
        <v>13989</v>
      </c>
      <c r="F171">
        <v>12044</v>
      </c>
      <c r="G171">
        <v>6053</v>
      </c>
      <c r="H171">
        <v>1730</v>
      </c>
      <c r="I171">
        <v>45757</v>
      </c>
      <c r="J171">
        <v>46003</v>
      </c>
    </row>
    <row r="172" spans="1:10" x14ac:dyDescent="0.2">
      <c r="A172" t="s">
        <v>100</v>
      </c>
      <c r="B172" t="s">
        <v>117</v>
      </c>
      <c r="C172">
        <v>487</v>
      </c>
      <c r="D172">
        <v>1324</v>
      </c>
      <c r="E172">
        <v>2565</v>
      </c>
      <c r="F172">
        <v>2647</v>
      </c>
      <c r="G172">
        <v>1984</v>
      </c>
      <c r="H172">
        <v>1016</v>
      </c>
      <c r="I172">
        <v>10023</v>
      </c>
      <c r="J172">
        <v>10351</v>
      </c>
    </row>
    <row r="173" spans="1:10" x14ac:dyDescent="0.2">
      <c r="A173" t="s">
        <v>100</v>
      </c>
      <c r="B173" t="s">
        <v>118</v>
      </c>
      <c r="C173">
        <v>2563</v>
      </c>
      <c r="D173">
        <v>6418</v>
      </c>
      <c r="E173">
        <v>13122</v>
      </c>
      <c r="F173">
        <v>13715</v>
      </c>
      <c r="G173">
        <v>9622</v>
      </c>
      <c r="H173">
        <v>4569</v>
      </c>
      <c r="I173">
        <v>50009</v>
      </c>
      <c r="J173">
        <v>51191</v>
      </c>
    </row>
    <row r="174" spans="1:10" x14ac:dyDescent="0.2">
      <c r="A174" t="s">
        <v>100</v>
      </c>
      <c r="B174" t="s">
        <v>119</v>
      </c>
      <c r="C174">
        <v>1464</v>
      </c>
      <c r="D174">
        <v>3682</v>
      </c>
      <c r="E174">
        <v>7896</v>
      </c>
      <c r="F174">
        <v>7879</v>
      </c>
      <c r="G174">
        <v>4600</v>
      </c>
      <c r="H174">
        <v>1757</v>
      </c>
      <c r="I174">
        <v>27278</v>
      </c>
      <c r="J174">
        <v>27730</v>
      </c>
    </row>
    <row r="175" spans="1:10" x14ac:dyDescent="0.2">
      <c r="A175" t="s">
        <v>100</v>
      </c>
      <c r="B175" t="s">
        <v>120</v>
      </c>
      <c r="C175">
        <v>217</v>
      </c>
      <c r="D175">
        <v>521</v>
      </c>
      <c r="E175">
        <v>1009</v>
      </c>
      <c r="F175">
        <v>962</v>
      </c>
      <c r="G175">
        <v>607</v>
      </c>
      <c r="H175">
        <v>235</v>
      </c>
      <c r="I175">
        <v>3551</v>
      </c>
      <c r="J175">
        <v>3605</v>
      </c>
    </row>
    <row r="176" spans="1:10" x14ac:dyDescent="0.2">
      <c r="A176" t="s">
        <v>100</v>
      </c>
      <c r="B176" t="s">
        <v>121</v>
      </c>
      <c r="C176">
        <v>4889</v>
      </c>
      <c r="D176">
        <v>6444</v>
      </c>
      <c r="E176">
        <v>11905</v>
      </c>
      <c r="F176">
        <v>10676</v>
      </c>
      <c r="G176">
        <v>5028</v>
      </c>
      <c r="H176">
        <v>1520</v>
      </c>
      <c r="I176">
        <v>40462</v>
      </c>
      <c r="J176">
        <v>40763</v>
      </c>
    </row>
    <row r="177" spans="1:10" x14ac:dyDescent="0.2">
      <c r="A177" t="s">
        <v>100</v>
      </c>
      <c r="B177" t="s">
        <v>122</v>
      </c>
      <c r="C177">
        <v>477</v>
      </c>
      <c r="D177">
        <v>1343</v>
      </c>
      <c r="E177">
        <v>3656</v>
      </c>
      <c r="F177">
        <v>3768</v>
      </c>
      <c r="G177">
        <v>1974</v>
      </c>
      <c r="H177">
        <v>532</v>
      </c>
      <c r="I177">
        <v>11750</v>
      </c>
      <c r="J177">
        <v>11806</v>
      </c>
    </row>
    <row r="178" spans="1:10" x14ac:dyDescent="0.2">
      <c r="A178" t="s">
        <v>100</v>
      </c>
      <c r="B178" t="s">
        <v>123</v>
      </c>
      <c r="C178">
        <v>4972</v>
      </c>
      <c r="D178">
        <v>11007</v>
      </c>
      <c r="E178">
        <v>21813</v>
      </c>
      <c r="F178">
        <v>24507</v>
      </c>
      <c r="G178">
        <v>12963</v>
      </c>
      <c r="H178">
        <v>2663</v>
      </c>
      <c r="I178">
        <v>77925</v>
      </c>
      <c r="J178">
        <v>78215</v>
      </c>
    </row>
    <row r="179" spans="1:10" x14ac:dyDescent="0.2">
      <c r="A179" t="s">
        <v>100</v>
      </c>
      <c r="B179" t="s">
        <v>124</v>
      </c>
      <c r="C179">
        <v>276</v>
      </c>
      <c r="D179">
        <v>1769</v>
      </c>
      <c r="E179">
        <v>6103</v>
      </c>
      <c r="F179">
        <v>7329</v>
      </c>
      <c r="G179">
        <v>3366</v>
      </c>
      <c r="H179">
        <v>713</v>
      </c>
      <c r="I179">
        <v>19556</v>
      </c>
      <c r="J179">
        <v>19666</v>
      </c>
    </row>
    <row r="180" spans="1:10" x14ac:dyDescent="0.2">
      <c r="A180" t="s">
        <v>100</v>
      </c>
      <c r="B180" t="s">
        <v>125</v>
      </c>
      <c r="C180">
        <v>143</v>
      </c>
      <c r="D180">
        <v>806</v>
      </c>
      <c r="E180">
        <v>2815</v>
      </c>
      <c r="F180">
        <v>3029</v>
      </c>
      <c r="G180">
        <v>1183</v>
      </c>
      <c r="H180">
        <v>213</v>
      </c>
      <c r="I180">
        <v>8189</v>
      </c>
      <c r="J180">
        <v>8235</v>
      </c>
    </row>
    <row r="181" spans="1:10" x14ac:dyDescent="0.2">
      <c r="A181" t="s">
        <v>100</v>
      </c>
      <c r="B181" t="s">
        <v>126</v>
      </c>
      <c r="C181">
        <v>611</v>
      </c>
      <c r="D181">
        <v>2946</v>
      </c>
      <c r="E181">
        <v>2647</v>
      </c>
      <c r="F181">
        <v>1702</v>
      </c>
      <c r="G181">
        <v>865</v>
      </c>
      <c r="H181">
        <v>273</v>
      </c>
      <c r="I181">
        <v>9044</v>
      </c>
      <c r="J181">
        <v>9078</v>
      </c>
    </row>
    <row r="182" spans="1:10" x14ac:dyDescent="0.2">
      <c r="A182" t="s">
        <v>100</v>
      </c>
      <c r="B182" t="s">
        <v>127</v>
      </c>
      <c r="C182">
        <v>306</v>
      </c>
      <c r="D182">
        <v>1175</v>
      </c>
      <c r="E182">
        <v>1065</v>
      </c>
      <c r="F182">
        <v>644</v>
      </c>
      <c r="G182">
        <v>374</v>
      </c>
      <c r="H182">
        <v>133</v>
      </c>
      <c r="I182">
        <v>3697</v>
      </c>
      <c r="J182">
        <v>3716</v>
      </c>
    </row>
    <row r="183" spans="1:10" x14ac:dyDescent="0.2">
      <c r="A183" t="s">
        <v>100</v>
      </c>
      <c r="B183" t="s">
        <v>128</v>
      </c>
      <c r="C183">
        <v>534</v>
      </c>
      <c r="D183">
        <v>1913</v>
      </c>
      <c r="E183">
        <v>2084</v>
      </c>
      <c r="F183">
        <v>1301</v>
      </c>
      <c r="G183">
        <v>601</v>
      </c>
      <c r="H183">
        <v>160</v>
      </c>
      <c r="I183">
        <v>6593</v>
      </c>
      <c r="J183">
        <v>6617</v>
      </c>
    </row>
    <row r="184" spans="1:10" x14ac:dyDescent="0.2">
      <c r="A184" t="s">
        <v>100</v>
      </c>
      <c r="B184" t="s">
        <v>129</v>
      </c>
      <c r="C184">
        <v>995</v>
      </c>
      <c r="D184">
        <v>2759</v>
      </c>
      <c r="E184">
        <v>1984</v>
      </c>
      <c r="F184">
        <v>803</v>
      </c>
      <c r="G184">
        <v>289</v>
      </c>
      <c r="H184">
        <v>140</v>
      </c>
      <c r="I184">
        <v>6970</v>
      </c>
      <c r="J184">
        <v>7066</v>
      </c>
    </row>
    <row r="185" spans="1:10" x14ac:dyDescent="0.2">
      <c r="A185" t="s">
        <v>100</v>
      </c>
      <c r="B185" t="s">
        <v>130</v>
      </c>
      <c r="C185">
        <v>663</v>
      </c>
      <c r="D185">
        <v>1659</v>
      </c>
      <c r="E185">
        <v>1773</v>
      </c>
      <c r="F185">
        <v>1259</v>
      </c>
      <c r="G185">
        <v>597</v>
      </c>
      <c r="H185">
        <v>210</v>
      </c>
      <c r="I185">
        <v>6161</v>
      </c>
      <c r="J185">
        <v>6218</v>
      </c>
    </row>
    <row r="186" spans="1:10" x14ac:dyDescent="0.2">
      <c r="A186" t="s">
        <v>100</v>
      </c>
      <c r="B186" t="s">
        <v>131</v>
      </c>
      <c r="C186">
        <v>1393</v>
      </c>
      <c r="D186">
        <v>3713</v>
      </c>
      <c r="E186">
        <v>5619</v>
      </c>
      <c r="F186">
        <v>4980</v>
      </c>
      <c r="G186">
        <v>2820</v>
      </c>
      <c r="H186">
        <v>1076</v>
      </c>
      <c r="I186">
        <v>19601</v>
      </c>
      <c r="J186">
        <v>19838</v>
      </c>
    </row>
    <row r="187" spans="1:10" x14ac:dyDescent="0.2">
      <c r="A187" t="s">
        <v>100</v>
      </c>
      <c r="B187" t="s">
        <v>132</v>
      </c>
      <c r="C187">
        <v>246</v>
      </c>
      <c r="D187">
        <v>1047</v>
      </c>
      <c r="E187">
        <v>1825</v>
      </c>
      <c r="F187">
        <v>1978</v>
      </c>
      <c r="G187">
        <v>1410</v>
      </c>
      <c r="H187">
        <v>597</v>
      </c>
      <c r="I187">
        <v>7103</v>
      </c>
      <c r="J187">
        <v>7184</v>
      </c>
    </row>
    <row r="188" spans="1:10" x14ac:dyDescent="0.2">
      <c r="A188" t="s">
        <v>100</v>
      </c>
      <c r="B188" t="s">
        <v>133</v>
      </c>
      <c r="C188">
        <v>469</v>
      </c>
      <c r="D188">
        <v>1605</v>
      </c>
      <c r="E188">
        <v>3217</v>
      </c>
      <c r="F188">
        <v>3425</v>
      </c>
      <c r="G188">
        <v>2704</v>
      </c>
      <c r="H188">
        <v>1563</v>
      </c>
      <c r="I188">
        <v>12983</v>
      </c>
      <c r="J188">
        <v>13198</v>
      </c>
    </row>
    <row r="189" spans="1:10" x14ac:dyDescent="0.2">
      <c r="A189" t="s">
        <v>100</v>
      </c>
      <c r="B189" t="s">
        <v>134</v>
      </c>
      <c r="C189">
        <v>985</v>
      </c>
      <c r="D189">
        <v>2121</v>
      </c>
      <c r="E189">
        <v>4721</v>
      </c>
      <c r="F189">
        <v>5945</v>
      </c>
      <c r="G189">
        <v>5337</v>
      </c>
      <c r="H189">
        <v>3396</v>
      </c>
      <c r="I189">
        <v>22505</v>
      </c>
      <c r="J189">
        <v>24101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R116"/>
  <sheetViews>
    <sheetView defaultGridColor="0" topLeftCell="A28" colorId="22" workbookViewId="0">
      <selection activeCell="A2" sqref="A2"/>
    </sheetView>
  </sheetViews>
  <sheetFormatPr defaultColWidth="10.28515625" defaultRowHeight="14.25" customHeight="1" x14ac:dyDescent="0.2"/>
  <cols>
    <col min="1" max="16384" width="10.28515625" style="7"/>
  </cols>
  <sheetData>
    <row r="1" spans="1:21" ht="12" customHeight="1" x14ac:dyDescent="0.2">
      <c r="A1" s="2"/>
    </row>
    <row r="2" spans="1:21" ht="12" customHeight="1" x14ac:dyDescent="0.2">
      <c r="A2" s="2"/>
    </row>
    <row r="3" spans="1:21" ht="12" customHeight="1" x14ac:dyDescent="0.2">
      <c r="D3" s="2" t="s">
        <v>39</v>
      </c>
      <c r="J3" s="2" t="s">
        <v>40</v>
      </c>
      <c r="P3" s="2" t="s">
        <v>54</v>
      </c>
    </row>
    <row r="4" spans="1:21" ht="12" customHeight="1" x14ac:dyDescent="0.2">
      <c r="D4" s="2" t="s">
        <v>33</v>
      </c>
      <c r="E4" s="2" t="s">
        <v>34</v>
      </c>
      <c r="F4" s="2" t="s">
        <v>35</v>
      </c>
      <c r="G4" s="2" t="s">
        <v>60</v>
      </c>
      <c r="H4" s="2" t="s">
        <v>37</v>
      </c>
      <c r="I4" s="2" t="s">
        <v>38</v>
      </c>
      <c r="J4" s="2" t="s">
        <v>33</v>
      </c>
      <c r="K4" s="2" t="s">
        <v>34</v>
      </c>
      <c r="L4" s="2" t="s">
        <v>35</v>
      </c>
      <c r="M4" s="2" t="s">
        <v>60</v>
      </c>
      <c r="N4" s="2" t="s">
        <v>37</v>
      </c>
      <c r="O4" s="2" t="s">
        <v>38</v>
      </c>
      <c r="P4" s="2" t="s">
        <v>33</v>
      </c>
      <c r="Q4" s="2" t="s">
        <v>34</v>
      </c>
      <c r="R4" s="2" t="s">
        <v>35</v>
      </c>
      <c r="S4" s="2" t="s">
        <v>60</v>
      </c>
      <c r="T4" s="2" t="s">
        <v>37</v>
      </c>
      <c r="U4" s="2" t="s">
        <v>38</v>
      </c>
    </row>
    <row r="6" spans="1:21" ht="12" customHeight="1" x14ac:dyDescent="0.2">
      <c r="A6" s="2"/>
      <c r="C6" s="2" t="s">
        <v>0</v>
      </c>
      <c r="D6" s="39">
        <v>3079</v>
      </c>
      <c r="E6" s="39">
        <v>3124</v>
      </c>
      <c r="F6" s="39">
        <v>3441</v>
      </c>
      <c r="G6" s="39">
        <v>3567</v>
      </c>
      <c r="H6" s="39">
        <v>3257</v>
      </c>
      <c r="I6" s="39">
        <v>3908</v>
      </c>
      <c r="J6" s="39">
        <v>5907</v>
      </c>
      <c r="K6" s="39">
        <v>5431</v>
      </c>
      <c r="L6" s="39">
        <v>5764</v>
      </c>
      <c r="M6" s="39">
        <v>5293</v>
      </c>
      <c r="N6" s="39">
        <v>4580</v>
      </c>
      <c r="O6" s="39">
        <v>5303</v>
      </c>
      <c r="P6" s="39">
        <v>8986</v>
      </c>
      <c r="Q6" s="39">
        <v>8555</v>
      </c>
      <c r="R6" s="39">
        <v>9205</v>
      </c>
      <c r="S6" s="39">
        <v>8860</v>
      </c>
      <c r="T6" s="39">
        <v>7837</v>
      </c>
      <c r="U6" s="39">
        <v>9211</v>
      </c>
    </row>
    <row r="7" spans="1:21" ht="12" customHeight="1" x14ac:dyDescent="0.2">
      <c r="C7" s="2" t="s">
        <v>1</v>
      </c>
      <c r="D7" s="39">
        <v>3556</v>
      </c>
      <c r="E7" s="39">
        <v>3230</v>
      </c>
      <c r="F7" s="39">
        <v>3167</v>
      </c>
      <c r="G7" s="39">
        <v>2780</v>
      </c>
      <c r="H7" s="39">
        <v>2256</v>
      </c>
      <c r="I7" s="39">
        <v>2894</v>
      </c>
      <c r="J7" s="39">
        <v>4136</v>
      </c>
      <c r="K7" s="39">
        <v>3518</v>
      </c>
      <c r="L7" s="39">
        <v>3217</v>
      </c>
      <c r="M7" s="39">
        <v>2634</v>
      </c>
      <c r="N7" s="39">
        <v>1916</v>
      </c>
      <c r="O7" s="39">
        <v>2357</v>
      </c>
      <c r="P7" s="39">
        <v>7692</v>
      </c>
      <c r="Q7" s="39">
        <v>6748</v>
      </c>
      <c r="R7" s="39">
        <v>6384</v>
      </c>
      <c r="S7" s="39">
        <v>5414</v>
      </c>
      <c r="T7" s="39">
        <v>4172</v>
      </c>
      <c r="U7" s="39">
        <v>5251</v>
      </c>
    </row>
    <row r="8" spans="1:21" ht="12" customHeight="1" x14ac:dyDescent="0.2">
      <c r="C8" s="2" t="s">
        <v>2</v>
      </c>
      <c r="D8" s="39">
        <v>4747</v>
      </c>
      <c r="E8" s="39">
        <v>4047</v>
      </c>
      <c r="F8" s="39">
        <v>4085</v>
      </c>
      <c r="G8" s="39">
        <v>3735</v>
      </c>
      <c r="H8" s="39">
        <v>3091</v>
      </c>
      <c r="I8" s="39">
        <v>3961</v>
      </c>
      <c r="J8" s="39">
        <v>1951</v>
      </c>
      <c r="K8" s="39">
        <v>1412</v>
      </c>
      <c r="L8" s="39">
        <v>1370</v>
      </c>
      <c r="M8" s="39">
        <v>1011</v>
      </c>
      <c r="N8" s="39">
        <v>737</v>
      </c>
      <c r="O8" s="39">
        <v>870</v>
      </c>
      <c r="P8" s="39">
        <v>6698</v>
      </c>
      <c r="Q8" s="39">
        <v>5459</v>
      </c>
      <c r="R8" s="39">
        <v>5455</v>
      </c>
      <c r="S8" s="39">
        <v>4746</v>
      </c>
      <c r="T8" s="39">
        <v>3828</v>
      </c>
      <c r="U8" s="39">
        <v>4831</v>
      </c>
    </row>
    <row r="9" spans="1:21" ht="12" customHeight="1" x14ac:dyDescent="0.2">
      <c r="C9" s="2" t="s">
        <v>3</v>
      </c>
      <c r="D9" s="39">
        <v>676</v>
      </c>
      <c r="E9" s="39">
        <v>746</v>
      </c>
      <c r="F9" s="39">
        <v>915</v>
      </c>
      <c r="G9" s="39">
        <v>904</v>
      </c>
      <c r="H9" s="39">
        <v>698</v>
      </c>
      <c r="I9" s="39">
        <v>803</v>
      </c>
      <c r="J9" s="39">
        <v>335</v>
      </c>
      <c r="K9" s="39">
        <v>386</v>
      </c>
      <c r="L9" s="39">
        <v>474</v>
      </c>
      <c r="M9" s="39">
        <v>485</v>
      </c>
      <c r="N9" s="39">
        <v>380</v>
      </c>
      <c r="O9" s="39">
        <v>383</v>
      </c>
      <c r="P9" s="39">
        <v>1011</v>
      </c>
      <c r="Q9" s="39">
        <v>1132</v>
      </c>
      <c r="R9" s="39">
        <v>1389</v>
      </c>
      <c r="S9" s="39">
        <v>1389</v>
      </c>
      <c r="T9" s="39">
        <v>1078</v>
      </c>
      <c r="U9" s="39">
        <v>1186</v>
      </c>
    </row>
    <row r="10" spans="1:21" ht="12" customHeight="1" x14ac:dyDescent="0.2">
      <c r="C10" s="2" t="s">
        <v>4</v>
      </c>
      <c r="D10" s="39">
        <v>6134</v>
      </c>
      <c r="E10" s="39">
        <v>3833</v>
      </c>
      <c r="F10" s="39">
        <v>4322</v>
      </c>
      <c r="G10" s="39">
        <v>4886</v>
      </c>
      <c r="H10" s="39">
        <v>5194</v>
      </c>
      <c r="I10" s="39">
        <v>12045</v>
      </c>
      <c r="J10" s="39">
        <v>4095</v>
      </c>
      <c r="K10" s="39">
        <v>3088</v>
      </c>
      <c r="L10" s="39">
        <v>3247</v>
      </c>
      <c r="M10" s="39">
        <v>3262</v>
      </c>
      <c r="N10" s="39">
        <v>3148</v>
      </c>
      <c r="O10" s="39">
        <v>6185</v>
      </c>
      <c r="P10" s="39">
        <v>10229</v>
      </c>
      <c r="Q10" s="39">
        <v>6921</v>
      </c>
      <c r="R10" s="39">
        <v>7569</v>
      </c>
      <c r="S10" s="39">
        <v>8148</v>
      </c>
      <c r="T10" s="39">
        <v>8342</v>
      </c>
      <c r="U10" s="39">
        <v>18230</v>
      </c>
    </row>
    <row r="11" spans="1:21" ht="12" customHeight="1" x14ac:dyDescent="0.2">
      <c r="C11" s="2" t="s">
        <v>5</v>
      </c>
      <c r="D11" s="39">
        <v>350</v>
      </c>
      <c r="E11" s="39">
        <v>232</v>
      </c>
      <c r="F11" s="39">
        <v>220</v>
      </c>
      <c r="G11" s="39">
        <v>211</v>
      </c>
      <c r="H11" s="39">
        <v>151</v>
      </c>
      <c r="I11" s="39">
        <v>271</v>
      </c>
      <c r="J11" s="39">
        <v>233</v>
      </c>
      <c r="K11" s="39">
        <v>162</v>
      </c>
      <c r="L11" s="39">
        <v>126</v>
      </c>
      <c r="M11" s="39">
        <v>101</v>
      </c>
      <c r="N11" s="39">
        <v>75</v>
      </c>
      <c r="O11" s="39">
        <v>98</v>
      </c>
      <c r="P11" s="39">
        <v>583</v>
      </c>
      <c r="Q11" s="39">
        <v>394</v>
      </c>
      <c r="R11" s="39">
        <v>346</v>
      </c>
      <c r="S11" s="39">
        <v>312</v>
      </c>
      <c r="T11" s="39">
        <v>226</v>
      </c>
      <c r="U11" s="39">
        <v>369</v>
      </c>
    </row>
    <row r="12" spans="1:21" ht="12" customHeight="1" x14ac:dyDescent="0.2">
      <c r="C12" s="2" t="s">
        <v>6</v>
      </c>
      <c r="D12" s="39">
        <v>909</v>
      </c>
      <c r="E12" s="39">
        <v>1454</v>
      </c>
      <c r="F12" s="39">
        <v>2109</v>
      </c>
      <c r="G12" s="39">
        <v>2352</v>
      </c>
      <c r="H12" s="39">
        <v>1964</v>
      </c>
      <c r="I12" s="39">
        <v>2172</v>
      </c>
      <c r="J12" s="39">
        <v>809</v>
      </c>
      <c r="K12" s="39">
        <v>1073</v>
      </c>
      <c r="L12" s="39">
        <v>1435</v>
      </c>
      <c r="M12" s="39">
        <v>1319</v>
      </c>
      <c r="N12" s="39">
        <v>868</v>
      </c>
      <c r="O12" s="39">
        <v>800</v>
      </c>
      <c r="P12" s="39">
        <v>1718</v>
      </c>
      <c r="Q12" s="39">
        <v>2527</v>
      </c>
      <c r="R12" s="39">
        <v>3544</v>
      </c>
      <c r="S12" s="39">
        <v>3671</v>
      </c>
      <c r="T12" s="39">
        <v>2832</v>
      </c>
      <c r="U12" s="39">
        <v>2972</v>
      </c>
    </row>
    <row r="13" spans="1:21" ht="12" customHeight="1" x14ac:dyDescent="0.2">
      <c r="C13" s="2" t="s">
        <v>168</v>
      </c>
      <c r="D13" s="39">
        <v>1338</v>
      </c>
      <c r="E13" s="39">
        <v>1841</v>
      </c>
      <c r="F13" s="39">
        <v>2232</v>
      </c>
      <c r="G13" s="39">
        <v>2126</v>
      </c>
      <c r="H13" s="39">
        <v>1657</v>
      </c>
      <c r="I13" s="39">
        <v>2160</v>
      </c>
      <c r="J13" s="39">
        <v>206</v>
      </c>
      <c r="K13" s="39">
        <v>251</v>
      </c>
      <c r="L13" s="39">
        <v>329</v>
      </c>
      <c r="M13" s="39">
        <v>373</v>
      </c>
      <c r="N13" s="39">
        <v>326</v>
      </c>
      <c r="O13" s="39">
        <v>480</v>
      </c>
      <c r="P13" s="39">
        <v>1544</v>
      </c>
      <c r="Q13" s="39">
        <v>2092</v>
      </c>
      <c r="R13" s="39">
        <v>2561</v>
      </c>
      <c r="S13" s="39">
        <v>2499</v>
      </c>
      <c r="T13" s="39">
        <v>1983</v>
      </c>
      <c r="U13" s="39">
        <v>2640</v>
      </c>
    </row>
    <row r="14" spans="1:21" ht="12" customHeight="1" x14ac:dyDescent="0.2">
      <c r="C14" s="2" t="s">
        <v>8</v>
      </c>
      <c r="D14" s="39">
        <v>746</v>
      </c>
      <c r="E14" s="39">
        <v>1669</v>
      </c>
      <c r="F14" s="39">
        <v>2964</v>
      </c>
      <c r="G14" s="39">
        <v>3536</v>
      </c>
      <c r="H14" s="39">
        <v>3000</v>
      </c>
      <c r="I14" s="39">
        <v>3616</v>
      </c>
      <c r="J14" s="39">
        <v>441</v>
      </c>
      <c r="K14" s="39">
        <v>1025</v>
      </c>
      <c r="L14" s="39">
        <v>1692</v>
      </c>
      <c r="M14" s="39">
        <v>2050</v>
      </c>
      <c r="N14" s="39">
        <v>1804</v>
      </c>
      <c r="O14" s="39">
        <v>2271</v>
      </c>
      <c r="P14" s="39">
        <v>1187</v>
      </c>
      <c r="Q14" s="39">
        <v>2694</v>
      </c>
      <c r="R14" s="39">
        <v>4656</v>
      </c>
      <c r="S14" s="39">
        <v>5586</v>
      </c>
      <c r="T14" s="39">
        <v>4804</v>
      </c>
      <c r="U14" s="39">
        <v>5887</v>
      </c>
    </row>
    <row r="15" spans="1:21" ht="12" customHeight="1" x14ac:dyDescent="0.2">
      <c r="C15" s="2" t="s">
        <v>9</v>
      </c>
      <c r="D15" s="39">
        <v>8</v>
      </c>
      <c r="E15" s="39">
        <v>7</v>
      </c>
      <c r="F15" s="39">
        <v>12</v>
      </c>
      <c r="G15" s="39">
        <v>13</v>
      </c>
      <c r="H15" s="39">
        <v>22</v>
      </c>
      <c r="I15" s="39">
        <v>15</v>
      </c>
      <c r="J15" s="39">
        <v>127</v>
      </c>
      <c r="K15" s="39">
        <v>148</v>
      </c>
      <c r="L15" s="39">
        <v>159</v>
      </c>
      <c r="M15" s="39">
        <v>166</v>
      </c>
      <c r="N15" s="39">
        <v>113</v>
      </c>
      <c r="O15" s="39">
        <v>90</v>
      </c>
      <c r="P15" s="39">
        <v>135</v>
      </c>
      <c r="Q15" s="39">
        <v>155</v>
      </c>
      <c r="R15" s="39">
        <v>171</v>
      </c>
      <c r="S15" s="39">
        <v>179</v>
      </c>
      <c r="T15" s="39">
        <v>135</v>
      </c>
      <c r="U15" s="39">
        <v>105</v>
      </c>
    </row>
    <row r="16" spans="1:21" ht="12" customHeight="1" x14ac:dyDescent="0.2">
      <c r="C16" s="2" t="s">
        <v>10</v>
      </c>
      <c r="D16" s="39">
        <v>297</v>
      </c>
      <c r="E16" s="39">
        <v>346</v>
      </c>
      <c r="F16" s="39">
        <v>459</v>
      </c>
      <c r="G16" s="39">
        <v>487</v>
      </c>
      <c r="H16" s="39">
        <v>408</v>
      </c>
      <c r="I16" s="39">
        <v>934</v>
      </c>
      <c r="J16" s="39">
        <v>184</v>
      </c>
      <c r="K16" s="39">
        <v>218</v>
      </c>
      <c r="L16" s="39">
        <v>291</v>
      </c>
      <c r="M16" s="39">
        <v>315</v>
      </c>
      <c r="N16" s="39">
        <v>279</v>
      </c>
      <c r="O16" s="39">
        <v>528</v>
      </c>
      <c r="P16" s="39">
        <v>481</v>
      </c>
      <c r="Q16" s="39">
        <v>564</v>
      </c>
      <c r="R16" s="39">
        <v>750</v>
      </c>
      <c r="S16" s="39">
        <v>802</v>
      </c>
      <c r="T16" s="39">
        <v>687</v>
      </c>
      <c r="U16" s="39">
        <v>1462</v>
      </c>
    </row>
    <row r="17" spans="3:21" ht="12" customHeight="1" x14ac:dyDescent="0.2">
      <c r="C17" s="2" t="s">
        <v>11</v>
      </c>
      <c r="D17" s="39">
        <v>2126</v>
      </c>
      <c r="E17" s="39">
        <v>3605</v>
      </c>
      <c r="F17" s="39">
        <v>4941</v>
      </c>
      <c r="G17" s="39">
        <v>4693</v>
      </c>
      <c r="H17" s="39">
        <v>3304</v>
      </c>
      <c r="I17" s="39">
        <v>3051</v>
      </c>
      <c r="J17" s="39">
        <v>1913</v>
      </c>
      <c r="K17" s="39">
        <v>2903</v>
      </c>
      <c r="L17" s="39">
        <v>3810</v>
      </c>
      <c r="M17" s="39">
        <v>3513</v>
      </c>
      <c r="N17" s="39">
        <v>2396</v>
      </c>
      <c r="O17" s="39">
        <v>2423</v>
      </c>
      <c r="P17" s="39">
        <v>4039</v>
      </c>
      <c r="Q17" s="39">
        <v>6508</v>
      </c>
      <c r="R17" s="39">
        <v>8751</v>
      </c>
      <c r="S17" s="39">
        <v>8206</v>
      </c>
      <c r="T17" s="39">
        <v>5700</v>
      </c>
      <c r="U17" s="39">
        <v>5474</v>
      </c>
    </row>
    <row r="18" spans="3:21" ht="12" customHeight="1" x14ac:dyDescent="0.2">
      <c r="C18" s="2" t="s">
        <v>12</v>
      </c>
      <c r="D18" s="39">
        <v>2302</v>
      </c>
      <c r="E18" s="39">
        <v>1798</v>
      </c>
      <c r="F18" s="39">
        <v>1708</v>
      </c>
      <c r="G18" s="39">
        <v>1426</v>
      </c>
      <c r="H18" s="39">
        <v>1089</v>
      </c>
      <c r="I18" s="39">
        <v>1283</v>
      </c>
      <c r="J18" s="39">
        <v>1097</v>
      </c>
      <c r="K18" s="39">
        <v>811</v>
      </c>
      <c r="L18" s="39">
        <v>710</v>
      </c>
      <c r="M18" s="39">
        <v>597</v>
      </c>
      <c r="N18" s="39">
        <v>467</v>
      </c>
      <c r="O18" s="39">
        <v>564</v>
      </c>
      <c r="P18" s="39">
        <v>3399</v>
      </c>
      <c r="Q18" s="39">
        <v>2609</v>
      </c>
      <c r="R18" s="39">
        <v>2418</v>
      </c>
      <c r="S18" s="39">
        <v>2023</v>
      </c>
      <c r="T18" s="39">
        <v>1556</v>
      </c>
      <c r="U18" s="39">
        <v>1847</v>
      </c>
    </row>
    <row r="19" spans="3:21" ht="12" customHeight="1" x14ac:dyDescent="0.2">
      <c r="C19" s="2" t="s">
        <v>13</v>
      </c>
      <c r="D19" s="39">
        <v>2739</v>
      </c>
      <c r="E19" s="39">
        <v>3356</v>
      </c>
      <c r="F19" s="39">
        <v>3921</v>
      </c>
      <c r="G19" s="39">
        <v>3506</v>
      </c>
      <c r="H19" s="39">
        <v>2502</v>
      </c>
      <c r="I19" s="39">
        <v>2016</v>
      </c>
      <c r="J19" s="39">
        <v>3493</v>
      </c>
      <c r="K19" s="39">
        <v>3109</v>
      </c>
      <c r="L19" s="39">
        <v>3123</v>
      </c>
      <c r="M19" s="39">
        <v>2374</v>
      </c>
      <c r="N19" s="39">
        <v>1555</v>
      </c>
      <c r="O19" s="39">
        <v>1320</v>
      </c>
      <c r="P19" s="39">
        <v>6232</v>
      </c>
      <c r="Q19" s="39">
        <v>6465</v>
      </c>
      <c r="R19" s="39">
        <v>7044</v>
      </c>
      <c r="S19" s="39">
        <v>5880</v>
      </c>
      <c r="T19" s="39">
        <v>4057</v>
      </c>
      <c r="U19" s="39">
        <v>3336</v>
      </c>
    </row>
    <row r="20" spans="3:21" ht="12" customHeight="1" x14ac:dyDescent="0.2">
      <c r="C20" s="2" t="s">
        <v>14</v>
      </c>
      <c r="D20" s="39">
        <v>846</v>
      </c>
      <c r="E20" s="39">
        <v>860</v>
      </c>
      <c r="F20" s="39">
        <v>997</v>
      </c>
      <c r="G20" s="39">
        <v>783</v>
      </c>
      <c r="H20" s="39">
        <v>517</v>
      </c>
      <c r="I20" s="39">
        <v>532</v>
      </c>
      <c r="J20" s="39">
        <v>739</v>
      </c>
      <c r="K20" s="39">
        <v>721</v>
      </c>
      <c r="L20" s="39">
        <v>654</v>
      </c>
      <c r="M20" s="39">
        <v>555</v>
      </c>
      <c r="N20" s="39">
        <v>361</v>
      </c>
      <c r="O20" s="39">
        <v>421</v>
      </c>
      <c r="P20" s="39">
        <v>1585</v>
      </c>
      <c r="Q20" s="39">
        <v>1581</v>
      </c>
      <c r="R20" s="39">
        <v>1651</v>
      </c>
      <c r="S20" s="39">
        <v>1338</v>
      </c>
      <c r="T20" s="39">
        <v>878</v>
      </c>
      <c r="U20" s="39">
        <v>953</v>
      </c>
    </row>
    <row r="21" spans="3:21" ht="12" customHeight="1" x14ac:dyDescent="0.2">
      <c r="C21" s="2" t="s">
        <v>15</v>
      </c>
      <c r="D21" s="39">
        <v>2880</v>
      </c>
      <c r="E21" s="39">
        <v>4027</v>
      </c>
      <c r="F21" s="39">
        <v>4215</v>
      </c>
      <c r="G21" s="39">
        <v>2955</v>
      </c>
      <c r="H21" s="39">
        <v>1613</v>
      </c>
      <c r="I21" s="39">
        <v>1192</v>
      </c>
      <c r="J21" s="39">
        <v>3610</v>
      </c>
      <c r="K21" s="39">
        <v>4700</v>
      </c>
      <c r="L21" s="39">
        <v>4659</v>
      </c>
      <c r="M21" s="39">
        <v>3232</v>
      </c>
      <c r="N21" s="39">
        <v>1829</v>
      </c>
      <c r="O21" s="39">
        <v>1461</v>
      </c>
      <c r="P21" s="39">
        <v>6490</v>
      </c>
      <c r="Q21" s="39">
        <v>8727</v>
      </c>
      <c r="R21" s="39">
        <v>8874</v>
      </c>
      <c r="S21" s="39">
        <v>6187</v>
      </c>
      <c r="T21" s="39">
        <v>3442</v>
      </c>
      <c r="U21" s="39">
        <v>2653</v>
      </c>
    </row>
    <row r="22" spans="3:21" ht="12" customHeight="1" x14ac:dyDescent="0.2">
      <c r="C22" s="2" t="s">
        <v>16</v>
      </c>
      <c r="D22" s="39">
        <v>559</v>
      </c>
      <c r="E22" s="39">
        <v>724</v>
      </c>
      <c r="F22" s="39">
        <v>931</v>
      </c>
      <c r="G22" s="39">
        <v>971</v>
      </c>
      <c r="H22" s="39">
        <v>882</v>
      </c>
      <c r="I22" s="39">
        <v>1331</v>
      </c>
      <c r="J22" s="39">
        <v>1035</v>
      </c>
      <c r="K22" s="39">
        <v>1201</v>
      </c>
      <c r="L22" s="39">
        <v>1354</v>
      </c>
      <c r="M22" s="39">
        <v>1423</v>
      </c>
      <c r="N22" s="39">
        <v>1088</v>
      </c>
      <c r="O22" s="39">
        <v>1705</v>
      </c>
      <c r="P22" s="39">
        <v>1594</v>
      </c>
      <c r="Q22" s="39">
        <v>1925</v>
      </c>
      <c r="R22" s="39">
        <v>2285</v>
      </c>
      <c r="S22" s="39">
        <v>2394</v>
      </c>
      <c r="T22" s="39">
        <v>1970</v>
      </c>
      <c r="U22" s="39">
        <v>3036</v>
      </c>
    </row>
    <row r="23" spans="3:21" ht="12" customHeight="1" x14ac:dyDescent="0.2">
      <c r="C23" s="2" t="s">
        <v>17</v>
      </c>
      <c r="D23" s="39">
        <v>891</v>
      </c>
      <c r="E23" s="39">
        <v>1450</v>
      </c>
      <c r="F23" s="39">
        <v>2269</v>
      </c>
      <c r="G23" s="39">
        <v>2510</v>
      </c>
      <c r="H23" s="39">
        <v>2359</v>
      </c>
      <c r="I23" s="39">
        <v>2995</v>
      </c>
      <c r="J23" s="39">
        <v>4680</v>
      </c>
      <c r="K23" s="39">
        <v>5769</v>
      </c>
      <c r="L23" s="39">
        <v>6832</v>
      </c>
      <c r="M23" s="39">
        <v>6361</v>
      </c>
      <c r="N23" s="39">
        <v>5343</v>
      </c>
      <c r="O23" s="39">
        <v>5701</v>
      </c>
      <c r="P23" s="39">
        <v>5571</v>
      </c>
      <c r="Q23" s="39">
        <v>7219</v>
      </c>
      <c r="R23" s="39">
        <v>9101</v>
      </c>
      <c r="S23" s="39">
        <v>8871</v>
      </c>
      <c r="T23" s="39">
        <v>7702</v>
      </c>
      <c r="U23" s="39">
        <v>8696</v>
      </c>
    </row>
    <row r="24" spans="3:21" ht="12" customHeight="1" x14ac:dyDescent="0.2">
      <c r="C24" s="2" t="s">
        <v>18</v>
      </c>
      <c r="D24" s="39">
        <v>729</v>
      </c>
      <c r="E24" s="39">
        <v>977</v>
      </c>
      <c r="F24" s="39">
        <v>1363</v>
      </c>
      <c r="G24" s="39">
        <v>1321</v>
      </c>
      <c r="H24" s="39">
        <v>1137</v>
      </c>
      <c r="I24" s="39">
        <v>1325</v>
      </c>
      <c r="J24" s="39">
        <v>3347</v>
      </c>
      <c r="K24" s="39">
        <v>3598</v>
      </c>
      <c r="L24" s="39">
        <v>4127</v>
      </c>
      <c r="M24" s="39">
        <v>3612</v>
      </c>
      <c r="N24" s="39">
        <v>2885</v>
      </c>
      <c r="O24" s="39">
        <v>3052</v>
      </c>
      <c r="P24" s="39">
        <v>4076</v>
      </c>
      <c r="Q24" s="39">
        <v>4575</v>
      </c>
      <c r="R24" s="39">
        <v>5490</v>
      </c>
      <c r="S24" s="39">
        <v>4933</v>
      </c>
      <c r="T24" s="39">
        <v>4022</v>
      </c>
      <c r="U24" s="39">
        <v>4377</v>
      </c>
    </row>
    <row r="25" spans="3:21" ht="12" customHeight="1" x14ac:dyDescent="0.2">
      <c r="C25" s="2" t="s">
        <v>19</v>
      </c>
      <c r="D25" s="39">
        <v>171</v>
      </c>
      <c r="E25" s="39">
        <v>189</v>
      </c>
      <c r="F25" s="39">
        <v>270</v>
      </c>
      <c r="G25" s="39">
        <v>275</v>
      </c>
      <c r="H25" s="39">
        <v>182</v>
      </c>
      <c r="I25" s="39">
        <v>353</v>
      </c>
      <c r="J25" s="39">
        <v>256</v>
      </c>
      <c r="K25" s="39">
        <v>282</v>
      </c>
      <c r="L25" s="39">
        <v>349</v>
      </c>
      <c r="M25" s="39">
        <v>332</v>
      </c>
      <c r="N25" s="39">
        <v>293</v>
      </c>
      <c r="O25" s="39">
        <v>423</v>
      </c>
      <c r="P25" s="39">
        <v>427</v>
      </c>
      <c r="Q25" s="39">
        <v>471</v>
      </c>
      <c r="R25" s="39">
        <v>619</v>
      </c>
      <c r="S25" s="39">
        <v>607</v>
      </c>
      <c r="T25" s="39">
        <v>475</v>
      </c>
      <c r="U25" s="39">
        <v>776</v>
      </c>
    </row>
    <row r="26" spans="3:21" ht="12" customHeight="1" x14ac:dyDescent="0.2">
      <c r="C26" s="2" t="s">
        <v>20</v>
      </c>
      <c r="D26" s="39">
        <v>2399</v>
      </c>
      <c r="E26" s="39">
        <v>2237</v>
      </c>
      <c r="F26" s="39">
        <v>2653</v>
      </c>
      <c r="G26" s="39">
        <v>2467</v>
      </c>
      <c r="H26" s="39">
        <v>1751</v>
      </c>
      <c r="I26" s="39">
        <v>3179</v>
      </c>
      <c r="J26" s="39">
        <v>7222</v>
      </c>
      <c r="K26" s="39">
        <v>5397</v>
      </c>
      <c r="L26" s="39">
        <v>5283</v>
      </c>
      <c r="M26" s="39">
        <v>3870</v>
      </c>
      <c r="N26" s="39">
        <v>2335</v>
      </c>
      <c r="O26" s="39">
        <v>3502</v>
      </c>
      <c r="P26" s="39">
        <v>9621</v>
      </c>
      <c r="Q26" s="39">
        <v>7634</v>
      </c>
      <c r="R26" s="39">
        <v>7936</v>
      </c>
      <c r="S26" s="39">
        <v>6337</v>
      </c>
      <c r="T26" s="39">
        <v>4086</v>
      </c>
      <c r="U26" s="39">
        <v>6681</v>
      </c>
    </row>
    <row r="27" spans="3:21" ht="12" customHeight="1" x14ac:dyDescent="0.2">
      <c r="C27" s="2" t="s">
        <v>21</v>
      </c>
      <c r="D27" s="39">
        <v>463</v>
      </c>
      <c r="E27" s="39">
        <v>862</v>
      </c>
      <c r="F27" s="39">
        <v>1069</v>
      </c>
      <c r="G27" s="39">
        <v>907</v>
      </c>
      <c r="H27" s="39">
        <v>468</v>
      </c>
      <c r="I27" s="39">
        <v>392</v>
      </c>
      <c r="J27" s="39">
        <v>1709</v>
      </c>
      <c r="K27" s="39">
        <v>2517</v>
      </c>
      <c r="L27" s="39">
        <v>2725</v>
      </c>
      <c r="M27" s="39">
        <v>1846</v>
      </c>
      <c r="N27" s="39">
        <v>873</v>
      </c>
      <c r="O27" s="39">
        <v>548</v>
      </c>
      <c r="P27" s="39">
        <v>2172</v>
      </c>
      <c r="Q27" s="39">
        <v>3379</v>
      </c>
      <c r="R27" s="39">
        <v>3794</v>
      </c>
      <c r="S27" s="39">
        <v>2753</v>
      </c>
      <c r="T27" s="39">
        <v>1341</v>
      </c>
      <c r="U27" s="39">
        <v>940</v>
      </c>
    </row>
    <row r="28" spans="3:21" ht="12" customHeight="1" x14ac:dyDescent="0.2">
      <c r="C28" s="2" t="s">
        <v>22</v>
      </c>
      <c r="D28" s="39">
        <v>3546</v>
      </c>
      <c r="E28" s="39">
        <v>4540</v>
      </c>
      <c r="F28" s="39">
        <v>5817</v>
      </c>
      <c r="G28" s="39">
        <v>5140</v>
      </c>
      <c r="H28" s="39">
        <v>2930</v>
      </c>
      <c r="I28" s="39">
        <v>2025</v>
      </c>
      <c r="J28" s="39">
        <v>8595</v>
      </c>
      <c r="K28" s="39">
        <v>11031</v>
      </c>
      <c r="L28" s="39">
        <v>13727</v>
      </c>
      <c r="M28" s="39">
        <v>11441</v>
      </c>
      <c r="N28" s="39">
        <v>6023</v>
      </c>
      <c r="O28" s="39">
        <v>3218</v>
      </c>
      <c r="P28" s="39">
        <v>12141</v>
      </c>
      <c r="Q28" s="39">
        <v>15571</v>
      </c>
      <c r="R28" s="39">
        <v>19544</v>
      </c>
      <c r="S28" s="39">
        <v>16581</v>
      </c>
      <c r="T28" s="39">
        <v>8953</v>
      </c>
      <c r="U28" s="39">
        <v>5243</v>
      </c>
    </row>
    <row r="29" spans="3:21" ht="12" customHeight="1" x14ac:dyDescent="0.2">
      <c r="C29" s="2" t="s">
        <v>61</v>
      </c>
      <c r="D29" s="39">
        <v>948</v>
      </c>
      <c r="E29" s="39">
        <v>2049</v>
      </c>
      <c r="F29" s="39">
        <v>2573</v>
      </c>
      <c r="G29" s="39">
        <v>1928</v>
      </c>
      <c r="H29" s="39">
        <v>1067</v>
      </c>
      <c r="I29" s="39">
        <v>880</v>
      </c>
      <c r="J29" s="39">
        <v>1745</v>
      </c>
      <c r="K29" s="39">
        <v>3293</v>
      </c>
      <c r="L29" s="39">
        <v>3635</v>
      </c>
      <c r="M29" s="39">
        <v>2264</v>
      </c>
      <c r="N29" s="39">
        <v>977</v>
      </c>
      <c r="O29" s="39">
        <v>833</v>
      </c>
      <c r="P29" s="39">
        <v>2693</v>
      </c>
      <c r="Q29" s="39">
        <v>5342</v>
      </c>
      <c r="R29" s="39">
        <v>6208</v>
      </c>
      <c r="S29" s="39">
        <v>4192</v>
      </c>
      <c r="T29" s="39">
        <v>2044</v>
      </c>
      <c r="U29" s="39">
        <v>1713</v>
      </c>
    </row>
    <row r="30" spans="3:21" ht="12" customHeight="1" x14ac:dyDescent="0.2">
      <c r="C30" s="2" t="s">
        <v>23</v>
      </c>
      <c r="D30" s="39">
        <v>256</v>
      </c>
      <c r="E30" s="39">
        <v>553</v>
      </c>
      <c r="F30" s="39">
        <v>850</v>
      </c>
      <c r="G30" s="39">
        <v>663</v>
      </c>
      <c r="H30" s="39">
        <v>400</v>
      </c>
      <c r="I30" s="39">
        <v>455</v>
      </c>
      <c r="J30" s="39">
        <v>722</v>
      </c>
      <c r="K30" s="39">
        <v>1561</v>
      </c>
      <c r="L30" s="39">
        <v>1829</v>
      </c>
      <c r="M30" s="39">
        <v>1168</v>
      </c>
      <c r="N30" s="39">
        <v>517</v>
      </c>
      <c r="O30" s="39">
        <v>539</v>
      </c>
      <c r="P30" s="39">
        <v>978</v>
      </c>
      <c r="Q30" s="39">
        <v>2114</v>
      </c>
      <c r="R30" s="39">
        <v>2679</v>
      </c>
      <c r="S30" s="39">
        <v>1831</v>
      </c>
      <c r="T30" s="39">
        <v>917</v>
      </c>
      <c r="U30" s="39">
        <v>994</v>
      </c>
    </row>
    <row r="31" spans="3:21" ht="12" customHeight="1" x14ac:dyDescent="0.2">
      <c r="C31" s="2" t="s">
        <v>24</v>
      </c>
      <c r="D31" s="39">
        <v>1410</v>
      </c>
      <c r="E31" s="39">
        <v>1017</v>
      </c>
      <c r="F31" s="39">
        <v>929</v>
      </c>
      <c r="G31" s="39">
        <v>838</v>
      </c>
      <c r="H31" s="39">
        <v>559</v>
      </c>
      <c r="I31" s="39">
        <v>529</v>
      </c>
      <c r="J31" s="39">
        <v>2915</v>
      </c>
      <c r="K31" s="39">
        <v>2428</v>
      </c>
      <c r="L31" s="39">
        <v>2438</v>
      </c>
      <c r="M31" s="39">
        <v>1949</v>
      </c>
      <c r="N31" s="39">
        <v>1464</v>
      </c>
      <c r="O31" s="39">
        <v>1395</v>
      </c>
      <c r="P31" s="39">
        <v>4325</v>
      </c>
      <c r="Q31" s="39">
        <v>3445</v>
      </c>
      <c r="R31" s="39">
        <v>3367</v>
      </c>
      <c r="S31" s="39">
        <v>2787</v>
      </c>
      <c r="T31" s="39">
        <v>2023</v>
      </c>
      <c r="U31" s="39">
        <v>1924</v>
      </c>
    </row>
    <row r="32" spans="3:21" ht="12" customHeight="1" x14ac:dyDescent="0.2">
      <c r="C32" s="2" t="s">
        <v>25</v>
      </c>
      <c r="D32" s="39">
        <v>634</v>
      </c>
      <c r="E32" s="39">
        <v>471</v>
      </c>
      <c r="F32" s="39">
        <v>484</v>
      </c>
      <c r="G32" s="39">
        <v>467</v>
      </c>
      <c r="H32" s="39">
        <v>331</v>
      </c>
      <c r="I32" s="39">
        <v>301</v>
      </c>
      <c r="J32" s="39">
        <v>1249</v>
      </c>
      <c r="K32" s="39">
        <v>990</v>
      </c>
      <c r="L32" s="39">
        <v>1102</v>
      </c>
      <c r="M32" s="39">
        <v>936</v>
      </c>
      <c r="N32" s="39">
        <v>667</v>
      </c>
      <c r="O32" s="39">
        <v>504</v>
      </c>
      <c r="P32" s="39">
        <v>1883</v>
      </c>
      <c r="Q32" s="39">
        <v>1461</v>
      </c>
      <c r="R32" s="39">
        <v>1586</v>
      </c>
      <c r="S32" s="39">
        <v>1403</v>
      </c>
      <c r="T32" s="39">
        <v>998</v>
      </c>
      <c r="U32" s="39">
        <v>805</v>
      </c>
    </row>
    <row r="33" spans="3:70" ht="12" customHeight="1" x14ac:dyDescent="0.2">
      <c r="C33" s="2" t="s">
        <v>26</v>
      </c>
      <c r="D33" s="39">
        <v>363</v>
      </c>
      <c r="E33" s="39">
        <v>327</v>
      </c>
      <c r="F33" s="39">
        <v>251</v>
      </c>
      <c r="G33" s="39">
        <v>180</v>
      </c>
      <c r="H33" s="39">
        <v>129</v>
      </c>
      <c r="I33" s="39">
        <v>117</v>
      </c>
      <c r="J33" s="39">
        <v>806</v>
      </c>
      <c r="K33" s="39">
        <v>699</v>
      </c>
      <c r="L33" s="39">
        <v>652</v>
      </c>
      <c r="M33" s="39">
        <v>517</v>
      </c>
      <c r="N33" s="39">
        <v>372</v>
      </c>
      <c r="O33" s="39">
        <v>379</v>
      </c>
      <c r="P33" s="39">
        <v>1169</v>
      </c>
      <c r="Q33" s="39">
        <v>1026</v>
      </c>
      <c r="R33" s="39">
        <v>903</v>
      </c>
      <c r="S33" s="39">
        <v>697</v>
      </c>
      <c r="T33" s="39">
        <v>501</v>
      </c>
      <c r="U33" s="39">
        <v>496</v>
      </c>
    </row>
    <row r="34" spans="3:70" ht="12" customHeight="1" x14ac:dyDescent="0.2">
      <c r="C34" s="2" t="s">
        <v>27</v>
      </c>
      <c r="D34" s="39">
        <v>355</v>
      </c>
      <c r="E34" s="39">
        <v>195</v>
      </c>
      <c r="F34" s="39">
        <v>112</v>
      </c>
      <c r="G34" s="39">
        <v>82</v>
      </c>
      <c r="H34" s="39">
        <v>59</v>
      </c>
      <c r="I34" s="39">
        <v>83</v>
      </c>
      <c r="J34" s="39">
        <v>445</v>
      </c>
      <c r="K34" s="39">
        <v>266</v>
      </c>
      <c r="L34" s="39">
        <v>182</v>
      </c>
      <c r="M34" s="39">
        <v>125</v>
      </c>
      <c r="N34" s="39">
        <v>83</v>
      </c>
      <c r="O34" s="39">
        <v>85</v>
      </c>
      <c r="P34" s="39">
        <v>800</v>
      </c>
      <c r="Q34" s="39">
        <v>461</v>
      </c>
      <c r="R34" s="39">
        <v>294</v>
      </c>
      <c r="S34" s="39">
        <v>207</v>
      </c>
      <c r="T34" s="39">
        <v>142</v>
      </c>
      <c r="U34" s="39">
        <v>168</v>
      </c>
    </row>
    <row r="35" spans="3:70" ht="12" customHeight="1" x14ac:dyDescent="0.2">
      <c r="C35" s="2" t="s">
        <v>28</v>
      </c>
      <c r="D35" s="39">
        <v>615</v>
      </c>
      <c r="E35" s="39">
        <v>400</v>
      </c>
      <c r="F35" s="39">
        <v>396</v>
      </c>
      <c r="G35" s="39">
        <v>306</v>
      </c>
      <c r="H35" s="39">
        <v>188</v>
      </c>
      <c r="I35" s="39">
        <v>119</v>
      </c>
      <c r="J35" s="39">
        <v>927</v>
      </c>
      <c r="K35" s="39">
        <v>667</v>
      </c>
      <c r="L35" s="39">
        <v>560</v>
      </c>
      <c r="M35" s="39">
        <v>348</v>
      </c>
      <c r="N35" s="39">
        <v>186</v>
      </c>
      <c r="O35" s="39">
        <v>120</v>
      </c>
      <c r="P35" s="39">
        <v>1542</v>
      </c>
      <c r="Q35" s="39">
        <v>1067</v>
      </c>
      <c r="R35" s="39">
        <v>956</v>
      </c>
      <c r="S35" s="39">
        <v>654</v>
      </c>
      <c r="T35" s="39">
        <v>374</v>
      </c>
      <c r="U35" s="39">
        <v>239</v>
      </c>
    </row>
    <row r="36" spans="3:70" ht="12" customHeight="1" x14ac:dyDescent="0.2">
      <c r="C36" s="2" t="s">
        <v>29</v>
      </c>
      <c r="D36" s="39">
        <v>481</v>
      </c>
      <c r="E36" s="39">
        <v>671</v>
      </c>
      <c r="F36" s="39">
        <v>643</v>
      </c>
      <c r="G36" s="39">
        <v>510</v>
      </c>
      <c r="H36" s="39">
        <v>347</v>
      </c>
      <c r="I36" s="39">
        <v>355</v>
      </c>
      <c r="J36" s="39">
        <v>1272</v>
      </c>
      <c r="K36" s="39">
        <v>1711</v>
      </c>
      <c r="L36" s="39">
        <v>1791</v>
      </c>
      <c r="M36" s="39">
        <v>1317</v>
      </c>
      <c r="N36" s="39">
        <v>810</v>
      </c>
      <c r="O36" s="39">
        <v>711</v>
      </c>
      <c r="P36" s="39">
        <v>1753</v>
      </c>
      <c r="Q36" s="39">
        <v>2382</v>
      </c>
      <c r="R36" s="39">
        <v>2434</v>
      </c>
      <c r="S36" s="39">
        <v>1827</v>
      </c>
      <c r="T36" s="39">
        <v>1157</v>
      </c>
      <c r="U36" s="39">
        <v>1066</v>
      </c>
    </row>
    <row r="37" spans="3:70" ht="12" customHeight="1" x14ac:dyDescent="0.2">
      <c r="C37" s="2" t="s">
        <v>30</v>
      </c>
      <c r="D37" s="39">
        <v>697</v>
      </c>
      <c r="E37" s="39">
        <v>798</v>
      </c>
      <c r="F37" s="39">
        <v>989</v>
      </c>
      <c r="G37" s="39">
        <v>748</v>
      </c>
      <c r="H37" s="39">
        <v>413</v>
      </c>
      <c r="I37" s="39">
        <v>363</v>
      </c>
      <c r="J37" s="39">
        <v>896</v>
      </c>
      <c r="K37" s="39">
        <v>1058</v>
      </c>
      <c r="L37" s="39">
        <v>1039</v>
      </c>
      <c r="M37" s="39">
        <v>717</v>
      </c>
      <c r="N37" s="39">
        <v>339</v>
      </c>
      <c r="O37" s="39">
        <v>219</v>
      </c>
      <c r="P37" s="39">
        <v>1593</v>
      </c>
      <c r="Q37" s="39">
        <v>1856</v>
      </c>
      <c r="R37" s="39">
        <v>2028</v>
      </c>
      <c r="S37" s="39">
        <v>1465</v>
      </c>
      <c r="T37" s="39">
        <v>752</v>
      </c>
      <c r="U37" s="39">
        <v>582</v>
      </c>
    </row>
    <row r="38" spans="3:70" ht="12" customHeight="1" x14ac:dyDescent="0.2">
      <c r="C38" s="2" t="s">
        <v>31</v>
      </c>
      <c r="D38" s="39">
        <v>824</v>
      </c>
      <c r="E38" s="39">
        <v>1490</v>
      </c>
      <c r="F38" s="39">
        <v>2665</v>
      </c>
      <c r="G38" s="39">
        <v>3247</v>
      </c>
      <c r="H38" s="39">
        <v>2503</v>
      </c>
      <c r="I38" s="39">
        <v>2009</v>
      </c>
      <c r="J38" s="39">
        <v>1365</v>
      </c>
      <c r="K38" s="39">
        <v>1504</v>
      </c>
      <c r="L38" s="39">
        <v>1832</v>
      </c>
      <c r="M38" s="39">
        <v>1737</v>
      </c>
      <c r="N38" s="39">
        <v>1147</v>
      </c>
      <c r="O38" s="39">
        <v>955</v>
      </c>
      <c r="P38" s="39">
        <v>2189</v>
      </c>
      <c r="Q38" s="39">
        <v>2994</v>
      </c>
      <c r="R38" s="39">
        <v>4497</v>
      </c>
      <c r="S38" s="39">
        <v>4984</v>
      </c>
      <c r="T38" s="39">
        <v>3650</v>
      </c>
      <c r="U38" s="39">
        <v>2964</v>
      </c>
    </row>
    <row r="39" spans="3:70" ht="12" customHeight="1" x14ac:dyDescent="0.2">
      <c r="C39" s="2" t="s">
        <v>32</v>
      </c>
      <c r="D39" s="39">
        <v>3009</v>
      </c>
      <c r="E39" s="39">
        <v>3816</v>
      </c>
      <c r="F39" s="39">
        <v>5013</v>
      </c>
      <c r="G39" s="39">
        <v>5167</v>
      </c>
      <c r="H39" s="39">
        <v>4799</v>
      </c>
      <c r="I39" s="39">
        <v>5899</v>
      </c>
      <c r="J39" s="39">
        <v>3410</v>
      </c>
      <c r="K39" s="39">
        <v>4319</v>
      </c>
      <c r="L39" s="39">
        <v>5839</v>
      </c>
      <c r="M39" s="39">
        <v>5961</v>
      </c>
      <c r="N39" s="39">
        <v>5061</v>
      </c>
      <c r="O39" s="39">
        <v>5454</v>
      </c>
      <c r="P39" s="39">
        <v>6419</v>
      </c>
      <c r="Q39" s="39">
        <v>8135</v>
      </c>
      <c r="R39" s="39">
        <v>10852</v>
      </c>
      <c r="S39" s="39">
        <v>11128</v>
      </c>
      <c r="T39" s="39">
        <v>9860</v>
      </c>
      <c r="U39" s="39">
        <v>11353</v>
      </c>
    </row>
    <row r="40" spans="3:70" ht="12" customHeight="1" x14ac:dyDescent="0.2">
      <c r="C40" s="2" t="s">
        <v>62</v>
      </c>
      <c r="D40" s="39">
        <v>51083</v>
      </c>
      <c r="E40" s="39">
        <v>56941</v>
      </c>
      <c r="F40" s="39">
        <v>68985</v>
      </c>
      <c r="G40" s="39">
        <v>65687</v>
      </c>
      <c r="H40" s="39">
        <v>51227</v>
      </c>
      <c r="I40" s="39">
        <v>63563</v>
      </c>
      <c r="J40" s="39">
        <v>71872</v>
      </c>
      <c r="K40" s="39">
        <v>77247</v>
      </c>
      <c r="L40" s="39">
        <v>86356</v>
      </c>
      <c r="M40" s="39">
        <v>73204</v>
      </c>
      <c r="N40" s="39">
        <v>51297</v>
      </c>
      <c r="O40" s="39">
        <v>54897</v>
      </c>
      <c r="P40" s="39">
        <v>122955</v>
      </c>
      <c r="Q40" s="39">
        <v>134188</v>
      </c>
      <c r="R40" s="39">
        <v>155341</v>
      </c>
      <c r="S40" s="39">
        <v>138891</v>
      </c>
      <c r="T40" s="39">
        <v>102524</v>
      </c>
      <c r="U40" s="39">
        <v>118460</v>
      </c>
    </row>
    <row r="42" spans="3:70" ht="14.25" customHeight="1" x14ac:dyDescent="0.2">
      <c r="D42" s="2" t="s">
        <v>59</v>
      </c>
      <c r="K42" s="2" t="s">
        <v>59</v>
      </c>
      <c r="R42" s="2" t="s">
        <v>59</v>
      </c>
      <c r="Z42" s="73"/>
      <c r="AA42" s="105"/>
      <c r="AB42" s="73"/>
      <c r="AC42" s="73"/>
      <c r="AD42" s="73"/>
      <c r="AE42" s="73"/>
      <c r="AF42" s="73"/>
      <c r="AG42" s="73"/>
      <c r="AH42" s="105"/>
      <c r="AI42" s="73"/>
      <c r="AJ42" s="73"/>
      <c r="AK42" s="73"/>
      <c r="AL42" s="73"/>
      <c r="AM42" s="73"/>
      <c r="AN42" s="73"/>
      <c r="AO42" s="105"/>
      <c r="AP42" s="73"/>
      <c r="AQ42" s="73"/>
      <c r="AR42" s="73"/>
      <c r="AS42" s="73"/>
      <c r="AT42" s="73"/>
      <c r="AU42" s="73"/>
      <c r="AW42" s="78"/>
      <c r="AX42" s="109"/>
      <c r="AY42" s="78"/>
      <c r="AZ42" s="78"/>
      <c r="BA42" s="78"/>
      <c r="BB42" s="78"/>
      <c r="BC42" s="78"/>
      <c r="BD42" s="78"/>
      <c r="BE42" s="109"/>
      <c r="BF42" s="78"/>
      <c r="BG42" s="78"/>
      <c r="BH42" s="78"/>
      <c r="BI42" s="78"/>
      <c r="BJ42" s="78"/>
      <c r="BK42" s="78"/>
      <c r="BL42" s="109"/>
      <c r="BM42" s="78"/>
      <c r="BN42" s="78"/>
      <c r="BO42" s="78"/>
      <c r="BP42" s="78"/>
      <c r="BQ42" s="78"/>
      <c r="BR42" s="78"/>
    </row>
    <row r="43" spans="3:70" ht="14.25" customHeight="1" x14ac:dyDescent="0.2">
      <c r="D43" s="2" t="s">
        <v>33</v>
      </c>
      <c r="E43" s="2" t="s">
        <v>34</v>
      </c>
      <c r="F43" s="2" t="s">
        <v>35</v>
      </c>
      <c r="G43" s="2" t="s">
        <v>36</v>
      </c>
      <c r="H43" s="2" t="s">
        <v>37</v>
      </c>
      <c r="I43" s="2" t="s">
        <v>47</v>
      </c>
      <c r="J43" s="2" t="s">
        <v>58</v>
      </c>
      <c r="K43" s="2" t="s">
        <v>33</v>
      </c>
      <c r="L43" s="2" t="s">
        <v>34</v>
      </c>
      <c r="M43" s="2" t="s">
        <v>35</v>
      </c>
      <c r="N43" s="2" t="s">
        <v>36</v>
      </c>
      <c r="O43" s="2" t="s">
        <v>37</v>
      </c>
      <c r="P43" s="2" t="s">
        <v>47</v>
      </c>
      <c r="Q43" s="2" t="s">
        <v>58</v>
      </c>
      <c r="R43" s="2" t="s">
        <v>33</v>
      </c>
      <c r="S43" s="2" t="s">
        <v>34</v>
      </c>
      <c r="T43" s="2" t="s">
        <v>35</v>
      </c>
      <c r="U43" s="2" t="s">
        <v>36</v>
      </c>
      <c r="V43" s="2" t="s">
        <v>37</v>
      </c>
      <c r="W43" s="2" t="s">
        <v>47</v>
      </c>
      <c r="X43" s="2" t="s">
        <v>58</v>
      </c>
      <c r="Z43" s="73"/>
      <c r="AA43" s="105"/>
      <c r="AB43" s="105"/>
      <c r="AC43" s="105"/>
      <c r="AD43" s="105"/>
      <c r="AE43" s="105"/>
      <c r="AF43" s="105"/>
      <c r="AG43" s="105"/>
      <c r="AH43" s="105"/>
      <c r="AI43" s="105"/>
      <c r="AJ43" s="105"/>
      <c r="AK43" s="105"/>
      <c r="AL43" s="105"/>
      <c r="AM43" s="105"/>
      <c r="AN43" s="105"/>
      <c r="AO43" s="105"/>
      <c r="AP43" s="105"/>
      <c r="AQ43" s="105"/>
      <c r="AR43" s="105"/>
      <c r="AS43" s="105"/>
      <c r="AT43" s="105"/>
      <c r="AU43" s="105"/>
      <c r="AW43" s="78"/>
      <c r="AX43" s="109"/>
      <c r="AY43" s="109"/>
      <c r="AZ43" s="109"/>
      <c r="BA43" s="109"/>
      <c r="BB43" s="109"/>
      <c r="BC43" s="109"/>
      <c r="BD43" s="109"/>
      <c r="BE43" s="109"/>
      <c r="BF43" s="109"/>
      <c r="BG43" s="109"/>
      <c r="BH43" s="109"/>
      <c r="BI43" s="109"/>
      <c r="BJ43" s="109"/>
      <c r="BK43" s="109"/>
      <c r="BL43" s="109"/>
      <c r="BM43" s="109"/>
      <c r="BN43" s="109"/>
      <c r="BO43" s="109"/>
      <c r="BP43" s="109"/>
      <c r="BQ43" s="109"/>
      <c r="BR43" s="109"/>
    </row>
    <row r="44" spans="3:70" ht="14.25" customHeight="1" x14ac:dyDescent="0.2">
      <c r="C44" s="2" t="s">
        <v>0</v>
      </c>
      <c r="D44" s="8">
        <v>15.1</v>
      </c>
      <c r="E44" s="8">
        <v>15.3</v>
      </c>
      <c r="F44" s="8">
        <v>16.899999999999999</v>
      </c>
      <c r="G44" s="8">
        <v>17.5</v>
      </c>
      <c r="H44" s="8">
        <v>16</v>
      </c>
      <c r="I44" s="8">
        <v>80.8</v>
      </c>
      <c r="J44" s="15">
        <v>20376</v>
      </c>
      <c r="K44" s="8">
        <v>18.3</v>
      </c>
      <c r="L44" s="8">
        <v>16.8</v>
      </c>
      <c r="M44" s="8">
        <v>17.899999999999999</v>
      </c>
      <c r="N44" s="8">
        <v>16.399999999999999</v>
      </c>
      <c r="O44" s="8">
        <v>14.2</v>
      </c>
      <c r="P44" s="8">
        <v>83.6</v>
      </c>
      <c r="Q44" s="15">
        <v>32278</v>
      </c>
      <c r="R44" s="8">
        <v>17.100000000000001</v>
      </c>
      <c r="S44" s="8">
        <v>16.2</v>
      </c>
      <c r="T44" s="8">
        <v>17.5</v>
      </c>
      <c r="U44" s="8">
        <v>16.8</v>
      </c>
      <c r="V44" s="8">
        <v>14.9</v>
      </c>
      <c r="W44" s="8">
        <v>82.5</v>
      </c>
      <c r="X44" s="15">
        <v>52654</v>
      </c>
      <c r="Z44" s="105"/>
      <c r="AA44" s="92"/>
      <c r="AB44" s="92"/>
      <c r="AC44" s="92"/>
      <c r="AD44" s="92"/>
      <c r="AE44" s="92"/>
      <c r="AF44" s="92"/>
      <c r="AG44" s="117"/>
      <c r="AH44" s="92"/>
      <c r="AI44" s="92"/>
      <c r="AJ44" s="92"/>
      <c r="AK44" s="92"/>
      <c r="AL44" s="92"/>
      <c r="AM44" s="92"/>
      <c r="AN44" s="117"/>
      <c r="AO44" s="92"/>
      <c r="AP44" s="92"/>
      <c r="AQ44" s="92"/>
      <c r="AR44" s="92"/>
      <c r="AS44" s="92"/>
      <c r="AT44" s="92"/>
      <c r="AU44" s="117"/>
      <c r="AW44" s="109"/>
      <c r="AX44" s="89"/>
      <c r="AY44" s="89"/>
      <c r="AZ44" s="89"/>
      <c r="BA44" s="89"/>
      <c r="BB44" s="89"/>
      <c r="BC44" s="89"/>
      <c r="BD44" s="89"/>
      <c r="BE44" s="89"/>
      <c r="BF44" s="89"/>
      <c r="BG44" s="89"/>
      <c r="BH44" s="89"/>
      <c r="BI44" s="89"/>
      <c r="BJ44" s="89"/>
      <c r="BK44" s="89"/>
      <c r="BL44" s="89"/>
      <c r="BM44" s="89"/>
      <c r="BN44" s="89"/>
      <c r="BO44" s="89"/>
      <c r="BP44" s="89"/>
      <c r="BQ44" s="89"/>
      <c r="BR44" s="89"/>
    </row>
    <row r="45" spans="3:70" ht="14.25" customHeight="1" x14ac:dyDescent="0.2">
      <c r="C45" s="2" t="s">
        <v>1</v>
      </c>
      <c r="D45" s="8">
        <v>19.899999999999999</v>
      </c>
      <c r="E45" s="8">
        <v>18.100000000000001</v>
      </c>
      <c r="F45" s="8">
        <v>17.7</v>
      </c>
      <c r="G45" s="8">
        <v>15.5</v>
      </c>
      <c r="H45" s="8">
        <v>12.6</v>
      </c>
      <c r="I45" s="8">
        <v>83.8</v>
      </c>
      <c r="J45" s="15">
        <v>17883</v>
      </c>
      <c r="K45" s="8">
        <v>23.3</v>
      </c>
      <c r="L45" s="8">
        <v>19.8</v>
      </c>
      <c r="M45" s="8">
        <v>18.100000000000001</v>
      </c>
      <c r="N45" s="8">
        <v>14.8</v>
      </c>
      <c r="O45" s="8">
        <v>10.8</v>
      </c>
      <c r="P45" s="8">
        <v>86.7</v>
      </c>
      <c r="Q45" s="15">
        <v>17778</v>
      </c>
      <c r="R45" s="8">
        <v>21.6</v>
      </c>
      <c r="S45" s="8">
        <v>18.899999999999999</v>
      </c>
      <c r="T45" s="8">
        <v>17.899999999999999</v>
      </c>
      <c r="U45" s="8">
        <v>15.2</v>
      </c>
      <c r="V45" s="8">
        <v>11.7</v>
      </c>
      <c r="W45" s="8">
        <v>85.3</v>
      </c>
      <c r="X45" s="15">
        <v>35661</v>
      </c>
      <c r="Z45" s="105"/>
      <c r="AA45" s="92"/>
      <c r="AB45" s="92"/>
      <c r="AC45" s="92"/>
      <c r="AD45" s="92"/>
      <c r="AE45" s="92"/>
      <c r="AF45" s="92"/>
      <c r="AG45" s="117"/>
      <c r="AH45" s="92"/>
      <c r="AI45" s="92"/>
      <c r="AJ45" s="92"/>
      <c r="AK45" s="92"/>
      <c r="AL45" s="92"/>
      <c r="AM45" s="92"/>
      <c r="AN45" s="117"/>
      <c r="AO45" s="92"/>
      <c r="AP45" s="92"/>
      <c r="AQ45" s="92"/>
      <c r="AR45" s="92"/>
      <c r="AS45" s="92"/>
      <c r="AT45" s="92"/>
      <c r="AU45" s="117"/>
      <c r="AW45" s="109"/>
      <c r="AX45" s="89"/>
      <c r="AY45" s="89"/>
      <c r="AZ45" s="89"/>
      <c r="BA45" s="89"/>
      <c r="BB45" s="89"/>
      <c r="BC45" s="89"/>
      <c r="BD45" s="89"/>
      <c r="BE45" s="89"/>
      <c r="BF45" s="89"/>
      <c r="BG45" s="89"/>
      <c r="BH45" s="89"/>
      <c r="BI45" s="89"/>
      <c r="BJ45" s="89"/>
      <c r="BK45" s="89"/>
      <c r="BL45" s="89"/>
      <c r="BM45" s="89"/>
      <c r="BN45" s="89"/>
      <c r="BO45" s="89"/>
      <c r="BP45" s="89"/>
      <c r="BQ45" s="89"/>
      <c r="BR45" s="89"/>
    </row>
    <row r="46" spans="3:70" ht="14.25" customHeight="1" x14ac:dyDescent="0.2">
      <c r="C46" s="2" t="s">
        <v>2</v>
      </c>
      <c r="D46" s="8">
        <v>20.100000000000001</v>
      </c>
      <c r="E46" s="8">
        <v>17.100000000000001</v>
      </c>
      <c r="F46" s="8">
        <v>17.3</v>
      </c>
      <c r="G46" s="8">
        <v>15.8</v>
      </c>
      <c r="H46" s="8">
        <v>13.1</v>
      </c>
      <c r="I46" s="8">
        <v>83.3</v>
      </c>
      <c r="J46" s="15">
        <v>23666</v>
      </c>
      <c r="K46" s="8">
        <v>26.5</v>
      </c>
      <c r="L46" s="8">
        <v>19.2</v>
      </c>
      <c r="M46" s="8">
        <v>18.600000000000001</v>
      </c>
      <c r="N46" s="8">
        <v>13.8</v>
      </c>
      <c r="O46" s="8">
        <v>10</v>
      </c>
      <c r="P46" s="8">
        <v>88.2</v>
      </c>
      <c r="Q46" s="15">
        <v>7351</v>
      </c>
      <c r="R46" s="8">
        <v>21.6</v>
      </c>
      <c r="S46" s="8">
        <v>17.600000000000001</v>
      </c>
      <c r="T46" s="8">
        <v>17.600000000000001</v>
      </c>
      <c r="U46" s="8">
        <v>15.3</v>
      </c>
      <c r="V46" s="8">
        <v>12.3</v>
      </c>
      <c r="W46" s="8">
        <v>84.4</v>
      </c>
      <c r="X46" s="15">
        <v>31017</v>
      </c>
      <c r="Z46" s="105"/>
      <c r="AA46" s="92"/>
      <c r="AB46" s="92"/>
      <c r="AC46" s="92"/>
      <c r="AD46" s="92"/>
      <c r="AE46" s="92"/>
      <c r="AF46" s="92"/>
      <c r="AG46" s="117"/>
      <c r="AH46" s="92"/>
      <c r="AI46" s="92"/>
      <c r="AJ46" s="92"/>
      <c r="AK46" s="92"/>
      <c r="AL46" s="92"/>
      <c r="AM46" s="92"/>
      <c r="AN46" s="117"/>
      <c r="AO46" s="92"/>
      <c r="AP46" s="92"/>
      <c r="AQ46" s="92"/>
      <c r="AR46" s="92"/>
      <c r="AS46" s="92"/>
      <c r="AT46" s="92"/>
      <c r="AU46" s="117"/>
      <c r="AW46" s="109"/>
      <c r="AX46" s="89"/>
      <c r="AY46" s="89"/>
      <c r="AZ46" s="89"/>
      <c r="BA46" s="89"/>
      <c r="BB46" s="89"/>
      <c r="BC46" s="89"/>
      <c r="BD46" s="89"/>
      <c r="BE46" s="89"/>
      <c r="BF46" s="89"/>
      <c r="BG46" s="89"/>
      <c r="BH46" s="89"/>
      <c r="BI46" s="89"/>
      <c r="BJ46" s="89"/>
      <c r="BK46" s="89"/>
      <c r="BL46" s="89"/>
      <c r="BM46" s="89"/>
      <c r="BN46" s="89"/>
      <c r="BO46" s="89"/>
      <c r="BP46" s="89"/>
      <c r="BQ46" s="89"/>
      <c r="BR46" s="89"/>
    </row>
    <row r="47" spans="3:70" ht="14.25" customHeight="1" x14ac:dyDescent="0.2">
      <c r="C47" s="2" t="s">
        <v>3</v>
      </c>
      <c r="D47" s="8">
        <v>14.3</v>
      </c>
      <c r="E47" s="8">
        <v>15.7</v>
      </c>
      <c r="F47" s="8">
        <v>19.3</v>
      </c>
      <c r="G47" s="8">
        <v>19.100000000000001</v>
      </c>
      <c r="H47" s="8">
        <v>14.7</v>
      </c>
      <c r="I47" s="8">
        <v>83.1</v>
      </c>
      <c r="J47" s="15">
        <v>4742</v>
      </c>
      <c r="K47" s="8">
        <v>13.7</v>
      </c>
      <c r="L47" s="8">
        <v>15.8</v>
      </c>
      <c r="M47" s="8">
        <v>19.399999999999999</v>
      </c>
      <c r="N47" s="8">
        <v>19.899999999999999</v>
      </c>
      <c r="O47" s="8">
        <v>15.6</v>
      </c>
      <c r="P47" s="8">
        <v>84.3</v>
      </c>
      <c r="Q47" s="15">
        <v>2443</v>
      </c>
      <c r="R47" s="8">
        <v>14.1</v>
      </c>
      <c r="S47" s="8">
        <v>15.8</v>
      </c>
      <c r="T47" s="8">
        <v>19.3</v>
      </c>
      <c r="U47" s="8">
        <v>19.3</v>
      </c>
      <c r="V47" s="8">
        <v>15</v>
      </c>
      <c r="W47" s="8">
        <v>83.5</v>
      </c>
      <c r="X47" s="15">
        <v>7185</v>
      </c>
      <c r="Z47" s="105"/>
      <c r="AA47" s="92"/>
      <c r="AB47" s="92"/>
      <c r="AC47" s="92"/>
      <c r="AD47" s="92"/>
      <c r="AE47" s="92"/>
      <c r="AF47" s="92"/>
      <c r="AG47" s="117"/>
      <c r="AH47" s="92"/>
      <c r="AI47" s="92"/>
      <c r="AJ47" s="92"/>
      <c r="AK47" s="92"/>
      <c r="AL47" s="92"/>
      <c r="AM47" s="92"/>
      <c r="AN47" s="117"/>
      <c r="AO47" s="92"/>
      <c r="AP47" s="92"/>
      <c r="AQ47" s="92"/>
      <c r="AR47" s="92"/>
      <c r="AS47" s="92"/>
      <c r="AT47" s="92"/>
      <c r="AU47" s="117"/>
      <c r="AW47" s="109"/>
      <c r="AX47" s="89"/>
      <c r="AY47" s="89"/>
      <c r="AZ47" s="89"/>
      <c r="BA47" s="89"/>
      <c r="BB47" s="89"/>
      <c r="BC47" s="89"/>
      <c r="BD47" s="89"/>
      <c r="BE47" s="89"/>
      <c r="BF47" s="89"/>
      <c r="BG47" s="89"/>
      <c r="BH47" s="89"/>
      <c r="BI47" s="89"/>
      <c r="BJ47" s="89"/>
      <c r="BK47" s="89"/>
      <c r="BL47" s="89"/>
      <c r="BM47" s="89"/>
      <c r="BN47" s="89"/>
      <c r="BO47" s="89"/>
      <c r="BP47" s="89"/>
      <c r="BQ47" s="89"/>
      <c r="BR47" s="89"/>
    </row>
    <row r="48" spans="3:70" ht="14.25" customHeight="1" x14ac:dyDescent="0.2">
      <c r="C48" s="2" t="s">
        <v>4</v>
      </c>
      <c r="D48" s="8">
        <v>16.8</v>
      </c>
      <c r="E48" s="8">
        <v>10.5</v>
      </c>
      <c r="F48" s="8">
        <v>11.9</v>
      </c>
      <c r="G48" s="8">
        <v>13.4</v>
      </c>
      <c r="H48" s="8">
        <v>14.3</v>
      </c>
      <c r="I48" s="8">
        <v>66.900000000000006</v>
      </c>
      <c r="J48" s="15">
        <v>36414</v>
      </c>
      <c r="K48" s="8">
        <v>17.8</v>
      </c>
      <c r="L48" s="8">
        <v>13.4</v>
      </c>
      <c r="M48" s="8">
        <v>14.1</v>
      </c>
      <c r="N48" s="8">
        <v>14.2</v>
      </c>
      <c r="O48" s="8">
        <v>13.7</v>
      </c>
      <c r="P48" s="8">
        <v>73.099999999999994</v>
      </c>
      <c r="Q48" s="15">
        <v>23025</v>
      </c>
      <c r="R48" s="8">
        <v>17.2</v>
      </c>
      <c r="S48" s="8">
        <v>11.6</v>
      </c>
      <c r="T48" s="8">
        <v>12.7</v>
      </c>
      <c r="U48" s="8">
        <v>13.7</v>
      </c>
      <c r="V48" s="8">
        <v>14</v>
      </c>
      <c r="W48" s="8">
        <v>69.3</v>
      </c>
      <c r="X48" s="15">
        <v>59439</v>
      </c>
      <c r="Z48" s="105"/>
      <c r="AA48" s="92"/>
      <c r="AB48" s="92"/>
      <c r="AC48" s="92"/>
      <c r="AD48" s="92"/>
      <c r="AE48" s="92"/>
      <c r="AF48" s="92"/>
      <c r="AG48" s="117"/>
      <c r="AH48" s="92"/>
      <c r="AI48" s="92"/>
      <c r="AJ48" s="92"/>
      <c r="AK48" s="92"/>
      <c r="AL48" s="92"/>
      <c r="AM48" s="92"/>
      <c r="AN48" s="117"/>
      <c r="AO48" s="92"/>
      <c r="AP48" s="92"/>
      <c r="AQ48" s="92"/>
      <c r="AR48" s="92"/>
      <c r="AS48" s="92"/>
      <c r="AT48" s="92"/>
      <c r="AU48" s="117"/>
      <c r="AW48" s="109"/>
      <c r="AX48" s="89"/>
      <c r="AY48" s="89"/>
      <c r="AZ48" s="89"/>
      <c r="BA48" s="89"/>
      <c r="BB48" s="89"/>
      <c r="BC48" s="89"/>
      <c r="BD48" s="89"/>
      <c r="BE48" s="89"/>
      <c r="BF48" s="89"/>
      <c r="BG48" s="89"/>
      <c r="BH48" s="89"/>
      <c r="BI48" s="89"/>
      <c r="BJ48" s="89"/>
      <c r="BK48" s="89"/>
      <c r="BL48" s="89"/>
      <c r="BM48" s="89"/>
      <c r="BN48" s="89"/>
      <c r="BO48" s="89"/>
      <c r="BP48" s="89"/>
      <c r="BQ48" s="89"/>
      <c r="BR48" s="89"/>
    </row>
    <row r="49" spans="3:70" ht="14.25" customHeight="1" x14ac:dyDescent="0.2">
      <c r="C49" s="2" t="s">
        <v>5</v>
      </c>
      <c r="D49" s="8">
        <v>24.4</v>
      </c>
      <c r="E49" s="8">
        <v>16.2</v>
      </c>
      <c r="F49" s="8">
        <v>15.3</v>
      </c>
      <c r="G49" s="8">
        <v>14.7</v>
      </c>
      <c r="H49" s="8">
        <v>10.5</v>
      </c>
      <c r="I49" s="8">
        <v>81.099999999999994</v>
      </c>
      <c r="J49" s="15">
        <v>1435</v>
      </c>
      <c r="K49" s="8">
        <v>29.3</v>
      </c>
      <c r="L49" s="8">
        <v>20.399999999999999</v>
      </c>
      <c r="M49" s="8">
        <v>15.8</v>
      </c>
      <c r="N49" s="8">
        <v>12.7</v>
      </c>
      <c r="O49" s="8">
        <v>9.4</v>
      </c>
      <c r="P49" s="8">
        <v>87.7</v>
      </c>
      <c r="Q49" s="15">
        <v>795</v>
      </c>
      <c r="R49" s="8">
        <v>26.1</v>
      </c>
      <c r="S49" s="8">
        <v>17.7</v>
      </c>
      <c r="T49" s="8">
        <v>15.5</v>
      </c>
      <c r="U49" s="8">
        <v>14</v>
      </c>
      <c r="V49" s="8">
        <v>10.1</v>
      </c>
      <c r="W49" s="8">
        <v>83.5</v>
      </c>
      <c r="X49" s="15">
        <v>2230</v>
      </c>
      <c r="Z49" s="105"/>
      <c r="AA49" s="92"/>
      <c r="AB49" s="92"/>
      <c r="AC49" s="92"/>
      <c r="AD49" s="92"/>
      <c r="AE49" s="92"/>
      <c r="AF49" s="92"/>
      <c r="AG49" s="117"/>
      <c r="AH49" s="92"/>
      <c r="AI49" s="92"/>
      <c r="AJ49" s="92"/>
      <c r="AK49" s="92"/>
      <c r="AL49" s="92"/>
      <c r="AM49" s="92"/>
      <c r="AN49" s="117"/>
      <c r="AO49" s="92"/>
      <c r="AP49" s="92"/>
      <c r="AQ49" s="92"/>
      <c r="AR49" s="92"/>
      <c r="AS49" s="92"/>
      <c r="AT49" s="92"/>
      <c r="AU49" s="117"/>
      <c r="AW49" s="109"/>
      <c r="AX49" s="89"/>
      <c r="AY49" s="89"/>
      <c r="AZ49" s="89"/>
      <c r="BA49" s="89"/>
      <c r="BB49" s="89"/>
      <c r="BC49" s="89"/>
      <c r="BD49" s="89"/>
      <c r="BE49" s="89"/>
      <c r="BF49" s="89"/>
      <c r="BG49" s="89"/>
      <c r="BH49" s="89"/>
      <c r="BI49" s="89"/>
      <c r="BJ49" s="89"/>
      <c r="BK49" s="89"/>
      <c r="BL49" s="89"/>
      <c r="BM49" s="89"/>
      <c r="BN49" s="89"/>
      <c r="BO49" s="89"/>
      <c r="BP49" s="89"/>
      <c r="BQ49" s="89"/>
      <c r="BR49" s="89"/>
    </row>
    <row r="50" spans="3:70" ht="14.25" customHeight="1" x14ac:dyDescent="0.2">
      <c r="C50" s="2" t="s">
        <v>6</v>
      </c>
      <c r="D50" s="8">
        <v>8.3000000000000007</v>
      </c>
      <c r="E50" s="8">
        <v>13.3</v>
      </c>
      <c r="F50" s="8">
        <v>19.2</v>
      </c>
      <c r="G50" s="8">
        <v>21.5</v>
      </c>
      <c r="H50" s="8">
        <v>17.899999999999999</v>
      </c>
      <c r="I50" s="8">
        <v>80.2</v>
      </c>
      <c r="J50" s="15">
        <v>10960</v>
      </c>
      <c r="K50" s="8">
        <v>12.8</v>
      </c>
      <c r="L50" s="8">
        <v>17</v>
      </c>
      <c r="M50" s="8">
        <v>22.8</v>
      </c>
      <c r="N50" s="8">
        <v>20.9</v>
      </c>
      <c r="O50" s="8">
        <v>13.8</v>
      </c>
      <c r="P50" s="8">
        <v>87.3</v>
      </c>
      <c r="Q50" s="15">
        <v>6304</v>
      </c>
      <c r="R50" s="8">
        <v>10</v>
      </c>
      <c r="S50" s="8">
        <v>14.6</v>
      </c>
      <c r="T50" s="8">
        <v>20.5</v>
      </c>
      <c r="U50" s="8">
        <v>21.3</v>
      </c>
      <c r="V50" s="8">
        <v>16.399999999999999</v>
      </c>
      <c r="W50" s="8">
        <v>82.8</v>
      </c>
      <c r="X50" s="15">
        <v>17264</v>
      </c>
      <c r="Z50" s="105"/>
      <c r="AA50" s="92"/>
      <c r="AB50" s="92"/>
      <c r="AC50" s="92"/>
      <c r="AD50" s="92"/>
      <c r="AE50" s="92"/>
      <c r="AF50" s="92"/>
      <c r="AG50" s="117"/>
      <c r="AH50" s="92"/>
      <c r="AI50" s="92"/>
      <c r="AJ50" s="92"/>
      <c r="AK50" s="92"/>
      <c r="AL50" s="92"/>
      <c r="AM50" s="92"/>
      <c r="AN50" s="117"/>
      <c r="AO50" s="92"/>
      <c r="AP50" s="92"/>
      <c r="AQ50" s="92"/>
      <c r="AR50" s="92"/>
      <c r="AS50" s="92"/>
      <c r="AT50" s="92"/>
      <c r="AU50" s="117"/>
      <c r="AW50" s="109"/>
      <c r="AX50" s="89"/>
      <c r="AY50" s="89"/>
      <c r="AZ50" s="89"/>
      <c r="BA50" s="89"/>
      <c r="BB50" s="89"/>
      <c r="BC50" s="89"/>
      <c r="BD50" s="89"/>
      <c r="BE50" s="89"/>
      <c r="BF50" s="89"/>
      <c r="BG50" s="89"/>
      <c r="BH50" s="89"/>
      <c r="BI50" s="89"/>
      <c r="BJ50" s="89"/>
      <c r="BK50" s="89"/>
      <c r="BL50" s="89"/>
      <c r="BM50" s="89"/>
      <c r="BN50" s="89"/>
      <c r="BO50" s="89"/>
      <c r="BP50" s="89"/>
      <c r="BQ50" s="89"/>
      <c r="BR50" s="89"/>
    </row>
    <row r="51" spans="3:70" ht="14.25" customHeight="1" x14ac:dyDescent="0.2">
      <c r="C51" s="2" t="s">
        <v>168</v>
      </c>
      <c r="D51" s="8">
        <v>11.8</v>
      </c>
      <c r="E51" s="8">
        <v>16.2</v>
      </c>
      <c r="F51" s="8">
        <v>19.7</v>
      </c>
      <c r="G51" s="8">
        <v>18.7</v>
      </c>
      <c r="H51" s="8">
        <v>14.6</v>
      </c>
      <c r="I51" s="8">
        <v>81</v>
      </c>
      <c r="J51" s="15">
        <v>11354</v>
      </c>
      <c r="K51" s="8">
        <v>10.5</v>
      </c>
      <c r="L51" s="8">
        <v>12.8</v>
      </c>
      <c r="M51" s="8">
        <v>16.7</v>
      </c>
      <c r="N51" s="8">
        <v>19</v>
      </c>
      <c r="O51" s="8">
        <v>16.600000000000001</v>
      </c>
      <c r="P51" s="8">
        <v>75.599999999999994</v>
      </c>
      <c r="Q51" s="15">
        <v>1965</v>
      </c>
      <c r="R51" s="8">
        <v>11.6</v>
      </c>
      <c r="S51" s="8">
        <v>15.7</v>
      </c>
      <c r="T51" s="8">
        <v>19.2</v>
      </c>
      <c r="U51" s="8">
        <v>18.8</v>
      </c>
      <c r="V51" s="8">
        <v>14.9</v>
      </c>
      <c r="W51" s="8">
        <v>80.2</v>
      </c>
      <c r="X51" s="15">
        <v>13319</v>
      </c>
      <c r="Z51" s="105"/>
      <c r="AA51" s="92"/>
      <c r="AB51" s="92"/>
      <c r="AC51" s="92"/>
      <c r="AD51" s="92"/>
      <c r="AE51" s="92"/>
      <c r="AF51" s="92"/>
      <c r="AG51" s="117"/>
      <c r="AH51" s="92"/>
      <c r="AI51" s="92"/>
      <c r="AJ51" s="92"/>
      <c r="AK51" s="92"/>
      <c r="AL51" s="92"/>
      <c r="AM51" s="92"/>
      <c r="AN51" s="117"/>
      <c r="AO51" s="92"/>
      <c r="AP51" s="92"/>
      <c r="AQ51" s="92"/>
      <c r="AR51" s="92"/>
      <c r="AS51" s="92"/>
      <c r="AT51" s="92"/>
      <c r="AU51" s="117"/>
      <c r="AW51" s="109"/>
      <c r="AX51" s="89"/>
      <c r="AY51" s="89"/>
      <c r="AZ51" s="89"/>
      <c r="BA51" s="89"/>
      <c r="BB51" s="89"/>
      <c r="BC51" s="89"/>
      <c r="BD51" s="89"/>
      <c r="BE51" s="89"/>
      <c r="BF51" s="89"/>
      <c r="BG51" s="89"/>
      <c r="BH51" s="89"/>
      <c r="BI51" s="89"/>
      <c r="BJ51" s="89"/>
      <c r="BK51" s="89"/>
      <c r="BL51" s="89"/>
      <c r="BM51" s="89"/>
      <c r="BN51" s="89"/>
      <c r="BO51" s="89"/>
      <c r="BP51" s="89"/>
      <c r="BQ51" s="89"/>
      <c r="BR51" s="89"/>
    </row>
    <row r="52" spans="3:70" ht="14.25" customHeight="1" x14ac:dyDescent="0.2">
      <c r="C52" s="2" t="s">
        <v>8</v>
      </c>
      <c r="D52" s="8">
        <v>4.8</v>
      </c>
      <c r="E52" s="8">
        <v>10.7</v>
      </c>
      <c r="F52" s="8">
        <v>19.100000000000001</v>
      </c>
      <c r="G52" s="8">
        <v>22.8</v>
      </c>
      <c r="H52" s="8">
        <v>19.3</v>
      </c>
      <c r="I52" s="8">
        <v>76.7</v>
      </c>
      <c r="J52" s="15">
        <v>15531</v>
      </c>
      <c r="K52" s="8">
        <v>4.8</v>
      </c>
      <c r="L52" s="8">
        <v>11</v>
      </c>
      <c r="M52" s="8">
        <v>18.2</v>
      </c>
      <c r="N52" s="8">
        <v>22.1</v>
      </c>
      <c r="O52" s="8">
        <v>19.399999999999999</v>
      </c>
      <c r="P52" s="8">
        <v>75.5</v>
      </c>
      <c r="Q52" s="15">
        <v>9283</v>
      </c>
      <c r="R52" s="8">
        <v>4.8</v>
      </c>
      <c r="S52" s="8">
        <v>10.9</v>
      </c>
      <c r="T52" s="8">
        <v>18.8</v>
      </c>
      <c r="U52" s="8">
        <v>22.5</v>
      </c>
      <c r="V52" s="8">
        <v>19.399999999999999</v>
      </c>
      <c r="W52" s="8">
        <v>76.3</v>
      </c>
      <c r="X52" s="15">
        <v>24814</v>
      </c>
      <c r="Z52" s="105"/>
      <c r="AA52" s="92"/>
      <c r="AB52" s="92"/>
      <c r="AC52" s="92"/>
      <c r="AD52" s="92"/>
      <c r="AE52" s="92"/>
      <c r="AF52" s="92"/>
      <c r="AG52" s="117"/>
      <c r="AH52" s="92"/>
      <c r="AI52" s="92"/>
      <c r="AJ52" s="92"/>
      <c r="AK52" s="92"/>
      <c r="AL52" s="92"/>
      <c r="AM52" s="92"/>
      <c r="AN52" s="117"/>
      <c r="AO52" s="92"/>
      <c r="AP52" s="92"/>
      <c r="AQ52" s="92"/>
      <c r="AR52" s="92"/>
      <c r="AS52" s="92"/>
      <c r="AT52" s="92"/>
      <c r="AU52" s="117"/>
      <c r="AW52" s="109"/>
      <c r="AX52" s="89"/>
      <c r="AY52" s="89"/>
      <c r="AZ52" s="89"/>
      <c r="BA52" s="89"/>
      <c r="BB52" s="89"/>
      <c r="BC52" s="89"/>
      <c r="BD52" s="89"/>
      <c r="BE52" s="89"/>
      <c r="BF52" s="89"/>
      <c r="BG52" s="89"/>
      <c r="BH52" s="89"/>
      <c r="BI52" s="89"/>
      <c r="BJ52" s="89"/>
      <c r="BK52" s="89"/>
      <c r="BL52" s="89"/>
      <c r="BM52" s="89"/>
      <c r="BN52" s="89"/>
      <c r="BO52" s="89"/>
      <c r="BP52" s="89"/>
      <c r="BQ52" s="89"/>
      <c r="BR52" s="89"/>
    </row>
    <row r="53" spans="3:70" ht="14.25" customHeight="1" x14ac:dyDescent="0.2">
      <c r="C53" s="2" t="s">
        <v>9</v>
      </c>
      <c r="D53" s="8">
        <v>10.4</v>
      </c>
      <c r="E53" s="8">
        <v>9.1</v>
      </c>
      <c r="F53" s="8">
        <v>15.6</v>
      </c>
      <c r="G53" s="8">
        <v>16.899999999999999</v>
      </c>
      <c r="H53" s="8">
        <v>28.6</v>
      </c>
      <c r="I53" s="8">
        <v>80.5</v>
      </c>
      <c r="J53" s="15">
        <v>77</v>
      </c>
      <c r="K53" s="8">
        <v>15.8</v>
      </c>
      <c r="L53" s="8">
        <v>18.399999999999999</v>
      </c>
      <c r="M53" s="8">
        <v>19.8</v>
      </c>
      <c r="N53" s="8">
        <v>20.7</v>
      </c>
      <c r="O53" s="8">
        <v>14.1</v>
      </c>
      <c r="P53" s="8">
        <v>88.8</v>
      </c>
      <c r="Q53" s="15">
        <v>803</v>
      </c>
      <c r="R53" s="8">
        <v>15.3</v>
      </c>
      <c r="S53" s="8">
        <v>17.600000000000001</v>
      </c>
      <c r="T53" s="8">
        <v>19.399999999999999</v>
      </c>
      <c r="U53" s="8">
        <v>20.3</v>
      </c>
      <c r="V53" s="8">
        <v>15.3</v>
      </c>
      <c r="W53" s="8">
        <v>88.1</v>
      </c>
      <c r="X53" s="15">
        <v>880</v>
      </c>
      <c r="Z53" s="105"/>
      <c r="AA53" s="92"/>
      <c r="AB53" s="92"/>
      <c r="AC53" s="92"/>
      <c r="AD53" s="92"/>
      <c r="AE53" s="92"/>
      <c r="AF53" s="92"/>
      <c r="AG53" s="117"/>
      <c r="AH53" s="92"/>
      <c r="AI53" s="92"/>
      <c r="AJ53" s="92"/>
      <c r="AK53" s="92"/>
      <c r="AL53" s="92"/>
      <c r="AM53" s="92"/>
      <c r="AN53" s="117"/>
      <c r="AO53" s="92"/>
      <c r="AP53" s="92"/>
      <c r="AQ53" s="92"/>
      <c r="AR53" s="92"/>
      <c r="AS53" s="92"/>
      <c r="AT53" s="92"/>
      <c r="AU53" s="117"/>
      <c r="AW53" s="109"/>
      <c r="AX53" s="89"/>
      <c r="AY53" s="89"/>
      <c r="AZ53" s="89"/>
      <c r="BA53" s="89"/>
      <c r="BB53" s="89"/>
      <c r="BC53" s="89"/>
      <c r="BD53" s="89"/>
      <c r="BE53" s="89"/>
      <c r="BF53" s="89"/>
      <c r="BG53" s="89"/>
      <c r="BH53" s="89"/>
      <c r="BI53" s="89"/>
      <c r="BJ53" s="89"/>
      <c r="BK53" s="89"/>
      <c r="BL53" s="89"/>
      <c r="BM53" s="89"/>
      <c r="BN53" s="89"/>
      <c r="BO53" s="89"/>
      <c r="BP53" s="89"/>
      <c r="BQ53" s="89"/>
      <c r="BR53" s="89"/>
    </row>
    <row r="54" spans="3:70" ht="14.25" customHeight="1" x14ac:dyDescent="0.2">
      <c r="C54" s="2" t="s">
        <v>10</v>
      </c>
      <c r="D54" s="8">
        <v>10.1</v>
      </c>
      <c r="E54" s="8">
        <v>11.8</v>
      </c>
      <c r="F54" s="8">
        <v>15.7</v>
      </c>
      <c r="G54" s="8">
        <v>16.600000000000001</v>
      </c>
      <c r="H54" s="8">
        <v>13.9</v>
      </c>
      <c r="I54" s="8">
        <v>68.099999999999994</v>
      </c>
      <c r="J54" s="15">
        <v>2931</v>
      </c>
      <c r="K54" s="8">
        <v>10.1</v>
      </c>
      <c r="L54" s="8">
        <v>12</v>
      </c>
      <c r="M54" s="8">
        <v>16</v>
      </c>
      <c r="N54" s="8">
        <v>17.399999999999999</v>
      </c>
      <c r="O54" s="8">
        <v>15.4</v>
      </c>
      <c r="P54" s="8">
        <v>70.900000000000006</v>
      </c>
      <c r="Q54" s="15">
        <v>1815</v>
      </c>
      <c r="R54" s="8">
        <v>10.1</v>
      </c>
      <c r="S54" s="8">
        <v>11.9</v>
      </c>
      <c r="T54" s="8">
        <v>15.8</v>
      </c>
      <c r="U54" s="8">
        <v>16.899999999999999</v>
      </c>
      <c r="V54" s="8">
        <v>14.5</v>
      </c>
      <c r="W54" s="8">
        <v>69.2</v>
      </c>
      <c r="X54" s="15">
        <v>4746</v>
      </c>
      <c r="Z54" s="105"/>
      <c r="AA54" s="92"/>
      <c r="AB54" s="92"/>
      <c r="AC54" s="92"/>
      <c r="AD54" s="92"/>
      <c r="AE54" s="92"/>
      <c r="AF54" s="92"/>
      <c r="AG54" s="117"/>
      <c r="AH54" s="92"/>
      <c r="AI54" s="92"/>
      <c r="AJ54" s="92"/>
      <c r="AK54" s="92"/>
      <c r="AL54" s="92"/>
      <c r="AM54" s="92"/>
      <c r="AN54" s="117"/>
      <c r="AO54" s="92"/>
      <c r="AP54" s="92"/>
      <c r="AQ54" s="92"/>
      <c r="AR54" s="92"/>
      <c r="AS54" s="92"/>
      <c r="AT54" s="92"/>
      <c r="AU54" s="117"/>
      <c r="AW54" s="109"/>
      <c r="AX54" s="89"/>
      <c r="AY54" s="89"/>
      <c r="AZ54" s="89"/>
      <c r="BA54" s="89"/>
      <c r="BB54" s="89"/>
      <c r="BC54" s="89"/>
      <c r="BD54" s="89"/>
      <c r="BE54" s="89"/>
      <c r="BF54" s="89"/>
      <c r="BG54" s="89"/>
      <c r="BH54" s="89"/>
      <c r="BI54" s="89"/>
      <c r="BJ54" s="89"/>
      <c r="BK54" s="89"/>
      <c r="BL54" s="89"/>
      <c r="BM54" s="89"/>
      <c r="BN54" s="89"/>
      <c r="BO54" s="89"/>
      <c r="BP54" s="89"/>
      <c r="BQ54" s="89"/>
      <c r="BR54" s="89"/>
    </row>
    <row r="55" spans="3:70" ht="14.25" customHeight="1" x14ac:dyDescent="0.2">
      <c r="C55" s="2" t="s">
        <v>11</v>
      </c>
      <c r="D55" s="8">
        <v>9.8000000000000007</v>
      </c>
      <c r="E55" s="8">
        <v>16.600000000000001</v>
      </c>
      <c r="F55" s="8">
        <v>22.7</v>
      </c>
      <c r="G55" s="8">
        <v>21.6</v>
      </c>
      <c r="H55" s="8">
        <v>15.2</v>
      </c>
      <c r="I55" s="8">
        <v>86</v>
      </c>
      <c r="J55" s="15">
        <v>21720</v>
      </c>
      <c r="K55" s="8">
        <v>11.3</v>
      </c>
      <c r="L55" s="8">
        <v>17.100000000000001</v>
      </c>
      <c r="M55" s="8">
        <v>22.5</v>
      </c>
      <c r="N55" s="8">
        <v>20.7</v>
      </c>
      <c r="O55" s="8">
        <v>14.1</v>
      </c>
      <c r="P55" s="8">
        <v>85.7</v>
      </c>
      <c r="Q55" s="15">
        <v>16958</v>
      </c>
      <c r="R55" s="8">
        <v>10.4</v>
      </c>
      <c r="S55" s="8">
        <v>16.8</v>
      </c>
      <c r="T55" s="8">
        <v>22.6</v>
      </c>
      <c r="U55" s="8">
        <v>21.2</v>
      </c>
      <c r="V55" s="8">
        <v>14.7</v>
      </c>
      <c r="W55" s="8">
        <v>85.8</v>
      </c>
      <c r="X55" s="15">
        <v>38678</v>
      </c>
      <c r="Z55" s="105"/>
      <c r="AA55" s="92"/>
      <c r="AB55" s="92"/>
      <c r="AC55" s="92"/>
      <c r="AD55" s="92"/>
      <c r="AE55" s="92"/>
      <c r="AF55" s="92"/>
      <c r="AG55" s="117"/>
      <c r="AH55" s="92"/>
      <c r="AI55" s="92"/>
      <c r="AJ55" s="92"/>
      <c r="AK55" s="92"/>
      <c r="AL55" s="92"/>
      <c r="AM55" s="92"/>
      <c r="AN55" s="117"/>
      <c r="AO55" s="92"/>
      <c r="AP55" s="92"/>
      <c r="AQ55" s="92"/>
      <c r="AR55" s="92"/>
      <c r="AS55" s="92"/>
      <c r="AT55" s="92"/>
      <c r="AU55" s="117"/>
      <c r="AW55" s="109"/>
      <c r="AX55" s="89"/>
      <c r="AY55" s="89"/>
      <c r="AZ55" s="89"/>
      <c r="BA55" s="89"/>
      <c r="BB55" s="89"/>
      <c r="BC55" s="89"/>
      <c r="BD55" s="89"/>
      <c r="BE55" s="89"/>
      <c r="BF55" s="89"/>
      <c r="BG55" s="89"/>
      <c r="BH55" s="89"/>
      <c r="BI55" s="89"/>
      <c r="BJ55" s="89"/>
      <c r="BK55" s="89"/>
      <c r="BL55" s="89"/>
      <c r="BM55" s="89"/>
      <c r="BN55" s="89"/>
      <c r="BO55" s="89"/>
      <c r="BP55" s="89"/>
      <c r="BQ55" s="89"/>
      <c r="BR55" s="89"/>
    </row>
    <row r="56" spans="3:70" ht="14.25" customHeight="1" x14ac:dyDescent="0.2">
      <c r="C56" s="2" t="s">
        <v>12</v>
      </c>
      <c r="D56" s="8">
        <v>24</v>
      </c>
      <c r="E56" s="8">
        <v>18.7</v>
      </c>
      <c r="F56" s="8">
        <v>17.8</v>
      </c>
      <c r="G56" s="8">
        <v>14.8</v>
      </c>
      <c r="H56" s="8">
        <v>11.3</v>
      </c>
      <c r="I56" s="8">
        <v>86.6</v>
      </c>
      <c r="J56" s="15">
        <v>9606</v>
      </c>
      <c r="K56" s="8">
        <v>25.8</v>
      </c>
      <c r="L56" s="8">
        <v>19.100000000000001</v>
      </c>
      <c r="M56" s="8">
        <v>16.7</v>
      </c>
      <c r="N56" s="8">
        <v>14.1</v>
      </c>
      <c r="O56" s="8">
        <v>11</v>
      </c>
      <c r="P56" s="8">
        <v>86.7</v>
      </c>
      <c r="Q56" s="15">
        <v>4246</v>
      </c>
      <c r="R56" s="8">
        <v>24.5</v>
      </c>
      <c r="S56" s="8">
        <v>18.8</v>
      </c>
      <c r="T56" s="8">
        <v>17.5</v>
      </c>
      <c r="U56" s="8">
        <v>14.6</v>
      </c>
      <c r="V56" s="8">
        <v>11.2</v>
      </c>
      <c r="W56" s="8">
        <v>86.7</v>
      </c>
      <c r="X56" s="15">
        <v>13852</v>
      </c>
      <c r="Z56" s="105"/>
      <c r="AA56" s="92"/>
      <c r="AB56" s="92"/>
      <c r="AC56" s="92"/>
      <c r="AD56" s="92"/>
      <c r="AE56" s="92"/>
      <c r="AF56" s="92"/>
      <c r="AG56" s="117"/>
      <c r="AH56" s="92"/>
      <c r="AI56" s="92"/>
      <c r="AJ56" s="92"/>
      <c r="AK56" s="92"/>
      <c r="AL56" s="92"/>
      <c r="AM56" s="92"/>
      <c r="AN56" s="117"/>
      <c r="AO56" s="92"/>
      <c r="AP56" s="92"/>
      <c r="AQ56" s="92"/>
      <c r="AR56" s="92"/>
      <c r="AS56" s="92"/>
      <c r="AT56" s="92"/>
      <c r="AU56" s="117"/>
      <c r="AW56" s="109"/>
      <c r="AX56" s="89"/>
      <c r="AY56" s="89"/>
      <c r="AZ56" s="89"/>
      <c r="BA56" s="89"/>
      <c r="BB56" s="89"/>
      <c r="BC56" s="89"/>
      <c r="BD56" s="89"/>
      <c r="BE56" s="89"/>
      <c r="BF56" s="89"/>
      <c r="BG56" s="89"/>
      <c r="BH56" s="89"/>
      <c r="BI56" s="89"/>
      <c r="BJ56" s="89"/>
      <c r="BK56" s="89"/>
      <c r="BL56" s="89"/>
      <c r="BM56" s="89"/>
      <c r="BN56" s="89"/>
      <c r="BO56" s="89"/>
      <c r="BP56" s="89"/>
      <c r="BQ56" s="89"/>
      <c r="BR56" s="89"/>
    </row>
    <row r="57" spans="3:70" ht="14.25" customHeight="1" x14ac:dyDescent="0.2">
      <c r="C57" s="2" t="s">
        <v>13</v>
      </c>
      <c r="D57" s="8">
        <v>15.2</v>
      </c>
      <c r="E57" s="8">
        <v>18.600000000000001</v>
      </c>
      <c r="F57" s="8">
        <v>21.7</v>
      </c>
      <c r="G57" s="8">
        <v>19.399999999999999</v>
      </c>
      <c r="H57" s="8">
        <v>13.9</v>
      </c>
      <c r="I57" s="8">
        <v>88.8</v>
      </c>
      <c r="J57" s="15">
        <v>18040</v>
      </c>
      <c r="K57" s="8">
        <v>23.3</v>
      </c>
      <c r="L57" s="8">
        <v>20.8</v>
      </c>
      <c r="M57" s="8">
        <v>20.9</v>
      </c>
      <c r="N57" s="8">
        <v>15.9</v>
      </c>
      <c r="O57" s="8">
        <v>10.4</v>
      </c>
      <c r="P57" s="8">
        <v>91.2</v>
      </c>
      <c r="Q57" s="15">
        <v>14974</v>
      </c>
      <c r="R57" s="8">
        <v>18.899999999999999</v>
      </c>
      <c r="S57" s="8">
        <v>19.600000000000001</v>
      </c>
      <c r="T57" s="8">
        <v>21.3</v>
      </c>
      <c r="U57" s="8">
        <v>17.8</v>
      </c>
      <c r="V57" s="8">
        <v>12.3</v>
      </c>
      <c r="W57" s="8">
        <v>89.9</v>
      </c>
      <c r="X57" s="15">
        <v>33014</v>
      </c>
      <c r="Z57" s="105"/>
      <c r="AA57" s="92"/>
      <c r="AB57" s="92"/>
      <c r="AC57" s="92"/>
      <c r="AD57" s="92"/>
      <c r="AE57" s="92"/>
      <c r="AF57" s="92"/>
      <c r="AG57" s="117"/>
      <c r="AH57" s="92"/>
      <c r="AI57" s="92"/>
      <c r="AJ57" s="92"/>
      <c r="AK57" s="92"/>
      <c r="AL57" s="92"/>
      <c r="AM57" s="92"/>
      <c r="AN57" s="117"/>
      <c r="AO57" s="92"/>
      <c r="AP57" s="92"/>
      <c r="AQ57" s="92"/>
      <c r="AR57" s="92"/>
      <c r="AS57" s="92"/>
      <c r="AT57" s="92"/>
      <c r="AU57" s="117"/>
      <c r="AW57" s="109"/>
      <c r="AX57" s="89"/>
      <c r="AY57" s="89"/>
      <c r="AZ57" s="89"/>
      <c r="BA57" s="89"/>
      <c r="BB57" s="89"/>
      <c r="BC57" s="89"/>
      <c r="BD57" s="89"/>
      <c r="BE57" s="89"/>
      <c r="BF57" s="89"/>
      <c r="BG57" s="89"/>
      <c r="BH57" s="89"/>
      <c r="BI57" s="89"/>
      <c r="BJ57" s="89"/>
      <c r="BK57" s="89"/>
      <c r="BL57" s="89"/>
      <c r="BM57" s="89"/>
      <c r="BN57" s="89"/>
      <c r="BO57" s="89"/>
      <c r="BP57" s="89"/>
      <c r="BQ57" s="89"/>
      <c r="BR57" s="89"/>
    </row>
    <row r="58" spans="3:70" ht="14.25" customHeight="1" x14ac:dyDescent="0.2">
      <c r="C58" s="2" t="s">
        <v>14</v>
      </c>
      <c r="D58" s="8">
        <v>18.7</v>
      </c>
      <c r="E58" s="8">
        <v>19</v>
      </c>
      <c r="F58" s="8">
        <v>22</v>
      </c>
      <c r="G58" s="8">
        <v>17.3</v>
      </c>
      <c r="H58" s="8">
        <v>11.4</v>
      </c>
      <c r="I58" s="8">
        <v>88.3</v>
      </c>
      <c r="J58" s="15">
        <v>4535</v>
      </c>
      <c r="K58" s="8">
        <v>21.4</v>
      </c>
      <c r="L58" s="8">
        <v>20.9</v>
      </c>
      <c r="M58" s="8">
        <v>19</v>
      </c>
      <c r="N58" s="8">
        <v>16.100000000000001</v>
      </c>
      <c r="O58" s="8">
        <v>10.5</v>
      </c>
      <c r="P58" s="8">
        <v>87.8</v>
      </c>
      <c r="Q58" s="15">
        <v>3451</v>
      </c>
      <c r="R58" s="8">
        <v>19.8</v>
      </c>
      <c r="S58" s="8">
        <v>19.8</v>
      </c>
      <c r="T58" s="8">
        <v>20.7</v>
      </c>
      <c r="U58" s="8">
        <v>16.8</v>
      </c>
      <c r="V58" s="8">
        <v>11</v>
      </c>
      <c r="W58" s="8">
        <v>88.1</v>
      </c>
      <c r="X58" s="15">
        <v>7986</v>
      </c>
      <c r="Z58" s="105"/>
      <c r="AA58" s="92"/>
      <c r="AB58" s="92"/>
      <c r="AC58" s="92"/>
      <c r="AD58" s="92"/>
      <c r="AE58" s="92"/>
      <c r="AF58" s="92"/>
      <c r="AG58" s="117"/>
      <c r="AH58" s="92"/>
      <c r="AI58" s="92"/>
      <c r="AJ58" s="92"/>
      <c r="AK58" s="92"/>
      <c r="AL58" s="92"/>
      <c r="AM58" s="92"/>
      <c r="AN58" s="117"/>
      <c r="AO58" s="92"/>
      <c r="AP58" s="92"/>
      <c r="AQ58" s="92"/>
      <c r="AR58" s="92"/>
      <c r="AS58" s="92"/>
      <c r="AT58" s="92"/>
      <c r="AU58" s="117"/>
      <c r="AW58" s="109"/>
      <c r="AX58" s="89"/>
      <c r="AY58" s="89"/>
      <c r="AZ58" s="89"/>
      <c r="BA58" s="89"/>
      <c r="BB58" s="89"/>
      <c r="BC58" s="89"/>
      <c r="BD58" s="89"/>
      <c r="BE58" s="89"/>
      <c r="BF58" s="89"/>
      <c r="BG58" s="89"/>
      <c r="BH58" s="89"/>
      <c r="BI58" s="89"/>
      <c r="BJ58" s="89"/>
      <c r="BK58" s="89"/>
      <c r="BL58" s="89"/>
      <c r="BM58" s="89"/>
      <c r="BN58" s="89"/>
      <c r="BO58" s="89"/>
      <c r="BP58" s="89"/>
      <c r="BQ58" s="89"/>
      <c r="BR58" s="89"/>
    </row>
    <row r="59" spans="3:70" ht="14.25" customHeight="1" x14ac:dyDescent="0.2">
      <c r="C59" s="2" t="s">
        <v>15</v>
      </c>
      <c r="D59" s="8">
        <v>17.100000000000001</v>
      </c>
      <c r="E59" s="8">
        <v>23.9</v>
      </c>
      <c r="F59" s="8">
        <v>25</v>
      </c>
      <c r="G59" s="8">
        <v>17.5</v>
      </c>
      <c r="H59" s="8">
        <v>9.6</v>
      </c>
      <c r="I59" s="8">
        <v>92.9</v>
      </c>
      <c r="J59" s="15">
        <v>16882</v>
      </c>
      <c r="K59" s="8">
        <v>18.5</v>
      </c>
      <c r="L59" s="8">
        <v>24.1</v>
      </c>
      <c r="M59" s="8">
        <v>23.9</v>
      </c>
      <c r="N59" s="8">
        <v>16.600000000000001</v>
      </c>
      <c r="O59" s="8">
        <v>9.4</v>
      </c>
      <c r="P59" s="8">
        <v>92.5</v>
      </c>
      <c r="Q59" s="15">
        <v>19491</v>
      </c>
      <c r="R59" s="8">
        <v>17.8</v>
      </c>
      <c r="S59" s="8">
        <v>24</v>
      </c>
      <c r="T59" s="8">
        <v>24.4</v>
      </c>
      <c r="U59" s="8">
        <v>17</v>
      </c>
      <c r="V59" s="8">
        <v>9.5</v>
      </c>
      <c r="W59" s="8">
        <v>92.7</v>
      </c>
      <c r="X59" s="15">
        <v>36373</v>
      </c>
      <c r="Z59" s="105"/>
      <c r="AA59" s="92"/>
      <c r="AB59" s="92"/>
      <c r="AC59" s="92"/>
      <c r="AD59" s="92"/>
      <c r="AE59" s="92"/>
      <c r="AF59" s="92"/>
      <c r="AG59" s="117"/>
      <c r="AH59" s="92"/>
      <c r="AI59" s="92"/>
      <c r="AJ59" s="92"/>
      <c r="AK59" s="92"/>
      <c r="AL59" s="92"/>
      <c r="AM59" s="92"/>
      <c r="AN59" s="117"/>
      <c r="AO59" s="92"/>
      <c r="AP59" s="92"/>
      <c r="AQ59" s="92"/>
      <c r="AR59" s="92"/>
      <c r="AS59" s="92"/>
      <c r="AT59" s="92"/>
      <c r="AU59" s="117"/>
      <c r="AW59" s="109"/>
      <c r="AX59" s="89"/>
      <c r="AY59" s="89"/>
      <c r="AZ59" s="89"/>
      <c r="BA59" s="89"/>
      <c r="BB59" s="89"/>
      <c r="BC59" s="89"/>
      <c r="BD59" s="89"/>
      <c r="BE59" s="89"/>
      <c r="BF59" s="89"/>
      <c r="BG59" s="89"/>
      <c r="BH59" s="89"/>
      <c r="BI59" s="89"/>
      <c r="BJ59" s="89"/>
      <c r="BK59" s="89"/>
      <c r="BL59" s="89"/>
      <c r="BM59" s="89"/>
      <c r="BN59" s="89"/>
      <c r="BO59" s="89"/>
      <c r="BP59" s="89"/>
      <c r="BQ59" s="89"/>
      <c r="BR59" s="89"/>
    </row>
    <row r="60" spans="3:70" ht="14.25" customHeight="1" x14ac:dyDescent="0.2">
      <c r="C60" s="2" t="s">
        <v>16</v>
      </c>
      <c r="D60" s="8">
        <v>10.4</v>
      </c>
      <c r="E60" s="8">
        <v>13.4</v>
      </c>
      <c r="F60" s="8">
        <v>17.2</v>
      </c>
      <c r="G60" s="8">
        <v>18</v>
      </c>
      <c r="H60" s="8">
        <v>16.3</v>
      </c>
      <c r="I60" s="8">
        <v>75.3</v>
      </c>
      <c r="J60" s="15">
        <v>5398</v>
      </c>
      <c r="K60" s="8">
        <v>13.3</v>
      </c>
      <c r="L60" s="8">
        <v>15.4</v>
      </c>
      <c r="M60" s="8">
        <v>17.3</v>
      </c>
      <c r="N60" s="8">
        <v>18.2</v>
      </c>
      <c r="O60" s="8">
        <v>13.9</v>
      </c>
      <c r="P60" s="8">
        <v>78.2</v>
      </c>
      <c r="Q60" s="15">
        <v>7806</v>
      </c>
      <c r="R60" s="8">
        <v>12.1</v>
      </c>
      <c r="S60" s="8">
        <v>14.6</v>
      </c>
      <c r="T60" s="8">
        <v>17.3</v>
      </c>
      <c r="U60" s="8">
        <v>18.100000000000001</v>
      </c>
      <c r="V60" s="8">
        <v>14.9</v>
      </c>
      <c r="W60" s="8">
        <v>77</v>
      </c>
      <c r="X60" s="15">
        <v>13204</v>
      </c>
      <c r="Z60" s="105"/>
      <c r="AA60" s="92"/>
      <c r="AB60" s="92"/>
      <c r="AC60" s="92"/>
      <c r="AD60" s="92"/>
      <c r="AE60" s="92"/>
      <c r="AF60" s="92"/>
      <c r="AG60" s="117"/>
      <c r="AH60" s="92"/>
      <c r="AI60" s="92"/>
      <c r="AJ60" s="92"/>
      <c r="AK60" s="92"/>
      <c r="AL60" s="92"/>
      <c r="AM60" s="92"/>
      <c r="AN60" s="117"/>
      <c r="AO60" s="92"/>
      <c r="AP60" s="92"/>
      <c r="AQ60" s="92"/>
      <c r="AR60" s="92"/>
      <c r="AS60" s="92"/>
      <c r="AT60" s="92"/>
      <c r="AU60" s="117"/>
      <c r="AW60" s="109"/>
      <c r="AX60" s="89"/>
      <c r="AY60" s="89"/>
      <c r="AZ60" s="89"/>
      <c r="BA60" s="89"/>
      <c r="BB60" s="89"/>
      <c r="BC60" s="89"/>
      <c r="BD60" s="89"/>
      <c r="BE60" s="89"/>
      <c r="BF60" s="89"/>
      <c r="BG60" s="89"/>
      <c r="BH60" s="89"/>
      <c r="BI60" s="89"/>
      <c r="BJ60" s="89"/>
      <c r="BK60" s="89"/>
      <c r="BL60" s="89"/>
      <c r="BM60" s="89"/>
      <c r="BN60" s="89"/>
      <c r="BO60" s="89"/>
      <c r="BP60" s="89"/>
      <c r="BQ60" s="89"/>
      <c r="BR60" s="89"/>
    </row>
    <row r="61" spans="3:70" ht="14.25" customHeight="1" x14ac:dyDescent="0.2">
      <c r="C61" s="2" t="s">
        <v>17</v>
      </c>
      <c r="D61" s="8">
        <v>7.1</v>
      </c>
      <c r="E61" s="8">
        <v>11.6</v>
      </c>
      <c r="F61" s="8">
        <v>18.2</v>
      </c>
      <c r="G61" s="8">
        <v>20.100000000000001</v>
      </c>
      <c r="H61" s="8">
        <v>18.899999999999999</v>
      </c>
      <c r="I61" s="8">
        <v>76</v>
      </c>
      <c r="J61" s="15">
        <v>12474</v>
      </c>
      <c r="K61" s="8">
        <v>13.5</v>
      </c>
      <c r="L61" s="8">
        <v>16.600000000000001</v>
      </c>
      <c r="M61" s="8">
        <v>19.7</v>
      </c>
      <c r="N61" s="8">
        <v>18.3</v>
      </c>
      <c r="O61" s="8">
        <v>15.4</v>
      </c>
      <c r="P61" s="8">
        <v>83.6</v>
      </c>
      <c r="Q61" s="15">
        <v>34686</v>
      </c>
      <c r="R61" s="8">
        <v>11.8</v>
      </c>
      <c r="S61" s="8">
        <v>15.3</v>
      </c>
      <c r="T61" s="8">
        <v>19.3</v>
      </c>
      <c r="U61" s="8">
        <v>18.8</v>
      </c>
      <c r="V61" s="8">
        <v>16.3</v>
      </c>
      <c r="W61" s="8">
        <v>81.599999999999994</v>
      </c>
      <c r="X61" s="15">
        <v>47160</v>
      </c>
      <c r="Z61" s="105"/>
      <c r="AA61" s="92"/>
      <c r="AB61" s="92"/>
      <c r="AC61" s="92"/>
      <c r="AD61" s="92"/>
      <c r="AE61" s="92"/>
      <c r="AF61" s="92"/>
      <c r="AG61" s="117"/>
      <c r="AH61" s="92"/>
      <c r="AI61" s="92"/>
      <c r="AJ61" s="92"/>
      <c r="AK61" s="92"/>
      <c r="AL61" s="92"/>
      <c r="AM61" s="92"/>
      <c r="AN61" s="117"/>
      <c r="AO61" s="92"/>
      <c r="AP61" s="92"/>
      <c r="AQ61" s="92"/>
      <c r="AR61" s="92"/>
      <c r="AS61" s="92"/>
      <c r="AT61" s="92"/>
      <c r="AU61" s="117"/>
      <c r="AW61" s="109"/>
      <c r="AX61" s="89"/>
      <c r="AY61" s="89"/>
      <c r="AZ61" s="89"/>
      <c r="BA61" s="89"/>
      <c r="BB61" s="89"/>
      <c r="BC61" s="89"/>
      <c r="BD61" s="89"/>
      <c r="BE61" s="89"/>
      <c r="BF61" s="89"/>
      <c r="BG61" s="89"/>
      <c r="BH61" s="89"/>
      <c r="BI61" s="89"/>
      <c r="BJ61" s="89"/>
      <c r="BK61" s="89"/>
      <c r="BL61" s="89"/>
      <c r="BM61" s="89"/>
      <c r="BN61" s="89"/>
      <c r="BO61" s="89"/>
      <c r="BP61" s="89"/>
      <c r="BQ61" s="89"/>
      <c r="BR61" s="89"/>
    </row>
    <row r="62" spans="3:70" ht="14.25" customHeight="1" x14ac:dyDescent="0.2">
      <c r="C62" s="2" t="s">
        <v>18</v>
      </c>
      <c r="D62" s="8">
        <v>10.6</v>
      </c>
      <c r="E62" s="8">
        <v>14.3</v>
      </c>
      <c r="F62" s="8">
        <v>19.899999999999999</v>
      </c>
      <c r="G62" s="8">
        <v>19.3</v>
      </c>
      <c r="H62" s="8">
        <v>16.600000000000001</v>
      </c>
      <c r="I62" s="8">
        <v>80.7</v>
      </c>
      <c r="J62" s="15">
        <v>6852</v>
      </c>
      <c r="K62" s="8">
        <v>16.2</v>
      </c>
      <c r="L62" s="8">
        <v>17.399999999999999</v>
      </c>
      <c r="M62" s="8">
        <v>20</v>
      </c>
      <c r="N62" s="8">
        <v>17.5</v>
      </c>
      <c r="O62" s="8">
        <v>14</v>
      </c>
      <c r="P62" s="8">
        <v>85.2</v>
      </c>
      <c r="Q62" s="15">
        <v>20621</v>
      </c>
      <c r="R62" s="8">
        <v>14.8</v>
      </c>
      <c r="S62" s="8">
        <v>16.7</v>
      </c>
      <c r="T62" s="8">
        <v>20</v>
      </c>
      <c r="U62" s="8">
        <v>18</v>
      </c>
      <c r="V62" s="8">
        <v>14.6</v>
      </c>
      <c r="W62" s="8">
        <v>84.1</v>
      </c>
      <c r="X62" s="15">
        <v>27473</v>
      </c>
      <c r="Z62" s="105"/>
      <c r="AA62" s="92"/>
      <c r="AB62" s="92"/>
      <c r="AC62" s="92"/>
      <c r="AD62" s="92"/>
      <c r="AE62" s="92"/>
      <c r="AF62" s="92"/>
      <c r="AG62" s="117"/>
      <c r="AH62" s="92"/>
      <c r="AI62" s="92"/>
      <c r="AJ62" s="92"/>
      <c r="AK62" s="92"/>
      <c r="AL62" s="92"/>
      <c r="AM62" s="92"/>
      <c r="AN62" s="117"/>
      <c r="AO62" s="92"/>
      <c r="AP62" s="92"/>
      <c r="AQ62" s="92"/>
      <c r="AR62" s="92"/>
      <c r="AS62" s="92"/>
      <c r="AT62" s="92"/>
      <c r="AU62" s="117"/>
      <c r="AW62" s="109"/>
      <c r="AX62" s="89"/>
      <c r="AY62" s="89"/>
      <c r="AZ62" s="89"/>
      <c r="BA62" s="89"/>
      <c r="BB62" s="89"/>
      <c r="BC62" s="89"/>
      <c r="BD62" s="89"/>
      <c r="BE62" s="89"/>
      <c r="BF62" s="89"/>
      <c r="BG62" s="89"/>
      <c r="BH62" s="89"/>
      <c r="BI62" s="89"/>
      <c r="BJ62" s="89"/>
      <c r="BK62" s="89"/>
      <c r="BL62" s="89"/>
      <c r="BM62" s="89"/>
      <c r="BN62" s="89"/>
      <c r="BO62" s="89"/>
      <c r="BP62" s="89"/>
      <c r="BQ62" s="89"/>
      <c r="BR62" s="89"/>
    </row>
    <row r="63" spans="3:70" ht="14.25" customHeight="1" x14ac:dyDescent="0.2">
      <c r="C63" s="2" t="s">
        <v>19</v>
      </c>
      <c r="D63" s="8">
        <v>11.9</v>
      </c>
      <c r="E63" s="8">
        <v>13.1</v>
      </c>
      <c r="F63" s="8">
        <v>18.8</v>
      </c>
      <c r="G63" s="8">
        <v>19.100000000000001</v>
      </c>
      <c r="H63" s="8">
        <v>12.6</v>
      </c>
      <c r="I63" s="8">
        <v>75.5</v>
      </c>
      <c r="J63" s="15">
        <v>1440</v>
      </c>
      <c r="K63" s="8">
        <v>13.2</v>
      </c>
      <c r="L63" s="8">
        <v>14.6</v>
      </c>
      <c r="M63" s="8">
        <v>18</v>
      </c>
      <c r="N63" s="8">
        <v>17.2</v>
      </c>
      <c r="O63" s="8">
        <v>15.1</v>
      </c>
      <c r="P63" s="8">
        <v>78.099999999999994</v>
      </c>
      <c r="Q63" s="15">
        <v>1935</v>
      </c>
      <c r="R63" s="8">
        <v>12.7</v>
      </c>
      <c r="S63" s="8">
        <v>14</v>
      </c>
      <c r="T63" s="8">
        <v>18.3</v>
      </c>
      <c r="U63" s="8">
        <v>18</v>
      </c>
      <c r="V63" s="8">
        <v>14.1</v>
      </c>
      <c r="W63" s="8">
        <v>77</v>
      </c>
      <c r="X63" s="15">
        <v>3375</v>
      </c>
      <c r="Z63" s="105"/>
      <c r="AA63" s="92"/>
      <c r="AB63" s="92"/>
      <c r="AC63" s="92"/>
      <c r="AD63" s="92"/>
      <c r="AE63" s="92"/>
      <c r="AF63" s="92"/>
      <c r="AG63" s="117"/>
      <c r="AH63" s="92"/>
      <c r="AI63" s="92"/>
      <c r="AJ63" s="92"/>
      <c r="AK63" s="92"/>
      <c r="AL63" s="92"/>
      <c r="AM63" s="92"/>
      <c r="AN63" s="117"/>
      <c r="AO63" s="92"/>
      <c r="AP63" s="92"/>
      <c r="AQ63" s="92"/>
      <c r="AR63" s="92"/>
      <c r="AS63" s="92"/>
      <c r="AT63" s="92"/>
      <c r="AU63" s="117"/>
      <c r="AW63" s="109"/>
      <c r="AX63" s="89"/>
      <c r="AY63" s="89"/>
      <c r="AZ63" s="89"/>
      <c r="BA63" s="89"/>
      <c r="BB63" s="89"/>
      <c r="BC63" s="89"/>
      <c r="BD63" s="89"/>
      <c r="BE63" s="89"/>
      <c r="BF63" s="89"/>
      <c r="BG63" s="89"/>
      <c r="BH63" s="89"/>
      <c r="BI63" s="89"/>
      <c r="BJ63" s="89"/>
      <c r="BK63" s="89"/>
      <c r="BL63" s="89"/>
      <c r="BM63" s="89"/>
      <c r="BN63" s="89"/>
      <c r="BO63" s="89"/>
      <c r="BP63" s="89"/>
      <c r="BQ63" s="89"/>
      <c r="BR63" s="89"/>
    </row>
    <row r="64" spans="3:70" ht="14.25" customHeight="1" x14ac:dyDescent="0.2">
      <c r="C64" s="2" t="s">
        <v>20</v>
      </c>
      <c r="D64" s="8">
        <v>16.3</v>
      </c>
      <c r="E64" s="8">
        <v>15.2</v>
      </c>
      <c r="F64" s="8">
        <v>18.100000000000001</v>
      </c>
      <c r="G64" s="8">
        <v>16.8</v>
      </c>
      <c r="H64" s="8">
        <v>11.9</v>
      </c>
      <c r="I64" s="8">
        <v>78.400000000000006</v>
      </c>
      <c r="J64" s="15">
        <v>14686</v>
      </c>
      <c r="K64" s="8">
        <v>26.2</v>
      </c>
      <c r="L64" s="8">
        <v>19.5</v>
      </c>
      <c r="M64" s="8">
        <v>19.100000000000001</v>
      </c>
      <c r="N64" s="8">
        <v>14</v>
      </c>
      <c r="O64" s="8">
        <v>8.5</v>
      </c>
      <c r="P64" s="8">
        <v>87.3</v>
      </c>
      <c r="Q64" s="15">
        <v>27609</v>
      </c>
      <c r="R64" s="8">
        <v>22.7</v>
      </c>
      <c r="S64" s="8">
        <v>18</v>
      </c>
      <c r="T64" s="8">
        <v>18.8</v>
      </c>
      <c r="U64" s="8">
        <v>15</v>
      </c>
      <c r="V64" s="8">
        <v>9.6999999999999993</v>
      </c>
      <c r="W64" s="8">
        <v>84.2</v>
      </c>
      <c r="X64" s="15">
        <v>42295</v>
      </c>
      <c r="Z64" s="105"/>
      <c r="AA64" s="92"/>
      <c r="AB64" s="92"/>
      <c r="AC64" s="92"/>
      <c r="AD64" s="92"/>
      <c r="AE64" s="92"/>
      <c r="AF64" s="92"/>
      <c r="AG64" s="117"/>
      <c r="AH64" s="92"/>
      <c r="AI64" s="92"/>
      <c r="AJ64" s="92"/>
      <c r="AK64" s="92"/>
      <c r="AL64" s="92"/>
      <c r="AM64" s="92"/>
      <c r="AN64" s="117"/>
      <c r="AO64" s="92"/>
      <c r="AP64" s="92"/>
      <c r="AQ64" s="92"/>
      <c r="AR64" s="92"/>
      <c r="AS64" s="92"/>
      <c r="AT64" s="92"/>
      <c r="AU64" s="117"/>
      <c r="AW64" s="109"/>
      <c r="AX64" s="89"/>
      <c r="AY64" s="89"/>
      <c r="AZ64" s="89"/>
      <c r="BA64" s="89"/>
      <c r="BB64" s="89"/>
      <c r="BC64" s="89"/>
      <c r="BD64" s="89"/>
      <c r="BE64" s="89"/>
      <c r="BF64" s="89"/>
      <c r="BG64" s="89"/>
      <c r="BH64" s="89"/>
      <c r="BI64" s="89"/>
      <c r="BJ64" s="89"/>
      <c r="BK64" s="89"/>
      <c r="BL64" s="89"/>
      <c r="BM64" s="89"/>
      <c r="BN64" s="89"/>
      <c r="BO64" s="89"/>
      <c r="BP64" s="89"/>
      <c r="BQ64" s="89"/>
      <c r="BR64" s="89"/>
    </row>
    <row r="65" spans="3:70" ht="14.25" customHeight="1" x14ac:dyDescent="0.2">
      <c r="C65" s="2" t="s">
        <v>21</v>
      </c>
      <c r="D65" s="8">
        <v>11.1</v>
      </c>
      <c r="E65" s="8">
        <v>20.7</v>
      </c>
      <c r="F65" s="8">
        <v>25.7</v>
      </c>
      <c r="G65" s="8">
        <v>21.8</v>
      </c>
      <c r="H65" s="8">
        <v>11.2</v>
      </c>
      <c r="I65" s="8">
        <v>90.6</v>
      </c>
      <c r="J65" s="15">
        <v>4161</v>
      </c>
      <c r="K65" s="8">
        <v>16.7</v>
      </c>
      <c r="L65" s="8">
        <v>24.6</v>
      </c>
      <c r="M65" s="8">
        <v>26.7</v>
      </c>
      <c r="N65" s="8">
        <v>18.100000000000001</v>
      </c>
      <c r="O65" s="8">
        <v>8.5</v>
      </c>
      <c r="P65" s="8">
        <v>94.6</v>
      </c>
      <c r="Q65" s="15">
        <v>10218</v>
      </c>
      <c r="R65" s="8">
        <v>15.1</v>
      </c>
      <c r="S65" s="8">
        <v>23.5</v>
      </c>
      <c r="T65" s="8">
        <v>26.4</v>
      </c>
      <c r="U65" s="8">
        <v>19.100000000000001</v>
      </c>
      <c r="V65" s="8">
        <v>9.3000000000000007</v>
      </c>
      <c r="W65" s="8">
        <v>93.5</v>
      </c>
      <c r="X65" s="15">
        <v>14379</v>
      </c>
      <c r="Z65" s="105"/>
      <c r="AA65" s="92"/>
      <c r="AB65" s="92"/>
      <c r="AC65" s="92"/>
      <c r="AD65" s="92"/>
      <c r="AE65" s="92"/>
      <c r="AF65" s="92"/>
      <c r="AG65" s="117"/>
      <c r="AH65" s="92"/>
      <c r="AI65" s="92"/>
      <c r="AJ65" s="92"/>
      <c r="AK65" s="92"/>
      <c r="AL65" s="92"/>
      <c r="AM65" s="92"/>
      <c r="AN65" s="117"/>
      <c r="AO65" s="92"/>
      <c r="AP65" s="92"/>
      <c r="AQ65" s="92"/>
      <c r="AR65" s="92"/>
      <c r="AS65" s="92"/>
      <c r="AT65" s="92"/>
      <c r="AU65" s="117"/>
      <c r="AW65" s="109"/>
      <c r="AX65" s="89"/>
      <c r="AY65" s="89"/>
      <c r="AZ65" s="89"/>
      <c r="BA65" s="89"/>
      <c r="BB65" s="89"/>
      <c r="BC65" s="89"/>
      <c r="BD65" s="89"/>
      <c r="BE65" s="89"/>
      <c r="BF65" s="89"/>
      <c r="BG65" s="89"/>
      <c r="BH65" s="89"/>
      <c r="BI65" s="89"/>
      <c r="BJ65" s="89"/>
      <c r="BK65" s="89"/>
      <c r="BL65" s="89"/>
      <c r="BM65" s="89"/>
      <c r="BN65" s="89"/>
      <c r="BO65" s="89"/>
      <c r="BP65" s="89"/>
      <c r="BQ65" s="89"/>
      <c r="BR65" s="89"/>
    </row>
    <row r="66" spans="3:70" ht="14.25" customHeight="1" x14ac:dyDescent="0.2">
      <c r="C66" s="2" t="s">
        <v>22</v>
      </c>
      <c r="D66" s="8">
        <v>14.8</v>
      </c>
      <c r="E66" s="8">
        <v>18.899999999999999</v>
      </c>
      <c r="F66" s="8">
        <v>24.2</v>
      </c>
      <c r="G66" s="8">
        <v>21.4</v>
      </c>
      <c r="H66" s="8">
        <v>12.2</v>
      </c>
      <c r="I66" s="8">
        <v>91.6</v>
      </c>
      <c r="J66" s="15">
        <v>23998</v>
      </c>
      <c r="K66" s="8">
        <v>15.9</v>
      </c>
      <c r="L66" s="8">
        <v>20.399999999999999</v>
      </c>
      <c r="M66" s="8">
        <v>25.4</v>
      </c>
      <c r="N66" s="8">
        <v>21.2</v>
      </c>
      <c r="O66" s="8">
        <v>11.1</v>
      </c>
      <c r="P66" s="8">
        <v>94</v>
      </c>
      <c r="Q66" s="15">
        <v>54035</v>
      </c>
      <c r="R66" s="8">
        <v>15.6</v>
      </c>
      <c r="S66" s="8">
        <v>20</v>
      </c>
      <c r="T66" s="8">
        <v>25</v>
      </c>
      <c r="U66" s="8">
        <v>21.2</v>
      </c>
      <c r="V66" s="8">
        <v>11.5</v>
      </c>
      <c r="W66" s="8">
        <v>93.3</v>
      </c>
      <c r="X66" s="15">
        <v>78033</v>
      </c>
      <c r="Z66" s="105"/>
      <c r="AA66" s="92"/>
      <c r="AB66" s="92"/>
      <c r="AC66" s="92"/>
      <c r="AD66" s="92"/>
      <c r="AE66" s="92"/>
      <c r="AF66" s="92"/>
      <c r="AG66" s="117"/>
      <c r="AH66" s="92"/>
      <c r="AI66" s="92"/>
      <c r="AJ66" s="92"/>
      <c r="AK66" s="92"/>
      <c r="AL66" s="92"/>
      <c r="AM66" s="92"/>
      <c r="AN66" s="117"/>
      <c r="AO66" s="92"/>
      <c r="AP66" s="92"/>
      <c r="AQ66" s="92"/>
      <c r="AR66" s="92"/>
      <c r="AS66" s="92"/>
      <c r="AT66" s="92"/>
      <c r="AU66" s="117"/>
      <c r="AW66" s="109"/>
      <c r="AX66" s="89"/>
      <c r="AY66" s="89"/>
      <c r="AZ66" s="89"/>
      <c r="BA66" s="89"/>
      <c r="BB66" s="89"/>
      <c r="BC66" s="89"/>
      <c r="BD66" s="89"/>
      <c r="BE66" s="89"/>
      <c r="BF66" s="89"/>
      <c r="BG66" s="89"/>
      <c r="BH66" s="89"/>
      <c r="BI66" s="89"/>
      <c r="BJ66" s="89"/>
      <c r="BK66" s="89"/>
      <c r="BL66" s="89"/>
      <c r="BM66" s="89"/>
      <c r="BN66" s="89"/>
      <c r="BO66" s="89"/>
      <c r="BP66" s="89"/>
      <c r="BQ66" s="89"/>
      <c r="BR66" s="89"/>
    </row>
    <row r="67" spans="3:70" ht="14.25" customHeight="1" x14ac:dyDescent="0.2">
      <c r="C67" s="2" t="s">
        <v>51</v>
      </c>
      <c r="D67" s="8">
        <v>10</v>
      </c>
      <c r="E67" s="8">
        <v>21.7</v>
      </c>
      <c r="F67" s="8">
        <v>27.2</v>
      </c>
      <c r="G67" s="8">
        <v>20.399999999999999</v>
      </c>
      <c r="H67" s="8">
        <v>11.3</v>
      </c>
      <c r="I67" s="8">
        <v>90.7</v>
      </c>
      <c r="J67" s="15">
        <v>9445</v>
      </c>
      <c r="K67" s="8">
        <v>13.7</v>
      </c>
      <c r="L67" s="8">
        <v>25.8</v>
      </c>
      <c r="M67" s="8">
        <v>28.5</v>
      </c>
      <c r="N67" s="8">
        <v>17.8</v>
      </c>
      <c r="O67" s="8">
        <v>7.7</v>
      </c>
      <c r="P67" s="8">
        <v>93.5</v>
      </c>
      <c r="Q67" s="15">
        <v>12747</v>
      </c>
      <c r="R67" s="8">
        <v>12.1</v>
      </c>
      <c r="S67" s="8">
        <v>24.1</v>
      </c>
      <c r="T67" s="8">
        <v>28</v>
      </c>
      <c r="U67" s="8">
        <v>18.899999999999999</v>
      </c>
      <c r="V67" s="8">
        <v>9.1999999999999993</v>
      </c>
      <c r="W67" s="8">
        <v>92.3</v>
      </c>
      <c r="X67" s="15">
        <v>22192</v>
      </c>
      <c r="Z67" s="105"/>
      <c r="AA67" s="92"/>
      <c r="AB67" s="92"/>
      <c r="AC67" s="92"/>
      <c r="AD67" s="92"/>
      <c r="AE67" s="92"/>
      <c r="AF67" s="92"/>
      <c r="AG67" s="117"/>
      <c r="AH67" s="92"/>
      <c r="AI67" s="92"/>
      <c r="AJ67" s="92"/>
      <c r="AK67" s="92"/>
      <c r="AL67" s="92"/>
      <c r="AM67" s="92"/>
      <c r="AN67" s="117"/>
      <c r="AO67" s="92"/>
      <c r="AP67" s="92"/>
      <c r="AQ67" s="92"/>
      <c r="AR67" s="92"/>
      <c r="AS67" s="92"/>
      <c r="AT67" s="92"/>
      <c r="AU67" s="117"/>
      <c r="AW67" s="109"/>
      <c r="AX67" s="89"/>
      <c r="AY67" s="89"/>
      <c r="AZ67" s="89"/>
      <c r="BA67" s="89"/>
      <c r="BB67" s="89"/>
      <c r="BC67" s="89"/>
      <c r="BD67" s="89"/>
      <c r="BE67" s="89"/>
      <c r="BF67" s="89"/>
      <c r="BG67" s="89"/>
      <c r="BH67" s="89"/>
      <c r="BI67" s="89"/>
      <c r="BJ67" s="89"/>
      <c r="BK67" s="89"/>
      <c r="BL67" s="89"/>
      <c r="BM67" s="89"/>
      <c r="BN67" s="89"/>
      <c r="BO67" s="89"/>
      <c r="BP67" s="89"/>
      <c r="BQ67" s="89"/>
      <c r="BR67" s="89"/>
    </row>
    <row r="68" spans="3:70" ht="14.25" customHeight="1" x14ac:dyDescent="0.2">
      <c r="C68" s="2" t="s">
        <v>23</v>
      </c>
      <c r="D68" s="8">
        <v>8.1</v>
      </c>
      <c r="E68" s="8">
        <v>17.399999999999999</v>
      </c>
      <c r="F68" s="8">
        <v>26.8</v>
      </c>
      <c r="G68" s="8">
        <v>20.9</v>
      </c>
      <c r="H68" s="8">
        <v>12.6</v>
      </c>
      <c r="I68" s="8">
        <v>85.7</v>
      </c>
      <c r="J68" s="15">
        <v>3177</v>
      </c>
      <c r="K68" s="8">
        <v>11.4</v>
      </c>
      <c r="L68" s="8">
        <v>24.6</v>
      </c>
      <c r="M68" s="8">
        <v>28.9</v>
      </c>
      <c r="N68" s="8">
        <v>18.399999999999999</v>
      </c>
      <c r="O68" s="8">
        <v>8.1999999999999993</v>
      </c>
      <c r="P68" s="8">
        <v>91.5</v>
      </c>
      <c r="Q68" s="15">
        <v>6336</v>
      </c>
      <c r="R68" s="8">
        <v>10.3</v>
      </c>
      <c r="S68" s="8">
        <v>22.2</v>
      </c>
      <c r="T68" s="8">
        <v>28.2</v>
      </c>
      <c r="U68" s="8">
        <v>19.2</v>
      </c>
      <c r="V68" s="8">
        <v>9.6</v>
      </c>
      <c r="W68" s="8">
        <v>89.6</v>
      </c>
      <c r="X68" s="15">
        <v>9513</v>
      </c>
      <c r="Z68" s="105"/>
      <c r="AA68" s="92"/>
      <c r="AB68" s="92"/>
      <c r="AC68" s="92"/>
      <c r="AD68" s="92"/>
      <c r="AE68" s="92"/>
      <c r="AF68" s="92"/>
      <c r="AG68" s="117"/>
      <c r="AH68" s="92"/>
      <c r="AI68" s="92"/>
      <c r="AJ68" s="92"/>
      <c r="AK68" s="92"/>
      <c r="AL68" s="92"/>
      <c r="AM68" s="92"/>
      <c r="AN68" s="117"/>
      <c r="AO68" s="92"/>
      <c r="AP68" s="92"/>
      <c r="AQ68" s="92"/>
      <c r="AR68" s="92"/>
      <c r="AS68" s="92"/>
      <c r="AT68" s="92"/>
      <c r="AU68" s="117"/>
      <c r="AW68" s="109"/>
      <c r="AX68" s="89"/>
      <c r="AY68" s="89"/>
      <c r="AZ68" s="89"/>
      <c r="BA68" s="89"/>
      <c r="BB68" s="89"/>
      <c r="BC68" s="89"/>
      <c r="BD68" s="89"/>
      <c r="BE68" s="89"/>
      <c r="BF68" s="89"/>
      <c r="BG68" s="89"/>
      <c r="BH68" s="89"/>
      <c r="BI68" s="89"/>
      <c r="BJ68" s="89"/>
      <c r="BK68" s="89"/>
      <c r="BL68" s="89"/>
      <c r="BM68" s="89"/>
      <c r="BN68" s="89"/>
      <c r="BO68" s="89"/>
      <c r="BP68" s="89"/>
      <c r="BQ68" s="89"/>
      <c r="BR68" s="89"/>
    </row>
    <row r="69" spans="3:70" ht="14.25" customHeight="1" x14ac:dyDescent="0.2">
      <c r="C69" s="2" t="s">
        <v>24</v>
      </c>
      <c r="D69" s="8">
        <v>26.7</v>
      </c>
      <c r="E69" s="8">
        <v>19.3</v>
      </c>
      <c r="F69" s="8">
        <v>17.600000000000001</v>
      </c>
      <c r="G69" s="8">
        <v>15.9</v>
      </c>
      <c r="H69" s="8">
        <v>10.6</v>
      </c>
      <c r="I69" s="8">
        <v>90</v>
      </c>
      <c r="J69" s="15">
        <v>5282</v>
      </c>
      <c r="K69" s="8">
        <v>23.2</v>
      </c>
      <c r="L69" s="8">
        <v>19.3</v>
      </c>
      <c r="M69" s="8">
        <v>19.399999999999999</v>
      </c>
      <c r="N69" s="8">
        <v>15.5</v>
      </c>
      <c r="O69" s="8">
        <v>11.6</v>
      </c>
      <c r="P69" s="8">
        <v>88.9</v>
      </c>
      <c r="Q69" s="15">
        <v>12589</v>
      </c>
      <c r="R69" s="8">
        <v>24.2</v>
      </c>
      <c r="S69" s="8">
        <v>19.3</v>
      </c>
      <c r="T69" s="8">
        <v>18.8</v>
      </c>
      <c r="U69" s="8">
        <v>15.6</v>
      </c>
      <c r="V69" s="8">
        <v>11.3</v>
      </c>
      <c r="W69" s="8">
        <v>89.2</v>
      </c>
      <c r="X69" s="15">
        <v>17871</v>
      </c>
      <c r="Z69" s="105"/>
      <c r="AA69" s="92"/>
      <c r="AB69" s="92"/>
      <c r="AC69" s="92"/>
      <c r="AD69" s="92"/>
      <c r="AE69" s="92"/>
      <c r="AF69" s="92"/>
      <c r="AG69" s="117"/>
      <c r="AH69" s="92"/>
      <c r="AI69" s="92"/>
      <c r="AJ69" s="92"/>
      <c r="AK69" s="92"/>
      <c r="AL69" s="92"/>
      <c r="AM69" s="92"/>
      <c r="AN69" s="117"/>
      <c r="AO69" s="92"/>
      <c r="AP69" s="92"/>
      <c r="AQ69" s="92"/>
      <c r="AR69" s="92"/>
      <c r="AS69" s="92"/>
      <c r="AT69" s="92"/>
      <c r="AU69" s="117"/>
      <c r="AW69" s="109"/>
      <c r="AX69" s="89"/>
      <c r="AY69" s="89"/>
      <c r="AZ69" s="89"/>
      <c r="BA69" s="89"/>
      <c r="BB69" s="89"/>
      <c r="BC69" s="89"/>
      <c r="BD69" s="89"/>
      <c r="BE69" s="89"/>
      <c r="BF69" s="89"/>
      <c r="BG69" s="89"/>
      <c r="BH69" s="89"/>
      <c r="BI69" s="89"/>
      <c r="BJ69" s="89"/>
      <c r="BK69" s="89"/>
      <c r="BL69" s="89"/>
      <c r="BM69" s="89"/>
      <c r="BN69" s="89"/>
      <c r="BO69" s="89"/>
      <c r="BP69" s="89"/>
      <c r="BQ69" s="89"/>
      <c r="BR69" s="89"/>
    </row>
    <row r="70" spans="3:70" ht="14.25" customHeight="1" x14ac:dyDescent="0.2">
      <c r="C70" s="2" t="s">
        <v>25</v>
      </c>
      <c r="D70" s="8">
        <v>23.6</v>
      </c>
      <c r="E70" s="8">
        <v>17.5</v>
      </c>
      <c r="F70" s="8">
        <v>18</v>
      </c>
      <c r="G70" s="8">
        <v>17.399999999999999</v>
      </c>
      <c r="H70" s="8">
        <v>12.3</v>
      </c>
      <c r="I70" s="8">
        <v>88.8</v>
      </c>
      <c r="J70" s="15">
        <v>2688</v>
      </c>
      <c r="K70" s="8">
        <v>22.9</v>
      </c>
      <c r="L70" s="8">
        <v>18.2</v>
      </c>
      <c r="M70" s="8">
        <v>20.2</v>
      </c>
      <c r="N70" s="8">
        <v>17.2</v>
      </c>
      <c r="O70" s="8">
        <v>12.2</v>
      </c>
      <c r="P70" s="8">
        <v>90.7</v>
      </c>
      <c r="Q70" s="15">
        <v>5448</v>
      </c>
      <c r="R70" s="8">
        <v>23.1</v>
      </c>
      <c r="S70" s="8">
        <v>18</v>
      </c>
      <c r="T70" s="8">
        <v>19.5</v>
      </c>
      <c r="U70" s="8">
        <v>17.2</v>
      </c>
      <c r="V70" s="8">
        <v>12.3</v>
      </c>
      <c r="W70" s="8">
        <v>90.1</v>
      </c>
      <c r="X70" s="15">
        <v>8136</v>
      </c>
      <c r="Z70" s="105"/>
      <c r="AA70" s="92"/>
      <c r="AB70" s="92"/>
      <c r="AC70" s="92"/>
      <c r="AD70" s="92"/>
      <c r="AE70" s="92"/>
      <c r="AF70" s="92"/>
      <c r="AG70" s="117"/>
      <c r="AH70" s="92"/>
      <c r="AI70" s="92"/>
      <c r="AJ70" s="92"/>
      <c r="AK70" s="92"/>
      <c r="AL70" s="92"/>
      <c r="AM70" s="92"/>
      <c r="AN70" s="117"/>
      <c r="AO70" s="92"/>
      <c r="AP70" s="92"/>
      <c r="AQ70" s="92"/>
      <c r="AR70" s="92"/>
      <c r="AS70" s="92"/>
      <c r="AT70" s="92"/>
      <c r="AU70" s="117"/>
      <c r="AW70" s="109"/>
      <c r="AX70" s="89"/>
      <c r="AY70" s="89"/>
      <c r="AZ70" s="89"/>
      <c r="BA70" s="89"/>
      <c r="BB70" s="89"/>
      <c r="BC70" s="89"/>
      <c r="BD70" s="89"/>
      <c r="BE70" s="89"/>
      <c r="BF70" s="89"/>
      <c r="BG70" s="89"/>
      <c r="BH70" s="89"/>
      <c r="BI70" s="89"/>
      <c r="BJ70" s="89"/>
      <c r="BK70" s="89"/>
      <c r="BL70" s="89"/>
      <c r="BM70" s="89"/>
      <c r="BN70" s="89"/>
      <c r="BO70" s="89"/>
      <c r="BP70" s="89"/>
      <c r="BQ70" s="89"/>
      <c r="BR70" s="89"/>
    </row>
    <row r="71" spans="3:70" ht="14.25" customHeight="1" x14ac:dyDescent="0.2">
      <c r="C71" s="2" t="s">
        <v>26</v>
      </c>
      <c r="D71" s="8">
        <v>26.6</v>
      </c>
      <c r="E71" s="8">
        <v>23.9</v>
      </c>
      <c r="F71" s="8">
        <v>18.399999999999999</v>
      </c>
      <c r="G71" s="8">
        <v>13.2</v>
      </c>
      <c r="H71" s="8">
        <v>9.4</v>
      </c>
      <c r="I71" s="8">
        <v>91.4</v>
      </c>
      <c r="J71" s="15">
        <v>1367</v>
      </c>
      <c r="K71" s="8">
        <v>23.5</v>
      </c>
      <c r="L71" s="8">
        <v>20.399999999999999</v>
      </c>
      <c r="M71" s="8">
        <v>19</v>
      </c>
      <c r="N71" s="8">
        <v>15.1</v>
      </c>
      <c r="O71" s="8">
        <v>10.9</v>
      </c>
      <c r="P71" s="8">
        <v>88.9</v>
      </c>
      <c r="Q71" s="15">
        <v>3425</v>
      </c>
      <c r="R71" s="8">
        <v>24.4</v>
      </c>
      <c r="S71" s="8">
        <v>21.4</v>
      </c>
      <c r="T71" s="8">
        <v>18.8</v>
      </c>
      <c r="U71" s="8">
        <v>14.5</v>
      </c>
      <c r="V71" s="8">
        <v>10.5</v>
      </c>
      <c r="W71" s="8">
        <v>89.6</v>
      </c>
      <c r="X71" s="15">
        <v>4792</v>
      </c>
      <c r="Z71" s="105"/>
      <c r="AA71" s="92"/>
      <c r="AB71" s="92"/>
      <c r="AC71" s="92"/>
      <c r="AD71" s="92"/>
      <c r="AE71" s="92"/>
      <c r="AF71" s="92"/>
      <c r="AG71" s="117"/>
      <c r="AH71" s="92"/>
      <c r="AI71" s="92"/>
      <c r="AJ71" s="92"/>
      <c r="AK71" s="92"/>
      <c r="AL71" s="92"/>
      <c r="AM71" s="92"/>
      <c r="AN71" s="117"/>
      <c r="AO71" s="92"/>
      <c r="AP71" s="92"/>
      <c r="AQ71" s="92"/>
      <c r="AR71" s="92"/>
      <c r="AS71" s="92"/>
      <c r="AT71" s="92"/>
      <c r="AU71" s="117"/>
      <c r="AW71" s="109"/>
      <c r="AX71" s="89"/>
      <c r="AY71" s="89"/>
      <c r="AZ71" s="89"/>
      <c r="BA71" s="89"/>
      <c r="BB71" s="89"/>
      <c r="BC71" s="89"/>
      <c r="BD71" s="89"/>
      <c r="BE71" s="89"/>
      <c r="BF71" s="89"/>
      <c r="BG71" s="89"/>
      <c r="BH71" s="89"/>
      <c r="BI71" s="89"/>
      <c r="BJ71" s="89"/>
      <c r="BK71" s="89"/>
      <c r="BL71" s="89"/>
      <c r="BM71" s="89"/>
      <c r="BN71" s="89"/>
      <c r="BO71" s="89"/>
      <c r="BP71" s="89"/>
      <c r="BQ71" s="89"/>
      <c r="BR71" s="89"/>
    </row>
    <row r="72" spans="3:70" ht="14.25" customHeight="1" x14ac:dyDescent="0.2">
      <c r="C72" s="2" t="s">
        <v>27</v>
      </c>
      <c r="D72" s="8">
        <v>40.1</v>
      </c>
      <c r="E72" s="8">
        <v>22</v>
      </c>
      <c r="F72" s="8">
        <v>12.6</v>
      </c>
      <c r="G72" s="8">
        <v>9.3000000000000007</v>
      </c>
      <c r="H72" s="8">
        <v>6.7</v>
      </c>
      <c r="I72" s="8">
        <v>90.6</v>
      </c>
      <c r="J72" s="15">
        <v>886</v>
      </c>
      <c r="K72" s="8">
        <v>37.5</v>
      </c>
      <c r="L72" s="8">
        <v>22.4</v>
      </c>
      <c r="M72" s="8">
        <v>15.3</v>
      </c>
      <c r="N72" s="8">
        <v>10.5</v>
      </c>
      <c r="O72" s="8">
        <v>7</v>
      </c>
      <c r="P72" s="8">
        <v>92.8</v>
      </c>
      <c r="Q72" s="15">
        <v>1186</v>
      </c>
      <c r="R72" s="8">
        <v>38.6</v>
      </c>
      <c r="S72" s="8">
        <v>22.2</v>
      </c>
      <c r="T72" s="8">
        <v>14.2</v>
      </c>
      <c r="U72" s="8">
        <v>10</v>
      </c>
      <c r="V72" s="8">
        <v>6.9</v>
      </c>
      <c r="W72" s="8">
        <v>91.9</v>
      </c>
      <c r="X72" s="15">
        <v>2072</v>
      </c>
      <c r="Z72" s="105"/>
      <c r="AA72" s="92"/>
      <c r="AB72" s="92"/>
      <c r="AC72" s="92"/>
      <c r="AD72" s="92"/>
      <c r="AE72" s="92"/>
      <c r="AF72" s="92"/>
      <c r="AG72" s="117"/>
      <c r="AH72" s="92"/>
      <c r="AI72" s="92"/>
      <c r="AJ72" s="92"/>
      <c r="AK72" s="92"/>
      <c r="AL72" s="92"/>
      <c r="AM72" s="92"/>
      <c r="AN72" s="117"/>
      <c r="AO72" s="92"/>
      <c r="AP72" s="92"/>
      <c r="AQ72" s="92"/>
      <c r="AR72" s="92"/>
      <c r="AS72" s="92"/>
      <c r="AT72" s="92"/>
      <c r="AU72" s="117"/>
      <c r="AW72" s="109"/>
      <c r="AX72" s="89"/>
      <c r="AY72" s="89"/>
      <c r="AZ72" s="89"/>
      <c r="BA72" s="89"/>
      <c r="BB72" s="89"/>
      <c r="BC72" s="89"/>
      <c r="BD72" s="89"/>
      <c r="BE72" s="89"/>
      <c r="BF72" s="89"/>
      <c r="BG72" s="89"/>
      <c r="BH72" s="89"/>
      <c r="BI72" s="89"/>
      <c r="BJ72" s="89"/>
      <c r="BK72" s="89"/>
      <c r="BL72" s="89"/>
      <c r="BM72" s="89"/>
      <c r="BN72" s="89"/>
      <c r="BO72" s="89"/>
      <c r="BP72" s="89"/>
      <c r="BQ72" s="89"/>
      <c r="BR72" s="89"/>
    </row>
    <row r="73" spans="3:70" ht="14.25" customHeight="1" x14ac:dyDescent="0.2">
      <c r="C73" s="2" t="s">
        <v>28</v>
      </c>
      <c r="D73" s="8">
        <v>30.4</v>
      </c>
      <c r="E73" s="8">
        <v>19.8</v>
      </c>
      <c r="F73" s="8">
        <v>19.600000000000001</v>
      </c>
      <c r="G73" s="8">
        <v>15.1</v>
      </c>
      <c r="H73" s="8">
        <v>9.3000000000000007</v>
      </c>
      <c r="I73" s="8">
        <v>94.1</v>
      </c>
      <c r="J73" s="15">
        <v>2024</v>
      </c>
      <c r="K73" s="8">
        <v>33</v>
      </c>
      <c r="L73" s="8">
        <v>23.8</v>
      </c>
      <c r="M73" s="8">
        <v>19.899999999999999</v>
      </c>
      <c r="N73" s="8">
        <v>12.4</v>
      </c>
      <c r="O73" s="8">
        <v>6.6</v>
      </c>
      <c r="P73" s="8">
        <v>95.7</v>
      </c>
      <c r="Q73" s="15">
        <v>2808</v>
      </c>
      <c r="R73" s="8">
        <v>31.9</v>
      </c>
      <c r="S73" s="8">
        <v>22.1</v>
      </c>
      <c r="T73" s="8">
        <v>19.8</v>
      </c>
      <c r="U73" s="8">
        <v>13.5</v>
      </c>
      <c r="V73" s="8">
        <v>7.7</v>
      </c>
      <c r="W73" s="8">
        <v>95.1</v>
      </c>
      <c r="X73" s="15">
        <v>4832</v>
      </c>
      <c r="Z73" s="105"/>
      <c r="AA73" s="92"/>
      <c r="AB73" s="92"/>
      <c r="AC73" s="92"/>
      <c r="AD73" s="92"/>
      <c r="AE73" s="92"/>
      <c r="AF73" s="92"/>
      <c r="AG73" s="117"/>
      <c r="AH73" s="92"/>
      <c r="AI73" s="92"/>
      <c r="AJ73" s="92"/>
      <c r="AK73" s="92"/>
      <c r="AL73" s="92"/>
      <c r="AM73" s="92"/>
      <c r="AN73" s="117"/>
      <c r="AO73" s="92"/>
      <c r="AP73" s="92"/>
      <c r="AQ73" s="92"/>
      <c r="AR73" s="92"/>
      <c r="AS73" s="92"/>
      <c r="AT73" s="92"/>
      <c r="AU73" s="117"/>
      <c r="AW73" s="109"/>
      <c r="AX73" s="89"/>
      <c r="AY73" s="89"/>
      <c r="AZ73" s="89"/>
      <c r="BA73" s="89"/>
      <c r="BB73" s="89"/>
      <c r="BC73" s="89"/>
      <c r="BD73" s="89"/>
      <c r="BE73" s="89"/>
      <c r="BF73" s="89"/>
      <c r="BG73" s="89"/>
      <c r="BH73" s="89"/>
      <c r="BI73" s="89"/>
      <c r="BJ73" s="89"/>
      <c r="BK73" s="89"/>
      <c r="BL73" s="89"/>
      <c r="BM73" s="89"/>
      <c r="BN73" s="89"/>
      <c r="BO73" s="89"/>
      <c r="BP73" s="89"/>
      <c r="BQ73" s="89"/>
      <c r="BR73" s="89"/>
    </row>
    <row r="74" spans="3:70" ht="14.25" customHeight="1" x14ac:dyDescent="0.2">
      <c r="C74" s="2" t="s">
        <v>29</v>
      </c>
      <c r="D74" s="8">
        <v>16</v>
      </c>
      <c r="E74" s="8">
        <v>22.3</v>
      </c>
      <c r="F74" s="8">
        <v>21.4</v>
      </c>
      <c r="G74" s="8">
        <v>17</v>
      </c>
      <c r="H74" s="8">
        <v>11.5</v>
      </c>
      <c r="I74" s="8">
        <v>88.2</v>
      </c>
      <c r="J74" s="15">
        <v>3007</v>
      </c>
      <c r="K74" s="8">
        <v>16.7</v>
      </c>
      <c r="L74" s="8">
        <v>22.5</v>
      </c>
      <c r="M74" s="8">
        <v>23.5</v>
      </c>
      <c r="N74" s="8">
        <v>17.3</v>
      </c>
      <c r="O74" s="8">
        <v>10.6</v>
      </c>
      <c r="P74" s="8">
        <v>90.7</v>
      </c>
      <c r="Q74" s="15">
        <v>7612</v>
      </c>
      <c r="R74" s="8">
        <v>16.5</v>
      </c>
      <c r="S74" s="8">
        <v>22.4</v>
      </c>
      <c r="T74" s="8">
        <v>22.9</v>
      </c>
      <c r="U74" s="8">
        <v>17.2</v>
      </c>
      <c r="V74" s="8">
        <v>10.9</v>
      </c>
      <c r="W74" s="8">
        <v>90</v>
      </c>
      <c r="X74" s="15">
        <v>10619</v>
      </c>
      <c r="Z74" s="105"/>
      <c r="AA74" s="92"/>
      <c r="AB74" s="92"/>
      <c r="AC74" s="92"/>
      <c r="AD74" s="92"/>
      <c r="AE74" s="92"/>
      <c r="AF74" s="92"/>
      <c r="AG74" s="117"/>
      <c r="AH74" s="92"/>
      <c r="AI74" s="92"/>
      <c r="AJ74" s="92"/>
      <c r="AK74" s="92"/>
      <c r="AL74" s="92"/>
      <c r="AM74" s="92"/>
      <c r="AN74" s="117"/>
      <c r="AO74" s="92"/>
      <c r="AP74" s="92"/>
      <c r="AQ74" s="92"/>
      <c r="AR74" s="92"/>
      <c r="AS74" s="92"/>
      <c r="AT74" s="92"/>
      <c r="AU74" s="117"/>
      <c r="AW74" s="109"/>
      <c r="AX74" s="89"/>
      <c r="AY74" s="89"/>
      <c r="AZ74" s="89"/>
      <c r="BA74" s="89"/>
      <c r="BB74" s="89"/>
      <c r="BC74" s="89"/>
      <c r="BD74" s="89"/>
      <c r="BE74" s="89"/>
      <c r="BF74" s="89"/>
      <c r="BG74" s="89"/>
      <c r="BH74" s="89"/>
      <c r="BI74" s="89"/>
      <c r="BJ74" s="89"/>
      <c r="BK74" s="89"/>
      <c r="BL74" s="89"/>
      <c r="BM74" s="89"/>
      <c r="BN74" s="89"/>
      <c r="BO74" s="89"/>
      <c r="BP74" s="89"/>
      <c r="BQ74" s="89"/>
      <c r="BR74" s="89"/>
    </row>
    <row r="75" spans="3:70" ht="14.25" customHeight="1" x14ac:dyDescent="0.2">
      <c r="C75" s="2" t="s">
        <v>30</v>
      </c>
      <c r="D75" s="8">
        <v>17.399999999999999</v>
      </c>
      <c r="E75" s="8">
        <v>19.899999999999999</v>
      </c>
      <c r="F75" s="8">
        <v>24.7</v>
      </c>
      <c r="G75" s="8">
        <v>18.7</v>
      </c>
      <c r="H75" s="8">
        <v>10.3</v>
      </c>
      <c r="I75" s="8">
        <v>90.9</v>
      </c>
      <c r="J75" s="15">
        <v>4008</v>
      </c>
      <c r="K75" s="8">
        <v>21</v>
      </c>
      <c r="L75" s="8">
        <v>24.8</v>
      </c>
      <c r="M75" s="8">
        <v>24.3</v>
      </c>
      <c r="N75" s="8">
        <v>16.8</v>
      </c>
      <c r="O75" s="8">
        <v>7.9</v>
      </c>
      <c r="P75" s="8">
        <v>94.9</v>
      </c>
      <c r="Q75" s="15">
        <v>4268</v>
      </c>
      <c r="R75" s="8">
        <v>19.2</v>
      </c>
      <c r="S75" s="8">
        <v>22.4</v>
      </c>
      <c r="T75" s="8">
        <v>24.5</v>
      </c>
      <c r="U75" s="8">
        <v>17.7</v>
      </c>
      <c r="V75" s="8">
        <v>9.1</v>
      </c>
      <c r="W75" s="8">
        <v>93</v>
      </c>
      <c r="X75" s="15">
        <v>8276</v>
      </c>
      <c r="Z75" s="105"/>
      <c r="AA75" s="92"/>
      <c r="AB75" s="92"/>
      <c r="AC75" s="92"/>
      <c r="AD75" s="92"/>
      <c r="AE75" s="92"/>
      <c r="AF75" s="92"/>
      <c r="AG75" s="117"/>
      <c r="AH75" s="92"/>
      <c r="AI75" s="92"/>
      <c r="AJ75" s="92"/>
      <c r="AK75" s="92"/>
      <c r="AL75" s="92"/>
      <c r="AM75" s="92"/>
      <c r="AN75" s="117"/>
      <c r="AO75" s="92"/>
      <c r="AP75" s="92"/>
      <c r="AQ75" s="92"/>
      <c r="AR75" s="92"/>
      <c r="AS75" s="92"/>
      <c r="AT75" s="92"/>
      <c r="AU75" s="117"/>
      <c r="AW75" s="109"/>
      <c r="AX75" s="89"/>
      <c r="AY75" s="89"/>
      <c r="AZ75" s="89"/>
      <c r="BA75" s="89"/>
      <c r="BB75" s="89"/>
      <c r="BC75" s="89"/>
      <c r="BD75" s="89"/>
      <c r="BE75" s="89"/>
      <c r="BF75" s="89"/>
      <c r="BG75" s="89"/>
      <c r="BH75" s="89"/>
      <c r="BI75" s="89"/>
      <c r="BJ75" s="89"/>
      <c r="BK75" s="89"/>
      <c r="BL75" s="89"/>
      <c r="BM75" s="89"/>
      <c r="BN75" s="89"/>
      <c r="BO75" s="89"/>
      <c r="BP75" s="89"/>
      <c r="BQ75" s="89"/>
      <c r="BR75" s="89"/>
    </row>
    <row r="76" spans="3:70" ht="14.25" customHeight="1" x14ac:dyDescent="0.2">
      <c r="C76" s="2" t="s">
        <v>31</v>
      </c>
      <c r="D76" s="8">
        <v>6.5</v>
      </c>
      <c r="E76" s="8">
        <v>11.7</v>
      </c>
      <c r="F76" s="8">
        <v>20.9</v>
      </c>
      <c r="G76" s="8">
        <v>25.5</v>
      </c>
      <c r="H76" s="8">
        <v>19.600000000000001</v>
      </c>
      <c r="I76" s="8">
        <v>84.2</v>
      </c>
      <c r="J76" s="15">
        <v>12738</v>
      </c>
      <c r="K76" s="8">
        <v>16</v>
      </c>
      <c r="L76" s="8">
        <v>17.600000000000001</v>
      </c>
      <c r="M76" s="8">
        <v>21.5</v>
      </c>
      <c r="N76" s="8">
        <v>20.3</v>
      </c>
      <c r="O76" s="8">
        <v>13.4</v>
      </c>
      <c r="P76" s="8">
        <v>88.8</v>
      </c>
      <c r="Q76" s="15">
        <v>8540</v>
      </c>
      <c r="R76" s="8">
        <v>10.3</v>
      </c>
      <c r="S76" s="8">
        <v>14.1</v>
      </c>
      <c r="T76" s="8">
        <v>21.1</v>
      </c>
      <c r="U76" s="8">
        <v>23.4</v>
      </c>
      <c r="V76" s="8">
        <v>17.2</v>
      </c>
      <c r="W76" s="8">
        <v>86.1</v>
      </c>
      <c r="X76" s="15">
        <v>21278</v>
      </c>
      <c r="Z76" s="105"/>
      <c r="AA76" s="92"/>
      <c r="AB76" s="92"/>
      <c r="AC76" s="92"/>
      <c r="AD76" s="92"/>
      <c r="AE76" s="92"/>
      <c r="AF76" s="92"/>
      <c r="AG76" s="117"/>
      <c r="AH76" s="92"/>
      <c r="AI76" s="92"/>
      <c r="AJ76" s="92"/>
      <c r="AK76" s="92"/>
      <c r="AL76" s="92"/>
      <c r="AM76" s="92"/>
      <c r="AN76" s="117"/>
      <c r="AO76" s="92"/>
      <c r="AP76" s="92"/>
      <c r="AQ76" s="92"/>
      <c r="AR76" s="92"/>
      <c r="AS76" s="92"/>
      <c r="AT76" s="92"/>
      <c r="AU76" s="117"/>
      <c r="AW76" s="109"/>
      <c r="AX76" s="89"/>
      <c r="AY76" s="89"/>
      <c r="AZ76" s="89"/>
      <c r="BA76" s="89"/>
      <c r="BB76" s="89"/>
      <c r="BC76" s="89"/>
      <c r="BD76" s="89"/>
      <c r="BE76" s="89"/>
      <c r="BF76" s="89"/>
      <c r="BG76" s="89"/>
      <c r="BH76" s="89"/>
      <c r="BI76" s="89"/>
      <c r="BJ76" s="89"/>
      <c r="BK76" s="89"/>
      <c r="BL76" s="89"/>
      <c r="BM76" s="89"/>
      <c r="BN76" s="89"/>
      <c r="BO76" s="89"/>
      <c r="BP76" s="89"/>
      <c r="BQ76" s="89"/>
      <c r="BR76" s="89"/>
    </row>
    <row r="77" spans="3:70" ht="14.25" customHeight="1" x14ac:dyDescent="0.2">
      <c r="C77" s="2" t="s">
        <v>32</v>
      </c>
      <c r="D77" s="8">
        <v>10.9</v>
      </c>
      <c r="E77" s="8">
        <v>13.8</v>
      </c>
      <c r="F77" s="8">
        <v>18.100000000000001</v>
      </c>
      <c r="G77" s="8">
        <v>18.7</v>
      </c>
      <c r="H77" s="8">
        <v>17.3</v>
      </c>
      <c r="I77" s="8">
        <v>78.7</v>
      </c>
      <c r="J77" s="15">
        <v>27703</v>
      </c>
      <c r="K77" s="8">
        <v>11.4</v>
      </c>
      <c r="L77" s="8">
        <v>14.4</v>
      </c>
      <c r="M77" s="8">
        <v>19.399999999999999</v>
      </c>
      <c r="N77" s="8">
        <v>19.8</v>
      </c>
      <c r="O77" s="8">
        <v>16.8</v>
      </c>
      <c r="P77" s="8">
        <v>81.8</v>
      </c>
      <c r="Q77" s="15">
        <v>30044</v>
      </c>
      <c r="R77" s="8">
        <v>11.1</v>
      </c>
      <c r="S77" s="8">
        <v>14.1</v>
      </c>
      <c r="T77" s="8">
        <v>18.8</v>
      </c>
      <c r="U77" s="8">
        <v>19.3</v>
      </c>
      <c r="V77" s="8">
        <v>17.100000000000001</v>
      </c>
      <c r="W77" s="8">
        <v>80.3</v>
      </c>
      <c r="X77" s="15">
        <v>57747</v>
      </c>
      <c r="Z77" s="105"/>
      <c r="AA77" s="92"/>
      <c r="AB77" s="92"/>
      <c r="AC77" s="92"/>
      <c r="AD77" s="92"/>
      <c r="AE77" s="92"/>
      <c r="AF77" s="92"/>
      <c r="AG77" s="117"/>
      <c r="AH77" s="92"/>
      <c r="AI77" s="92"/>
      <c r="AJ77" s="92"/>
      <c r="AK77" s="92"/>
      <c r="AL77" s="92"/>
      <c r="AM77" s="92"/>
      <c r="AN77" s="117"/>
      <c r="AO77" s="92"/>
      <c r="AP77" s="92"/>
      <c r="AQ77" s="92"/>
      <c r="AR77" s="92"/>
      <c r="AS77" s="92"/>
      <c r="AT77" s="92"/>
      <c r="AU77" s="117"/>
      <c r="AW77" s="109"/>
      <c r="AX77" s="89"/>
      <c r="AY77" s="89"/>
      <c r="AZ77" s="89"/>
      <c r="BA77" s="89"/>
      <c r="BB77" s="89"/>
      <c r="BC77" s="89"/>
      <c r="BD77" s="89"/>
      <c r="BE77" s="89"/>
      <c r="BF77" s="89"/>
      <c r="BG77" s="89"/>
      <c r="BH77" s="89"/>
      <c r="BI77" s="89"/>
      <c r="BJ77" s="89"/>
      <c r="BK77" s="89"/>
      <c r="BL77" s="89"/>
      <c r="BM77" s="89"/>
      <c r="BN77" s="89"/>
      <c r="BO77" s="89"/>
      <c r="BP77" s="89"/>
      <c r="BQ77" s="89"/>
      <c r="BR77" s="89"/>
    </row>
    <row r="78" spans="3:70" ht="14.25" customHeight="1" x14ac:dyDescent="0.2">
      <c r="C78" s="2" t="s">
        <v>46</v>
      </c>
      <c r="D78" s="8">
        <v>14.3</v>
      </c>
      <c r="E78" s="8">
        <v>15.9</v>
      </c>
      <c r="F78" s="8">
        <v>19.3</v>
      </c>
      <c r="G78" s="8">
        <v>18.399999999999999</v>
      </c>
      <c r="H78" s="8">
        <v>14.3</v>
      </c>
      <c r="I78" s="8">
        <v>82.2</v>
      </c>
      <c r="J78" s="15">
        <v>357486</v>
      </c>
      <c r="K78" s="8">
        <v>17.3</v>
      </c>
      <c r="L78" s="8">
        <v>18.600000000000001</v>
      </c>
      <c r="M78" s="8">
        <v>20.8</v>
      </c>
      <c r="N78" s="8">
        <v>17.600000000000001</v>
      </c>
      <c r="O78" s="8">
        <v>12.4</v>
      </c>
      <c r="P78" s="8">
        <v>86.8</v>
      </c>
      <c r="Q78" s="15">
        <v>414873</v>
      </c>
      <c r="R78" s="8">
        <v>15.9</v>
      </c>
      <c r="S78" s="8">
        <v>17.399999999999999</v>
      </c>
      <c r="T78" s="8">
        <v>20.100000000000001</v>
      </c>
      <c r="U78" s="8">
        <v>18</v>
      </c>
      <c r="V78" s="8">
        <v>13.3</v>
      </c>
      <c r="W78" s="8">
        <v>84.7</v>
      </c>
      <c r="X78" s="15">
        <v>772359</v>
      </c>
      <c r="Z78" s="105"/>
      <c r="AA78" s="92"/>
      <c r="AB78" s="92"/>
      <c r="AC78" s="92"/>
      <c r="AD78" s="92"/>
      <c r="AE78" s="92"/>
      <c r="AF78" s="92"/>
      <c r="AG78" s="117"/>
      <c r="AH78" s="92"/>
      <c r="AI78" s="92"/>
      <c r="AJ78" s="92"/>
      <c r="AK78" s="92"/>
      <c r="AL78" s="92"/>
      <c r="AM78" s="92"/>
      <c r="AN78" s="117"/>
      <c r="AO78" s="92"/>
      <c r="AP78" s="92"/>
      <c r="AQ78" s="92"/>
      <c r="AR78" s="92"/>
      <c r="AS78" s="92"/>
      <c r="AT78" s="92"/>
      <c r="AU78" s="117"/>
      <c r="AW78" s="109"/>
      <c r="AX78" s="89"/>
      <c r="AY78" s="89"/>
      <c r="AZ78" s="89"/>
      <c r="BA78" s="89"/>
      <c r="BB78" s="89"/>
      <c r="BC78" s="89"/>
      <c r="BD78" s="89"/>
      <c r="BE78" s="89"/>
      <c r="BF78" s="89"/>
      <c r="BG78" s="89"/>
      <c r="BH78" s="89"/>
      <c r="BI78" s="89"/>
      <c r="BJ78" s="89"/>
      <c r="BK78" s="89"/>
      <c r="BL78" s="89"/>
      <c r="BM78" s="89"/>
      <c r="BN78" s="89"/>
      <c r="BO78" s="89"/>
      <c r="BP78" s="89"/>
      <c r="BQ78" s="89"/>
      <c r="BR78" s="89"/>
    </row>
    <row r="79" spans="3:70" ht="14.25" customHeight="1" x14ac:dyDescent="0.2">
      <c r="X79" s="15"/>
      <c r="AX79" s="89"/>
      <c r="AY79" s="89"/>
      <c r="AZ79" s="89"/>
      <c r="BA79" s="89"/>
      <c r="BB79" s="89"/>
      <c r="BC79" s="89"/>
      <c r="BD79" s="89"/>
      <c r="BE79" s="89"/>
      <c r="BF79" s="89"/>
      <c r="BG79" s="89"/>
      <c r="BH79" s="89"/>
      <c r="BI79" s="89"/>
      <c r="BJ79" s="89"/>
      <c r="BK79" s="89"/>
      <c r="BL79" s="89"/>
      <c r="BM79" s="89"/>
      <c r="BN79" s="89"/>
      <c r="BO79" s="89"/>
      <c r="BP79" s="89"/>
      <c r="BQ79" s="89"/>
      <c r="BR79" s="89"/>
    </row>
    <row r="80" spans="3:70" ht="14.25" customHeight="1" x14ac:dyDescent="0.2">
      <c r="D80" s="7" t="s">
        <v>59</v>
      </c>
      <c r="K80" s="7" t="s">
        <v>59</v>
      </c>
      <c r="R80" s="7" t="s">
        <v>59</v>
      </c>
      <c r="AX80" s="89"/>
      <c r="AY80" s="89"/>
      <c r="AZ80" s="89"/>
      <c r="BA80" s="89"/>
      <c r="BB80" s="89"/>
      <c r="BC80" s="89"/>
      <c r="BD80" s="89"/>
      <c r="BE80" s="89"/>
      <c r="BF80" s="89"/>
      <c r="BG80" s="89"/>
      <c r="BH80" s="89"/>
      <c r="BI80" s="89"/>
      <c r="BJ80" s="89"/>
      <c r="BK80" s="89"/>
      <c r="BL80" s="89"/>
      <c r="BM80" s="89"/>
      <c r="BN80" s="89"/>
      <c r="BO80" s="89"/>
      <c r="BP80" s="89"/>
      <c r="BQ80" s="89"/>
      <c r="BR80" s="89"/>
    </row>
    <row r="81" spans="3:70" ht="14.25" customHeight="1" x14ac:dyDescent="0.2">
      <c r="D81" s="7" t="s">
        <v>33</v>
      </c>
      <c r="E81" s="7" t="s">
        <v>34</v>
      </c>
      <c r="F81" s="7" t="s">
        <v>35</v>
      </c>
      <c r="G81" s="7" t="s">
        <v>36</v>
      </c>
      <c r="H81" s="7" t="s">
        <v>37</v>
      </c>
      <c r="I81" s="7" t="s">
        <v>47</v>
      </c>
      <c r="J81" s="7" t="s">
        <v>58</v>
      </c>
      <c r="K81" s="7" t="s">
        <v>33</v>
      </c>
      <c r="L81" s="7" t="s">
        <v>34</v>
      </c>
      <c r="M81" s="7" t="s">
        <v>35</v>
      </c>
      <c r="N81" s="7" t="s">
        <v>36</v>
      </c>
      <c r="O81" s="7" t="s">
        <v>37</v>
      </c>
      <c r="P81" s="7" t="s">
        <v>47</v>
      </c>
      <c r="Q81" s="7" t="s">
        <v>58</v>
      </c>
      <c r="R81" s="7" t="s">
        <v>33</v>
      </c>
      <c r="S81" s="7" t="s">
        <v>34</v>
      </c>
      <c r="T81" s="7" t="s">
        <v>35</v>
      </c>
      <c r="U81" s="7" t="s">
        <v>36</v>
      </c>
      <c r="V81" s="7" t="s">
        <v>37</v>
      </c>
      <c r="W81" s="7" t="s">
        <v>47</v>
      </c>
      <c r="X81" s="7" t="s">
        <v>58</v>
      </c>
      <c r="AX81" s="89"/>
      <c r="AY81" s="89"/>
      <c r="AZ81" s="89"/>
      <c r="BA81" s="89"/>
      <c r="BB81" s="89"/>
      <c r="BC81" s="89"/>
      <c r="BD81" s="89"/>
      <c r="BE81" s="89"/>
      <c r="BF81" s="89"/>
      <c r="BG81" s="89"/>
      <c r="BH81" s="89"/>
      <c r="BI81" s="89"/>
      <c r="BJ81" s="89"/>
      <c r="BK81" s="89"/>
      <c r="BL81" s="89"/>
      <c r="BM81" s="89"/>
      <c r="BN81" s="89"/>
      <c r="BO81" s="89"/>
      <c r="BP81" s="89"/>
      <c r="BQ81" s="89"/>
      <c r="BR81" s="89"/>
    </row>
    <row r="82" spans="3:70" ht="14.25" customHeight="1" x14ac:dyDescent="0.2">
      <c r="C82" s="7" t="s">
        <v>0</v>
      </c>
      <c r="D82" s="8">
        <f>ROUND(D44,1)</f>
        <v>15.1</v>
      </c>
      <c r="E82" s="8">
        <f t="shared" ref="E82:W82" si="0">ROUND(E44,1)</f>
        <v>15.3</v>
      </c>
      <c r="F82" s="8">
        <f t="shared" si="0"/>
        <v>16.899999999999999</v>
      </c>
      <c r="G82" s="8">
        <f t="shared" si="0"/>
        <v>17.5</v>
      </c>
      <c r="H82" s="8">
        <f t="shared" si="0"/>
        <v>16</v>
      </c>
      <c r="I82" s="8">
        <f t="shared" si="0"/>
        <v>80.8</v>
      </c>
      <c r="J82" s="15">
        <f>ROUND(J44,0)</f>
        <v>20376</v>
      </c>
      <c r="K82" s="8">
        <f t="shared" si="0"/>
        <v>18.3</v>
      </c>
      <c r="L82" s="8">
        <f t="shared" si="0"/>
        <v>16.8</v>
      </c>
      <c r="M82" s="8">
        <f t="shared" si="0"/>
        <v>17.899999999999999</v>
      </c>
      <c r="N82" s="8">
        <f t="shared" si="0"/>
        <v>16.399999999999999</v>
      </c>
      <c r="O82" s="8">
        <f t="shared" si="0"/>
        <v>14.2</v>
      </c>
      <c r="P82" s="8">
        <f t="shared" si="0"/>
        <v>83.6</v>
      </c>
      <c r="Q82" s="15">
        <f>ROUND(Q44,0)</f>
        <v>32278</v>
      </c>
      <c r="R82" s="8">
        <f t="shared" si="0"/>
        <v>17.100000000000001</v>
      </c>
      <c r="S82" s="8">
        <f t="shared" si="0"/>
        <v>16.2</v>
      </c>
      <c r="T82" s="8">
        <f t="shared" si="0"/>
        <v>17.5</v>
      </c>
      <c r="U82" s="8">
        <f t="shared" si="0"/>
        <v>16.8</v>
      </c>
      <c r="V82" s="8">
        <f t="shared" si="0"/>
        <v>14.9</v>
      </c>
      <c r="W82" s="8">
        <f t="shared" si="0"/>
        <v>82.5</v>
      </c>
      <c r="X82" s="15">
        <f>ROUND(X44,0)</f>
        <v>52654</v>
      </c>
      <c r="AX82" s="89"/>
      <c r="AY82" s="89"/>
      <c r="AZ82" s="89"/>
      <c r="BA82" s="89"/>
      <c r="BB82" s="89"/>
      <c r="BC82" s="89"/>
      <c r="BD82" s="89"/>
      <c r="BE82" s="89"/>
      <c r="BF82" s="89"/>
      <c r="BG82" s="89"/>
      <c r="BH82" s="89"/>
      <c r="BI82" s="89"/>
      <c r="BJ82" s="89"/>
      <c r="BK82" s="89"/>
      <c r="BL82" s="89"/>
      <c r="BM82" s="89"/>
      <c r="BN82" s="89"/>
      <c r="BO82" s="89"/>
      <c r="BP82" s="89"/>
      <c r="BQ82" s="89"/>
      <c r="BR82" s="89"/>
    </row>
    <row r="83" spans="3:70" ht="14.25" customHeight="1" x14ac:dyDescent="0.2">
      <c r="C83" s="7" t="s">
        <v>1</v>
      </c>
      <c r="D83" s="8">
        <f t="shared" ref="D83:I83" si="1">ROUND(D45,1)</f>
        <v>19.899999999999999</v>
      </c>
      <c r="E83" s="8">
        <f t="shared" si="1"/>
        <v>18.100000000000001</v>
      </c>
      <c r="F83" s="8">
        <f t="shared" si="1"/>
        <v>17.7</v>
      </c>
      <c r="G83" s="8">
        <f t="shared" si="1"/>
        <v>15.5</v>
      </c>
      <c r="H83" s="8">
        <f t="shared" si="1"/>
        <v>12.6</v>
      </c>
      <c r="I83" s="8">
        <f t="shared" si="1"/>
        <v>83.8</v>
      </c>
      <c r="J83" s="15">
        <f t="shared" ref="J83:J116" si="2">ROUND(J45,0)</f>
        <v>17883</v>
      </c>
      <c r="K83" s="8">
        <f t="shared" ref="K83:P83" si="3">ROUND(K45,1)</f>
        <v>23.3</v>
      </c>
      <c r="L83" s="8">
        <f t="shared" si="3"/>
        <v>19.8</v>
      </c>
      <c r="M83" s="8">
        <f t="shared" si="3"/>
        <v>18.100000000000001</v>
      </c>
      <c r="N83" s="8">
        <f t="shared" si="3"/>
        <v>14.8</v>
      </c>
      <c r="O83" s="8">
        <f t="shared" si="3"/>
        <v>10.8</v>
      </c>
      <c r="P83" s="8">
        <f t="shared" si="3"/>
        <v>86.7</v>
      </c>
      <c r="Q83" s="15">
        <f t="shared" ref="Q83:Q116" si="4">ROUND(Q45,0)</f>
        <v>17778</v>
      </c>
      <c r="R83" s="8">
        <f t="shared" ref="R83:W83" si="5">ROUND(R45,1)</f>
        <v>21.6</v>
      </c>
      <c r="S83" s="8">
        <f t="shared" si="5"/>
        <v>18.899999999999999</v>
      </c>
      <c r="T83" s="8">
        <f t="shared" si="5"/>
        <v>17.899999999999999</v>
      </c>
      <c r="U83" s="8">
        <f t="shared" si="5"/>
        <v>15.2</v>
      </c>
      <c r="V83" s="8">
        <f t="shared" si="5"/>
        <v>11.7</v>
      </c>
      <c r="W83" s="8">
        <f t="shared" si="5"/>
        <v>85.3</v>
      </c>
      <c r="X83" s="15">
        <f t="shared" ref="X83:X116" si="6">ROUND(X45,0)</f>
        <v>35661</v>
      </c>
      <c r="AX83" s="89"/>
      <c r="AY83" s="89"/>
      <c r="AZ83" s="89"/>
      <c r="BA83" s="89"/>
      <c r="BB83" s="89"/>
      <c r="BC83" s="89"/>
      <c r="BD83" s="89"/>
      <c r="BE83" s="89"/>
      <c r="BF83" s="89"/>
      <c r="BG83" s="89"/>
      <c r="BH83" s="89"/>
      <c r="BI83" s="89"/>
      <c r="BJ83" s="89"/>
      <c r="BK83" s="89"/>
      <c r="BL83" s="89"/>
      <c r="BM83" s="89"/>
      <c r="BN83" s="89"/>
      <c r="BO83" s="89"/>
      <c r="BP83" s="89"/>
      <c r="BQ83" s="89"/>
      <c r="BR83" s="89"/>
    </row>
    <row r="84" spans="3:70" ht="14.25" customHeight="1" x14ac:dyDescent="0.2">
      <c r="C84" s="7" t="s">
        <v>2</v>
      </c>
      <c r="D84" s="8">
        <f t="shared" ref="D84:I84" si="7">ROUND(D46,1)</f>
        <v>20.100000000000001</v>
      </c>
      <c r="E84" s="8">
        <f t="shared" si="7"/>
        <v>17.100000000000001</v>
      </c>
      <c r="F84" s="8">
        <f t="shared" si="7"/>
        <v>17.3</v>
      </c>
      <c r="G84" s="8">
        <f t="shared" si="7"/>
        <v>15.8</v>
      </c>
      <c r="H84" s="8">
        <f t="shared" si="7"/>
        <v>13.1</v>
      </c>
      <c r="I84" s="8">
        <f t="shared" si="7"/>
        <v>83.3</v>
      </c>
      <c r="J84" s="15">
        <f t="shared" si="2"/>
        <v>23666</v>
      </c>
      <c r="K84" s="8">
        <f t="shared" ref="K84:P84" si="8">ROUND(K46,1)</f>
        <v>26.5</v>
      </c>
      <c r="L84" s="8">
        <f t="shared" si="8"/>
        <v>19.2</v>
      </c>
      <c r="M84" s="8">
        <f t="shared" si="8"/>
        <v>18.600000000000001</v>
      </c>
      <c r="N84" s="8">
        <f t="shared" si="8"/>
        <v>13.8</v>
      </c>
      <c r="O84" s="8">
        <f t="shared" si="8"/>
        <v>10</v>
      </c>
      <c r="P84" s="8">
        <f t="shared" si="8"/>
        <v>88.2</v>
      </c>
      <c r="Q84" s="15">
        <f t="shared" si="4"/>
        <v>7351</v>
      </c>
      <c r="R84" s="8">
        <f t="shared" ref="R84:W84" si="9">ROUND(R46,1)</f>
        <v>21.6</v>
      </c>
      <c r="S84" s="8">
        <f t="shared" si="9"/>
        <v>17.600000000000001</v>
      </c>
      <c r="T84" s="8">
        <f t="shared" si="9"/>
        <v>17.600000000000001</v>
      </c>
      <c r="U84" s="8">
        <f t="shared" si="9"/>
        <v>15.3</v>
      </c>
      <c r="V84" s="8">
        <f t="shared" si="9"/>
        <v>12.3</v>
      </c>
      <c r="W84" s="8">
        <f t="shared" si="9"/>
        <v>84.4</v>
      </c>
      <c r="X84" s="15">
        <f t="shared" si="6"/>
        <v>31017</v>
      </c>
      <c r="AX84" s="89"/>
      <c r="AY84" s="89"/>
      <c r="AZ84" s="89"/>
      <c r="BA84" s="89"/>
      <c r="BB84" s="89"/>
      <c r="BC84" s="89"/>
      <c r="BD84" s="89"/>
      <c r="BE84" s="89"/>
      <c r="BF84" s="89"/>
      <c r="BG84" s="89"/>
      <c r="BH84" s="89"/>
      <c r="BI84" s="89"/>
      <c r="BJ84" s="89"/>
      <c r="BK84" s="89"/>
      <c r="BL84" s="89"/>
      <c r="BM84" s="89"/>
      <c r="BN84" s="89"/>
      <c r="BO84" s="89"/>
      <c r="BP84" s="89"/>
      <c r="BQ84" s="89"/>
      <c r="BR84" s="89"/>
    </row>
    <row r="85" spans="3:70" ht="14.25" customHeight="1" x14ac:dyDescent="0.2">
      <c r="C85" s="7" t="s">
        <v>3</v>
      </c>
      <c r="D85" s="8">
        <f t="shared" ref="D85:I85" si="10">ROUND(D47,1)</f>
        <v>14.3</v>
      </c>
      <c r="E85" s="8">
        <f t="shared" si="10"/>
        <v>15.7</v>
      </c>
      <c r="F85" s="8">
        <f t="shared" si="10"/>
        <v>19.3</v>
      </c>
      <c r="G85" s="8">
        <f t="shared" si="10"/>
        <v>19.100000000000001</v>
      </c>
      <c r="H85" s="8">
        <f t="shared" si="10"/>
        <v>14.7</v>
      </c>
      <c r="I85" s="8">
        <f t="shared" si="10"/>
        <v>83.1</v>
      </c>
      <c r="J85" s="15">
        <f t="shared" si="2"/>
        <v>4742</v>
      </c>
      <c r="K85" s="8">
        <f t="shared" ref="K85:P85" si="11">ROUND(K47,1)</f>
        <v>13.7</v>
      </c>
      <c r="L85" s="8">
        <f t="shared" si="11"/>
        <v>15.8</v>
      </c>
      <c r="M85" s="8">
        <f t="shared" si="11"/>
        <v>19.399999999999999</v>
      </c>
      <c r="N85" s="8">
        <f t="shared" si="11"/>
        <v>19.899999999999999</v>
      </c>
      <c r="O85" s="8">
        <f t="shared" si="11"/>
        <v>15.6</v>
      </c>
      <c r="P85" s="8">
        <f t="shared" si="11"/>
        <v>84.3</v>
      </c>
      <c r="Q85" s="15">
        <f t="shared" si="4"/>
        <v>2443</v>
      </c>
      <c r="R85" s="8">
        <f t="shared" ref="R85:W85" si="12">ROUND(R47,1)</f>
        <v>14.1</v>
      </c>
      <c r="S85" s="8">
        <f t="shared" si="12"/>
        <v>15.8</v>
      </c>
      <c r="T85" s="8">
        <f t="shared" si="12"/>
        <v>19.3</v>
      </c>
      <c r="U85" s="8">
        <f t="shared" si="12"/>
        <v>19.3</v>
      </c>
      <c r="V85" s="8">
        <f t="shared" si="12"/>
        <v>15</v>
      </c>
      <c r="W85" s="8">
        <f t="shared" si="12"/>
        <v>83.5</v>
      </c>
      <c r="X85" s="15">
        <f t="shared" si="6"/>
        <v>7185</v>
      </c>
      <c r="AX85" s="89"/>
      <c r="AY85" s="89"/>
      <c r="AZ85" s="89"/>
      <c r="BA85" s="89"/>
      <c r="BB85" s="89"/>
      <c r="BC85" s="89"/>
      <c r="BD85" s="89"/>
      <c r="BE85" s="89"/>
      <c r="BF85" s="89"/>
      <c r="BG85" s="89"/>
      <c r="BH85" s="89"/>
      <c r="BI85" s="89"/>
      <c r="BJ85" s="89"/>
      <c r="BK85" s="89"/>
      <c r="BL85" s="89"/>
      <c r="BM85" s="89"/>
      <c r="BN85" s="89"/>
      <c r="BO85" s="89"/>
      <c r="BP85" s="89"/>
      <c r="BQ85" s="89"/>
      <c r="BR85" s="89"/>
    </row>
    <row r="86" spans="3:70" ht="14.25" customHeight="1" x14ac:dyDescent="0.2">
      <c r="C86" s="7" t="s">
        <v>4</v>
      </c>
      <c r="D86" s="8">
        <f t="shared" ref="D86:I86" si="13">ROUND(D48,1)</f>
        <v>16.8</v>
      </c>
      <c r="E86" s="8">
        <f t="shared" si="13"/>
        <v>10.5</v>
      </c>
      <c r="F86" s="8">
        <f t="shared" si="13"/>
        <v>11.9</v>
      </c>
      <c r="G86" s="8">
        <f t="shared" si="13"/>
        <v>13.4</v>
      </c>
      <c r="H86" s="8">
        <f t="shared" si="13"/>
        <v>14.3</v>
      </c>
      <c r="I86" s="8">
        <f t="shared" si="13"/>
        <v>66.900000000000006</v>
      </c>
      <c r="J86" s="15">
        <f t="shared" si="2"/>
        <v>36414</v>
      </c>
      <c r="K86" s="8">
        <f t="shared" ref="K86:P86" si="14">ROUND(K48,1)</f>
        <v>17.8</v>
      </c>
      <c r="L86" s="8">
        <f t="shared" si="14"/>
        <v>13.4</v>
      </c>
      <c r="M86" s="8">
        <f t="shared" si="14"/>
        <v>14.1</v>
      </c>
      <c r="N86" s="8">
        <f t="shared" si="14"/>
        <v>14.2</v>
      </c>
      <c r="O86" s="8">
        <f t="shared" si="14"/>
        <v>13.7</v>
      </c>
      <c r="P86" s="8">
        <f t="shared" si="14"/>
        <v>73.099999999999994</v>
      </c>
      <c r="Q86" s="15">
        <f t="shared" si="4"/>
        <v>23025</v>
      </c>
      <c r="R86" s="8">
        <f t="shared" ref="R86:W86" si="15">ROUND(R48,1)</f>
        <v>17.2</v>
      </c>
      <c r="S86" s="8">
        <f t="shared" si="15"/>
        <v>11.6</v>
      </c>
      <c r="T86" s="8">
        <f t="shared" si="15"/>
        <v>12.7</v>
      </c>
      <c r="U86" s="8">
        <f t="shared" si="15"/>
        <v>13.7</v>
      </c>
      <c r="V86" s="8">
        <f t="shared" si="15"/>
        <v>14</v>
      </c>
      <c r="W86" s="8">
        <f t="shared" si="15"/>
        <v>69.3</v>
      </c>
      <c r="X86" s="15">
        <f t="shared" si="6"/>
        <v>59439</v>
      </c>
      <c r="AX86" s="89"/>
      <c r="AY86" s="89"/>
      <c r="AZ86" s="89"/>
      <c r="BA86" s="89"/>
      <c r="BB86" s="89"/>
      <c r="BC86" s="89"/>
      <c r="BD86" s="89"/>
      <c r="BE86" s="89"/>
      <c r="BF86" s="89"/>
      <c r="BG86" s="89"/>
      <c r="BH86" s="89"/>
      <c r="BI86" s="89"/>
      <c r="BJ86" s="89"/>
      <c r="BK86" s="89"/>
      <c r="BL86" s="89"/>
      <c r="BM86" s="89"/>
      <c r="BN86" s="89"/>
      <c r="BO86" s="89"/>
      <c r="BP86" s="89"/>
      <c r="BQ86" s="89"/>
      <c r="BR86" s="89"/>
    </row>
    <row r="87" spans="3:70" ht="14.25" customHeight="1" x14ac:dyDescent="0.2">
      <c r="C87" s="7" t="s">
        <v>5</v>
      </c>
      <c r="D87" s="8">
        <f t="shared" ref="D87:I87" si="16">ROUND(D49,1)</f>
        <v>24.4</v>
      </c>
      <c r="E87" s="8">
        <f t="shared" si="16"/>
        <v>16.2</v>
      </c>
      <c r="F87" s="8">
        <f t="shared" si="16"/>
        <v>15.3</v>
      </c>
      <c r="G87" s="8">
        <f t="shared" si="16"/>
        <v>14.7</v>
      </c>
      <c r="H87" s="8">
        <f t="shared" si="16"/>
        <v>10.5</v>
      </c>
      <c r="I87" s="8">
        <f t="shared" si="16"/>
        <v>81.099999999999994</v>
      </c>
      <c r="J87" s="15">
        <f t="shared" si="2"/>
        <v>1435</v>
      </c>
      <c r="K87" s="8">
        <f t="shared" ref="K87:P87" si="17">ROUND(K49,1)</f>
        <v>29.3</v>
      </c>
      <c r="L87" s="8">
        <f t="shared" si="17"/>
        <v>20.399999999999999</v>
      </c>
      <c r="M87" s="8">
        <f t="shared" si="17"/>
        <v>15.8</v>
      </c>
      <c r="N87" s="8">
        <f t="shared" si="17"/>
        <v>12.7</v>
      </c>
      <c r="O87" s="8">
        <f t="shared" si="17"/>
        <v>9.4</v>
      </c>
      <c r="P87" s="8">
        <f t="shared" si="17"/>
        <v>87.7</v>
      </c>
      <c r="Q87" s="15">
        <f t="shared" si="4"/>
        <v>795</v>
      </c>
      <c r="R87" s="8">
        <f t="shared" ref="R87:W87" si="18">ROUND(R49,1)</f>
        <v>26.1</v>
      </c>
      <c r="S87" s="8">
        <f t="shared" si="18"/>
        <v>17.7</v>
      </c>
      <c r="T87" s="8">
        <f t="shared" si="18"/>
        <v>15.5</v>
      </c>
      <c r="U87" s="8">
        <f t="shared" si="18"/>
        <v>14</v>
      </c>
      <c r="V87" s="8">
        <f t="shared" si="18"/>
        <v>10.1</v>
      </c>
      <c r="W87" s="8">
        <f t="shared" si="18"/>
        <v>83.5</v>
      </c>
      <c r="X87" s="15">
        <f t="shared" si="6"/>
        <v>2230</v>
      </c>
      <c r="AX87" s="89"/>
      <c r="AY87" s="89"/>
      <c r="AZ87" s="89"/>
      <c r="BA87" s="89"/>
      <c r="BB87" s="89"/>
      <c r="BC87" s="89"/>
      <c r="BD87" s="89"/>
      <c r="BE87" s="89"/>
      <c r="BF87" s="89"/>
      <c r="BG87" s="89"/>
      <c r="BH87" s="89"/>
      <c r="BI87" s="89"/>
      <c r="BJ87" s="89"/>
      <c r="BK87" s="89"/>
      <c r="BL87" s="89"/>
      <c r="BM87" s="89"/>
      <c r="BN87" s="89"/>
      <c r="BO87" s="89"/>
      <c r="BP87" s="89"/>
      <c r="BQ87" s="89"/>
      <c r="BR87" s="89"/>
    </row>
    <row r="88" spans="3:70" ht="14.25" customHeight="1" x14ac:dyDescent="0.2">
      <c r="C88" s="7" t="s">
        <v>6</v>
      </c>
      <c r="D88" s="8">
        <f t="shared" ref="D88:I88" si="19">ROUND(D50,1)</f>
        <v>8.3000000000000007</v>
      </c>
      <c r="E88" s="8">
        <f t="shared" si="19"/>
        <v>13.3</v>
      </c>
      <c r="F88" s="8">
        <f t="shared" si="19"/>
        <v>19.2</v>
      </c>
      <c r="G88" s="8">
        <f t="shared" si="19"/>
        <v>21.5</v>
      </c>
      <c r="H88" s="8">
        <f t="shared" si="19"/>
        <v>17.899999999999999</v>
      </c>
      <c r="I88" s="8">
        <f t="shared" si="19"/>
        <v>80.2</v>
      </c>
      <c r="J88" s="15">
        <f t="shared" si="2"/>
        <v>10960</v>
      </c>
      <c r="K88" s="8">
        <f t="shared" ref="K88:P88" si="20">ROUND(K50,1)</f>
        <v>12.8</v>
      </c>
      <c r="L88" s="8">
        <f t="shared" si="20"/>
        <v>17</v>
      </c>
      <c r="M88" s="8">
        <f t="shared" si="20"/>
        <v>22.8</v>
      </c>
      <c r="N88" s="8">
        <f t="shared" si="20"/>
        <v>20.9</v>
      </c>
      <c r="O88" s="8">
        <f t="shared" si="20"/>
        <v>13.8</v>
      </c>
      <c r="P88" s="8">
        <f t="shared" si="20"/>
        <v>87.3</v>
      </c>
      <c r="Q88" s="15">
        <f t="shared" si="4"/>
        <v>6304</v>
      </c>
      <c r="R88" s="8">
        <f t="shared" ref="R88:W88" si="21">ROUND(R50,1)</f>
        <v>10</v>
      </c>
      <c r="S88" s="8">
        <f t="shared" si="21"/>
        <v>14.6</v>
      </c>
      <c r="T88" s="8">
        <f t="shared" si="21"/>
        <v>20.5</v>
      </c>
      <c r="U88" s="8">
        <f t="shared" si="21"/>
        <v>21.3</v>
      </c>
      <c r="V88" s="8">
        <f t="shared" si="21"/>
        <v>16.399999999999999</v>
      </c>
      <c r="W88" s="8">
        <f t="shared" si="21"/>
        <v>82.8</v>
      </c>
      <c r="X88" s="15">
        <f t="shared" si="6"/>
        <v>17264</v>
      </c>
      <c r="AX88" s="89"/>
      <c r="AY88" s="89"/>
      <c r="AZ88" s="89"/>
      <c r="BA88" s="89"/>
      <c r="BB88" s="89"/>
      <c r="BC88" s="89"/>
      <c r="BD88" s="89"/>
      <c r="BE88" s="89"/>
      <c r="BF88" s="89"/>
      <c r="BG88" s="89"/>
      <c r="BH88" s="89"/>
      <c r="BI88" s="89"/>
      <c r="BJ88" s="89"/>
      <c r="BK88" s="89"/>
      <c r="BL88" s="89"/>
      <c r="BM88" s="89"/>
      <c r="BN88" s="89"/>
      <c r="BO88" s="89"/>
      <c r="BP88" s="89"/>
      <c r="BQ88" s="89"/>
      <c r="BR88" s="89"/>
    </row>
    <row r="89" spans="3:70" ht="14.25" customHeight="1" x14ac:dyDescent="0.2">
      <c r="C89" s="7" t="s">
        <v>7</v>
      </c>
      <c r="D89" s="8">
        <f t="shared" ref="D89:I89" si="22">ROUND(D51,1)</f>
        <v>11.8</v>
      </c>
      <c r="E89" s="8">
        <f t="shared" si="22"/>
        <v>16.2</v>
      </c>
      <c r="F89" s="8">
        <f t="shared" si="22"/>
        <v>19.7</v>
      </c>
      <c r="G89" s="8">
        <f t="shared" si="22"/>
        <v>18.7</v>
      </c>
      <c r="H89" s="8">
        <f t="shared" si="22"/>
        <v>14.6</v>
      </c>
      <c r="I89" s="8">
        <f t="shared" si="22"/>
        <v>81</v>
      </c>
      <c r="J89" s="15">
        <f t="shared" si="2"/>
        <v>11354</v>
      </c>
      <c r="K89" s="8">
        <f t="shared" ref="K89:P89" si="23">ROUND(K51,1)</f>
        <v>10.5</v>
      </c>
      <c r="L89" s="8">
        <f t="shared" si="23"/>
        <v>12.8</v>
      </c>
      <c r="M89" s="8">
        <f t="shared" si="23"/>
        <v>16.7</v>
      </c>
      <c r="N89" s="8">
        <f t="shared" si="23"/>
        <v>19</v>
      </c>
      <c r="O89" s="8">
        <f t="shared" si="23"/>
        <v>16.600000000000001</v>
      </c>
      <c r="P89" s="8">
        <f t="shared" si="23"/>
        <v>75.599999999999994</v>
      </c>
      <c r="Q89" s="15">
        <f t="shared" si="4"/>
        <v>1965</v>
      </c>
      <c r="R89" s="8">
        <f t="shared" ref="R89:W89" si="24">ROUND(R51,1)</f>
        <v>11.6</v>
      </c>
      <c r="S89" s="8">
        <f t="shared" si="24"/>
        <v>15.7</v>
      </c>
      <c r="T89" s="8">
        <f t="shared" si="24"/>
        <v>19.2</v>
      </c>
      <c r="U89" s="8">
        <f t="shared" si="24"/>
        <v>18.8</v>
      </c>
      <c r="V89" s="8">
        <f t="shared" si="24"/>
        <v>14.9</v>
      </c>
      <c r="W89" s="8">
        <f t="shared" si="24"/>
        <v>80.2</v>
      </c>
      <c r="X89" s="15">
        <f t="shared" si="6"/>
        <v>13319</v>
      </c>
      <c r="AX89" s="89"/>
      <c r="AY89" s="89"/>
      <c r="AZ89" s="89"/>
      <c r="BA89" s="89"/>
      <c r="BB89" s="89"/>
      <c r="BC89" s="89"/>
      <c r="BD89" s="89"/>
      <c r="BE89" s="89"/>
      <c r="BF89" s="89"/>
      <c r="BG89" s="89"/>
      <c r="BH89" s="89"/>
      <c r="BI89" s="89"/>
      <c r="BJ89" s="89"/>
      <c r="BK89" s="89"/>
      <c r="BL89" s="89"/>
      <c r="BM89" s="89"/>
      <c r="BN89" s="89"/>
      <c r="BO89" s="89"/>
      <c r="BP89" s="89"/>
      <c r="BQ89" s="89"/>
      <c r="BR89" s="89"/>
    </row>
    <row r="90" spans="3:70" ht="14.25" customHeight="1" x14ac:dyDescent="0.2">
      <c r="C90" s="7" t="s">
        <v>8</v>
      </c>
      <c r="D90" s="8">
        <f t="shared" ref="D90:I90" si="25">ROUND(D52,1)</f>
        <v>4.8</v>
      </c>
      <c r="E90" s="8">
        <f t="shared" si="25"/>
        <v>10.7</v>
      </c>
      <c r="F90" s="8">
        <f t="shared" si="25"/>
        <v>19.100000000000001</v>
      </c>
      <c r="G90" s="8">
        <f t="shared" si="25"/>
        <v>22.8</v>
      </c>
      <c r="H90" s="8">
        <f t="shared" si="25"/>
        <v>19.3</v>
      </c>
      <c r="I90" s="8">
        <f t="shared" si="25"/>
        <v>76.7</v>
      </c>
      <c r="J90" s="15">
        <f t="shared" si="2"/>
        <v>15531</v>
      </c>
      <c r="K90" s="8">
        <f t="shared" ref="K90:P90" si="26">ROUND(K52,1)</f>
        <v>4.8</v>
      </c>
      <c r="L90" s="8">
        <f t="shared" si="26"/>
        <v>11</v>
      </c>
      <c r="M90" s="8">
        <f t="shared" si="26"/>
        <v>18.2</v>
      </c>
      <c r="N90" s="8">
        <f t="shared" si="26"/>
        <v>22.1</v>
      </c>
      <c r="O90" s="8">
        <f t="shared" si="26"/>
        <v>19.399999999999999</v>
      </c>
      <c r="P90" s="8">
        <f t="shared" si="26"/>
        <v>75.5</v>
      </c>
      <c r="Q90" s="15">
        <f t="shared" si="4"/>
        <v>9283</v>
      </c>
      <c r="R90" s="8">
        <f t="shared" ref="R90:W90" si="27">ROUND(R52,1)</f>
        <v>4.8</v>
      </c>
      <c r="S90" s="8">
        <f t="shared" si="27"/>
        <v>10.9</v>
      </c>
      <c r="T90" s="8">
        <f t="shared" si="27"/>
        <v>18.8</v>
      </c>
      <c r="U90" s="8">
        <f t="shared" si="27"/>
        <v>22.5</v>
      </c>
      <c r="V90" s="8">
        <f t="shared" si="27"/>
        <v>19.399999999999999</v>
      </c>
      <c r="W90" s="8">
        <f t="shared" si="27"/>
        <v>76.3</v>
      </c>
      <c r="X90" s="15">
        <f t="shared" si="6"/>
        <v>24814</v>
      </c>
      <c r="AX90" s="89"/>
      <c r="AY90" s="89"/>
      <c r="AZ90" s="89"/>
      <c r="BA90" s="89"/>
      <c r="BB90" s="89"/>
      <c r="BC90" s="89"/>
      <c r="BD90" s="89"/>
      <c r="BE90" s="89"/>
      <c r="BF90" s="89"/>
      <c r="BG90" s="89"/>
      <c r="BH90" s="89"/>
      <c r="BI90" s="89"/>
      <c r="BJ90" s="89"/>
      <c r="BK90" s="89"/>
      <c r="BL90" s="89"/>
      <c r="BM90" s="89"/>
      <c r="BN90" s="89"/>
      <c r="BO90" s="89"/>
      <c r="BP90" s="89"/>
      <c r="BQ90" s="89"/>
      <c r="BR90" s="89"/>
    </row>
    <row r="91" spans="3:70" ht="14.25" customHeight="1" x14ac:dyDescent="0.2">
      <c r="C91" s="7" t="s">
        <v>9</v>
      </c>
      <c r="D91" s="8">
        <f t="shared" ref="D91:I91" si="28">ROUND(D53,1)</f>
        <v>10.4</v>
      </c>
      <c r="E91" s="8">
        <f t="shared" si="28"/>
        <v>9.1</v>
      </c>
      <c r="F91" s="8">
        <f t="shared" si="28"/>
        <v>15.6</v>
      </c>
      <c r="G91" s="8">
        <f t="shared" si="28"/>
        <v>16.899999999999999</v>
      </c>
      <c r="H91" s="8">
        <f t="shared" si="28"/>
        <v>28.6</v>
      </c>
      <c r="I91" s="8">
        <f t="shared" si="28"/>
        <v>80.5</v>
      </c>
      <c r="J91" s="15">
        <f t="shared" si="2"/>
        <v>77</v>
      </c>
      <c r="K91" s="8">
        <f t="shared" ref="K91:P91" si="29">ROUND(K53,1)</f>
        <v>15.8</v>
      </c>
      <c r="L91" s="8">
        <f t="shared" si="29"/>
        <v>18.399999999999999</v>
      </c>
      <c r="M91" s="8">
        <f t="shared" si="29"/>
        <v>19.8</v>
      </c>
      <c r="N91" s="8">
        <f t="shared" si="29"/>
        <v>20.7</v>
      </c>
      <c r="O91" s="8">
        <f t="shared" si="29"/>
        <v>14.1</v>
      </c>
      <c r="P91" s="8">
        <f t="shared" si="29"/>
        <v>88.8</v>
      </c>
      <c r="Q91" s="15">
        <f t="shared" si="4"/>
        <v>803</v>
      </c>
      <c r="R91" s="8">
        <f t="shared" ref="R91:W91" si="30">ROUND(R53,1)</f>
        <v>15.3</v>
      </c>
      <c r="S91" s="8">
        <f t="shared" si="30"/>
        <v>17.600000000000001</v>
      </c>
      <c r="T91" s="8">
        <f t="shared" si="30"/>
        <v>19.399999999999999</v>
      </c>
      <c r="U91" s="8">
        <f t="shared" si="30"/>
        <v>20.3</v>
      </c>
      <c r="V91" s="8">
        <f t="shared" si="30"/>
        <v>15.3</v>
      </c>
      <c r="W91" s="8">
        <f t="shared" si="30"/>
        <v>88.1</v>
      </c>
      <c r="X91" s="15">
        <f t="shared" si="6"/>
        <v>880</v>
      </c>
      <c r="AX91" s="89"/>
      <c r="AY91" s="89"/>
      <c r="AZ91" s="89"/>
      <c r="BA91" s="89"/>
      <c r="BB91" s="89"/>
      <c r="BC91" s="89"/>
      <c r="BD91" s="89"/>
      <c r="BE91" s="89"/>
      <c r="BF91" s="89"/>
      <c r="BG91" s="89"/>
      <c r="BH91" s="89"/>
      <c r="BI91" s="89"/>
      <c r="BJ91" s="89"/>
      <c r="BK91" s="89"/>
      <c r="BL91" s="89"/>
      <c r="BM91" s="89"/>
      <c r="BN91" s="89"/>
      <c r="BO91" s="89"/>
      <c r="BP91" s="89"/>
      <c r="BQ91" s="89"/>
      <c r="BR91" s="89"/>
    </row>
    <row r="92" spans="3:70" ht="14.25" customHeight="1" x14ac:dyDescent="0.2">
      <c r="C92" s="7" t="s">
        <v>10</v>
      </c>
      <c r="D92" s="8">
        <f t="shared" ref="D92:I92" si="31">ROUND(D54,1)</f>
        <v>10.1</v>
      </c>
      <c r="E92" s="8">
        <f t="shared" si="31"/>
        <v>11.8</v>
      </c>
      <c r="F92" s="8">
        <f t="shared" si="31"/>
        <v>15.7</v>
      </c>
      <c r="G92" s="8">
        <f t="shared" si="31"/>
        <v>16.600000000000001</v>
      </c>
      <c r="H92" s="8">
        <f t="shared" si="31"/>
        <v>13.9</v>
      </c>
      <c r="I92" s="8">
        <f t="shared" si="31"/>
        <v>68.099999999999994</v>
      </c>
      <c r="J92" s="15">
        <f t="shared" si="2"/>
        <v>2931</v>
      </c>
      <c r="K92" s="8">
        <f t="shared" ref="K92:P92" si="32">ROUND(K54,1)</f>
        <v>10.1</v>
      </c>
      <c r="L92" s="8">
        <f t="shared" si="32"/>
        <v>12</v>
      </c>
      <c r="M92" s="8">
        <f t="shared" si="32"/>
        <v>16</v>
      </c>
      <c r="N92" s="8">
        <f t="shared" si="32"/>
        <v>17.399999999999999</v>
      </c>
      <c r="O92" s="8">
        <f t="shared" si="32"/>
        <v>15.4</v>
      </c>
      <c r="P92" s="8">
        <f t="shared" si="32"/>
        <v>70.900000000000006</v>
      </c>
      <c r="Q92" s="15">
        <f t="shared" si="4"/>
        <v>1815</v>
      </c>
      <c r="R92" s="8">
        <f t="shared" ref="R92:W92" si="33">ROUND(R54,1)</f>
        <v>10.1</v>
      </c>
      <c r="S92" s="8">
        <f t="shared" si="33"/>
        <v>11.9</v>
      </c>
      <c r="T92" s="8">
        <f t="shared" si="33"/>
        <v>15.8</v>
      </c>
      <c r="U92" s="8">
        <f t="shared" si="33"/>
        <v>16.899999999999999</v>
      </c>
      <c r="V92" s="8">
        <f t="shared" si="33"/>
        <v>14.5</v>
      </c>
      <c r="W92" s="8">
        <f t="shared" si="33"/>
        <v>69.2</v>
      </c>
      <c r="X92" s="15">
        <f t="shared" si="6"/>
        <v>4746</v>
      </c>
      <c r="AX92" s="89"/>
      <c r="AY92" s="89"/>
      <c r="AZ92" s="89"/>
      <c r="BA92" s="89"/>
      <c r="BB92" s="89"/>
      <c r="BC92" s="89"/>
      <c r="BD92" s="89"/>
      <c r="BE92" s="89"/>
      <c r="BF92" s="89"/>
      <c r="BG92" s="89"/>
      <c r="BH92" s="89"/>
      <c r="BI92" s="89"/>
      <c r="BJ92" s="89"/>
      <c r="BK92" s="89"/>
      <c r="BL92" s="89"/>
      <c r="BM92" s="89"/>
      <c r="BN92" s="89"/>
      <c r="BO92" s="89"/>
      <c r="BP92" s="89"/>
      <c r="BQ92" s="89"/>
      <c r="BR92" s="89"/>
    </row>
    <row r="93" spans="3:70" ht="14.25" customHeight="1" x14ac:dyDescent="0.2">
      <c r="C93" s="7" t="s">
        <v>11</v>
      </c>
      <c r="D93" s="8">
        <f t="shared" ref="D93:I93" si="34">ROUND(D55,1)</f>
        <v>9.8000000000000007</v>
      </c>
      <c r="E93" s="8">
        <f t="shared" si="34"/>
        <v>16.600000000000001</v>
      </c>
      <c r="F93" s="8">
        <f t="shared" si="34"/>
        <v>22.7</v>
      </c>
      <c r="G93" s="8">
        <f t="shared" si="34"/>
        <v>21.6</v>
      </c>
      <c r="H93" s="8">
        <f t="shared" si="34"/>
        <v>15.2</v>
      </c>
      <c r="I93" s="8">
        <f t="shared" si="34"/>
        <v>86</v>
      </c>
      <c r="J93" s="15">
        <f t="shared" si="2"/>
        <v>21720</v>
      </c>
      <c r="K93" s="8">
        <f t="shared" ref="K93:P93" si="35">ROUND(K55,1)</f>
        <v>11.3</v>
      </c>
      <c r="L93" s="8">
        <f t="shared" si="35"/>
        <v>17.100000000000001</v>
      </c>
      <c r="M93" s="8">
        <f t="shared" si="35"/>
        <v>22.5</v>
      </c>
      <c r="N93" s="8">
        <f t="shared" si="35"/>
        <v>20.7</v>
      </c>
      <c r="O93" s="8">
        <f t="shared" si="35"/>
        <v>14.1</v>
      </c>
      <c r="P93" s="8">
        <f t="shared" si="35"/>
        <v>85.7</v>
      </c>
      <c r="Q93" s="15">
        <f t="shared" si="4"/>
        <v>16958</v>
      </c>
      <c r="R93" s="8">
        <f t="shared" ref="R93:W93" si="36">ROUND(R55,1)</f>
        <v>10.4</v>
      </c>
      <c r="S93" s="8">
        <f t="shared" si="36"/>
        <v>16.8</v>
      </c>
      <c r="T93" s="8">
        <f t="shared" si="36"/>
        <v>22.6</v>
      </c>
      <c r="U93" s="8">
        <f t="shared" si="36"/>
        <v>21.2</v>
      </c>
      <c r="V93" s="8">
        <f t="shared" si="36"/>
        <v>14.7</v>
      </c>
      <c r="W93" s="8">
        <f t="shared" si="36"/>
        <v>85.8</v>
      </c>
      <c r="X93" s="15">
        <f t="shared" si="6"/>
        <v>38678</v>
      </c>
    </row>
    <row r="94" spans="3:70" ht="14.25" customHeight="1" x14ac:dyDescent="0.2">
      <c r="C94" s="7" t="s">
        <v>12</v>
      </c>
      <c r="D94" s="8">
        <f t="shared" ref="D94:I94" si="37">ROUND(D56,1)</f>
        <v>24</v>
      </c>
      <c r="E94" s="8">
        <f t="shared" si="37"/>
        <v>18.7</v>
      </c>
      <c r="F94" s="8">
        <f t="shared" si="37"/>
        <v>17.8</v>
      </c>
      <c r="G94" s="8">
        <f t="shared" si="37"/>
        <v>14.8</v>
      </c>
      <c r="H94" s="8">
        <f t="shared" si="37"/>
        <v>11.3</v>
      </c>
      <c r="I94" s="8">
        <f t="shared" si="37"/>
        <v>86.6</v>
      </c>
      <c r="J94" s="15">
        <f t="shared" si="2"/>
        <v>9606</v>
      </c>
      <c r="K94" s="8">
        <f t="shared" ref="K94:P94" si="38">ROUND(K56,1)</f>
        <v>25.8</v>
      </c>
      <c r="L94" s="8">
        <f t="shared" si="38"/>
        <v>19.100000000000001</v>
      </c>
      <c r="M94" s="8">
        <f t="shared" si="38"/>
        <v>16.7</v>
      </c>
      <c r="N94" s="8">
        <f t="shared" si="38"/>
        <v>14.1</v>
      </c>
      <c r="O94" s="8">
        <f t="shared" si="38"/>
        <v>11</v>
      </c>
      <c r="P94" s="8">
        <f t="shared" si="38"/>
        <v>86.7</v>
      </c>
      <c r="Q94" s="15">
        <f t="shared" si="4"/>
        <v>4246</v>
      </c>
      <c r="R94" s="8">
        <f t="shared" ref="R94:W94" si="39">ROUND(R56,1)</f>
        <v>24.5</v>
      </c>
      <c r="S94" s="8">
        <f t="shared" si="39"/>
        <v>18.8</v>
      </c>
      <c r="T94" s="8">
        <f t="shared" si="39"/>
        <v>17.5</v>
      </c>
      <c r="U94" s="8">
        <f t="shared" si="39"/>
        <v>14.6</v>
      </c>
      <c r="V94" s="8">
        <f t="shared" si="39"/>
        <v>11.2</v>
      </c>
      <c r="W94" s="8">
        <f t="shared" si="39"/>
        <v>86.7</v>
      </c>
      <c r="X94" s="15">
        <f t="shared" si="6"/>
        <v>13852</v>
      </c>
    </row>
    <row r="95" spans="3:70" ht="14.25" customHeight="1" x14ac:dyDescent="0.2">
      <c r="C95" s="7" t="s">
        <v>13</v>
      </c>
      <c r="D95" s="8">
        <f t="shared" ref="D95:I95" si="40">ROUND(D57,1)</f>
        <v>15.2</v>
      </c>
      <c r="E95" s="8">
        <f t="shared" si="40"/>
        <v>18.600000000000001</v>
      </c>
      <c r="F95" s="8">
        <f t="shared" si="40"/>
        <v>21.7</v>
      </c>
      <c r="G95" s="8">
        <f t="shared" si="40"/>
        <v>19.399999999999999</v>
      </c>
      <c r="H95" s="8">
        <f t="shared" si="40"/>
        <v>13.9</v>
      </c>
      <c r="I95" s="8">
        <f t="shared" si="40"/>
        <v>88.8</v>
      </c>
      <c r="J95" s="15">
        <f t="shared" si="2"/>
        <v>18040</v>
      </c>
      <c r="K95" s="8">
        <f t="shared" ref="K95:P95" si="41">ROUND(K57,1)</f>
        <v>23.3</v>
      </c>
      <c r="L95" s="8">
        <f t="shared" si="41"/>
        <v>20.8</v>
      </c>
      <c r="M95" s="8">
        <f t="shared" si="41"/>
        <v>20.9</v>
      </c>
      <c r="N95" s="8">
        <f t="shared" si="41"/>
        <v>15.9</v>
      </c>
      <c r="O95" s="8">
        <f t="shared" si="41"/>
        <v>10.4</v>
      </c>
      <c r="P95" s="8">
        <f t="shared" si="41"/>
        <v>91.2</v>
      </c>
      <c r="Q95" s="15">
        <f t="shared" si="4"/>
        <v>14974</v>
      </c>
      <c r="R95" s="8">
        <f t="shared" ref="R95:W95" si="42">ROUND(R57,1)</f>
        <v>18.899999999999999</v>
      </c>
      <c r="S95" s="8">
        <f t="shared" si="42"/>
        <v>19.600000000000001</v>
      </c>
      <c r="T95" s="8">
        <f t="shared" si="42"/>
        <v>21.3</v>
      </c>
      <c r="U95" s="8">
        <f t="shared" si="42"/>
        <v>17.8</v>
      </c>
      <c r="V95" s="8">
        <f t="shared" si="42"/>
        <v>12.3</v>
      </c>
      <c r="W95" s="8">
        <f t="shared" si="42"/>
        <v>89.9</v>
      </c>
      <c r="X95" s="15">
        <f t="shared" si="6"/>
        <v>33014</v>
      </c>
    </row>
    <row r="96" spans="3:70" ht="14.25" customHeight="1" x14ac:dyDescent="0.2">
      <c r="C96" s="7" t="s">
        <v>14</v>
      </c>
      <c r="D96" s="8">
        <f t="shared" ref="D96:I96" si="43">ROUND(D58,1)</f>
        <v>18.7</v>
      </c>
      <c r="E96" s="8">
        <f t="shared" si="43"/>
        <v>19</v>
      </c>
      <c r="F96" s="8">
        <f t="shared" si="43"/>
        <v>22</v>
      </c>
      <c r="G96" s="8">
        <f t="shared" si="43"/>
        <v>17.3</v>
      </c>
      <c r="H96" s="8">
        <f t="shared" si="43"/>
        <v>11.4</v>
      </c>
      <c r="I96" s="8">
        <f t="shared" si="43"/>
        <v>88.3</v>
      </c>
      <c r="J96" s="15">
        <f t="shared" si="2"/>
        <v>4535</v>
      </c>
      <c r="K96" s="8">
        <f t="shared" ref="K96:P96" si="44">ROUND(K58,1)</f>
        <v>21.4</v>
      </c>
      <c r="L96" s="8">
        <f t="shared" si="44"/>
        <v>20.9</v>
      </c>
      <c r="M96" s="8">
        <f t="shared" si="44"/>
        <v>19</v>
      </c>
      <c r="N96" s="8">
        <f t="shared" si="44"/>
        <v>16.100000000000001</v>
      </c>
      <c r="O96" s="8">
        <f t="shared" si="44"/>
        <v>10.5</v>
      </c>
      <c r="P96" s="8">
        <f t="shared" si="44"/>
        <v>87.8</v>
      </c>
      <c r="Q96" s="15">
        <f t="shared" si="4"/>
        <v>3451</v>
      </c>
      <c r="R96" s="8">
        <f t="shared" ref="R96:W96" si="45">ROUND(R58,1)</f>
        <v>19.8</v>
      </c>
      <c r="S96" s="8">
        <f t="shared" si="45"/>
        <v>19.8</v>
      </c>
      <c r="T96" s="8">
        <f t="shared" si="45"/>
        <v>20.7</v>
      </c>
      <c r="U96" s="8">
        <f t="shared" si="45"/>
        <v>16.8</v>
      </c>
      <c r="V96" s="8">
        <f t="shared" si="45"/>
        <v>11</v>
      </c>
      <c r="W96" s="8">
        <f t="shared" si="45"/>
        <v>88.1</v>
      </c>
      <c r="X96" s="15">
        <f t="shared" si="6"/>
        <v>7986</v>
      </c>
    </row>
    <row r="97" spans="3:24" ht="14.25" customHeight="1" x14ac:dyDescent="0.2">
      <c r="C97" s="7" t="s">
        <v>15</v>
      </c>
      <c r="D97" s="8">
        <f t="shared" ref="D97:I97" si="46">ROUND(D59,1)</f>
        <v>17.100000000000001</v>
      </c>
      <c r="E97" s="8">
        <f t="shared" si="46"/>
        <v>23.9</v>
      </c>
      <c r="F97" s="8">
        <f t="shared" si="46"/>
        <v>25</v>
      </c>
      <c r="G97" s="8">
        <f t="shared" si="46"/>
        <v>17.5</v>
      </c>
      <c r="H97" s="8">
        <f t="shared" si="46"/>
        <v>9.6</v>
      </c>
      <c r="I97" s="8">
        <f t="shared" si="46"/>
        <v>92.9</v>
      </c>
      <c r="J97" s="15">
        <f t="shared" si="2"/>
        <v>16882</v>
      </c>
      <c r="K97" s="8">
        <f t="shared" ref="K97:P97" si="47">ROUND(K59,1)</f>
        <v>18.5</v>
      </c>
      <c r="L97" s="8">
        <f t="shared" si="47"/>
        <v>24.1</v>
      </c>
      <c r="M97" s="8">
        <f t="shared" si="47"/>
        <v>23.9</v>
      </c>
      <c r="N97" s="8">
        <f t="shared" si="47"/>
        <v>16.600000000000001</v>
      </c>
      <c r="O97" s="8">
        <f t="shared" si="47"/>
        <v>9.4</v>
      </c>
      <c r="P97" s="8">
        <f t="shared" si="47"/>
        <v>92.5</v>
      </c>
      <c r="Q97" s="15">
        <f t="shared" si="4"/>
        <v>19491</v>
      </c>
      <c r="R97" s="8">
        <f t="shared" ref="R97:W97" si="48">ROUND(R59,1)</f>
        <v>17.8</v>
      </c>
      <c r="S97" s="8">
        <f t="shared" si="48"/>
        <v>24</v>
      </c>
      <c r="T97" s="8">
        <f t="shared" si="48"/>
        <v>24.4</v>
      </c>
      <c r="U97" s="8">
        <f t="shared" si="48"/>
        <v>17</v>
      </c>
      <c r="V97" s="8">
        <f t="shared" si="48"/>
        <v>9.5</v>
      </c>
      <c r="W97" s="8">
        <f t="shared" si="48"/>
        <v>92.7</v>
      </c>
      <c r="X97" s="15">
        <f t="shared" si="6"/>
        <v>36373</v>
      </c>
    </row>
    <row r="98" spans="3:24" ht="14.25" customHeight="1" x14ac:dyDescent="0.2">
      <c r="C98" s="7" t="s">
        <v>16</v>
      </c>
      <c r="D98" s="8">
        <f t="shared" ref="D98:I98" si="49">ROUND(D60,1)</f>
        <v>10.4</v>
      </c>
      <c r="E98" s="8">
        <f t="shared" si="49"/>
        <v>13.4</v>
      </c>
      <c r="F98" s="8">
        <f t="shared" si="49"/>
        <v>17.2</v>
      </c>
      <c r="G98" s="8">
        <f t="shared" si="49"/>
        <v>18</v>
      </c>
      <c r="H98" s="8">
        <f t="shared" si="49"/>
        <v>16.3</v>
      </c>
      <c r="I98" s="8">
        <f t="shared" si="49"/>
        <v>75.3</v>
      </c>
      <c r="J98" s="15">
        <f t="shared" si="2"/>
        <v>5398</v>
      </c>
      <c r="K98" s="8">
        <f t="shared" ref="K98:P98" si="50">ROUND(K60,1)</f>
        <v>13.3</v>
      </c>
      <c r="L98" s="8">
        <f t="shared" si="50"/>
        <v>15.4</v>
      </c>
      <c r="M98" s="8">
        <f t="shared" si="50"/>
        <v>17.3</v>
      </c>
      <c r="N98" s="8">
        <f t="shared" si="50"/>
        <v>18.2</v>
      </c>
      <c r="O98" s="8">
        <f t="shared" si="50"/>
        <v>13.9</v>
      </c>
      <c r="P98" s="8">
        <f t="shared" si="50"/>
        <v>78.2</v>
      </c>
      <c r="Q98" s="15">
        <f t="shared" si="4"/>
        <v>7806</v>
      </c>
      <c r="R98" s="8">
        <f t="shared" ref="R98:W98" si="51">ROUND(R60,1)</f>
        <v>12.1</v>
      </c>
      <c r="S98" s="8">
        <f t="shared" si="51"/>
        <v>14.6</v>
      </c>
      <c r="T98" s="8">
        <f t="shared" si="51"/>
        <v>17.3</v>
      </c>
      <c r="U98" s="8">
        <f t="shared" si="51"/>
        <v>18.100000000000001</v>
      </c>
      <c r="V98" s="8">
        <f t="shared" si="51"/>
        <v>14.9</v>
      </c>
      <c r="W98" s="8">
        <f t="shared" si="51"/>
        <v>77</v>
      </c>
      <c r="X98" s="15">
        <f t="shared" si="6"/>
        <v>13204</v>
      </c>
    </row>
    <row r="99" spans="3:24" ht="14.25" customHeight="1" x14ac:dyDescent="0.2">
      <c r="C99" s="7" t="s">
        <v>17</v>
      </c>
      <c r="D99" s="8">
        <f t="shared" ref="D99:I99" si="52">ROUND(D61,1)</f>
        <v>7.1</v>
      </c>
      <c r="E99" s="8">
        <f t="shared" si="52"/>
        <v>11.6</v>
      </c>
      <c r="F99" s="8">
        <f t="shared" si="52"/>
        <v>18.2</v>
      </c>
      <c r="G99" s="8">
        <f t="shared" si="52"/>
        <v>20.100000000000001</v>
      </c>
      <c r="H99" s="8">
        <f t="shared" si="52"/>
        <v>18.899999999999999</v>
      </c>
      <c r="I99" s="8">
        <f t="shared" si="52"/>
        <v>76</v>
      </c>
      <c r="J99" s="15">
        <f t="shared" si="2"/>
        <v>12474</v>
      </c>
      <c r="K99" s="8">
        <f t="shared" ref="K99:P99" si="53">ROUND(K61,1)</f>
        <v>13.5</v>
      </c>
      <c r="L99" s="8">
        <f t="shared" si="53"/>
        <v>16.600000000000001</v>
      </c>
      <c r="M99" s="8">
        <f t="shared" si="53"/>
        <v>19.7</v>
      </c>
      <c r="N99" s="8">
        <f t="shared" si="53"/>
        <v>18.3</v>
      </c>
      <c r="O99" s="8">
        <f t="shared" si="53"/>
        <v>15.4</v>
      </c>
      <c r="P99" s="8">
        <f t="shared" si="53"/>
        <v>83.6</v>
      </c>
      <c r="Q99" s="15">
        <f t="shared" si="4"/>
        <v>34686</v>
      </c>
      <c r="R99" s="8">
        <f t="shared" ref="R99:W99" si="54">ROUND(R61,1)</f>
        <v>11.8</v>
      </c>
      <c r="S99" s="8">
        <f t="shared" si="54"/>
        <v>15.3</v>
      </c>
      <c r="T99" s="8">
        <f t="shared" si="54"/>
        <v>19.3</v>
      </c>
      <c r="U99" s="8">
        <f t="shared" si="54"/>
        <v>18.8</v>
      </c>
      <c r="V99" s="8">
        <f t="shared" si="54"/>
        <v>16.3</v>
      </c>
      <c r="W99" s="8">
        <f t="shared" si="54"/>
        <v>81.599999999999994</v>
      </c>
      <c r="X99" s="15">
        <f t="shared" si="6"/>
        <v>47160</v>
      </c>
    </row>
    <row r="100" spans="3:24" ht="14.25" customHeight="1" x14ac:dyDescent="0.2">
      <c r="C100" s="7" t="s">
        <v>18</v>
      </c>
      <c r="D100" s="8">
        <f t="shared" ref="D100:I100" si="55">ROUND(D62,1)</f>
        <v>10.6</v>
      </c>
      <c r="E100" s="8">
        <f t="shared" si="55"/>
        <v>14.3</v>
      </c>
      <c r="F100" s="8">
        <f t="shared" si="55"/>
        <v>19.899999999999999</v>
      </c>
      <c r="G100" s="8">
        <f t="shared" si="55"/>
        <v>19.3</v>
      </c>
      <c r="H100" s="8">
        <f t="shared" si="55"/>
        <v>16.600000000000001</v>
      </c>
      <c r="I100" s="8">
        <f t="shared" si="55"/>
        <v>80.7</v>
      </c>
      <c r="J100" s="15">
        <f t="shared" si="2"/>
        <v>6852</v>
      </c>
      <c r="K100" s="8">
        <f t="shared" ref="K100:P100" si="56">ROUND(K62,1)</f>
        <v>16.2</v>
      </c>
      <c r="L100" s="8">
        <f t="shared" si="56"/>
        <v>17.399999999999999</v>
      </c>
      <c r="M100" s="8">
        <f t="shared" si="56"/>
        <v>20</v>
      </c>
      <c r="N100" s="8">
        <f t="shared" si="56"/>
        <v>17.5</v>
      </c>
      <c r="O100" s="8">
        <f t="shared" si="56"/>
        <v>14</v>
      </c>
      <c r="P100" s="8">
        <f t="shared" si="56"/>
        <v>85.2</v>
      </c>
      <c r="Q100" s="15">
        <f t="shared" si="4"/>
        <v>20621</v>
      </c>
      <c r="R100" s="8">
        <f t="shared" ref="R100:W100" si="57">ROUND(R62,1)</f>
        <v>14.8</v>
      </c>
      <c r="S100" s="8">
        <f t="shared" si="57"/>
        <v>16.7</v>
      </c>
      <c r="T100" s="8">
        <f t="shared" si="57"/>
        <v>20</v>
      </c>
      <c r="U100" s="8">
        <f t="shared" si="57"/>
        <v>18</v>
      </c>
      <c r="V100" s="8">
        <f t="shared" si="57"/>
        <v>14.6</v>
      </c>
      <c r="W100" s="8">
        <f t="shared" si="57"/>
        <v>84.1</v>
      </c>
      <c r="X100" s="15">
        <f t="shared" si="6"/>
        <v>27473</v>
      </c>
    </row>
    <row r="101" spans="3:24" ht="14.25" customHeight="1" x14ac:dyDescent="0.2">
      <c r="C101" s="7" t="s">
        <v>19</v>
      </c>
      <c r="D101" s="8">
        <f t="shared" ref="D101:I101" si="58">ROUND(D63,1)</f>
        <v>11.9</v>
      </c>
      <c r="E101" s="8">
        <f t="shared" si="58"/>
        <v>13.1</v>
      </c>
      <c r="F101" s="8">
        <f t="shared" si="58"/>
        <v>18.8</v>
      </c>
      <c r="G101" s="8">
        <f t="shared" si="58"/>
        <v>19.100000000000001</v>
      </c>
      <c r="H101" s="8">
        <f t="shared" si="58"/>
        <v>12.6</v>
      </c>
      <c r="I101" s="8">
        <f t="shared" si="58"/>
        <v>75.5</v>
      </c>
      <c r="J101" s="15">
        <f t="shared" si="2"/>
        <v>1440</v>
      </c>
      <c r="K101" s="8">
        <f t="shared" ref="K101:P101" si="59">ROUND(K63,1)</f>
        <v>13.2</v>
      </c>
      <c r="L101" s="8">
        <f t="shared" si="59"/>
        <v>14.6</v>
      </c>
      <c r="M101" s="8">
        <f t="shared" si="59"/>
        <v>18</v>
      </c>
      <c r="N101" s="8">
        <f t="shared" si="59"/>
        <v>17.2</v>
      </c>
      <c r="O101" s="8">
        <f t="shared" si="59"/>
        <v>15.1</v>
      </c>
      <c r="P101" s="8">
        <f t="shared" si="59"/>
        <v>78.099999999999994</v>
      </c>
      <c r="Q101" s="15">
        <f t="shared" si="4"/>
        <v>1935</v>
      </c>
      <c r="R101" s="8">
        <f t="shared" ref="R101:W101" si="60">ROUND(R63,1)</f>
        <v>12.7</v>
      </c>
      <c r="S101" s="8">
        <f t="shared" si="60"/>
        <v>14</v>
      </c>
      <c r="T101" s="8">
        <f t="shared" si="60"/>
        <v>18.3</v>
      </c>
      <c r="U101" s="8">
        <f t="shared" si="60"/>
        <v>18</v>
      </c>
      <c r="V101" s="8">
        <f t="shared" si="60"/>
        <v>14.1</v>
      </c>
      <c r="W101" s="8">
        <f t="shared" si="60"/>
        <v>77</v>
      </c>
      <c r="X101" s="15">
        <f t="shared" si="6"/>
        <v>3375</v>
      </c>
    </row>
    <row r="102" spans="3:24" ht="14.25" customHeight="1" x14ac:dyDescent="0.2">
      <c r="C102" s="7" t="s">
        <v>20</v>
      </c>
      <c r="D102" s="8">
        <f t="shared" ref="D102:I102" si="61">ROUND(D64,1)</f>
        <v>16.3</v>
      </c>
      <c r="E102" s="8">
        <f t="shared" si="61"/>
        <v>15.2</v>
      </c>
      <c r="F102" s="8">
        <f t="shared" si="61"/>
        <v>18.100000000000001</v>
      </c>
      <c r="G102" s="8">
        <f t="shared" si="61"/>
        <v>16.8</v>
      </c>
      <c r="H102" s="8">
        <f t="shared" si="61"/>
        <v>11.9</v>
      </c>
      <c r="I102" s="8">
        <f t="shared" si="61"/>
        <v>78.400000000000006</v>
      </c>
      <c r="J102" s="15">
        <f t="shared" si="2"/>
        <v>14686</v>
      </c>
      <c r="K102" s="8">
        <f t="shared" ref="K102:P102" si="62">ROUND(K64,1)</f>
        <v>26.2</v>
      </c>
      <c r="L102" s="8">
        <f t="shared" si="62"/>
        <v>19.5</v>
      </c>
      <c r="M102" s="8">
        <f t="shared" si="62"/>
        <v>19.100000000000001</v>
      </c>
      <c r="N102" s="8">
        <f t="shared" si="62"/>
        <v>14</v>
      </c>
      <c r="O102" s="8">
        <f t="shared" si="62"/>
        <v>8.5</v>
      </c>
      <c r="P102" s="8">
        <f t="shared" si="62"/>
        <v>87.3</v>
      </c>
      <c r="Q102" s="15">
        <f t="shared" si="4"/>
        <v>27609</v>
      </c>
      <c r="R102" s="8">
        <f t="shared" ref="R102:W102" si="63">ROUND(R64,1)</f>
        <v>22.7</v>
      </c>
      <c r="S102" s="8">
        <f t="shared" si="63"/>
        <v>18</v>
      </c>
      <c r="T102" s="8">
        <f t="shared" si="63"/>
        <v>18.8</v>
      </c>
      <c r="U102" s="8">
        <f t="shared" si="63"/>
        <v>15</v>
      </c>
      <c r="V102" s="8">
        <f t="shared" si="63"/>
        <v>9.6999999999999993</v>
      </c>
      <c r="W102" s="8">
        <f t="shared" si="63"/>
        <v>84.2</v>
      </c>
      <c r="X102" s="15">
        <f t="shared" si="6"/>
        <v>42295</v>
      </c>
    </row>
    <row r="103" spans="3:24" ht="14.25" customHeight="1" x14ac:dyDescent="0.2">
      <c r="C103" s="7" t="s">
        <v>21</v>
      </c>
      <c r="D103" s="8">
        <f t="shared" ref="D103:I103" si="64">ROUND(D65,1)</f>
        <v>11.1</v>
      </c>
      <c r="E103" s="8">
        <f t="shared" si="64"/>
        <v>20.7</v>
      </c>
      <c r="F103" s="8">
        <f t="shared" si="64"/>
        <v>25.7</v>
      </c>
      <c r="G103" s="8">
        <f t="shared" si="64"/>
        <v>21.8</v>
      </c>
      <c r="H103" s="8">
        <f t="shared" si="64"/>
        <v>11.2</v>
      </c>
      <c r="I103" s="8">
        <f t="shared" si="64"/>
        <v>90.6</v>
      </c>
      <c r="J103" s="15">
        <f t="shared" si="2"/>
        <v>4161</v>
      </c>
      <c r="K103" s="8">
        <f t="shared" ref="K103:P103" si="65">ROUND(K65,1)</f>
        <v>16.7</v>
      </c>
      <c r="L103" s="8">
        <f t="shared" si="65"/>
        <v>24.6</v>
      </c>
      <c r="M103" s="8">
        <f t="shared" si="65"/>
        <v>26.7</v>
      </c>
      <c r="N103" s="8">
        <f t="shared" si="65"/>
        <v>18.100000000000001</v>
      </c>
      <c r="O103" s="8">
        <f t="shared" si="65"/>
        <v>8.5</v>
      </c>
      <c r="P103" s="8">
        <f t="shared" si="65"/>
        <v>94.6</v>
      </c>
      <c r="Q103" s="15">
        <f t="shared" si="4"/>
        <v>10218</v>
      </c>
      <c r="R103" s="8">
        <f t="shared" ref="R103:W103" si="66">ROUND(R65,1)</f>
        <v>15.1</v>
      </c>
      <c r="S103" s="8">
        <f t="shared" si="66"/>
        <v>23.5</v>
      </c>
      <c r="T103" s="8">
        <f t="shared" si="66"/>
        <v>26.4</v>
      </c>
      <c r="U103" s="8">
        <f t="shared" si="66"/>
        <v>19.100000000000001</v>
      </c>
      <c r="V103" s="8">
        <f t="shared" si="66"/>
        <v>9.3000000000000007</v>
      </c>
      <c r="W103" s="8">
        <f t="shared" si="66"/>
        <v>93.5</v>
      </c>
      <c r="X103" s="15">
        <f t="shared" si="6"/>
        <v>14379</v>
      </c>
    </row>
    <row r="104" spans="3:24" ht="14.25" customHeight="1" x14ac:dyDescent="0.2">
      <c r="C104" s="7" t="s">
        <v>22</v>
      </c>
      <c r="D104" s="8">
        <f t="shared" ref="D104:I104" si="67">ROUND(D66,1)</f>
        <v>14.8</v>
      </c>
      <c r="E104" s="8">
        <f t="shared" si="67"/>
        <v>18.899999999999999</v>
      </c>
      <c r="F104" s="8">
        <f t="shared" si="67"/>
        <v>24.2</v>
      </c>
      <c r="G104" s="8">
        <f t="shared" si="67"/>
        <v>21.4</v>
      </c>
      <c r="H104" s="8">
        <f t="shared" si="67"/>
        <v>12.2</v>
      </c>
      <c r="I104" s="8">
        <f t="shared" si="67"/>
        <v>91.6</v>
      </c>
      <c r="J104" s="15">
        <f t="shared" si="2"/>
        <v>23998</v>
      </c>
      <c r="K104" s="8">
        <f t="shared" ref="K104:P104" si="68">ROUND(K66,1)</f>
        <v>15.9</v>
      </c>
      <c r="L104" s="8">
        <f t="shared" si="68"/>
        <v>20.399999999999999</v>
      </c>
      <c r="M104" s="8">
        <f t="shared" si="68"/>
        <v>25.4</v>
      </c>
      <c r="N104" s="8">
        <f t="shared" si="68"/>
        <v>21.2</v>
      </c>
      <c r="O104" s="8">
        <f t="shared" si="68"/>
        <v>11.1</v>
      </c>
      <c r="P104" s="8">
        <f t="shared" si="68"/>
        <v>94</v>
      </c>
      <c r="Q104" s="15">
        <f t="shared" si="4"/>
        <v>54035</v>
      </c>
      <c r="R104" s="8">
        <f t="shared" ref="R104:W104" si="69">ROUND(R66,1)</f>
        <v>15.6</v>
      </c>
      <c r="S104" s="8">
        <f t="shared" si="69"/>
        <v>20</v>
      </c>
      <c r="T104" s="8">
        <f t="shared" si="69"/>
        <v>25</v>
      </c>
      <c r="U104" s="8">
        <f t="shared" si="69"/>
        <v>21.2</v>
      </c>
      <c r="V104" s="8">
        <f t="shared" si="69"/>
        <v>11.5</v>
      </c>
      <c r="W104" s="8">
        <f t="shared" si="69"/>
        <v>93.3</v>
      </c>
      <c r="X104" s="15">
        <f t="shared" si="6"/>
        <v>78033</v>
      </c>
    </row>
    <row r="105" spans="3:24" ht="14.25" customHeight="1" x14ac:dyDescent="0.2">
      <c r="C105" s="7" t="s">
        <v>51</v>
      </c>
      <c r="D105" s="8">
        <f t="shared" ref="D105:I105" si="70">ROUND(D67,1)</f>
        <v>10</v>
      </c>
      <c r="E105" s="8">
        <f t="shared" si="70"/>
        <v>21.7</v>
      </c>
      <c r="F105" s="8">
        <f t="shared" si="70"/>
        <v>27.2</v>
      </c>
      <c r="G105" s="8">
        <f t="shared" si="70"/>
        <v>20.399999999999999</v>
      </c>
      <c r="H105" s="8">
        <f t="shared" si="70"/>
        <v>11.3</v>
      </c>
      <c r="I105" s="8">
        <f t="shared" si="70"/>
        <v>90.7</v>
      </c>
      <c r="J105" s="15">
        <f t="shared" si="2"/>
        <v>9445</v>
      </c>
      <c r="K105" s="8">
        <f t="shared" ref="K105:P105" si="71">ROUND(K67,1)</f>
        <v>13.7</v>
      </c>
      <c r="L105" s="8">
        <f t="shared" si="71"/>
        <v>25.8</v>
      </c>
      <c r="M105" s="8">
        <f t="shared" si="71"/>
        <v>28.5</v>
      </c>
      <c r="N105" s="8">
        <f t="shared" si="71"/>
        <v>17.8</v>
      </c>
      <c r="O105" s="8">
        <f t="shared" si="71"/>
        <v>7.7</v>
      </c>
      <c r="P105" s="8">
        <f t="shared" si="71"/>
        <v>93.5</v>
      </c>
      <c r="Q105" s="15">
        <f t="shared" si="4"/>
        <v>12747</v>
      </c>
      <c r="R105" s="8">
        <f t="shared" ref="R105:W105" si="72">ROUND(R67,1)</f>
        <v>12.1</v>
      </c>
      <c r="S105" s="8">
        <f t="shared" si="72"/>
        <v>24.1</v>
      </c>
      <c r="T105" s="8">
        <f t="shared" si="72"/>
        <v>28</v>
      </c>
      <c r="U105" s="8">
        <f t="shared" si="72"/>
        <v>18.899999999999999</v>
      </c>
      <c r="V105" s="8">
        <f t="shared" si="72"/>
        <v>9.1999999999999993</v>
      </c>
      <c r="W105" s="8">
        <f t="shared" si="72"/>
        <v>92.3</v>
      </c>
      <c r="X105" s="15">
        <f t="shared" si="6"/>
        <v>22192</v>
      </c>
    </row>
    <row r="106" spans="3:24" ht="14.25" customHeight="1" x14ac:dyDescent="0.2">
      <c r="C106" s="7" t="s">
        <v>23</v>
      </c>
      <c r="D106" s="8">
        <f t="shared" ref="D106:I106" si="73">ROUND(D68,1)</f>
        <v>8.1</v>
      </c>
      <c r="E106" s="8">
        <f t="shared" si="73"/>
        <v>17.399999999999999</v>
      </c>
      <c r="F106" s="8">
        <f t="shared" si="73"/>
        <v>26.8</v>
      </c>
      <c r="G106" s="8">
        <f t="shared" si="73"/>
        <v>20.9</v>
      </c>
      <c r="H106" s="8">
        <f t="shared" si="73"/>
        <v>12.6</v>
      </c>
      <c r="I106" s="8">
        <f t="shared" si="73"/>
        <v>85.7</v>
      </c>
      <c r="J106" s="15">
        <f t="shared" si="2"/>
        <v>3177</v>
      </c>
      <c r="K106" s="8">
        <f t="shared" ref="K106:P106" si="74">ROUND(K68,1)</f>
        <v>11.4</v>
      </c>
      <c r="L106" s="8">
        <f t="shared" si="74"/>
        <v>24.6</v>
      </c>
      <c r="M106" s="8">
        <f t="shared" si="74"/>
        <v>28.9</v>
      </c>
      <c r="N106" s="8">
        <f t="shared" si="74"/>
        <v>18.399999999999999</v>
      </c>
      <c r="O106" s="8">
        <f t="shared" si="74"/>
        <v>8.1999999999999993</v>
      </c>
      <c r="P106" s="8">
        <f t="shared" si="74"/>
        <v>91.5</v>
      </c>
      <c r="Q106" s="15">
        <f t="shared" si="4"/>
        <v>6336</v>
      </c>
      <c r="R106" s="8">
        <f t="shared" ref="R106:W106" si="75">ROUND(R68,1)</f>
        <v>10.3</v>
      </c>
      <c r="S106" s="8">
        <f t="shared" si="75"/>
        <v>22.2</v>
      </c>
      <c r="T106" s="8">
        <f t="shared" si="75"/>
        <v>28.2</v>
      </c>
      <c r="U106" s="8">
        <f t="shared" si="75"/>
        <v>19.2</v>
      </c>
      <c r="V106" s="8">
        <f t="shared" si="75"/>
        <v>9.6</v>
      </c>
      <c r="W106" s="8">
        <f t="shared" si="75"/>
        <v>89.6</v>
      </c>
      <c r="X106" s="15">
        <f t="shared" si="6"/>
        <v>9513</v>
      </c>
    </row>
    <row r="107" spans="3:24" ht="14.25" customHeight="1" x14ac:dyDescent="0.2">
      <c r="C107" s="7" t="s">
        <v>24</v>
      </c>
      <c r="D107" s="8">
        <f t="shared" ref="D107:I107" si="76">ROUND(D69,1)</f>
        <v>26.7</v>
      </c>
      <c r="E107" s="8">
        <f t="shared" si="76"/>
        <v>19.3</v>
      </c>
      <c r="F107" s="8">
        <f t="shared" si="76"/>
        <v>17.600000000000001</v>
      </c>
      <c r="G107" s="8">
        <f t="shared" si="76"/>
        <v>15.9</v>
      </c>
      <c r="H107" s="8">
        <f t="shared" si="76"/>
        <v>10.6</v>
      </c>
      <c r="I107" s="8">
        <f t="shared" si="76"/>
        <v>90</v>
      </c>
      <c r="J107" s="15">
        <f t="shared" si="2"/>
        <v>5282</v>
      </c>
      <c r="K107" s="8">
        <f t="shared" ref="K107:P107" si="77">ROUND(K69,1)</f>
        <v>23.2</v>
      </c>
      <c r="L107" s="8">
        <f t="shared" si="77"/>
        <v>19.3</v>
      </c>
      <c r="M107" s="8">
        <f t="shared" si="77"/>
        <v>19.399999999999999</v>
      </c>
      <c r="N107" s="8">
        <f t="shared" si="77"/>
        <v>15.5</v>
      </c>
      <c r="O107" s="8">
        <f t="shared" si="77"/>
        <v>11.6</v>
      </c>
      <c r="P107" s="8">
        <f t="shared" si="77"/>
        <v>88.9</v>
      </c>
      <c r="Q107" s="15">
        <f t="shared" si="4"/>
        <v>12589</v>
      </c>
      <c r="R107" s="8">
        <f t="shared" ref="R107:W107" si="78">ROUND(R69,1)</f>
        <v>24.2</v>
      </c>
      <c r="S107" s="8">
        <f t="shared" si="78"/>
        <v>19.3</v>
      </c>
      <c r="T107" s="8">
        <f t="shared" si="78"/>
        <v>18.8</v>
      </c>
      <c r="U107" s="8">
        <f t="shared" si="78"/>
        <v>15.6</v>
      </c>
      <c r="V107" s="8">
        <f t="shared" si="78"/>
        <v>11.3</v>
      </c>
      <c r="W107" s="8">
        <f t="shared" si="78"/>
        <v>89.2</v>
      </c>
      <c r="X107" s="15">
        <f t="shared" si="6"/>
        <v>17871</v>
      </c>
    </row>
    <row r="108" spans="3:24" ht="14.25" customHeight="1" x14ac:dyDescent="0.2">
      <c r="C108" s="7" t="s">
        <v>25</v>
      </c>
      <c r="D108" s="8">
        <f t="shared" ref="D108:I108" si="79">ROUND(D70,1)</f>
        <v>23.6</v>
      </c>
      <c r="E108" s="8">
        <f t="shared" si="79"/>
        <v>17.5</v>
      </c>
      <c r="F108" s="8">
        <f t="shared" si="79"/>
        <v>18</v>
      </c>
      <c r="G108" s="8">
        <f t="shared" si="79"/>
        <v>17.399999999999999</v>
      </c>
      <c r="H108" s="8">
        <f t="shared" si="79"/>
        <v>12.3</v>
      </c>
      <c r="I108" s="8">
        <f t="shared" si="79"/>
        <v>88.8</v>
      </c>
      <c r="J108" s="15">
        <f t="shared" si="2"/>
        <v>2688</v>
      </c>
      <c r="K108" s="8">
        <f t="shared" ref="K108:P108" si="80">ROUND(K70,1)</f>
        <v>22.9</v>
      </c>
      <c r="L108" s="8">
        <f t="shared" si="80"/>
        <v>18.2</v>
      </c>
      <c r="M108" s="8">
        <f t="shared" si="80"/>
        <v>20.2</v>
      </c>
      <c r="N108" s="8">
        <f t="shared" si="80"/>
        <v>17.2</v>
      </c>
      <c r="O108" s="8">
        <f t="shared" si="80"/>
        <v>12.2</v>
      </c>
      <c r="P108" s="8">
        <f t="shared" si="80"/>
        <v>90.7</v>
      </c>
      <c r="Q108" s="15">
        <f t="shared" si="4"/>
        <v>5448</v>
      </c>
      <c r="R108" s="8">
        <f t="shared" ref="R108:W108" si="81">ROUND(R70,1)</f>
        <v>23.1</v>
      </c>
      <c r="S108" s="8">
        <f t="shared" si="81"/>
        <v>18</v>
      </c>
      <c r="T108" s="8">
        <f t="shared" si="81"/>
        <v>19.5</v>
      </c>
      <c r="U108" s="8">
        <f t="shared" si="81"/>
        <v>17.2</v>
      </c>
      <c r="V108" s="8">
        <f t="shared" si="81"/>
        <v>12.3</v>
      </c>
      <c r="W108" s="8">
        <f t="shared" si="81"/>
        <v>90.1</v>
      </c>
      <c r="X108" s="15">
        <f t="shared" si="6"/>
        <v>8136</v>
      </c>
    </row>
    <row r="109" spans="3:24" ht="14.25" customHeight="1" x14ac:dyDescent="0.2">
      <c r="C109" s="7" t="s">
        <v>26</v>
      </c>
      <c r="D109" s="8">
        <f t="shared" ref="D109:I109" si="82">ROUND(D71,1)</f>
        <v>26.6</v>
      </c>
      <c r="E109" s="8">
        <f t="shared" si="82"/>
        <v>23.9</v>
      </c>
      <c r="F109" s="8">
        <f t="shared" si="82"/>
        <v>18.399999999999999</v>
      </c>
      <c r="G109" s="8">
        <f t="shared" si="82"/>
        <v>13.2</v>
      </c>
      <c r="H109" s="8">
        <f t="shared" si="82"/>
        <v>9.4</v>
      </c>
      <c r="I109" s="8">
        <f t="shared" si="82"/>
        <v>91.4</v>
      </c>
      <c r="J109" s="15">
        <f t="shared" si="2"/>
        <v>1367</v>
      </c>
      <c r="K109" s="8">
        <f t="shared" ref="K109:P109" si="83">ROUND(K71,1)</f>
        <v>23.5</v>
      </c>
      <c r="L109" s="8">
        <f t="shared" si="83"/>
        <v>20.399999999999999</v>
      </c>
      <c r="M109" s="8">
        <f t="shared" si="83"/>
        <v>19</v>
      </c>
      <c r="N109" s="8">
        <f t="shared" si="83"/>
        <v>15.1</v>
      </c>
      <c r="O109" s="8">
        <f t="shared" si="83"/>
        <v>10.9</v>
      </c>
      <c r="P109" s="8">
        <f t="shared" si="83"/>
        <v>88.9</v>
      </c>
      <c r="Q109" s="15">
        <f t="shared" si="4"/>
        <v>3425</v>
      </c>
      <c r="R109" s="8">
        <f t="shared" ref="R109:W109" si="84">ROUND(R71,1)</f>
        <v>24.4</v>
      </c>
      <c r="S109" s="8">
        <f t="shared" si="84"/>
        <v>21.4</v>
      </c>
      <c r="T109" s="8">
        <f t="shared" si="84"/>
        <v>18.8</v>
      </c>
      <c r="U109" s="8">
        <f t="shared" si="84"/>
        <v>14.5</v>
      </c>
      <c r="V109" s="8">
        <f t="shared" si="84"/>
        <v>10.5</v>
      </c>
      <c r="W109" s="8">
        <f t="shared" si="84"/>
        <v>89.6</v>
      </c>
      <c r="X109" s="15">
        <f t="shared" si="6"/>
        <v>4792</v>
      </c>
    </row>
    <row r="110" spans="3:24" ht="14.25" customHeight="1" x14ac:dyDescent="0.2">
      <c r="C110" s="7" t="s">
        <v>27</v>
      </c>
      <c r="D110" s="8">
        <f t="shared" ref="D110:I110" si="85">ROUND(D72,1)</f>
        <v>40.1</v>
      </c>
      <c r="E110" s="8">
        <f t="shared" si="85"/>
        <v>22</v>
      </c>
      <c r="F110" s="8">
        <f t="shared" si="85"/>
        <v>12.6</v>
      </c>
      <c r="G110" s="8">
        <f t="shared" si="85"/>
        <v>9.3000000000000007</v>
      </c>
      <c r="H110" s="8">
        <f t="shared" si="85"/>
        <v>6.7</v>
      </c>
      <c r="I110" s="8">
        <f t="shared" si="85"/>
        <v>90.6</v>
      </c>
      <c r="J110" s="15">
        <f t="shared" si="2"/>
        <v>886</v>
      </c>
      <c r="K110" s="8">
        <f t="shared" ref="K110:P110" si="86">ROUND(K72,1)</f>
        <v>37.5</v>
      </c>
      <c r="L110" s="8">
        <f t="shared" si="86"/>
        <v>22.4</v>
      </c>
      <c r="M110" s="8">
        <f t="shared" si="86"/>
        <v>15.3</v>
      </c>
      <c r="N110" s="8">
        <f t="shared" si="86"/>
        <v>10.5</v>
      </c>
      <c r="O110" s="8">
        <f t="shared" si="86"/>
        <v>7</v>
      </c>
      <c r="P110" s="8">
        <f t="shared" si="86"/>
        <v>92.8</v>
      </c>
      <c r="Q110" s="15">
        <f t="shared" si="4"/>
        <v>1186</v>
      </c>
      <c r="R110" s="8">
        <f t="shared" ref="R110:W110" si="87">ROUND(R72,1)</f>
        <v>38.6</v>
      </c>
      <c r="S110" s="8">
        <f t="shared" si="87"/>
        <v>22.2</v>
      </c>
      <c r="T110" s="8">
        <f t="shared" si="87"/>
        <v>14.2</v>
      </c>
      <c r="U110" s="8">
        <f t="shared" si="87"/>
        <v>10</v>
      </c>
      <c r="V110" s="8">
        <f t="shared" si="87"/>
        <v>6.9</v>
      </c>
      <c r="W110" s="8">
        <f t="shared" si="87"/>
        <v>91.9</v>
      </c>
      <c r="X110" s="15">
        <f t="shared" si="6"/>
        <v>2072</v>
      </c>
    </row>
    <row r="111" spans="3:24" ht="14.25" customHeight="1" x14ac:dyDescent="0.2">
      <c r="C111" s="7" t="s">
        <v>28</v>
      </c>
      <c r="D111" s="8">
        <f t="shared" ref="D111:I111" si="88">ROUND(D73,1)</f>
        <v>30.4</v>
      </c>
      <c r="E111" s="8">
        <f t="shared" si="88"/>
        <v>19.8</v>
      </c>
      <c r="F111" s="8">
        <f t="shared" si="88"/>
        <v>19.600000000000001</v>
      </c>
      <c r="G111" s="8">
        <f t="shared" si="88"/>
        <v>15.1</v>
      </c>
      <c r="H111" s="8">
        <f t="shared" si="88"/>
        <v>9.3000000000000007</v>
      </c>
      <c r="I111" s="8">
        <f t="shared" si="88"/>
        <v>94.1</v>
      </c>
      <c r="J111" s="15">
        <f t="shared" si="2"/>
        <v>2024</v>
      </c>
      <c r="K111" s="8">
        <f t="shared" ref="K111:P111" si="89">ROUND(K73,1)</f>
        <v>33</v>
      </c>
      <c r="L111" s="8">
        <f t="shared" si="89"/>
        <v>23.8</v>
      </c>
      <c r="M111" s="8">
        <f t="shared" si="89"/>
        <v>19.899999999999999</v>
      </c>
      <c r="N111" s="8">
        <f t="shared" si="89"/>
        <v>12.4</v>
      </c>
      <c r="O111" s="8">
        <f t="shared" si="89"/>
        <v>6.6</v>
      </c>
      <c r="P111" s="8">
        <f t="shared" si="89"/>
        <v>95.7</v>
      </c>
      <c r="Q111" s="15">
        <f t="shared" si="4"/>
        <v>2808</v>
      </c>
      <c r="R111" s="8">
        <f t="shared" ref="R111:W111" si="90">ROUND(R73,1)</f>
        <v>31.9</v>
      </c>
      <c r="S111" s="8">
        <f t="shared" si="90"/>
        <v>22.1</v>
      </c>
      <c r="T111" s="8">
        <f t="shared" si="90"/>
        <v>19.8</v>
      </c>
      <c r="U111" s="8">
        <f t="shared" si="90"/>
        <v>13.5</v>
      </c>
      <c r="V111" s="8">
        <f t="shared" si="90"/>
        <v>7.7</v>
      </c>
      <c r="W111" s="8">
        <f t="shared" si="90"/>
        <v>95.1</v>
      </c>
      <c r="X111" s="15">
        <f t="shared" si="6"/>
        <v>4832</v>
      </c>
    </row>
    <row r="112" spans="3:24" ht="14.25" customHeight="1" x14ac:dyDescent="0.2">
      <c r="C112" s="7" t="s">
        <v>29</v>
      </c>
      <c r="D112" s="8">
        <f t="shared" ref="D112:I112" si="91">ROUND(D74,1)</f>
        <v>16</v>
      </c>
      <c r="E112" s="8">
        <f t="shared" si="91"/>
        <v>22.3</v>
      </c>
      <c r="F112" s="8">
        <f t="shared" si="91"/>
        <v>21.4</v>
      </c>
      <c r="G112" s="8">
        <f t="shared" si="91"/>
        <v>17</v>
      </c>
      <c r="H112" s="8">
        <f t="shared" si="91"/>
        <v>11.5</v>
      </c>
      <c r="I112" s="8">
        <f t="shared" si="91"/>
        <v>88.2</v>
      </c>
      <c r="J112" s="15">
        <f t="shared" si="2"/>
        <v>3007</v>
      </c>
      <c r="K112" s="8">
        <f t="shared" ref="K112:P112" si="92">ROUND(K74,1)</f>
        <v>16.7</v>
      </c>
      <c r="L112" s="8">
        <f t="shared" si="92"/>
        <v>22.5</v>
      </c>
      <c r="M112" s="8">
        <f t="shared" si="92"/>
        <v>23.5</v>
      </c>
      <c r="N112" s="8">
        <f t="shared" si="92"/>
        <v>17.3</v>
      </c>
      <c r="O112" s="8">
        <f t="shared" si="92"/>
        <v>10.6</v>
      </c>
      <c r="P112" s="8">
        <f t="shared" si="92"/>
        <v>90.7</v>
      </c>
      <c r="Q112" s="15">
        <f t="shared" si="4"/>
        <v>7612</v>
      </c>
      <c r="R112" s="8">
        <f t="shared" ref="R112:W112" si="93">ROUND(R74,1)</f>
        <v>16.5</v>
      </c>
      <c r="S112" s="8">
        <f t="shared" si="93"/>
        <v>22.4</v>
      </c>
      <c r="T112" s="8">
        <f t="shared" si="93"/>
        <v>22.9</v>
      </c>
      <c r="U112" s="8">
        <f t="shared" si="93"/>
        <v>17.2</v>
      </c>
      <c r="V112" s="8">
        <f t="shared" si="93"/>
        <v>10.9</v>
      </c>
      <c r="W112" s="8">
        <f t="shared" si="93"/>
        <v>90</v>
      </c>
      <c r="X112" s="15">
        <f t="shared" si="6"/>
        <v>10619</v>
      </c>
    </row>
    <row r="113" spans="3:24" ht="14.25" customHeight="1" x14ac:dyDescent="0.2">
      <c r="C113" s="7" t="s">
        <v>30</v>
      </c>
      <c r="D113" s="8">
        <f t="shared" ref="D113:I113" si="94">ROUND(D75,1)</f>
        <v>17.399999999999999</v>
      </c>
      <c r="E113" s="8">
        <f t="shared" si="94"/>
        <v>19.899999999999999</v>
      </c>
      <c r="F113" s="8">
        <f t="shared" si="94"/>
        <v>24.7</v>
      </c>
      <c r="G113" s="8">
        <f t="shared" si="94"/>
        <v>18.7</v>
      </c>
      <c r="H113" s="8">
        <f t="shared" si="94"/>
        <v>10.3</v>
      </c>
      <c r="I113" s="8">
        <f t="shared" si="94"/>
        <v>90.9</v>
      </c>
      <c r="J113" s="15">
        <f t="shared" si="2"/>
        <v>4008</v>
      </c>
      <c r="K113" s="8">
        <f t="shared" ref="K113:P113" si="95">ROUND(K75,1)</f>
        <v>21</v>
      </c>
      <c r="L113" s="8">
        <f t="shared" si="95"/>
        <v>24.8</v>
      </c>
      <c r="M113" s="8">
        <f t="shared" si="95"/>
        <v>24.3</v>
      </c>
      <c r="N113" s="8">
        <f t="shared" si="95"/>
        <v>16.8</v>
      </c>
      <c r="O113" s="8">
        <f t="shared" si="95"/>
        <v>7.9</v>
      </c>
      <c r="P113" s="8">
        <f t="shared" si="95"/>
        <v>94.9</v>
      </c>
      <c r="Q113" s="15">
        <f t="shared" si="4"/>
        <v>4268</v>
      </c>
      <c r="R113" s="8">
        <f t="shared" ref="R113:W113" si="96">ROUND(R75,1)</f>
        <v>19.2</v>
      </c>
      <c r="S113" s="8">
        <f t="shared" si="96"/>
        <v>22.4</v>
      </c>
      <c r="T113" s="8">
        <f t="shared" si="96"/>
        <v>24.5</v>
      </c>
      <c r="U113" s="8">
        <f t="shared" si="96"/>
        <v>17.7</v>
      </c>
      <c r="V113" s="8">
        <f t="shared" si="96"/>
        <v>9.1</v>
      </c>
      <c r="W113" s="8">
        <f t="shared" si="96"/>
        <v>93</v>
      </c>
      <c r="X113" s="15">
        <f t="shared" si="6"/>
        <v>8276</v>
      </c>
    </row>
    <row r="114" spans="3:24" ht="14.25" customHeight="1" x14ac:dyDescent="0.2">
      <c r="C114" s="7" t="s">
        <v>31</v>
      </c>
      <c r="D114" s="8">
        <f t="shared" ref="D114:I114" si="97">ROUND(D76,1)</f>
        <v>6.5</v>
      </c>
      <c r="E114" s="8">
        <f t="shared" si="97"/>
        <v>11.7</v>
      </c>
      <c r="F114" s="8">
        <f t="shared" si="97"/>
        <v>20.9</v>
      </c>
      <c r="G114" s="8">
        <f t="shared" si="97"/>
        <v>25.5</v>
      </c>
      <c r="H114" s="8">
        <f t="shared" si="97"/>
        <v>19.600000000000001</v>
      </c>
      <c r="I114" s="8">
        <f t="shared" si="97"/>
        <v>84.2</v>
      </c>
      <c r="J114" s="15">
        <f t="shared" si="2"/>
        <v>12738</v>
      </c>
      <c r="K114" s="8">
        <f t="shared" ref="K114:P114" si="98">ROUND(K76,1)</f>
        <v>16</v>
      </c>
      <c r="L114" s="8">
        <f t="shared" si="98"/>
        <v>17.600000000000001</v>
      </c>
      <c r="M114" s="8">
        <f t="shared" si="98"/>
        <v>21.5</v>
      </c>
      <c r="N114" s="8">
        <f t="shared" si="98"/>
        <v>20.3</v>
      </c>
      <c r="O114" s="8">
        <f t="shared" si="98"/>
        <v>13.4</v>
      </c>
      <c r="P114" s="8">
        <f t="shared" si="98"/>
        <v>88.8</v>
      </c>
      <c r="Q114" s="15">
        <f t="shared" si="4"/>
        <v>8540</v>
      </c>
      <c r="R114" s="8">
        <f t="shared" ref="R114:W114" si="99">ROUND(R76,1)</f>
        <v>10.3</v>
      </c>
      <c r="S114" s="8">
        <f t="shared" si="99"/>
        <v>14.1</v>
      </c>
      <c r="T114" s="8">
        <f t="shared" si="99"/>
        <v>21.1</v>
      </c>
      <c r="U114" s="8">
        <f t="shared" si="99"/>
        <v>23.4</v>
      </c>
      <c r="V114" s="8">
        <f t="shared" si="99"/>
        <v>17.2</v>
      </c>
      <c r="W114" s="8">
        <f t="shared" si="99"/>
        <v>86.1</v>
      </c>
      <c r="X114" s="15">
        <f t="shared" si="6"/>
        <v>21278</v>
      </c>
    </row>
    <row r="115" spans="3:24" ht="14.25" customHeight="1" x14ac:dyDescent="0.2">
      <c r="C115" s="7" t="s">
        <v>32</v>
      </c>
      <c r="D115" s="8">
        <f t="shared" ref="D115:I115" si="100">ROUND(D77,1)</f>
        <v>10.9</v>
      </c>
      <c r="E115" s="8">
        <f t="shared" si="100"/>
        <v>13.8</v>
      </c>
      <c r="F115" s="8">
        <f t="shared" si="100"/>
        <v>18.100000000000001</v>
      </c>
      <c r="G115" s="8">
        <f t="shared" si="100"/>
        <v>18.7</v>
      </c>
      <c r="H115" s="8">
        <f t="shared" si="100"/>
        <v>17.3</v>
      </c>
      <c r="I115" s="8">
        <f t="shared" si="100"/>
        <v>78.7</v>
      </c>
      <c r="J115" s="15">
        <f t="shared" si="2"/>
        <v>27703</v>
      </c>
      <c r="K115" s="8">
        <f t="shared" ref="K115:P115" si="101">ROUND(K77,1)</f>
        <v>11.4</v>
      </c>
      <c r="L115" s="8">
        <f t="shared" si="101"/>
        <v>14.4</v>
      </c>
      <c r="M115" s="8">
        <f t="shared" si="101"/>
        <v>19.399999999999999</v>
      </c>
      <c r="N115" s="8">
        <f t="shared" si="101"/>
        <v>19.8</v>
      </c>
      <c r="O115" s="8">
        <f t="shared" si="101"/>
        <v>16.8</v>
      </c>
      <c r="P115" s="8">
        <f t="shared" si="101"/>
        <v>81.8</v>
      </c>
      <c r="Q115" s="15">
        <f t="shared" si="4"/>
        <v>30044</v>
      </c>
      <c r="R115" s="8">
        <f t="shared" ref="R115:W115" si="102">ROUND(R77,1)</f>
        <v>11.1</v>
      </c>
      <c r="S115" s="8">
        <f t="shared" si="102"/>
        <v>14.1</v>
      </c>
      <c r="T115" s="8">
        <f t="shared" si="102"/>
        <v>18.8</v>
      </c>
      <c r="U115" s="8">
        <f t="shared" si="102"/>
        <v>19.3</v>
      </c>
      <c r="V115" s="8">
        <f t="shared" si="102"/>
        <v>17.100000000000001</v>
      </c>
      <c r="W115" s="8">
        <f t="shared" si="102"/>
        <v>80.3</v>
      </c>
      <c r="X115" s="15">
        <f t="shared" si="6"/>
        <v>57747</v>
      </c>
    </row>
    <row r="116" spans="3:24" ht="14.25" customHeight="1" x14ac:dyDescent="0.2">
      <c r="C116" s="7" t="s">
        <v>46</v>
      </c>
      <c r="D116" s="8">
        <f t="shared" ref="D116:I116" si="103">ROUND(D78,1)</f>
        <v>14.3</v>
      </c>
      <c r="E116" s="8">
        <f t="shared" si="103"/>
        <v>15.9</v>
      </c>
      <c r="F116" s="8">
        <f t="shared" si="103"/>
        <v>19.3</v>
      </c>
      <c r="G116" s="8">
        <f t="shared" si="103"/>
        <v>18.399999999999999</v>
      </c>
      <c r="H116" s="8">
        <f t="shared" si="103"/>
        <v>14.3</v>
      </c>
      <c r="I116" s="8">
        <f t="shared" si="103"/>
        <v>82.2</v>
      </c>
      <c r="J116" s="15">
        <f t="shared" si="2"/>
        <v>357486</v>
      </c>
      <c r="K116" s="8">
        <f t="shared" ref="K116:P116" si="104">ROUND(K78,1)</f>
        <v>17.3</v>
      </c>
      <c r="L116" s="8">
        <f t="shared" si="104"/>
        <v>18.600000000000001</v>
      </c>
      <c r="M116" s="8">
        <f t="shared" si="104"/>
        <v>20.8</v>
      </c>
      <c r="N116" s="8">
        <f t="shared" si="104"/>
        <v>17.600000000000001</v>
      </c>
      <c r="O116" s="8">
        <f t="shared" si="104"/>
        <v>12.4</v>
      </c>
      <c r="P116" s="8">
        <f t="shared" si="104"/>
        <v>86.8</v>
      </c>
      <c r="Q116" s="15">
        <f t="shared" si="4"/>
        <v>414873</v>
      </c>
      <c r="R116" s="8">
        <f t="shared" ref="R116:W116" si="105">ROUND(R78,1)</f>
        <v>15.9</v>
      </c>
      <c r="S116" s="8">
        <f t="shared" si="105"/>
        <v>17.399999999999999</v>
      </c>
      <c r="T116" s="8">
        <f t="shared" si="105"/>
        <v>20.100000000000001</v>
      </c>
      <c r="U116" s="8">
        <f t="shared" si="105"/>
        <v>18</v>
      </c>
      <c r="V116" s="8">
        <f t="shared" si="105"/>
        <v>13.3</v>
      </c>
      <c r="W116" s="8">
        <f t="shared" si="105"/>
        <v>84.7</v>
      </c>
      <c r="X116" s="15">
        <f t="shared" si="6"/>
        <v>772359</v>
      </c>
    </row>
  </sheetData>
  <phoneticPr fontId="3" type="noConversion"/>
  <conditionalFormatting sqref="D6:U40">
    <cfRule type="cellIs" dxfId="3" priority="1" operator="between">
      <formula>1</formula>
      <formula>2</formula>
    </cfRule>
  </conditionalFormatting>
  <printOptions headings="1" gridLines="1"/>
  <pageMargins left="0.75" right="0.75" top="1" bottom="1" header="0" footer="0"/>
  <pageSetup paperSize="0" scale="0" orientation="portrait" usePrinterDefaults="0" blackAndWhite="1" cellComments="asDisplayed" horizontalDpi="0" verticalDpi="0" copies="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R116"/>
  <sheetViews>
    <sheetView defaultGridColor="0" topLeftCell="A19" colorId="22" workbookViewId="0">
      <selection activeCell="A2" sqref="A2"/>
    </sheetView>
  </sheetViews>
  <sheetFormatPr defaultColWidth="10.28515625" defaultRowHeight="14.25" customHeight="1" x14ac:dyDescent="0.2"/>
  <cols>
    <col min="1" max="16384" width="10.28515625" style="7"/>
  </cols>
  <sheetData>
    <row r="1" spans="1:21" ht="12" customHeight="1" x14ac:dyDescent="0.2">
      <c r="A1" s="2"/>
    </row>
    <row r="2" spans="1:21" ht="12" customHeight="1" x14ac:dyDescent="0.2">
      <c r="A2" s="2"/>
    </row>
    <row r="3" spans="1:21" ht="12" customHeight="1" x14ac:dyDescent="0.2">
      <c r="D3" s="2" t="s">
        <v>42</v>
      </c>
      <c r="J3" s="2" t="s">
        <v>43</v>
      </c>
      <c r="P3" s="2" t="s">
        <v>54</v>
      </c>
    </row>
    <row r="4" spans="1:21" ht="12" customHeight="1" x14ac:dyDescent="0.2">
      <c r="D4" s="2" t="s">
        <v>33</v>
      </c>
      <c r="E4" s="2" t="s">
        <v>34</v>
      </c>
      <c r="F4" s="2" t="s">
        <v>35</v>
      </c>
      <c r="G4" s="2" t="s">
        <v>60</v>
      </c>
      <c r="H4" s="2" t="s">
        <v>37</v>
      </c>
      <c r="I4" s="2" t="s">
        <v>38</v>
      </c>
      <c r="J4" s="2" t="s">
        <v>33</v>
      </c>
      <c r="K4" s="2" t="s">
        <v>34</v>
      </c>
      <c r="L4" s="2" t="s">
        <v>35</v>
      </c>
      <c r="M4" s="2" t="s">
        <v>60</v>
      </c>
      <c r="N4" s="2" t="s">
        <v>37</v>
      </c>
      <c r="O4" s="2" t="s">
        <v>38</v>
      </c>
      <c r="P4" s="2" t="s">
        <v>33</v>
      </c>
      <c r="Q4" s="2" t="s">
        <v>34</v>
      </c>
      <c r="R4" s="2" t="s">
        <v>35</v>
      </c>
      <c r="S4" s="2" t="s">
        <v>60</v>
      </c>
      <c r="T4" s="2" t="s">
        <v>37</v>
      </c>
      <c r="U4" s="2" t="s">
        <v>38</v>
      </c>
    </row>
    <row r="6" spans="1:21" ht="12" customHeight="1" x14ac:dyDescent="0.2">
      <c r="A6" s="2"/>
      <c r="C6" s="2" t="s">
        <v>0</v>
      </c>
      <c r="D6" s="40">
        <v>3050</v>
      </c>
      <c r="E6" s="40">
        <v>3020</v>
      </c>
      <c r="F6" s="40">
        <v>3429</v>
      </c>
      <c r="G6" s="40">
        <v>3551</v>
      </c>
      <c r="H6" s="40">
        <v>3207</v>
      </c>
      <c r="I6" s="40">
        <v>4376</v>
      </c>
      <c r="J6" s="40">
        <v>6215</v>
      </c>
      <c r="K6" s="40">
        <v>5298</v>
      </c>
      <c r="L6" s="40">
        <v>5481</v>
      </c>
      <c r="M6" s="40">
        <v>5138</v>
      </c>
      <c r="N6" s="40">
        <v>4553</v>
      </c>
      <c r="O6" s="40">
        <v>5742</v>
      </c>
      <c r="P6" s="40">
        <v>9265</v>
      </c>
      <c r="Q6" s="40">
        <v>8318</v>
      </c>
      <c r="R6" s="40">
        <v>8910</v>
      </c>
      <c r="S6" s="40">
        <v>8689</v>
      </c>
      <c r="T6" s="40">
        <v>7760</v>
      </c>
      <c r="U6" s="40">
        <v>10118</v>
      </c>
    </row>
    <row r="7" spans="1:21" ht="12" customHeight="1" x14ac:dyDescent="0.2">
      <c r="C7" s="2" t="s">
        <v>1</v>
      </c>
      <c r="D7" s="40">
        <v>3363</v>
      </c>
      <c r="E7" s="40">
        <v>2976</v>
      </c>
      <c r="F7" s="40">
        <v>3023</v>
      </c>
      <c r="G7" s="40">
        <v>2898</v>
      </c>
      <c r="H7" s="40">
        <v>2506</v>
      </c>
      <c r="I7" s="40">
        <v>3043</v>
      </c>
      <c r="J7" s="40">
        <v>4037</v>
      </c>
      <c r="K7" s="40">
        <v>3342</v>
      </c>
      <c r="L7" s="40">
        <v>3228</v>
      </c>
      <c r="M7" s="40">
        <v>2855</v>
      </c>
      <c r="N7" s="40">
        <v>2326</v>
      </c>
      <c r="O7" s="40">
        <v>2461</v>
      </c>
      <c r="P7" s="40">
        <v>7400</v>
      </c>
      <c r="Q7" s="40">
        <v>6318</v>
      </c>
      <c r="R7" s="40">
        <v>6251</v>
      </c>
      <c r="S7" s="40">
        <v>5753</v>
      </c>
      <c r="T7" s="40">
        <v>4832</v>
      </c>
      <c r="U7" s="40">
        <v>5504</v>
      </c>
    </row>
    <row r="8" spans="1:21" ht="12" customHeight="1" x14ac:dyDescent="0.2">
      <c r="C8" s="2" t="s">
        <v>2</v>
      </c>
      <c r="D8" s="40">
        <v>4565</v>
      </c>
      <c r="E8" s="40">
        <v>3814</v>
      </c>
      <c r="F8" s="40">
        <v>3920</v>
      </c>
      <c r="G8" s="40">
        <v>3637</v>
      </c>
      <c r="H8" s="40">
        <v>3145</v>
      </c>
      <c r="I8" s="40">
        <v>4459</v>
      </c>
      <c r="J8" s="40">
        <v>1996</v>
      </c>
      <c r="K8" s="40">
        <v>1472</v>
      </c>
      <c r="L8" s="40">
        <v>1376</v>
      </c>
      <c r="M8" s="40">
        <v>1103</v>
      </c>
      <c r="N8" s="40">
        <v>833</v>
      </c>
      <c r="O8" s="40">
        <v>934</v>
      </c>
      <c r="P8" s="40">
        <v>6561</v>
      </c>
      <c r="Q8" s="40">
        <v>5286</v>
      </c>
      <c r="R8" s="40">
        <v>5296</v>
      </c>
      <c r="S8" s="40">
        <v>4740</v>
      </c>
      <c r="T8" s="40">
        <v>3978</v>
      </c>
      <c r="U8" s="40">
        <v>5393</v>
      </c>
    </row>
    <row r="9" spans="1:21" ht="12" customHeight="1" x14ac:dyDescent="0.2">
      <c r="C9" s="2" t="s">
        <v>3</v>
      </c>
      <c r="D9" s="40">
        <v>805</v>
      </c>
      <c r="E9" s="40">
        <v>803</v>
      </c>
      <c r="F9" s="40">
        <v>982</v>
      </c>
      <c r="G9" s="40">
        <v>994</v>
      </c>
      <c r="H9" s="40">
        <v>812</v>
      </c>
      <c r="I9" s="40">
        <v>952</v>
      </c>
      <c r="J9" s="40">
        <v>321</v>
      </c>
      <c r="K9" s="40">
        <v>416</v>
      </c>
      <c r="L9" s="40">
        <v>505</v>
      </c>
      <c r="M9" s="40">
        <v>532</v>
      </c>
      <c r="N9" s="40">
        <v>394</v>
      </c>
      <c r="O9" s="40">
        <v>416</v>
      </c>
      <c r="P9" s="40">
        <v>1126</v>
      </c>
      <c r="Q9" s="40">
        <v>1219</v>
      </c>
      <c r="R9" s="40">
        <v>1487</v>
      </c>
      <c r="S9" s="40">
        <v>1526</v>
      </c>
      <c r="T9" s="40">
        <v>1206</v>
      </c>
      <c r="U9" s="40">
        <v>1368</v>
      </c>
    </row>
    <row r="10" spans="1:21" ht="12" customHeight="1" x14ac:dyDescent="0.2">
      <c r="C10" s="2" t="s">
        <v>4</v>
      </c>
      <c r="D10" s="40">
        <v>6808</v>
      </c>
      <c r="E10" s="40">
        <v>4389</v>
      </c>
      <c r="F10" s="40">
        <v>4635</v>
      </c>
      <c r="G10" s="40">
        <v>4714</v>
      </c>
      <c r="H10" s="40">
        <v>4641</v>
      </c>
      <c r="I10" s="40">
        <v>9212</v>
      </c>
      <c r="J10" s="40">
        <v>5224</v>
      </c>
      <c r="K10" s="40">
        <v>3322</v>
      </c>
      <c r="L10" s="40">
        <v>3422</v>
      </c>
      <c r="M10" s="40">
        <v>3166</v>
      </c>
      <c r="N10" s="40">
        <v>2894</v>
      </c>
      <c r="O10" s="40">
        <v>4806</v>
      </c>
      <c r="P10" s="40">
        <v>12032</v>
      </c>
      <c r="Q10" s="40">
        <v>7711</v>
      </c>
      <c r="R10" s="40">
        <v>8057</v>
      </c>
      <c r="S10" s="40">
        <v>7880</v>
      </c>
      <c r="T10" s="40">
        <v>7535</v>
      </c>
      <c r="U10" s="40">
        <v>14018</v>
      </c>
    </row>
    <row r="11" spans="1:21" ht="12" customHeight="1" x14ac:dyDescent="0.2">
      <c r="C11" s="2" t="s">
        <v>5</v>
      </c>
      <c r="D11" s="40">
        <v>617</v>
      </c>
      <c r="E11" s="40">
        <v>251</v>
      </c>
      <c r="F11" s="40">
        <v>230</v>
      </c>
      <c r="G11" s="40">
        <v>157</v>
      </c>
      <c r="H11" s="40">
        <v>101</v>
      </c>
      <c r="I11" s="40">
        <v>111</v>
      </c>
      <c r="J11" s="40">
        <v>414</v>
      </c>
      <c r="K11" s="40">
        <v>159</v>
      </c>
      <c r="L11" s="40">
        <v>120</v>
      </c>
      <c r="M11" s="40">
        <v>62</v>
      </c>
      <c r="N11" s="40">
        <v>24</v>
      </c>
      <c r="O11" s="40">
        <v>47</v>
      </c>
      <c r="P11" s="40">
        <v>1031</v>
      </c>
      <c r="Q11" s="40">
        <v>410</v>
      </c>
      <c r="R11" s="40">
        <v>350</v>
      </c>
      <c r="S11" s="40">
        <v>219</v>
      </c>
      <c r="T11" s="40">
        <v>125</v>
      </c>
      <c r="U11" s="40">
        <v>158</v>
      </c>
    </row>
    <row r="12" spans="1:21" ht="12" customHeight="1" x14ac:dyDescent="0.2">
      <c r="C12" s="2" t="s">
        <v>6</v>
      </c>
      <c r="D12" s="40">
        <v>1352</v>
      </c>
      <c r="E12" s="40">
        <v>1932</v>
      </c>
      <c r="F12" s="40">
        <v>2526</v>
      </c>
      <c r="G12" s="40">
        <v>2463</v>
      </c>
      <c r="H12" s="40">
        <v>1960</v>
      </c>
      <c r="I12" s="40">
        <v>1819</v>
      </c>
      <c r="J12" s="40">
        <v>1197</v>
      </c>
      <c r="K12" s="40">
        <v>1476</v>
      </c>
      <c r="L12" s="40">
        <v>1730</v>
      </c>
      <c r="M12" s="40">
        <v>1357</v>
      </c>
      <c r="N12" s="40">
        <v>883</v>
      </c>
      <c r="O12" s="40">
        <v>687</v>
      </c>
      <c r="P12" s="40">
        <v>2549</v>
      </c>
      <c r="Q12" s="40">
        <v>3408</v>
      </c>
      <c r="R12" s="40">
        <v>4256</v>
      </c>
      <c r="S12" s="40">
        <v>3820</v>
      </c>
      <c r="T12" s="40">
        <v>2843</v>
      </c>
      <c r="U12" s="40">
        <v>2506</v>
      </c>
    </row>
    <row r="13" spans="1:21" ht="12" customHeight="1" x14ac:dyDescent="0.2">
      <c r="C13" s="2" t="s">
        <v>168</v>
      </c>
      <c r="D13" s="40">
        <v>1223</v>
      </c>
      <c r="E13" s="40">
        <v>1536</v>
      </c>
      <c r="F13" s="40">
        <v>1955</v>
      </c>
      <c r="G13" s="40">
        <v>2082</v>
      </c>
      <c r="H13" s="40">
        <v>1725</v>
      </c>
      <c r="I13" s="40">
        <v>2650</v>
      </c>
      <c r="J13" s="40">
        <v>186</v>
      </c>
      <c r="K13" s="40">
        <v>244</v>
      </c>
      <c r="L13" s="40">
        <v>299</v>
      </c>
      <c r="M13" s="40">
        <v>338</v>
      </c>
      <c r="N13" s="40">
        <v>309</v>
      </c>
      <c r="O13" s="40">
        <v>452</v>
      </c>
      <c r="P13" s="40">
        <v>1409</v>
      </c>
      <c r="Q13" s="40">
        <v>1780</v>
      </c>
      <c r="R13" s="40">
        <v>2254</v>
      </c>
      <c r="S13" s="40">
        <v>2420</v>
      </c>
      <c r="T13" s="40">
        <v>2034</v>
      </c>
      <c r="U13" s="40">
        <v>3102</v>
      </c>
    </row>
    <row r="14" spans="1:21" ht="12" customHeight="1" x14ac:dyDescent="0.2">
      <c r="C14" s="2" t="s">
        <v>8</v>
      </c>
      <c r="D14" s="40">
        <v>776</v>
      </c>
      <c r="E14" s="40">
        <v>1834</v>
      </c>
      <c r="F14" s="40">
        <v>3184</v>
      </c>
      <c r="G14" s="40">
        <v>3767</v>
      </c>
      <c r="H14" s="40">
        <v>3408</v>
      </c>
      <c r="I14" s="40">
        <v>4614</v>
      </c>
      <c r="J14" s="40">
        <v>546</v>
      </c>
      <c r="K14" s="40">
        <v>1213</v>
      </c>
      <c r="L14" s="40">
        <v>2009</v>
      </c>
      <c r="M14" s="40">
        <v>2235</v>
      </c>
      <c r="N14" s="40">
        <v>1932</v>
      </c>
      <c r="O14" s="40">
        <v>2458</v>
      </c>
      <c r="P14" s="40">
        <v>1322</v>
      </c>
      <c r="Q14" s="40">
        <v>3047</v>
      </c>
      <c r="R14" s="40">
        <v>5193</v>
      </c>
      <c r="S14" s="40">
        <v>6002</v>
      </c>
      <c r="T14" s="40">
        <v>5340</v>
      </c>
      <c r="U14" s="40">
        <v>7072</v>
      </c>
    </row>
    <row r="15" spans="1:21" ht="12" customHeight="1" x14ac:dyDescent="0.2">
      <c r="C15" s="2" t="s">
        <v>9</v>
      </c>
      <c r="D15" s="40">
        <v>2</v>
      </c>
      <c r="E15" s="40">
        <v>11</v>
      </c>
      <c r="F15" s="40">
        <v>17</v>
      </c>
      <c r="G15" s="40">
        <v>20</v>
      </c>
      <c r="H15" s="40">
        <v>24</v>
      </c>
      <c r="I15" s="40">
        <v>13</v>
      </c>
      <c r="J15" s="40">
        <v>137</v>
      </c>
      <c r="K15" s="40">
        <v>104</v>
      </c>
      <c r="L15" s="40">
        <v>129</v>
      </c>
      <c r="M15" s="40">
        <v>161</v>
      </c>
      <c r="N15" s="40">
        <v>101</v>
      </c>
      <c r="O15" s="40">
        <v>75</v>
      </c>
      <c r="P15" s="40">
        <v>139</v>
      </c>
      <c r="Q15" s="40">
        <v>115</v>
      </c>
      <c r="R15" s="40">
        <v>146</v>
      </c>
      <c r="S15" s="40">
        <v>181</v>
      </c>
      <c r="T15" s="40">
        <v>125</v>
      </c>
      <c r="U15" s="40">
        <v>88</v>
      </c>
    </row>
    <row r="16" spans="1:21" ht="12" customHeight="1" x14ac:dyDescent="0.2">
      <c r="C16" s="2" t="s">
        <v>10</v>
      </c>
      <c r="D16" s="40">
        <v>289</v>
      </c>
      <c r="E16" s="40">
        <v>384</v>
      </c>
      <c r="F16" s="40">
        <v>458</v>
      </c>
      <c r="G16" s="40">
        <v>522</v>
      </c>
      <c r="H16" s="40">
        <v>467</v>
      </c>
      <c r="I16" s="40">
        <v>997</v>
      </c>
      <c r="J16" s="40">
        <v>209</v>
      </c>
      <c r="K16" s="40">
        <v>251</v>
      </c>
      <c r="L16" s="40">
        <v>293</v>
      </c>
      <c r="M16" s="40">
        <v>318</v>
      </c>
      <c r="N16" s="40">
        <v>324</v>
      </c>
      <c r="O16" s="40">
        <v>573</v>
      </c>
      <c r="P16" s="40">
        <v>498</v>
      </c>
      <c r="Q16" s="40">
        <v>635</v>
      </c>
      <c r="R16" s="40">
        <v>751</v>
      </c>
      <c r="S16" s="40">
        <v>840</v>
      </c>
      <c r="T16" s="40">
        <v>791</v>
      </c>
      <c r="U16" s="40">
        <v>1570</v>
      </c>
    </row>
    <row r="17" spans="3:21" ht="12" customHeight="1" x14ac:dyDescent="0.2">
      <c r="C17" s="2" t="s">
        <v>11</v>
      </c>
      <c r="D17" s="40">
        <v>2221</v>
      </c>
      <c r="E17" s="40">
        <v>3597</v>
      </c>
      <c r="F17" s="40">
        <v>5113</v>
      </c>
      <c r="G17" s="40">
        <v>4955</v>
      </c>
      <c r="H17" s="40">
        <v>3626</v>
      </c>
      <c r="I17" s="40">
        <v>3422</v>
      </c>
      <c r="J17" s="40">
        <v>2017</v>
      </c>
      <c r="K17" s="40">
        <v>2777</v>
      </c>
      <c r="L17" s="40">
        <v>3716</v>
      </c>
      <c r="M17" s="40">
        <v>3325</v>
      </c>
      <c r="N17" s="40">
        <v>2541</v>
      </c>
      <c r="O17" s="40">
        <v>2282</v>
      </c>
      <c r="P17" s="40">
        <v>4238</v>
      </c>
      <c r="Q17" s="40">
        <v>6374</v>
      </c>
      <c r="R17" s="40">
        <v>8829</v>
      </c>
      <c r="S17" s="40">
        <v>8280</v>
      </c>
      <c r="T17" s="40">
        <v>6167</v>
      </c>
      <c r="U17" s="40">
        <v>5704</v>
      </c>
    </row>
    <row r="18" spans="3:21" ht="12" customHeight="1" x14ac:dyDescent="0.2">
      <c r="C18" s="2" t="s">
        <v>12</v>
      </c>
      <c r="D18" s="40">
        <v>2470</v>
      </c>
      <c r="E18" s="40">
        <v>1802</v>
      </c>
      <c r="F18" s="40">
        <v>1697</v>
      </c>
      <c r="G18" s="40">
        <v>1507</v>
      </c>
      <c r="H18" s="40">
        <v>1176</v>
      </c>
      <c r="I18" s="40">
        <v>1381</v>
      </c>
      <c r="J18" s="40">
        <v>1241</v>
      </c>
      <c r="K18" s="40">
        <v>853</v>
      </c>
      <c r="L18" s="40">
        <v>749</v>
      </c>
      <c r="M18" s="40">
        <v>651</v>
      </c>
      <c r="N18" s="40">
        <v>471</v>
      </c>
      <c r="O18" s="40">
        <v>598</v>
      </c>
      <c r="P18" s="40">
        <v>3711</v>
      </c>
      <c r="Q18" s="40">
        <v>2655</v>
      </c>
      <c r="R18" s="40">
        <v>2446</v>
      </c>
      <c r="S18" s="40">
        <v>2158</v>
      </c>
      <c r="T18" s="40">
        <v>1647</v>
      </c>
      <c r="U18" s="40">
        <v>1979</v>
      </c>
    </row>
    <row r="19" spans="3:21" ht="12" customHeight="1" x14ac:dyDescent="0.2">
      <c r="C19" s="2" t="s">
        <v>13</v>
      </c>
      <c r="D19" s="40">
        <v>2795</v>
      </c>
      <c r="E19" s="40">
        <v>3263</v>
      </c>
      <c r="F19" s="40">
        <v>3675</v>
      </c>
      <c r="G19" s="40">
        <v>3450</v>
      </c>
      <c r="H19" s="40">
        <v>2672</v>
      </c>
      <c r="I19" s="40">
        <v>2318</v>
      </c>
      <c r="J19" s="40">
        <v>3729</v>
      </c>
      <c r="K19" s="40">
        <v>3110</v>
      </c>
      <c r="L19" s="40">
        <v>3162</v>
      </c>
      <c r="M19" s="40">
        <v>2532</v>
      </c>
      <c r="N19" s="40">
        <v>1787</v>
      </c>
      <c r="O19" s="40">
        <v>1534</v>
      </c>
      <c r="P19" s="40">
        <v>6524</v>
      </c>
      <c r="Q19" s="40">
        <v>6373</v>
      </c>
      <c r="R19" s="40">
        <v>6837</v>
      </c>
      <c r="S19" s="40">
        <v>5982</v>
      </c>
      <c r="T19" s="40">
        <v>4459</v>
      </c>
      <c r="U19" s="40">
        <v>3852</v>
      </c>
    </row>
    <row r="20" spans="3:21" ht="12" customHeight="1" x14ac:dyDescent="0.2">
      <c r="C20" s="2" t="s">
        <v>14</v>
      </c>
      <c r="D20" s="40">
        <v>1121</v>
      </c>
      <c r="E20" s="40">
        <v>1002</v>
      </c>
      <c r="F20" s="40">
        <v>1078</v>
      </c>
      <c r="G20" s="40">
        <v>936</v>
      </c>
      <c r="H20" s="40">
        <v>676</v>
      </c>
      <c r="I20" s="40">
        <v>608</v>
      </c>
      <c r="J20" s="40">
        <v>975</v>
      </c>
      <c r="K20" s="40">
        <v>793</v>
      </c>
      <c r="L20" s="40">
        <v>804</v>
      </c>
      <c r="M20" s="40">
        <v>636</v>
      </c>
      <c r="N20" s="40">
        <v>452</v>
      </c>
      <c r="O20" s="40">
        <v>495</v>
      </c>
      <c r="P20" s="40">
        <v>2096</v>
      </c>
      <c r="Q20" s="40">
        <v>1795</v>
      </c>
      <c r="R20" s="40">
        <v>1882</v>
      </c>
      <c r="S20" s="40">
        <v>1572</v>
      </c>
      <c r="T20" s="40">
        <v>1128</v>
      </c>
      <c r="U20" s="40">
        <v>1103</v>
      </c>
    </row>
    <row r="21" spans="3:21" ht="12" customHeight="1" x14ac:dyDescent="0.2">
      <c r="C21" s="2" t="s">
        <v>15</v>
      </c>
      <c r="D21" s="40">
        <v>2946</v>
      </c>
      <c r="E21" s="40">
        <v>3694</v>
      </c>
      <c r="F21" s="40">
        <v>4195</v>
      </c>
      <c r="G21" s="40">
        <v>3519</v>
      </c>
      <c r="H21" s="40">
        <v>2190</v>
      </c>
      <c r="I21" s="40">
        <v>1583</v>
      </c>
      <c r="J21" s="40">
        <v>3884</v>
      </c>
      <c r="K21" s="40">
        <v>4465</v>
      </c>
      <c r="L21" s="40">
        <v>4789</v>
      </c>
      <c r="M21" s="40">
        <v>3742</v>
      </c>
      <c r="N21" s="40">
        <v>2346</v>
      </c>
      <c r="O21" s="40">
        <v>1802</v>
      </c>
      <c r="P21" s="40">
        <v>6830</v>
      </c>
      <c r="Q21" s="40">
        <v>8159</v>
      </c>
      <c r="R21" s="40">
        <v>8984</v>
      </c>
      <c r="S21" s="40">
        <v>7261</v>
      </c>
      <c r="T21" s="40">
        <v>4536</v>
      </c>
      <c r="U21" s="40">
        <v>3385</v>
      </c>
    </row>
    <row r="22" spans="3:21" ht="12" customHeight="1" x14ac:dyDescent="0.2">
      <c r="C22" s="2" t="s">
        <v>16</v>
      </c>
      <c r="D22" s="40">
        <v>656</v>
      </c>
      <c r="E22" s="40">
        <v>899</v>
      </c>
      <c r="F22" s="40">
        <v>1057</v>
      </c>
      <c r="G22" s="40">
        <v>1192</v>
      </c>
      <c r="H22" s="40">
        <v>1185</v>
      </c>
      <c r="I22" s="40">
        <v>1755</v>
      </c>
      <c r="J22" s="40">
        <v>1344</v>
      </c>
      <c r="K22" s="40">
        <v>1440</v>
      </c>
      <c r="L22" s="40">
        <v>1673</v>
      </c>
      <c r="M22" s="40">
        <v>1588</v>
      </c>
      <c r="N22" s="40">
        <v>1296</v>
      </c>
      <c r="O22" s="40">
        <v>2006</v>
      </c>
      <c r="P22" s="40">
        <v>2000</v>
      </c>
      <c r="Q22" s="40">
        <v>2339</v>
      </c>
      <c r="R22" s="40">
        <v>2730</v>
      </c>
      <c r="S22" s="40">
        <v>2780</v>
      </c>
      <c r="T22" s="40">
        <v>2481</v>
      </c>
      <c r="U22" s="40">
        <v>3761</v>
      </c>
    </row>
    <row r="23" spans="3:21" ht="12" customHeight="1" x14ac:dyDescent="0.2">
      <c r="C23" s="2" t="s">
        <v>17</v>
      </c>
      <c r="D23" s="40">
        <v>1217</v>
      </c>
      <c r="E23" s="40">
        <v>1736</v>
      </c>
      <c r="F23" s="40">
        <v>2642</v>
      </c>
      <c r="G23" s="40">
        <v>2981</v>
      </c>
      <c r="H23" s="40">
        <v>2639</v>
      </c>
      <c r="I23" s="40">
        <v>3743</v>
      </c>
      <c r="J23" s="40">
        <v>6146</v>
      </c>
      <c r="K23" s="40">
        <v>6691</v>
      </c>
      <c r="L23" s="40">
        <v>7514</v>
      </c>
      <c r="M23" s="40">
        <v>6879</v>
      </c>
      <c r="N23" s="40">
        <v>5470</v>
      </c>
      <c r="O23" s="40">
        <v>6654</v>
      </c>
      <c r="P23" s="40">
        <v>7363</v>
      </c>
      <c r="Q23" s="40">
        <v>8427</v>
      </c>
      <c r="R23" s="40">
        <v>10156</v>
      </c>
      <c r="S23" s="40">
        <v>9860</v>
      </c>
      <c r="T23" s="40">
        <v>8109</v>
      </c>
      <c r="U23" s="40">
        <v>10397</v>
      </c>
    </row>
    <row r="24" spans="3:21" ht="12" customHeight="1" x14ac:dyDescent="0.2">
      <c r="C24" s="2" t="s">
        <v>18</v>
      </c>
      <c r="D24" s="40">
        <v>788</v>
      </c>
      <c r="E24" s="40">
        <v>992</v>
      </c>
      <c r="F24" s="40">
        <v>1355</v>
      </c>
      <c r="G24" s="40">
        <v>1464</v>
      </c>
      <c r="H24" s="40">
        <v>1297</v>
      </c>
      <c r="I24" s="40">
        <v>1674</v>
      </c>
      <c r="J24" s="40">
        <v>3604</v>
      </c>
      <c r="K24" s="40">
        <v>3781</v>
      </c>
      <c r="L24" s="40">
        <v>4064</v>
      </c>
      <c r="M24" s="40">
        <v>3801</v>
      </c>
      <c r="N24" s="40">
        <v>3133</v>
      </c>
      <c r="O24" s="40">
        <v>3328</v>
      </c>
      <c r="P24" s="40">
        <v>4392</v>
      </c>
      <c r="Q24" s="40">
        <v>4773</v>
      </c>
      <c r="R24" s="40">
        <v>5419</v>
      </c>
      <c r="S24" s="40">
        <v>5265</v>
      </c>
      <c r="T24" s="40">
        <v>4430</v>
      </c>
      <c r="U24" s="40">
        <v>5002</v>
      </c>
    </row>
    <row r="25" spans="3:21" ht="12" customHeight="1" x14ac:dyDescent="0.2">
      <c r="C25" s="2" t="s">
        <v>19</v>
      </c>
      <c r="D25" s="40">
        <v>285</v>
      </c>
      <c r="E25" s="40">
        <v>318</v>
      </c>
      <c r="F25" s="40">
        <v>406</v>
      </c>
      <c r="G25" s="40">
        <v>457</v>
      </c>
      <c r="H25" s="40">
        <v>353</v>
      </c>
      <c r="I25" s="40">
        <v>552</v>
      </c>
      <c r="J25" s="40">
        <v>433</v>
      </c>
      <c r="K25" s="40">
        <v>416</v>
      </c>
      <c r="L25" s="40">
        <v>466</v>
      </c>
      <c r="M25" s="40">
        <v>477</v>
      </c>
      <c r="N25" s="40">
        <v>446</v>
      </c>
      <c r="O25" s="40">
        <v>531</v>
      </c>
      <c r="P25" s="40">
        <v>718</v>
      </c>
      <c r="Q25" s="40">
        <v>734</v>
      </c>
      <c r="R25" s="40">
        <v>872</v>
      </c>
      <c r="S25" s="40">
        <v>934</v>
      </c>
      <c r="T25" s="40">
        <v>799</v>
      </c>
      <c r="U25" s="40">
        <v>1083</v>
      </c>
    </row>
    <row r="26" spans="3:21" ht="12" customHeight="1" x14ac:dyDescent="0.2">
      <c r="C26" s="2" t="s">
        <v>20</v>
      </c>
      <c r="D26" s="40">
        <v>2430</v>
      </c>
      <c r="E26" s="40">
        <v>2375</v>
      </c>
      <c r="F26" s="40">
        <v>3113</v>
      </c>
      <c r="G26" s="40">
        <v>2983</v>
      </c>
      <c r="H26" s="40">
        <v>2177</v>
      </c>
      <c r="I26" s="40">
        <v>2657</v>
      </c>
      <c r="J26" s="40">
        <v>7608</v>
      </c>
      <c r="K26" s="40">
        <v>6551</v>
      </c>
      <c r="L26" s="40">
        <v>6721</v>
      </c>
      <c r="M26" s="40">
        <v>4944</v>
      </c>
      <c r="N26" s="40">
        <v>2827</v>
      </c>
      <c r="O26" s="40">
        <v>2658</v>
      </c>
      <c r="P26" s="40">
        <v>10038</v>
      </c>
      <c r="Q26" s="40">
        <v>8926</v>
      </c>
      <c r="R26" s="40">
        <v>9834</v>
      </c>
      <c r="S26" s="40">
        <v>7927</v>
      </c>
      <c r="T26" s="40">
        <v>5004</v>
      </c>
      <c r="U26" s="40">
        <v>5315</v>
      </c>
    </row>
    <row r="27" spans="3:21" ht="12" customHeight="1" x14ac:dyDescent="0.2">
      <c r="C27" s="2" t="s">
        <v>21</v>
      </c>
      <c r="D27" s="40">
        <v>420</v>
      </c>
      <c r="E27" s="40">
        <v>817</v>
      </c>
      <c r="F27" s="40">
        <v>1207</v>
      </c>
      <c r="G27" s="40">
        <v>992</v>
      </c>
      <c r="H27" s="40">
        <v>587</v>
      </c>
      <c r="I27" s="40">
        <v>421</v>
      </c>
      <c r="J27" s="40">
        <v>1769</v>
      </c>
      <c r="K27" s="40">
        <v>2665</v>
      </c>
      <c r="L27" s="40">
        <v>3019</v>
      </c>
      <c r="M27" s="40">
        <v>2083</v>
      </c>
      <c r="N27" s="40">
        <v>1115</v>
      </c>
      <c r="O27" s="40">
        <v>591</v>
      </c>
      <c r="P27" s="40">
        <v>2189</v>
      </c>
      <c r="Q27" s="40">
        <v>3482</v>
      </c>
      <c r="R27" s="40">
        <v>4226</v>
      </c>
      <c r="S27" s="40">
        <v>3075</v>
      </c>
      <c r="T27" s="40">
        <v>1702</v>
      </c>
      <c r="U27" s="40">
        <v>1012</v>
      </c>
    </row>
    <row r="28" spans="3:21" ht="12" customHeight="1" x14ac:dyDescent="0.2">
      <c r="C28" s="2" t="s">
        <v>22</v>
      </c>
      <c r="D28" s="40">
        <v>3351</v>
      </c>
      <c r="E28" s="40">
        <v>4332</v>
      </c>
      <c r="F28" s="40">
        <v>5593</v>
      </c>
      <c r="G28" s="40">
        <v>5428</v>
      </c>
      <c r="H28" s="40">
        <v>3501</v>
      </c>
      <c r="I28" s="40">
        <v>2193</v>
      </c>
      <c r="J28" s="40">
        <v>8407</v>
      </c>
      <c r="K28" s="40">
        <v>11175</v>
      </c>
      <c r="L28" s="40">
        <v>13947</v>
      </c>
      <c r="M28" s="40">
        <v>12116</v>
      </c>
      <c r="N28" s="40">
        <v>6896</v>
      </c>
      <c r="O28" s="40">
        <v>3794</v>
      </c>
      <c r="P28" s="40">
        <v>11758</v>
      </c>
      <c r="Q28" s="40">
        <v>15507</v>
      </c>
      <c r="R28" s="40">
        <v>19540</v>
      </c>
      <c r="S28" s="40">
        <v>17544</v>
      </c>
      <c r="T28" s="40">
        <v>10397</v>
      </c>
      <c r="U28" s="40">
        <v>5987</v>
      </c>
    </row>
    <row r="29" spans="3:21" ht="12" customHeight="1" x14ac:dyDescent="0.2">
      <c r="C29" s="2" t="s">
        <v>61</v>
      </c>
      <c r="D29" s="40">
        <v>877</v>
      </c>
      <c r="E29" s="40">
        <v>1951</v>
      </c>
      <c r="F29" s="40">
        <v>2857</v>
      </c>
      <c r="G29" s="40">
        <v>2467</v>
      </c>
      <c r="H29" s="40">
        <v>1421</v>
      </c>
      <c r="I29" s="40">
        <v>952</v>
      </c>
      <c r="J29" s="40">
        <v>1695</v>
      </c>
      <c r="K29" s="40">
        <v>3320</v>
      </c>
      <c r="L29" s="40">
        <v>3803</v>
      </c>
      <c r="M29" s="40">
        <v>2719</v>
      </c>
      <c r="N29" s="40">
        <v>1327</v>
      </c>
      <c r="O29" s="40">
        <v>874</v>
      </c>
      <c r="P29" s="40">
        <v>2572</v>
      </c>
      <c r="Q29" s="40">
        <v>5271</v>
      </c>
      <c r="R29" s="40">
        <v>6660</v>
      </c>
      <c r="S29" s="40">
        <v>5186</v>
      </c>
      <c r="T29" s="40">
        <v>2748</v>
      </c>
      <c r="U29" s="40">
        <v>1826</v>
      </c>
    </row>
    <row r="30" spans="3:21" ht="12" customHeight="1" x14ac:dyDescent="0.2">
      <c r="C30" s="2" t="s">
        <v>23</v>
      </c>
      <c r="D30" s="40">
        <v>441</v>
      </c>
      <c r="E30" s="40">
        <v>1034</v>
      </c>
      <c r="F30" s="40">
        <v>1273</v>
      </c>
      <c r="G30" s="40">
        <v>896</v>
      </c>
      <c r="H30" s="40">
        <v>422</v>
      </c>
      <c r="I30" s="40">
        <v>416</v>
      </c>
      <c r="J30" s="40">
        <v>962</v>
      </c>
      <c r="K30" s="40">
        <v>1924</v>
      </c>
      <c r="L30" s="40">
        <v>2270</v>
      </c>
      <c r="M30" s="40">
        <v>1315</v>
      </c>
      <c r="N30" s="40">
        <v>517</v>
      </c>
      <c r="O30" s="40">
        <v>449</v>
      </c>
      <c r="P30" s="40">
        <v>1403</v>
      </c>
      <c r="Q30" s="40">
        <v>2958</v>
      </c>
      <c r="R30" s="40">
        <v>3543</v>
      </c>
      <c r="S30" s="40">
        <v>2211</v>
      </c>
      <c r="T30" s="40">
        <v>939</v>
      </c>
      <c r="U30" s="40">
        <v>865</v>
      </c>
    </row>
    <row r="31" spans="3:21" ht="12" customHeight="1" x14ac:dyDescent="0.2">
      <c r="C31" s="2" t="s">
        <v>24</v>
      </c>
      <c r="D31" s="40">
        <v>1309</v>
      </c>
      <c r="E31" s="40">
        <v>995</v>
      </c>
      <c r="F31" s="40">
        <v>1019</v>
      </c>
      <c r="G31" s="40">
        <v>880</v>
      </c>
      <c r="H31" s="40">
        <v>653</v>
      </c>
      <c r="I31" s="40">
        <v>635</v>
      </c>
      <c r="J31" s="40">
        <v>2536</v>
      </c>
      <c r="K31" s="40">
        <v>2305</v>
      </c>
      <c r="L31" s="40">
        <v>2383</v>
      </c>
      <c r="M31" s="40">
        <v>2005</v>
      </c>
      <c r="N31" s="40">
        <v>1606</v>
      </c>
      <c r="O31" s="40">
        <v>1622</v>
      </c>
      <c r="P31" s="40">
        <v>3845</v>
      </c>
      <c r="Q31" s="40">
        <v>3300</v>
      </c>
      <c r="R31" s="40">
        <v>3402</v>
      </c>
      <c r="S31" s="40">
        <v>2885</v>
      </c>
      <c r="T31" s="40">
        <v>2259</v>
      </c>
      <c r="U31" s="40">
        <v>2257</v>
      </c>
    </row>
    <row r="32" spans="3:21" ht="12" customHeight="1" x14ac:dyDescent="0.2">
      <c r="C32" s="2" t="s">
        <v>25</v>
      </c>
      <c r="D32" s="40">
        <v>570</v>
      </c>
      <c r="E32" s="40">
        <v>507</v>
      </c>
      <c r="F32" s="40">
        <v>561</v>
      </c>
      <c r="G32" s="40">
        <v>480</v>
      </c>
      <c r="H32" s="40">
        <v>319</v>
      </c>
      <c r="I32" s="40">
        <v>313</v>
      </c>
      <c r="J32" s="40">
        <v>1119</v>
      </c>
      <c r="K32" s="40">
        <v>1018</v>
      </c>
      <c r="L32" s="40">
        <v>1137</v>
      </c>
      <c r="M32" s="40">
        <v>966</v>
      </c>
      <c r="N32" s="40">
        <v>682</v>
      </c>
      <c r="O32" s="40">
        <v>541</v>
      </c>
      <c r="P32" s="40">
        <v>1689</v>
      </c>
      <c r="Q32" s="40">
        <v>1525</v>
      </c>
      <c r="R32" s="40">
        <v>1698</v>
      </c>
      <c r="S32" s="40">
        <v>1446</v>
      </c>
      <c r="T32" s="40">
        <v>1001</v>
      </c>
      <c r="U32" s="40">
        <v>854</v>
      </c>
    </row>
    <row r="33" spans="3:70" ht="12" customHeight="1" x14ac:dyDescent="0.2">
      <c r="C33" s="2" t="s">
        <v>26</v>
      </c>
      <c r="D33" s="40">
        <v>372</v>
      </c>
      <c r="E33" s="40">
        <v>328</v>
      </c>
      <c r="F33" s="40">
        <v>306</v>
      </c>
      <c r="G33" s="40">
        <v>235</v>
      </c>
      <c r="H33" s="40">
        <v>162</v>
      </c>
      <c r="I33" s="40">
        <v>169</v>
      </c>
      <c r="J33" s="40">
        <v>792</v>
      </c>
      <c r="K33" s="40">
        <v>763</v>
      </c>
      <c r="L33" s="40">
        <v>745</v>
      </c>
      <c r="M33" s="40">
        <v>600</v>
      </c>
      <c r="N33" s="40">
        <v>458</v>
      </c>
      <c r="O33" s="40">
        <v>453</v>
      </c>
      <c r="P33" s="40">
        <v>1164</v>
      </c>
      <c r="Q33" s="40">
        <v>1091</v>
      </c>
      <c r="R33" s="40">
        <v>1051</v>
      </c>
      <c r="S33" s="40">
        <v>835</v>
      </c>
      <c r="T33" s="40">
        <v>620</v>
      </c>
      <c r="U33" s="40">
        <v>622</v>
      </c>
    </row>
    <row r="34" spans="3:70" ht="12" customHeight="1" x14ac:dyDescent="0.2">
      <c r="C34" s="2" t="s">
        <v>27</v>
      </c>
      <c r="D34" s="40">
        <v>474</v>
      </c>
      <c r="E34" s="40">
        <v>239</v>
      </c>
      <c r="F34" s="40">
        <v>124</v>
      </c>
      <c r="G34" s="40">
        <v>80</v>
      </c>
      <c r="H34" s="40">
        <v>61</v>
      </c>
      <c r="I34" s="40">
        <v>102</v>
      </c>
      <c r="J34" s="40">
        <v>688</v>
      </c>
      <c r="K34" s="40">
        <v>353</v>
      </c>
      <c r="L34" s="40">
        <v>207</v>
      </c>
      <c r="M34" s="40">
        <v>134</v>
      </c>
      <c r="N34" s="40">
        <v>86</v>
      </c>
      <c r="O34" s="40">
        <v>104</v>
      </c>
      <c r="P34" s="40">
        <v>1162</v>
      </c>
      <c r="Q34" s="40">
        <v>592</v>
      </c>
      <c r="R34" s="40">
        <v>331</v>
      </c>
      <c r="S34" s="40">
        <v>214</v>
      </c>
      <c r="T34" s="40">
        <v>147</v>
      </c>
      <c r="U34" s="40">
        <v>206</v>
      </c>
    </row>
    <row r="35" spans="3:70" ht="12" customHeight="1" x14ac:dyDescent="0.2">
      <c r="C35" s="2" t="s">
        <v>28</v>
      </c>
      <c r="D35" s="40">
        <v>681</v>
      </c>
      <c r="E35" s="40">
        <v>435</v>
      </c>
      <c r="F35" s="40">
        <v>470</v>
      </c>
      <c r="G35" s="40">
        <v>391</v>
      </c>
      <c r="H35" s="40">
        <v>245</v>
      </c>
      <c r="I35" s="40">
        <v>139</v>
      </c>
      <c r="J35" s="40">
        <v>1098</v>
      </c>
      <c r="K35" s="40">
        <v>832</v>
      </c>
      <c r="L35" s="40">
        <v>662</v>
      </c>
      <c r="M35" s="40">
        <v>442</v>
      </c>
      <c r="N35" s="40">
        <v>235</v>
      </c>
      <c r="O35" s="40">
        <v>142</v>
      </c>
      <c r="P35" s="40">
        <v>1779</v>
      </c>
      <c r="Q35" s="40">
        <v>1267</v>
      </c>
      <c r="R35" s="40">
        <v>1132</v>
      </c>
      <c r="S35" s="40">
        <v>833</v>
      </c>
      <c r="T35" s="40">
        <v>480</v>
      </c>
      <c r="U35" s="40">
        <v>281</v>
      </c>
    </row>
    <row r="36" spans="3:70" ht="12" customHeight="1" x14ac:dyDescent="0.2">
      <c r="C36" s="2" t="s">
        <v>29</v>
      </c>
      <c r="D36" s="40">
        <v>643</v>
      </c>
      <c r="E36" s="40">
        <v>692</v>
      </c>
      <c r="F36" s="40">
        <v>777</v>
      </c>
      <c r="G36" s="40">
        <v>595</v>
      </c>
      <c r="H36" s="40">
        <v>458</v>
      </c>
      <c r="I36" s="40">
        <v>406</v>
      </c>
      <c r="J36" s="40">
        <v>1687</v>
      </c>
      <c r="K36" s="40">
        <v>1938</v>
      </c>
      <c r="L36" s="40">
        <v>1943</v>
      </c>
      <c r="M36" s="40">
        <v>1480</v>
      </c>
      <c r="N36" s="40">
        <v>925</v>
      </c>
      <c r="O36" s="40">
        <v>772</v>
      </c>
      <c r="P36" s="40">
        <v>2330</v>
      </c>
      <c r="Q36" s="40">
        <v>2630</v>
      </c>
      <c r="R36" s="40">
        <v>2720</v>
      </c>
      <c r="S36" s="40">
        <v>2075</v>
      </c>
      <c r="T36" s="40">
        <v>1383</v>
      </c>
      <c r="U36" s="40">
        <v>1178</v>
      </c>
    </row>
    <row r="37" spans="3:70" ht="12" customHeight="1" x14ac:dyDescent="0.2">
      <c r="C37" s="2" t="s">
        <v>30</v>
      </c>
      <c r="D37" s="40">
        <v>776</v>
      </c>
      <c r="E37" s="40">
        <v>810</v>
      </c>
      <c r="F37" s="40">
        <v>1077</v>
      </c>
      <c r="G37" s="40">
        <v>964</v>
      </c>
      <c r="H37" s="40">
        <v>689</v>
      </c>
      <c r="I37" s="40">
        <v>598</v>
      </c>
      <c r="J37" s="40">
        <v>983</v>
      </c>
      <c r="K37" s="40">
        <v>1027</v>
      </c>
      <c r="L37" s="40">
        <v>1018</v>
      </c>
      <c r="M37" s="40">
        <v>776</v>
      </c>
      <c r="N37" s="40">
        <v>476</v>
      </c>
      <c r="O37" s="40">
        <v>273</v>
      </c>
      <c r="P37" s="40">
        <v>1759</v>
      </c>
      <c r="Q37" s="40">
        <v>1837</v>
      </c>
      <c r="R37" s="40">
        <v>2095</v>
      </c>
      <c r="S37" s="40">
        <v>1740</v>
      </c>
      <c r="T37" s="40">
        <v>1165</v>
      </c>
      <c r="U37" s="40">
        <v>871</v>
      </c>
    </row>
    <row r="38" spans="3:70" ht="12" customHeight="1" x14ac:dyDescent="0.2">
      <c r="C38" s="2" t="s">
        <v>31</v>
      </c>
      <c r="D38" s="40">
        <v>1049</v>
      </c>
      <c r="E38" s="40">
        <v>1994</v>
      </c>
      <c r="F38" s="40">
        <v>2900</v>
      </c>
      <c r="G38" s="40">
        <v>3232</v>
      </c>
      <c r="H38" s="40">
        <v>2642</v>
      </c>
      <c r="I38" s="40">
        <v>2139</v>
      </c>
      <c r="J38" s="40">
        <v>1645</v>
      </c>
      <c r="K38" s="40">
        <v>1760</v>
      </c>
      <c r="L38" s="40">
        <v>1996</v>
      </c>
      <c r="M38" s="40">
        <v>1755</v>
      </c>
      <c r="N38" s="40">
        <v>1160</v>
      </c>
      <c r="O38" s="40">
        <v>989</v>
      </c>
      <c r="P38" s="40">
        <v>2694</v>
      </c>
      <c r="Q38" s="40">
        <v>3754</v>
      </c>
      <c r="R38" s="40">
        <v>4896</v>
      </c>
      <c r="S38" s="40">
        <v>4987</v>
      </c>
      <c r="T38" s="40">
        <v>3802</v>
      </c>
      <c r="U38" s="40">
        <v>3128</v>
      </c>
    </row>
    <row r="39" spans="3:70" ht="12" customHeight="1" x14ac:dyDescent="0.2">
      <c r="C39" s="2" t="s">
        <v>32</v>
      </c>
      <c r="D39" s="40">
        <v>3613</v>
      </c>
      <c r="E39" s="40">
        <v>4511</v>
      </c>
      <c r="F39" s="40">
        <v>6181</v>
      </c>
      <c r="G39" s="40">
        <v>6822</v>
      </c>
      <c r="H39" s="40">
        <v>6449</v>
      </c>
      <c r="I39" s="40">
        <v>9431</v>
      </c>
      <c r="J39" s="40">
        <v>4824</v>
      </c>
      <c r="K39" s="40">
        <v>5917</v>
      </c>
      <c r="L39" s="40">
        <v>7430</v>
      </c>
      <c r="M39" s="40">
        <v>7677</v>
      </c>
      <c r="N39" s="40">
        <v>6824</v>
      </c>
      <c r="O39" s="40">
        <v>8969</v>
      </c>
      <c r="P39" s="40">
        <v>8437</v>
      </c>
      <c r="Q39" s="40">
        <v>10428</v>
      </c>
      <c r="R39" s="40">
        <v>13611</v>
      </c>
      <c r="S39" s="40">
        <v>14499</v>
      </c>
      <c r="T39" s="40">
        <v>13273</v>
      </c>
      <c r="U39" s="40">
        <v>18400</v>
      </c>
    </row>
    <row r="40" spans="3:70" ht="12" customHeight="1" x14ac:dyDescent="0.2">
      <c r="C40" s="2" t="s">
        <v>62</v>
      </c>
      <c r="D40" s="40">
        <v>54355</v>
      </c>
      <c r="E40" s="40">
        <v>59273</v>
      </c>
      <c r="F40" s="40">
        <v>73035</v>
      </c>
      <c r="G40" s="40">
        <v>71711</v>
      </c>
      <c r="H40" s="40">
        <v>57596</v>
      </c>
      <c r="I40" s="40">
        <v>69853</v>
      </c>
      <c r="J40" s="40">
        <v>79668</v>
      </c>
      <c r="K40" s="40">
        <v>83171</v>
      </c>
      <c r="L40" s="40">
        <v>92810</v>
      </c>
      <c r="M40" s="40">
        <v>79908</v>
      </c>
      <c r="N40" s="40">
        <v>57649</v>
      </c>
      <c r="O40" s="40">
        <v>60112</v>
      </c>
      <c r="P40" s="40">
        <v>134023</v>
      </c>
      <c r="Q40" s="40">
        <v>142444</v>
      </c>
      <c r="R40" s="40">
        <v>165845</v>
      </c>
      <c r="S40" s="40">
        <v>151619</v>
      </c>
      <c r="T40" s="40">
        <v>115245</v>
      </c>
      <c r="U40" s="40">
        <v>129965</v>
      </c>
    </row>
    <row r="41" spans="3:70" ht="14.25" customHeight="1" x14ac:dyDescent="0.2">
      <c r="D41" s="15"/>
    </row>
    <row r="42" spans="3:70" ht="14.25" customHeight="1" x14ac:dyDescent="0.2">
      <c r="D42" s="2" t="s">
        <v>59</v>
      </c>
      <c r="K42" s="2" t="s">
        <v>59</v>
      </c>
      <c r="R42" s="2" t="s">
        <v>59</v>
      </c>
      <c r="Z42" s="73"/>
      <c r="AA42" s="73"/>
      <c r="AB42" s="73"/>
      <c r="AC42" s="73"/>
      <c r="AD42" s="73"/>
      <c r="AE42" s="73"/>
      <c r="AF42" s="73"/>
      <c r="AG42" s="73"/>
      <c r="AH42" s="73"/>
      <c r="AI42" s="73"/>
      <c r="AJ42" s="73"/>
      <c r="AK42" s="73"/>
      <c r="AL42" s="73"/>
      <c r="AM42" s="73"/>
      <c r="AN42" s="73"/>
      <c r="AO42" s="73"/>
      <c r="AP42" s="73"/>
      <c r="AQ42" s="73"/>
      <c r="AR42" s="73"/>
      <c r="AS42" s="73"/>
      <c r="AT42" s="73"/>
      <c r="AU42" s="73"/>
      <c r="AW42" s="78"/>
      <c r="AX42" s="78"/>
      <c r="AY42" s="78"/>
      <c r="AZ42" s="78"/>
      <c r="BA42" s="78"/>
      <c r="BB42" s="78"/>
      <c r="BC42" s="78"/>
      <c r="BD42" s="78"/>
      <c r="BE42" s="78"/>
      <c r="BF42" s="78"/>
      <c r="BG42" s="78"/>
      <c r="BH42" s="78"/>
      <c r="BI42" s="78"/>
      <c r="BJ42" s="78"/>
      <c r="BK42" s="78"/>
      <c r="BL42" s="78"/>
      <c r="BM42" s="78"/>
      <c r="BN42" s="78"/>
      <c r="BO42" s="78"/>
      <c r="BP42" s="78"/>
      <c r="BQ42" s="78"/>
      <c r="BR42" s="78"/>
    </row>
    <row r="43" spans="3:70" ht="14.25" customHeight="1" x14ac:dyDescent="0.2">
      <c r="D43" s="2" t="s">
        <v>33</v>
      </c>
      <c r="E43" s="2" t="s">
        <v>34</v>
      </c>
      <c r="F43" s="2" t="s">
        <v>35</v>
      </c>
      <c r="G43" s="2" t="s">
        <v>36</v>
      </c>
      <c r="H43" s="2" t="s">
        <v>37</v>
      </c>
      <c r="I43" s="2" t="s">
        <v>47</v>
      </c>
      <c r="J43" s="2" t="s">
        <v>58</v>
      </c>
      <c r="K43" s="2" t="s">
        <v>33</v>
      </c>
      <c r="L43" s="2" t="s">
        <v>34</v>
      </c>
      <c r="M43" s="2" t="s">
        <v>35</v>
      </c>
      <c r="N43" s="2" t="s">
        <v>36</v>
      </c>
      <c r="O43" s="2" t="s">
        <v>37</v>
      </c>
      <c r="P43" s="2" t="s">
        <v>47</v>
      </c>
      <c r="Q43" s="2" t="s">
        <v>58</v>
      </c>
      <c r="R43" s="2" t="s">
        <v>33</v>
      </c>
      <c r="S43" s="2" t="s">
        <v>34</v>
      </c>
      <c r="T43" s="2" t="s">
        <v>35</v>
      </c>
      <c r="U43" s="2" t="s">
        <v>36</v>
      </c>
      <c r="V43" s="2" t="s">
        <v>37</v>
      </c>
      <c r="W43" s="2" t="s">
        <v>47</v>
      </c>
      <c r="X43" s="2" t="s">
        <v>58</v>
      </c>
      <c r="Z43" s="73"/>
      <c r="AA43" s="73"/>
      <c r="AB43" s="73"/>
      <c r="AC43" s="73"/>
      <c r="AD43" s="73"/>
      <c r="AE43" s="73"/>
      <c r="AF43" s="73"/>
      <c r="AG43" s="73"/>
      <c r="AH43" s="73"/>
      <c r="AI43" s="73"/>
      <c r="AJ43" s="73"/>
      <c r="AK43" s="73"/>
      <c r="AL43" s="73"/>
      <c r="AM43" s="73"/>
      <c r="AN43" s="73"/>
      <c r="AO43" s="73"/>
      <c r="AP43" s="73"/>
      <c r="AQ43" s="73"/>
      <c r="AR43" s="73"/>
      <c r="AS43" s="73"/>
      <c r="AT43" s="73"/>
      <c r="AU43" s="73"/>
      <c r="AW43" s="78"/>
      <c r="AX43" s="78"/>
      <c r="AY43" s="78"/>
      <c r="AZ43" s="78"/>
      <c r="BA43" s="78"/>
      <c r="BB43" s="78"/>
      <c r="BC43" s="78"/>
      <c r="BD43" s="78"/>
      <c r="BE43" s="78"/>
      <c r="BF43" s="78"/>
      <c r="BG43" s="78"/>
      <c r="BH43" s="78"/>
      <c r="BI43" s="78"/>
      <c r="BJ43" s="78"/>
      <c r="BK43" s="78"/>
      <c r="BL43" s="78"/>
      <c r="BM43" s="78"/>
      <c r="BN43" s="78"/>
      <c r="BO43" s="78"/>
      <c r="BP43" s="78"/>
      <c r="BQ43" s="78"/>
      <c r="BR43" s="78"/>
    </row>
    <row r="44" spans="3:70" ht="14.25" customHeight="1" x14ac:dyDescent="0.2">
      <c r="C44" s="2" t="s">
        <v>0</v>
      </c>
      <c r="D44" s="8">
        <v>14.8</v>
      </c>
      <c r="E44" s="8">
        <v>14.6</v>
      </c>
      <c r="F44" s="8">
        <v>16.600000000000001</v>
      </c>
      <c r="G44" s="8">
        <v>17.2</v>
      </c>
      <c r="H44" s="8">
        <v>15.5</v>
      </c>
      <c r="I44" s="8">
        <v>78.8</v>
      </c>
      <c r="J44" s="15">
        <v>20633</v>
      </c>
      <c r="K44" s="8">
        <v>19.2</v>
      </c>
      <c r="L44" s="8">
        <v>16.3</v>
      </c>
      <c r="M44" s="8">
        <v>16.899999999999999</v>
      </c>
      <c r="N44" s="8">
        <v>15.8</v>
      </c>
      <c r="O44" s="8">
        <v>14</v>
      </c>
      <c r="P44" s="8">
        <v>82.3</v>
      </c>
      <c r="Q44" s="15">
        <v>32427</v>
      </c>
      <c r="R44" s="8">
        <v>17.5</v>
      </c>
      <c r="S44" s="8">
        <v>15.7</v>
      </c>
      <c r="T44" s="8">
        <v>16.8</v>
      </c>
      <c r="U44" s="8">
        <v>16.399999999999999</v>
      </c>
      <c r="V44" s="8">
        <v>14.6</v>
      </c>
      <c r="W44" s="8">
        <v>80.900000000000006</v>
      </c>
      <c r="X44" s="15">
        <v>53060</v>
      </c>
      <c r="Z44" s="73"/>
      <c r="AA44" s="73"/>
      <c r="AB44" s="73"/>
      <c r="AC44" s="73"/>
      <c r="AD44" s="73"/>
      <c r="AE44" s="73"/>
      <c r="AF44" s="73"/>
      <c r="AG44" s="73"/>
      <c r="AH44" s="73"/>
      <c r="AI44" s="73"/>
      <c r="AJ44" s="73"/>
      <c r="AK44" s="73"/>
      <c r="AL44" s="73"/>
      <c r="AM44" s="73"/>
      <c r="AN44" s="73"/>
      <c r="AO44" s="73"/>
      <c r="AP44" s="73"/>
      <c r="AQ44" s="73"/>
      <c r="AR44" s="73"/>
      <c r="AS44" s="73"/>
      <c r="AT44" s="73"/>
      <c r="AU44" s="73"/>
      <c r="AW44" s="78"/>
      <c r="AX44" s="89"/>
      <c r="AY44" s="89"/>
      <c r="AZ44" s="89"/>
      <c r="BA44" s="89"/>
      <c r="BB44" s="89"/>
      <c r="BC44" s="89"/>
      <c r="BD44" s="89"/>
      <c r="BE44" s="89"/>
      <c r="BF44" s="89"/>
      <c r="BG44" s="89"/>
      <c r="BH44" s="89"/>
      <c r="BI44" s="89"/>
      <c r="BJ44" s="89"/>
      <c r="BK44" s="89"/>
      <c r="BL44" s="89"/>
      <c r="BM44" s="89"/>
      <c r="BN44" s="89"/>
      <c r="BO44" s="89"/>
      <c r="BP44" s="89"/>
      <c r="BQ44" s="89"/>
      <c r="BR44" s="89"/>
    </row>
    <row r="45" spans="3:70" ht="14.25" customHeight="1" x14ac:dyDescent="0.2">
      <c r="C45" s="2" t="s">
        <v>1</v>
      </c>
      <c r="D45" s="8">
        <v>18.899999999999999</v>
      </c>
      <c r="E45" s="8">
        <v>16.7</v>
      </c>
      <c r="F45" s="8">
        <v>17</v>
      </c>
      <c r="G45" s="8">
        <v>16.3</v>
      </c>
      <c r="H45" s="8">
        <v>14.1</v>
      </c>
      <c r="I45" s="8">
        <v>82.9</v>
      </c>
      <c r="J45" s="15">
        <v>17809</v>
      </c>
      <c r="K45" s="8">
        <v>22.1</v>
      </c>
      <c r="L45" s="8">
        <v>18.3</v>
      </c>
      <c r="M45" s="8">
        <v>17.7</v>
      </c>
      <c r="N45" s="8">
        <v>15.6</v>
      </c>
      <c r="O45" s="8">
        <v>12.7</v>
      </c>
      <c r="P45" s="8">
        <v>86.5</v>
      </c>
      <c r="Q45" s="15">
        <v>18249</v>
      </c>
      <c r="R45" s="8">
        <v>20.5</v>
      </c>
      <c r="S45" s="8">
        <v>17.5</v>
      </c>
      <c r="T45" s="8">
        <v>17.3</v>
      </c>
      <c r="U45" s="8">
        <v>16</v>
      </c>
      <c r="V45" s="8">
        <v>13.4</v>
      </c>
      <c r="W45" s="8">
        <v>84.7</v>
      </c>
      <c r="X45" s="15">
        <v>36058</v>
      </c>
      <c r="Z45" s="73"/>
      <c r="AA45" s="73"/>
      <c r="AB45" s="73"/>
      <c r="AC45" s="73"/>
      <c r="AD45" s="73"/>
      <c r="AE45" s="73"/>
      <c r="AF45" s="73"/>
      <c r="AG45" s="73"/>
      <c r="AH45" s="73"/>
      <c r="AI45" s="73"/>
      <c r="AJ45" s="73"/>
      <c r="AK45" s="73"/>
      <c r="AL45" s="73"/>
      <c r="AM45" s="73"/>
      <c r="AN45" s="73"/>
      <c r="AO45" s="73"/>
      <c r="AP45" s="73"/>
      <c r="AQ45" s="73"/>
      <c r="AR45" s="73"/>
      <c r="AS45" s="73"/>
      <c r="AT45" s="73"/>
      <c r="AU45" s="73"/>
      <c r="AW45" s="78"/>
      <c r="AX45" s="89"/>
      <c r="AY45" s="89"/>
      <c r="AZ45" s="89"/>
      <c r="BA45" s="89"/>
      <c r="BB45" s="89"/>
      <c r="BC45" s="89"/>
      <c r="BD45" s="89"/>
      <c r="BE45" s="89"/>
      <c r="BF45" s="89"/>
      <c r="BG45" s="89"/>
      <c r="BH45" s="89"/>
      <c r="BI45" s="89"/>
      <c r="BJ45" s="89"/>
      <c r="BK45" s="89"/>
      <c r="BL45" s="89"/>
      <c r="BM45" s="89"/>
      <c r="BN45" s="89"/>
      <c r="BO45" s="89"/>
      <c r="BP45" s="89"/>
      <c r="BQ45" s="89"/>
      <c r="BR45" s="89"/>
    </row>
    <row r="46" spans="3:70" ht="14.25" customHeight="1" x14ac:dyDescent="0.2">
      <c r="C46" s="2" t="s">
        <v>2</v>
      </c>
      <c r="D46" s="8">
        <v>19.399999999999999</v>
      </c>
      <c r="E46" s="8">
        <v>16.2</v>
      </c>
      <c r="F46" s="8">
        <v>16.7</v>
      </c>
      <c r="G46" s="8">
        <v>15.5</v>
      </c>
      <c r="H46" s="8">
        <v>13.4</v>
      </c>
      <c r="I46" s="8">
        <v>81.099999999999994</v>
      </c>
      <c r="J46" s="15">
        <v>23540</v>
      </c>
      <c r="K46" s="8">
        <v>25.9</v>
      </c>
      <c r="L46" s="8">
        <v>19.100000000000001</v>
      </c>
      <c r="M46" s="8">
        <v>17.8</v>
      </c>
      <c r="N46" s="8">
        <v>14.3</v>
      </c>
      <c r="O46" s="8">
        <v>10.8</v>
      </c>
      <c r="P46" s="8">
        <v>87.9</v>
      </c>
      <c r="Q46" s="15">
        <v>7714</v>
      </c>
      <c r="R46" s="8">
        <v>21</v>
      </c>
      <c r="S46" s="8">
        <v>16.899999999999999</v>
      </c>
      <c r="T46" s="8">
        <v>16.899999999999999</v>
      </c>
      <c r="U46" s="8">
        <v>15.2</v>
      </c>
      <c r="V46" s="8">
        <v>12.7</v>
      </c>
      <c r="W46" s="8">
        <v>82.7</v>
      </c>
      <c r="X46" s="15">
        <v>31254</v>
      </c>
      <c r="Z46" s="73"/>
      <c r="AA46" s="73"/>
      <c r="AB46" s="73"/>
      <c r="AC46" s="73"/>
      <c r="AD46" s="73"/>
      <c r="AE46" s="73"/>
      <c r="AF46" s="73"/>
      <c r="AG46" s="73"/>
      <c r="AH46" s="73"/>
      <c r="AI46" s="73"/>
      <c r="AJ46" s="73"/>
      <c r="AK46" s="73"/>
      <c r="AL46" s="73"/>
      <c r="AM46" s="73"/>
      <c r="AN46" s="73"/>
      <c r="AO46" s="73"/>
      <c r="AP46" s="73"/>
      <c r="AQ46" s="73"/>
      <c r="AR46" s="73"/>
      <c r="AS46" s="73"/>
      <c r="AT46" s="73"/>
      <c r="AU46" s="73"/>
      <c r="AW46" s="78"/>
      <c r="AX46" s="89"/>
      <c r="AY46" s="89"/>
      <c r="AZ46" s="89"/>
      <c r="BA46" s="89"/>
      <c r="BB46" s="89"/>
      <c r="BC46" s="89"/>
      <c r="BD46" s="89"/>
      <c r="BE46" s="89"/>
      <c r="BF46" s="89"/>
      <c r="BG46" s="89"/>
      <c r="BH46" s="89"/>
      <c r="BI46" s="89"/>
      <c r="BJ46" s="89"/>
      <c r="BK46" s="89"/>
      <c r="BL46" s="89"/>
      <c r="BM46" s="89"/>
      <c r="BN46" s="89"/>
      <c r="BO46" s="89"/>
      <c r="BP46" s="89"/>
      <c r="BQ46" s="89"/>
      <c r="BR46" s="89"/>
    </row>
    <row r="47" spans="3:70" ht="14.25" customHeight="1" x14ac:dyDescent="0.2">
      <c r="C47" s="2" t="s">
        <v>3</v>
      </c>
      <c r="D47" s="8">
        <v>15.1</v>
      </c>
      <c r="E47" s="8">
        <v>15</v>
      </c>
      <c r="F47" s="8">
        <v>18.399999999999999</v>
      </c>
      <c r="G47" s="8">
        <v>18.600000000000001</v>
      </c>
      <c r="H47" s="8">
        <v>15.2</v>
      </c>
      <c r="I47" s="8">
        <v>82.2</v>
      </c>
      <c r="J47" s="15">
        <v>5348</v>
      </c>
      <c r="K47" s="8">
        <v>12.4</v>
      </c>
      <c r="L47" s="8">
        <v>16.100000000000001</v>
      </c>
      <c r="M47" s="8">
        <v>19.5</v>
      </c>
      <c r="N47" s="8">
        <v>20.6</v>
      </c>
      <c r="O47" s="8">
        <v>15.2</v>
      </c>
      <c r="P47" s="8">
        <v>83.9</v>
      </c>
      <c r="Q47" s="15">
        <v>2584</v>
      </c>
      <c r="R47" s="8">
        <v>14.2</v>
      </c>
      <c r="S47" s="8">
        <v>15.4</v>
      </c>
      <c r="T47" s="8">
        <v>18.7</v>
      </c>
      <c r="U47" s="8">
        <v>19.2</v>
      </c>
      <c r="V47" s="8">
        <v>15.2</v>
      </c>
      <c r="W47" s="8">
        <v>82.8</v>
      </c>
      <c r="X47" s="15">
        <v>7932</v>
      </c>
      <c r="Z47" s="73"/>
      <c r="AA47" s="73"/>
      <c r="AB47" s="73"/>
      <c r="AC47" s="73"/>
      <c r="AD47" s="73"/>
      <c r="AE47" s="73"/>
      <c r="AF47" s="73"/>
      <c r="AG47" s="73"/>
      <c r="AH47" s="73"/>
      <c r="AI47" s="73"/>
      <c r="AJ47" s="73"/>
      <c r="AK47" s="73"/>
      <c r="AL47" s="73"/>
      <c r="AM47" s="73"/>
      <c r="AN47" s="73"/>
      <c r="AO47" s="73"/>
      <c r="AP47" s="73"/>
      <c r="AQ47" s="73"/>
      <c r="AR47" s="73"/>
      <c r="AS47" s="73"/>
      <c r="AT47" s="73"/>
      <c r="AU47" s="73"/>
      <c r="AW47" s="78"/>
      <c r="AX47" s="89"/>
      <c r="AY47" s="89"/>
      <c r="AZ47" s="89"/>
      <c r="BA47" s="89"/>
      <c r="BB47" s="89"/>
      <c r="BC47" s="89"/>
      <c r="BD47" s="89"/>
      <c r="BE47" s="89"/>
      <c r="BF47" s="89"/>
      <c r="BG47" s="89"/>
      <c r="BH47" s="89"/>
      <c r="BI47" s="89"/>
      <c r="BJ47" s="89"/>
      <c r="BK47" s="89"/>
      <c r="BL47" s="89"/>
      <c r="BM47" s="89"/>
      <c r="BN47" s="89"/>
      <c r="BO47" s="89"/>
      <c r="BP47" s="89"/>
      <c r="BQ47" s="89"/>
      <c r="BR47" s="89"/>
    </row>
    <row r="48" spans="3:70" ht="14.25" customHeight="1" x14ac:dyDescent="0.2">
      <c r="C48" s="2" t="s">
        <v>4</v>
      </c>
      <c r="D48" s="8">
        <v>19.8</v>
      </c>
      <c r="E48" s="8">
        <v>12.8</v>
      </c>
      <c r="F48" s="8">
        <v>13.5</v>
      </c>
      <c r="G48" s="8">
        <v>13.7</v>
      </c>
      <c r="H48" s="8">
        <v>13.5</v>
      </c>
      <c r="I48" s="8">
        <v>73.2</v>
      </c>
      <c r="J48" s="15">
        <v>34399</v>
      </c>
      <c r="K48" s="8">
        <v>22.9</v>
      </c>
      <c r="L48" s="8">
        <v>14.5</v>
      </c>
      <c r="M48" s="8">
        <v>15</v>
      </c>
      <c r="N48" s="8">
        <v>13.9</v>
      </c>
      <c r="O48" s="8">
        <v>12.7</v>
      </c>
      <c r="P48" s="8">
        <v>79</v>
      </c>
      <c r="Q48" s="15">
        <v>22834</v>
      </c>
      <c r="R48" s="8">
        <v>21</v>
      </c>
      <c r="S48" s="8">
        <v>13.5</v>
      </c>
      <c r="T48" s="8">
        <v>14.1</v>
      </c>
      <c r="U48" s="8">
        <v>13.8</v>
      </c>
      <c r="V48" s="8">
        <v>13.2</v>
      </c>
      <c r="W48" s="8">
        <v>75.5</v>
      </c>
      <c r="X48" s="15">
        <v>57233</v>
      </c>
      <c r="Z48" s="73"/>
      <c r="AA48" s="73"/>
      <c r="AB48" s="73"/>
      <c r="AC48" s="73"/>
      <c r="AD48" s="73"/>
      <c r="AE48" s="73"/>
      <c r="AF48" s="73"/>
      <c r="AG48" s="73"/>
      <c r="AH48" s="73"/>
      <c r="AI48" s="73"/>
      <c r="AJ48" s="73"/>
      <c r="AK48" s="73"/>
      <c r="AL48" s="73"/>
      <c r="AM48" s="73"/>
      <c r="AN48" s="73"/>
      <c r="AO48" s="73"/>
      <c r="AP48" s="73"/>
      <c r="AQ48" s="73"/>
      <c r="AR48" s="73"/>
      <c r="AS48" s="73"/>
      <c r="AT48" s="73"/>
      <c r="AU48" s="73"/>
      <c r="AW48" s="78"/>
      <c r="AX48" s="89"/>
      <c r="AY48" s="89"/>
      <c r="AZ48" s="89"/>
      <c r="BA48" s="89"/>
      <c r="BB48" s="89"/>
      <c r="BC48" s="89"/>
      <c r="BD48" s="89"/>
      <c r="BE48" s="89"/>
      <c r="BF48" s="89"/>
      <c r="BG48" s="89"/>
      <c r="BH48" s="89"/>
      <c r="BI48" s="89"/>
      <c r="BJ48" s="89"/>
      <c r="BK48" s="89"/>
      <c r="BL48" s="89"/>
      <c r="BM48" s="89"/>
      <c r="BN48" s="89"/>
      <c r="BO48" s="89"/>
      <c r="BP48" s="89"/>
      <c r="BQ48" s="89"/>
      <c r="BR48" s="89"/>
    </row>
    <row r="49" spans="1:70" ht="14.25" customHeight="1" x14ac:dyDescent="0.2">
      <c r="C49" s="2" t="s">
        <v>5</v>
      </c>
      <c r="D49" s="8">
        <v>42.1</v>
      </c>
      <c r="E49" s="8">
        <v>17.100000000000001</v>
      </c>
      <c r="F49" s="8">
        <v>15.7</v>
      </c>
      <c r="G49" s="8">
        <v>10.7</v>
      </c>
      <c r="H49" s="8">
        <v>6.9</v>
      </c>
      <c r="I49" s="8">
        <v>92.4</v>
      </c>
      <c r="J49" s="15">
        <v>1467</v>
      </c>
      <c r="K49" s="8">
        <v>50.1</v>
      </c>
      <c r="L49" s="8">
        <v>19.2</v>
      </c>
      <c r="M49" s="8">
        <v>14.5</v>
      </c>
      <c r="N49" s="8">
        <v>7.5</v>
      </c>
      <c r="O49" s="8">
        <v>2.9</v>
      </c>
      <c r="P49" s="8">
        <v>94.3</v>
      </c>
      <c r="Q49" s="15">
        <v>826</v>
      </c>
      <c r="R49" s="8">
        <v>45</v>
      </c>
      <c r="S49" s="8">
        <v>17.899999999999999</v>
      </c>
      <c r="T49" s="8">
        <v>15.3</v>
      </c>
      <c r="U49" s="8">
        <v>9.6</v>
      </c>
      <c r="V49" s="8">
        <v>5.5</v>
      </c>
      <c r="W49" s="8">
        <v>93.1</v>
      </c>
      <c r="X49" s="15">
        <v>2293</v>
      </c>
      <c r="Z49" s="73"/>
      <c r="AA49" s="73"/>
      <c r="AB49" s="73"/>
      <c r="AC49" s="73"/>
      <c r="AD49" s="73"/>
      <c r="AE49" s="73"/>
      <c r="AF49" s="73"/>
      <c r="AG49" s="73"/>
      <c r="AH49" s="73"/>
      <c r="AI49" s="73"/>
      <c r="AJ49" s="73"/>
      <c r="AK49" s="73"/>
      <c r="AL49" s="73"/>
      <c r="AM49" s="73"/>
      <c r="AN49" s="73"/>
      <c r="AO49" s="73"/>
      <c r="AP49" s="73"/>
      <c r="AQ49" s="73"/>
      <c r="AR49" s="73"/>
      <c r="AS49" s="73"/>
      <c r="AT49" s="73"/>
      <c r="AU49" s="73"/>
      <c r="AW49" s="78"/>
      <c r="AX49" s="89"/>
      <c r="AY49" s="89"/>
      <c r="AZ49" s="89"/>
      <c r="BA49" s="89"/>
      <c r="BB49" s="89"/>
      <c r="BC49" s="89"/>
      <c r="BD49" s="89"/>
      <c r="BE49" s="89"/>
      <c r="BF49" s="89"/>
      <c r="BG49" s="89"/>
      <c r="BH49" s="89"/>
      <c r="BI49" s="89"/>
      <c r="BJ49" s="89"/>
      <c r="BK49" s="89"/>
      <c r="BL49" s="89"/>
      <c r="BM49" s="89"/>
      <c r="BN49" s="89"/>
      <c r="BO49" s="89"/>
      <c r="BP49" s="89"/>
      <c r="BQ49" s="89"/>
      <c r="BR49" s="89"/>
    </row>
    <row r="50" spans="1:70" ht="14.25" customHeight="1" x14ac:dyDescent="0.2">
      <c r="C50" s="2" t="s">
        <v>6</v>
      </c>
      <c r="D50" s="8">
        <v>11.2</v>
      </c>
      <c r="E50" s="8">
        <v>16</v>
      </c>
      <c r="F50" s="8">
        <v>21</v>
      </c>
      <c r="G50" s="8">
        <v>20.399999999999999</v>
      </c>
      <c r="H50" s="8">
        <v>16.3</v>
      </c>
      <c r="I50" s="8">
        <v>84.9</v>
      </c>
      <c r="J50" s="15">
        <v>12052</v>
      </c>
      <c r="K50" s="8">
        <v>16.3</v>
      </c>
      <c r="L50" s="8">
        <v>20.100000000000001</v>
      </c>
      <c r="M50" s="8">
        <v>23.6</v>
      </c>
      <c r="N50" s="8">
        <v>18.5</v>
      </c>
      <c r="O50" s="8">
        <v>12</v>
      </c>
      <c r="P50" s="8">
        <v>90.6</v>
      </c>
      <c r="Q50" s="15">
        <v>7330</v>
      </c>
      <c r="R50" s="8">
        <v>13.2</v>
      </c>
      <c r="S50" s="8">
        <v>17.600000000000001</v>
      </c>
      <c r="T50" s="8">
        <v>22</v>
      </c>
      <c r="U50" s="8">
        <v>19.7</v>
      </c>
      <c r="V50" s="8">
        <v>14.7</v>
      </c>
      <c r="W50" s="8">
        <v>87.1</v>
      </c>
      <c r="X50" s="15">
        <v>19382</v>
      </c>
      <c r="Z50" s="73"/>
      <c r="AA50" s="73"/>
      <c r="AB50" s="73"/>
      <c r="AC50" s="73"/>
      <c r="AD50" s="73"/>
      <c r="AE50" s="73"/>
      <c r="AF50" s="73"/>
      <c r="AG50" s="73"/>
      <c r="AH50" s="73"/>
      <c r="AI50" s="73"/>
      <c r="AJ50" s="73"/>
      <c r="AK50" s="73"/>
      <c r="AL50" s="73"/>
      <c r="AM50" s="73"/>
      <c r="AN50" s="73"/>
      <c r="AO50" s="73"/>
      <c r="AP50" s="73"/>
      <c r="AQ50" s="73"/>
      <c r="AR50" s="73"/>
      <c r="AS50" s="73"/>
      <c r="AT50" s="73"/>
      <c r="AU50" s="73"/>
      <c r="AW50" s="78"/>
      <c r="AX50" s="89"/>
      <c r="AY50" s="89"/>
      <c r="AZ50" s="89"/>
      <c r="BA50" s="89"/>
      <c r="BB50" s="89"/>
      <c r="BC50" s="89"/>
      <c r="BD50" s="89"/>
      <c r="BE50" s="89"/>
      <c r="BF50" s="89"/>
      <c r="BG50" s="89"/>
      <c r="BH50" s="89"/>
      <c r="BI50" s="89"/>
      <c r="BJ50" s="89"/>
      <c r="BK50" s="89"/>
      <c r="BL50" s="89"/>
      <c r="BM50" s="89"/>
      <c r="BN50" s="89"/>
      <c r="BO50" s="89"/>
      <c r="BP50" s="89"/>
      <c r="BQ50" s="89"/>
      <c r="BR50" s="89"/>
    </row>
    <row r="51" spans="1:70" ht="14.25" customHeight="1" x14ac:dyDescent="0.2">
      <c r="C51" s="2" t="s">
        <v>168</v>
      </c>
      <c r="D51" s="8">
        <v>10.9</v>
      </c>
      <c r="E51" s="8">
        <v>13.7</v>
      </c>
      <c r="F51" s="8">
        <v>17.5</v>
      </c>
      <c r="G51" s="8">
        <v>18.600000000000001</v>
      </c>
      <c r="H51" s="8">
        <v>15.4</v>
      </c>
      <c r="I51" s="8">
        <v>76.3</v>
      </c>
      <c r="J51" s="15">
        <v>11171</v>
      </c>
      <c r="K51" s="8">
        <v>10.199999999999999</v>
      </c>
      <c r="L51" s="8">
        <v>13.3</v>
      </c>
      <c r="M51" s="8">
        <v>16.399999999999999</v>
      </c>
      <c r="N51" s="8">
        <v>18.5</v>
      </c>
      <c r="O51" s="8">
        <v>16.899999999999999</v>
      </c>
      <c r="P51" s="8">
        <v>75.3</v>
      </c>
      <c r="Q51" s="15">
        <v>1828</v>
      </c>
      <c r="R51" s="8">
        <v>10.8</v>
      </c>
      <c r="S51" s="8">
        <v>13.7</v>
      </c>
      <c r="T51" s="8">
        <v>17.3</v>
      </c>
      <c r="U51" s="8">
        <v>18.600000000000001</v>
      </c>
      <c r="V51" s="8">
        <v>15.6</v>
      </c>
      <c r="W51" s="8">
        <v>76.099999999999994</v>
      </c>
      <c r="X51" s="15">
        <v>12999</v>
      </c>
      <c r="Z51" s="73"/>
      <c r="AA51" s="73"/>
      <c r="AB51" s="73"/>
      <c r="AC51" s="73"/>
      <c r="AD51" s="73"/>
      <c r="AE51" s="73"/>
      <c r="AF51" s="73"/>
      <c r="AG51" s="73"/>
      <c r="AH51" s="73"/>
      <c r="AI51" s="73"/>
      <c r="AJ51" s="73"/>
      <c r="AK51" s="73"/>
      <c r="AL51" s="73"/>
      <c r="AM51" s="73"/>
      <c r="AN51" s="73"/>
      <c r="AO51" s="73"/>
      <c r="AP51" s="73"/>
      <c r="AQ51" s="73"/>
      <c r="AR51" s="73"/>
      <c r="AS51" s="73"/>
      <c r="AT51" s="73"/>
      <c r="AU51" s="73"/>
      <c r="AW51" s="78"/>
      <c r="AX51" s="89"/>
      <c r="AY51" s="89"/>
      <c r="AZ51" s="89"/>
      <c r="BA51" s="89"/>
      <c r="BB51" s="89"/>
      <c r="BC51" s="89"/>
      <c r="BD51" s="89"/>
      <c r="BE51" s="89"/>
      <c r="BF51" s="89"/>
      <c r="BG51" s="89"/>
      <c r="BH51" s="89"/>
      <c r="BI51" s="89"/>
      <c r="BJ51" s="89"/>
      <c r="BK51" s="89"/>
      <c r="BL51" s="89"/>
      <c r="BM51" s="89"/>
      <c r="BN51" s="89"/>
      <c r="BO51" s="89"/>
      <c r="BP51" s="89"/>
      <c r="BQ51" s="89"/>
      <c r="BR51" s="89"/>
    </row>
    <row r="52" spans="1:70" ht="14.25" customHeight="1" x14ac:dyDescent="0.2">
      <c r="C52" s="2" t="s">
        <v>8</v>
      </c>
      <c r="D52" s="8">
        <v>4.4000000000000004</v>
      </c>
      <c r="E52" s="8">
        <v>10.4</v>
      </c>
      <c r="F52" s="8">
        <v>18.100000000000001</v>
      </c>
      <c r="G52" s="8">
        <v>21.4</v>
      </c>
      <c r="H52" s="8">
        <v>19.399999999999999</v>
      </c>
      <c r="I52" s="8">
        <v>73.8</v>
      </c>
      <c r="J52" s="15">
        <v>17583</v>
      </c>
      <c r="K52" s="8">
        <v>5.3</v>
      </c>
      <c r="L52" s="8">
        <v>11.7</v>
      </c>
      <c r="M52" s="8">
        <v>19.3</v>
      </c>
      <c r="N52" s="8">
        <v>21.5</v>
      </c>
      <c r="O52" s="8">
        <v>18.600000000000001</v>
      </c>
      <c r="P52" s="8">
        <v>76.3</v>
      </c>
      <c r="Q52" s="15">
        <v>10393</v>
      </c>
      <c r="R52" s="8">
        <v>4.7</v>
      </c>
      <c r="S52" s="8">
        <v>10.9</v>
      </c>
      <c r="T52" s="8">
        <v>18.600000000000001</v>
      </c>
      <c r="U52" s="8">
        <v>21.5</v>
      </c>
      <c r="V52" s="8">
        <v>19.100000000000001</v>
      </c>
      <c r="W52" s="8">
        <v>74.7</v>
      </c>
      <c r="X52" s="15">
        <v>27976</v>
      </c>
      <c r="Z52" s="73"/>
      <c r="AA52" s="73"/>
      <c r="AB52" s="73"/>
      <c r="AC52" s="73"/>
      <c r="AD52" s="73"/>
      <c r="AE52" s="73"/>
      <c r="AF52" s="73"/>
      <c r="AG52" s="73"/>
      <c r="AH52" s="73"/>
      <c r="AI52" s="73"/>
      <c r="AJ52" s="73"/>
      <c r="AK52" s="73"/>
      <c r="AL52" s="73"/>
      <c r="AM52" s="73"/>
      <c r="AN52" s="73"/>
      <c r="AO52" s="73"/>
      <c r="AP52" s="73"/>
      <c r="AQ52" s="73"/>
      <c r="AR52" s="73"/>
      <c r="AS52" s="73"/>
      <c r="AT52" s="73"/>
      <c r="AU52" s="73"/>
      <c r="AW52" s="78"/>
      <c r="AX52" s="89"/>
      <c r="AY52" s="89"/>
      <c r="AZ52" s="89"/>
      <c r="BA52" s="89"/>
      <c r="BB52" s="89"/>
      <c r="BC52" s="89"/>
      <c r="BD52" s="89"/>
      <c r="BE52" s="89"/>
      <c r="BF52" s="89"/>
      <c r="BG52" s="89"/>
      <c r="BH52" s="89"/>
      <c r="BI52" s="89"/>
      <c r="BJ52" s="89"/>
      <c r="BK52" s="89"/>
      <c r="BL52" s="89"/>
      <c r="BM52" s="89"/>
      <c r="BN52" s="89"/>
      <c r="BO52" s="89"/>
      <c r="BP52" s="89"/>
      <c r="BQ52" s="89"/>
      <c r="BR52" s="89"/>
    </row>
    <row r="53" spans="1:70" ht="14.25" customHeight="1" x14ac:dyDescent="0.2">
      <c r="A53" s="8"/>
      <c r="B53" s="8"/>
      <c r="C53" s="2" t="s">
        <v>9</v>
      </c>
      <c r="D53" s="87" t="s">
        <v>78</v>
      </c>
      <c r="E53" s="8">
        <v>12.6</v>
      </c>
      <c r="F53" s="8">
        <v>19.5</v>
      </c>
      <c r="G53" s="8">
        <v>23</v>
      </c>
      <c r="H53" s="8">
        <v>27.6</v>
      </c>
      <c r="I53" s="8">
        <v>85.1</v>
      </c>
      <c r="J53" s="15">
        <v>87</v>
      </c>
      <c r="K53" s="8">
        <v>19.399999999999999</v>
      </c>
      <c r="L53" s="8">
        <v>14.7</v>
      </c>
      <c r="M53" s="8">
        <v>18.2</v>
      </c>
      <c r="N53" s="8">
        <v>22.8</v>
      </c>
      <c r="O53" s="8">
        <v>14.3</v>
      </c>
      <c r="P53" s="8">
        <v>89.4</v>
      </c>
      <c r="Q53" s="15">
        <v>707</v>
      </c>
      <c r="R53" s="8">
        <v>17.5</v>
      </c>
      <c r="S53" s="8">
        <v>14.5</v>
      </c>
      <c r="T53" s="8">
        <v>18.399999999999999</v>
      </c>
      <c r="U53" s="8">
        <v>22.8</v>
      </c>
      <c r="V53" s="8">
        <v>15.7</v>
      </c>
      <c r="W53" s="8">
        <v>88.9</v>
      </c>
      <c r="X53" s="15">
        <v>794</v>
      </c>
      <c r="Z53" s="73"/>
      <c r="AA53" s="73"/>
      <c r="AB53" s="73"/>
      <c r="AC53" s="73"/>
      <c r="AD53" s="73"/>
      <c r="AE53" s="73"/>
      <c r="AF53" s="73"/>
      <c r="AG53" s="73"/>
      <c r="AH53" s="73"/>
      <c r="AI53" s="73"/>
      <c r="AJ53" s="73"/>
      <c r="AK53" s="73"/>
      <c r="AL53" s="73"/>
      <c r="AM53" s="73"/>
      <c r="AN53" s="73"/>
      <c r="AO53" s="73"/>
      <c r="AP53" s="73"/>
      <c r="AQ53" s="73"/>
      <c r="AR53" s="73"/>
      <c r="AS53" s="73"/>
      <c r="AT53" s="73"/>
      <c r="AU53" s="73"/>
      <c r="AW53" s="78"/>
      <c r="AX53" s="89"/>
      <c r="AY53" s="89"/>
      <c r="AZ53" s="89"/>
      <c r="BA53" s="89"/>
      <c r="BB53" s="89"/>
      <c r="BC53" s="89"/>
      <c r="BD53" s="89"/>
      <c r="BE53" s="89"/>
      <c r="BF53" s="89"/>
      <c r="BG53" s="89"/>
      <c r="BH53" s="89"/>
      <c r="BI53" s="89"/>
      <c r="BJ53" s="89"/>
      <c r="BK53" s="89"/>
      <c r="BL53" s="89"/>
      <c r="BM53" s="89"/>
      <c r="BN53" s="89"/>
      <c r="BO53" s="89"/>
      <c r="BP53" s="89"/>
      <c r="BQ53" s="89"/>
      <c r="BR53" s="89"/>
    </row>
    <row r="54" spans="1:70" ht="14.25" customHeight="1" x14ac:dyDescent="0.2">
      <c r="C54" s="2" t="s">
        <v>10</v>
      </c>
      <c r="D54" s="8">
        <v>9.3000000000000007</v>
      </c>
      <c r="E54" s="8">
        <v>12.3</v>
      </c>
      <c r="F54" s="8">
        <v>14.7</v>
      </c>
      <c r="G54" s="8">
        <v>16.7</v>
      </c>
      <c r="H54" s="8">
        <v>15</v>
      </c>
      <c r="I54" s="8">
        <v>68</v>
      </c>
      <c r="J54" s="15">
        <v>3117</v>
      </c>
      <c r="K54" s="8">
        <v>10.6</v>
      </c>
      <c r="L54" s="8">
        <v>12.8</v>
      </c>
      <c r="M54" s="8">
        <v>14.9</v>
      </c>
      <c r="N54" s="8">
        <v>16.2</v>
      </c>
      <c r="O54" s="8">
        <v>16.5</v>
      </c>
      <c r="P54" s="8">
        <v>70.900000000000006</v>
      </c>
      <c r="Q54" s="15">
        <v>1968</v>
      </c>
      <c r="R54" s="8">
        <v>9.8000000000000007</v>
      </c>
      <c r="S54" s="8">
        <v>12.5</v>
      </c>
      <c r="T54" s="8">
        <v>14.8</v>
      </c>
      <c r="U54" s="8">
        <v>16.5</v>
      </c>
      <c r="V54" s="8">
        <v>15.6</v>
      </c>
      <c r="W54" s="8">
        <v>69.099999999999994</v>
      </c>
      <c r="X54" s="15">
        <v>5085</v>
      </c>
      <c r="Z54" s="73"/>
      <c r="AA54" s="73"/>
      <c r="AB54" s="73"/>
      <c r="AC54" s="73"/>
      <c r="AD54" s="73"/>
      <c r="AE54" s="73"/>
      <c r="AF54" s="73"/>
      <c r="AG54" s="73"/>
      <c r="AH54" s="73"/>
      <c r="AI54" s="73"/>
      <c r="AJ54" s="73"/>
      <c r="AK54" s="73"/>
      <c r="AL54" s="73"/>
      <c r="AM54" s="73"/>
      <c r="AN54" s="73"/>
      <c r="AO54" s="73"/>
      <c r="AP54" s="73"/>
      <c r="AQ54" s="73"/>
      <c r="AR54" s="73"/>
      <c r="AS54" s="73"/>
      <c r="AT54" s="73"/>
      <c r="AU54" s="73"/>
      <c r="AW54" s="78"/>
      <c r="AX54" s="89"/>
      <c r="AY54" s="89"/>
      <c r="AZ54" s="89"/>
      <c r="BA54" s="89"/>
      <c r="BB54" s="89"/>
      <c r="BC54" s="89"/>
      <c r="BD54" s="89"/>
      <c r="BE54" s="89"/>
      <c r="BF54" s="89"/>
      <c r="BG54" s="89"/>
      <c r="BH54" s="89"/>
      <c r="BI54" s="89"/>
      <c r="BJ54" s="89"/>
      <c r="BK54" s="89"/>
      <c r="BL54" s="89"/>
      <c r="BM54" s="89"/>
      <c r="BN54" s="89"/>
      <c r="BO54" s="89"/>
      <c r="BP54" s="89"/>
      <c r="BQ54" s="89"/>
      <c r="BR54" s="89"/>
    </row>
    <row r="55" spans="1:70" ht="14.25" customHeight="1" x14ac:dyDescent="0.2">
      <c r="C55" s="2" t="s">
        <v>11</v>
      </c>
      <c r="D55" s="8">
        <v>9.6999999999999993</v>
      </c>
      <c r="E55" s="8">
        <v>15.7</v>
      </c>
      <c r="F55" s="8">
        <v>22.3</v>
      </c>
      <c r="G55" s="8">
        <v>21.6</v>
      </c>
      <c r="H55" s="8">
        <v>15.8</v>
      </c>
      <c r="I55" s="8">
        <v>85.1</v>
      </c>
      <c r="J55" s="15">
        <v>22934</v>
      </c>
      <c r="K55" s="8">
        <v>12.1</v>
      </c>
      <c r="L55" s="8">
        <v>16.7</v>
      </c>
      <c r="M55" s="8">
        <v>22.3</v>
      </c>
      <c r="N55" s="8">
        <v>20</v>
      </c>
      <c r="O55" s="8">
        <v>15.3</v>
      </c>
      <c r="P55" s="8">
        <v>86.3</v>
      </c>
      <c r="Q55" s="15">
        <v>16658</v>
      </c>
      <c r="R55" s="8">
        <v>10.7</v>
      </c>
      <c r="S55" s="8">
        <v>16.100000000000001</v>
      </c>
      <c r="T55" s="8">
        <v>22.3</v>
      </c>
      <c r="U55" s="8">
        <v>20.9</v>
      </c>
      <c r="V55" s="8">
        <v>15.6</v>
      </c>
      <c r="W55" s="8">
        <v>85.6</v>
      </c>
      <c r="X55" s="15">
        <v>39592</v>
      </c>
      <c r="Z55" s="73"/>
      <c r="AA55" s="73"/>
      <c r="AB55" s="73"/>
      <c r="AC55" s="73"/>
      <c r="AD55" s="73"/>
      <c r="AE55" s="73"/>
      <c r="AF55" s="73"/>
      <c r="AG55" s="73"/>
      <c r="AH55" s="73"/>
      <c r="AI55" s="73"/>
      <c r="AJ55" s="73"/>
      <c r="AK55" s="73"/>
      <c r="AL55" s="73"/>
      <c r="AM55" s="73"/>
      <c r="AN55" s="73"/>
      <c r="AO55" s="73"/>
      <c r="AP55" s="73"/>
      <c r="AQ55" s="73"/>
      <c r="AR55" s="73"/>
      <c r="AS55" s="73"/>
      <c r="AT55" s="73"/>
      <c r="AU55" s="73"/>
      <c r="AW55" s="78"/>
      <c r="AX55" s="89"/>
      <c r="AY55" s="89"/>
      <c r="AZ55" s="89"/>
      <c r="BA55" s="89"/>
      <c r="BB55" s="89"/>
      <c r="BC55" s="89"/>
      <c r="BD55" s="89"/>
      <c r="BE55" s="89"/>
      <c r="BF55" s="89"/>
      <c r="BG55" s="89"/>
      <c r="BH55" s="89"/>
      <c r="BI55" s="89"/>
      <c r="BJ55" s="89"/>
      <c r="BK55" s="89"/>
      <c r="BL55" s="89"/>
      <c r="BM55" s="89"/>
      <c r="BN55" s="89"/>
      <c r="BO55" s="89"/>
      <c r="BP55" s="89"/>
      <c r="BQ55" s="89"/>
      <c r="BR55" s="89"/>
    </row>
    <row r="56" spans="1:70" ht="14.25" customHeight="1" x14ac:dyDescent="0.2">
      <c r="C56" s="2" t="s">
        <v>12</v>
      </c>
      <c r="D56" s="8">
        <v>24.6</v>
      </c>
      <c r="E56" s="8">
        <v>18</v>
      </c>
      <c r="F56" s="8">
        <v>16.899999999999999</v>
      </c>
      <c r="G56" s="8">
        <v>15</v>
      </c>
      <c r="H56" s="8">
        <v>11.7</v>
      </c>
      <c r="I56" s="8">
        <v>86.2</v>
      </c>
      <c r="J56" s="15">
        <v>10033</v>
      </c>
      <c r="K56" s="8">
        <v>27.2</v>
      </c>
      <c r="L56" s="8">
        <v>18.7</v>
      </c>
      <c r="M56" s="8">
        <v>16.399999999999999</v>
      </c>
      <c r="N56" s="8">
        <v>14.3</v>
      </c>
      <c r="O56" s="8">
        <v>10.3</v>
      </c>
      <c r="P56" s="8">
        <v>86.9</v>
      </c>
      <c r="Q56" s="15">
        <v>4563</v>
      </c>
      <c r="R56" s="8">
        <v>25.4</v>
      </c>
      <c r="S56" s="8">
        <v>18.2</v>
      </c>
      <c r="T56" s="8">
        <v>16.8</v>
      </c>
      <c r="U56" s="8">
        <v>14.8</v>
      </c>
      <c r="V56" s="8">
        <v>11.3</v>
      </c>
      <c r="W56" s="8">
        <v>86.4</v>
      </c>
      <c r="X56" s="15">
        <v>14596</v>
      </c>
      <c r="Z56" s="73"/>
      <c r="AA56" s="73"/>
      <c r="AB56" s="73"/>
      <c r="AC56" s="73"/>
      <c r="AD56" s="73"/>
      <c r="AE56" s="73"/>
      <c r="AF56" s="73"/>
      <c r="AG56" s="73"/>
      <c r="AH56" s="73"/>
      <c r="AI56" s="73"/>
      <c r="AJ56" s="73"/>
      <c r="AK56" s="73"/>
      <c r="AL56" s="73"/>
      <c r="AM56" s="73"/>
      <c r="AN56" s="73"/>
      <c r="AO56" s="73"/>
      <c r="AP56" s="73"/>
      <c r="AQ56" s="73"/>
      <c r="AR56" s="73"/>
      <c r="AS56" s="73"/>
      <c r="AT56" s="73"/>
      <c r="AU56" s="73"/>
      <c r="AW56" s="78"/>
      <c r="AX56" s="89"/>
      <c r="AY56" s="89"/>
      <c r="AZ56" s="89"/>
      <c r="BA56" s="89"/>
      <c r="BB56" s="89"/>
      <c r="BC56" s="89"/>
      <c r="BD56" s="89"/>
      <c r="BE56" s="89"/>
      <c r="BF56" s="89"/>
      <c r="BG56" s="89"/>
      <c r="BH56" s="89"/>
      <c r="BI56" s="89"/>
      <c r="BJ56" s="89"/>
      <c r="BK56" s="89"/>
      <c r="BL56" s="89"/>
      <c r="BM56" s="89"/>
      <c r="BN56" s="89"/>
      <c r="BO56" s="89"/>
      <c r="BP56" s="89"/>
      <c r="BQ56" s="89"/>
      <c r="BR56" s="89"/>
    </row>
    <row r="57" spans="1:70" ht="14.25" customHeight="1" x14ac:dyDescent="0.2">
      <c r="C57" s="2" t="s">
        <v>13</v>
      </c>
      <c r="D57" s="8">
        <v>15.4</v>
      </c>
      <c r="E57" s="8">
        <v>18</v>
      </c>
      <c r="F57" s="8">
        <v>20.2</v>
      </c>
      <c r="G57" s="8">
        <v>19</v>
      </c>
      <c r="H57" s="8">
        <v>14.7</v>
      </c>
      <c r="I57" s="8">
        <v>87.2</v>
      </c>
      <c r="J57" s="15">
        <v>18173</v>
      </c>
      <c r="K57" s="8">
        <v>23.5</v>
      </c>
      <c r="L57" s="8">
        <v>19.600000000000001</v>
      </c>
      <c r="M57" s="8">
        <v>19.899999999999999</v>
      </c>
      <c r="N57" s="8">
        <v>16</v>
      </c>
      <c r="O57" s="8">
        <v>11.3</v>
      </c>
      <c r="P57" s="8">
        <v>90.3</v>
      </c>
      <c r="Q57" s="15">
        <v>15854</v>
      </c>
      <c r="R57" s="8">
        <v>19.2</v>
      </c>
      <c r="S57" s="8">
        <v>18.7</v>
      </c>
      <c r="T57" s="8">
        <v>20.100000000000001</v>
      </c>
      <c r="U57" s="8">
        <v>17.600000000000001</v>
      </c>
      <c r="V57" s="8">
        <v>13.1</v>
      </c>
      <c r="W57" s="8">
        <v>88.7</v>
      </c>
      <c r="X57" s="15">
        <v>34027</v>
      </c>
      <c r="Z57" s="73"/>
      <c r="AA57" s="73"/>
      <c r="AB57" s="73"/>
      <c r="AC57" s="73"/>
      <c r="AD57" s="73"/>
      <c r="AE57" s="73"/>
      <c r="AF57" s="73"/>
      <c r="AG57" s="73"/>
      <c r="AH57" s="73"/>
      <c r="AI57" s="73"/>
      <c r="AJ57" s="73"/>
      <c r="AK57" s="73"/>
      <c r="AL57" s="73"/>
      <c r="AM57" s="73"/>
      <c r="AN57" s="73"/>
      <c r="AO57" s="73"/>
      <c r="AP57" s="73"/>
      <c r="AQ57" s="73"/>
      <c r="AR57" s="73"/>
      <c r="AS57" s="73"/>
      <c r="AT57" s="73"/>
      <c r="AU57" s="73"/>
      <c r="AW57" s="78"/>
      <c r="AX57" s="89"/>
      <c r="AY57" s="89"/>
      <c r="AZ57" s="89"/>
      <c r="BA57" s="89"/>
      <c r="BB57" s="89"/>
      <c r="BC57" s="89"/>
      <c r="BD57" s="89"/>
      <c r="BE57" s="89"/>
      <c r="BF57" s="89"/>
      <c r="BG57" s="89"/>
      <c r="BH57" s="89"/>
      <c r="BI57" s="89"/>
      <c r="BJ57" s="89"/>
      <c r="BK57" s="89"/>
      <c r="BL57" s="89"/>
      <c r="BM57" s="89"/>
      <c r="BN57" s="89"/>
      <c r="BO57" s="89"/>
      <c r="BP57" s="89"/>
      <c r="BQ57" s="89"/>
      <c r="BR57" s="89"/>
    </row>
    <row r="58" spans="1:70" ht="14.25" customHeight="1" x14ac:dyDescent="0.2">
      <c r="C58" s="2" t="s">
        <v>14</v>
      </c>
      <c r="D58" s="8">
        <v>20.7</v>
      </c>
      <c r="E58" s="8">
        <v>18.5</v>
      </c>
      <c r="F58" s="8">
        <v>19.899999999999999</v>
      </c>
      <c r="G58" s="8">
        <v>17.3</v>
      </c>
      <c r="H58" s="8">
        <v>12.5</v>
      </c>
      <c r="I58" s="8">
        <v>88.8</v>
      </c>
      <c r="J58" s="15">
        <v>5421</v>
      </c>
      <c r="K58" s="8">
        <v>23.5</v>
      </c>
      <c r="L58" s="8">
        <v>19.100000000000001</v>
      </c>
      <c r="M58" s="8">
        <v>19.399999999999999</v>
      </c>
      <c r="N58" s="8">
        <v>15.3</v>
      </c>
      <c r="O58" s="8">
        <v>10.9</v>
      </c>
      <c r="P58" s="8">
        <v>88.1</v>
      </c>
      <c r="Q58" s="15">
        <v>4155</v>
      </c>
      <c r="R58" s="8">
        <v>21.9</v>
      </c>
      <c r="S58" s="8">
        <v>18.7</v>
      </c>
      <c r="T58" s="8">
        <v>19.7</v>
      </c>
      <c r="U58" s="8">
        <v>16.399999999999999</v>
      </c>
      <c r="V58" s="8">
        <v>11.8</v>
      </c>
      <c r="W58" s="8">
        <v>88.5</v>
      </c>
      <c r="X58" s="15">
        <v>9576</v>
      </c>
      <c r="Z58" s="73"/>
      <c r="AA58" s="73"/>
      <c r="AB58" s="73"/>
      <c r="AC58" s="73"/>
      <c r="AD58" s="73"/>
      <c r="AE58" s="73"/>
      <c r="AF58" s="73"/>
      <c r="AG58" s="73"/>
      <c r="AH58" s="73"/>
      <c r="AI58" s="73"/>
      <c r="AJ58" s="73"/>
      <c r="AK58" s="73"/>
      <c r="AL58" s="73"/>
      <c r="AM58" s="73"/>
      <c r="AN58" s="73"/>
      <c r="AO58" s="73"/>
      <c r="AP58" s="73"/>
      <c r="AQ58" s="73"/>
      <c r="AR58" s="73"/>
      <c r="AS58" s="73"/>
      <c r="AT58" s="73"/>
      <c r="AU58" s="73"/>
      <c r="AW58" s="78"/>
      <c r="AX58" s="89"/>
      <c r="AY58" s="89"/>
      <c r="AZ58" s="89"/>
      <c r="BA58" s="89"/>
      <c r="BB58" s="89"/>
      <c r="BC58" s="89"/>
      <c r="BD58" s="89"/>
      <c r="BE58" s="89"/>
      <c r="BF58" s="89"/>
      <c r="BG58" s="89"/>
      <c r="BH58" s="89"/>
      <c r="BI58" s="89"/>
      <c r="BJ58" s="89"/>
      <c r="BK58" s="89"/>
      <c r="BL58" s="89"/>
      <c r="BM58" s="89"/>
      <c r="BN58" s="89"/>
      <c r="BO58" s="89"/>
      <c r="BP58" s="89"/>
      <c r="BQ58" s="89"/>
      <c r="BR58" s="89"/>
    </row>
    <row r="59" spans="1:70" ht="14.25" customHeight="1" x14ac:dyDescent="0.2">
      <c r="C59" s="2" t="s">
        <v>15</v>
      </c>
      <c r="D59" s="8">
        <v>16.3</v>
      </c>
      <c r="E59" s="8">
        <v>20.399999999999999</v>
      </c>
      <c r="F59" s="8">
        <v>23.1</v>
      </c>
      <c r="G59" s="8">
        <v>19.399999999999999</v>
      </c>
      <c r="H59" s="8">
        <v>12.1</v>
      </c>
      <c r="I59" s="8">
        <v>91.3</v>
      </c>
      <c r="J59" s="15">
        <v>18127</v>
      </c>
      <c r="K59" s="8">
        <v>18.5</v>
      </c>
      <c r="L59" s="8">
        <v>21.2</v>
      </c>
      <c r="M59" s="8">
        <v>22.8</v>
      </c>
      <c r="N59" s="8">
        <v>17.8</v>
      </c>
      <c r="O59" s="8">
        <v>11.2</v>
      </c>
      <c r="P59" s="8">
        <v>91.4</v>
      </c>
      <c r="Q59" s="15">
        <v>21028</v>
      </c>
      <c r="R59" s="8">
        <v>17.399999999999999</v>
      </c>
      <c r="S59" s="8">
        <v>20.8</v>
      </c>
      <c r="T59" s="8">
        <v>22.9</v>
      </c>
      <c r="U59" s="8">
        <v>18.5</v>
      </c>
      <c r="V59" s="8">
        <v>11.6</v>
      </c>
      <c r="W59" s="8">
        <v>91.4</v>
      </c>
      <c r="X59" s="15">
        <v>39155</v>
      </c>
      <c r="Z59" s="73"/>
      <c r="AA59" s="73"/>
      <c r="AB59" s="73"/>
      <c r="AC59" s="73"/>
      <c r="AD59" s="73"/>
      <c r="AE59" s="73"/>
      <c r="AF59" s="73"/>
      <c r="AG59" s="73"/>
      <c r="AH59" s="73"/>
      <c r="AI59" s="73"/>
      <c r="AJ59" s="73"/>
      <c r="AK59" s="73"/>
      <c r="AL59" s="73"/>
      <c r="AM59" s="73"/>
      <c r="AN59" s="73"/>
      <c r="AO59" s="73"/>
      <c r="AP59" s="73"/>
      <c r="AQ59" s="73"/>
      <c r="AR59" s="73"/>
      <c r="AS59" s="73"/>
      <c r="AT59" s="73"/>
      <c r="AU59" s="73"/>
      <c r="AW59" s="78"/>
      <c r="AX59" s="89"/>
      <c r="AY59" s="89"/>
      <c r="AZ59" s="89"/>
      <c r="BA59" s="89"/>
      <c r="BB59" s="89"/>
      <c r="BC59" s="89"/>
      <c r="BD59" s="89"/>
      <c r="BE59" s="89"/>
      <c r="BF59" s="89"/>
      <c r="BG59" s="89"/>
      <c r="BH59" s="89"/>
      <c r="BI59" s="89"/>
      <c r="BJ59" s="89"/>
      <c r="BK59" s="89"/>
      <c r="BL59" s="89"/>
      <c r="BM59" s="89"/>
      <c r="BN59" s="89"/>
      <c r="BO59" s="89"/>
      <c r="BP59" s="89"/>
      <c r="BQ59" s="89"/>
      <c r="BR59" s="89"/>
    </row>
    <row r="60" spans="1:70" ht="14.25" customHeight="1" x14ac:dyDescent="0.2">
      <c r="C60" s="2" t="s">
        <v>16</v>
      </c>
      <c r="D60" s="8">
        <v>9.6999999999999993</v>
      </c>
      <c r="E60" s="8">
        <v>13.3</v>
      </c>
      <c r="F60" s="8">
        <v>15.7</v>
      </c>
      <c r="G60" s="8">
        <v>17.7</v>
      </c>
      <c r="H60" s="8">
        <v>17.600000000000001</v>
      </c>
      <c r="I60" s="8">
        <v>74</v>
      </c>
      <c r="J60" s="15">
        <v>6744</v>
      </c>
      <c r="K60" s="8">
        <v>14.4</v>
      </c>
      <c r="L60" s="8">
        <v>15.4</v>
      </c>
      <c r="M60" s="8">
        <v>17.899999999999999</v>
      </c>
      <c r="N60" s="8">
        <v>17</v>
      </c>
      <c r="O60" s="8">
        <v>13.9</v>
      </c>
      <c r="P60" s="8">
        <v>78.5</v>
      </c>
      <c r="Q60" s="15">
        <v>9347</v>
      </c>
      <c r="R60" s="8">
        <v>12.4</v>
      </c>
      <c r="S60" s="8">
        <v>14.5</v>
      </c>
      <c r="T60" s="8">
        <v>17</v>
      </c>
      <c r="U60" s="8">
        <v>17.3</v>
      </c>
      <c r="V60" s="8">
        <v>15.4</v>
      </c>
      <c r="W60" s="8">
        <v>76.599999999999994</v>
      </c>
      <c r="X60" s="15">
        <v>16091</v>
      </c>
      <c r="Z60" s="73"/>
      <c r="AA60" s="73"/>
      <c r="AB60" s="73"/>
      <c r="AC60" s="73"/>
      <c r="AD60" s="73"/>
      <c r="AE60" s="73"/>
      <c r="AF60" s="73"/>
      <c r="AG60" s="73"/>
      <c r="AH60" s="73"/>
      <c r="AI60" s="73"/>
      <c r="AJ60" s="73"/>
      <c r="AK60" s="73"/>
      <c r="AL60" s="73"/>
      <c r="AM60" s="73"/>
      <c r="AN60" s="73"/>
      <c r="AO60" s="73"/>
      <c r="AP60" s="73"/>
      <c r="AQ60" s="73"/>
      <c r="AR60" s="73"/>
      <c r="AS60" s="73"/>
      <c r="AT60" s="73"/>
      <c r="AU60" s="73"/>
      <c r="AW60" s="78"/>
      <c r="AX60" s="89"/>
      <c r="AY60" s="89"/>
      <c r="AZ60" s="89"/>
      <c r="BA60" s="89"/>
      <c r="BB60" s="89"/>
      <c r="BC60" s="89"/>
      <c r="BD60" s="89"/>
      <c r="BE60" s="89"/>
      <c r="BF60" s="89"/>
      <c r="BG60" s="89"/>
      <c r="BH60" s="89"/>
      <c r="BI60" s="89"/>
      <c r="BJ60" s="89"/>
      <c r="BK60" s="89"/>
      <c r="BL60" s="89"/>
      <c r="BM60" s="89"/>
      <c r="BN60" s="89"/>
      <c r="BO60" s="89"/>
      <c r="BP60" s="89"/>
      <c r="BQ60" s="89"/>
      <c r="BR60" s="89"/>
    </row>
    <row r="61" spans="1:70" ht="14.25" customHeight="1" x14ac:dyDescent="0.2">
      <c r="C61" s="2" t="s">
        <v>17</v>
      </c>
      <c r="D61" s="8">
        <v>8.1</v>
      </c>
      <c r="E61" s="8">
        <v>11.6</v>
      </c>
      <c r="F61" s="8">
        <v>17.7</v>
      </c>
      <c r="G61" s="8">
        <v>19.899999999999999</v>
      </c>
      <c r="H61" s="8">
        <v>17.600000000000001</v>
      </c>
      <c r="I61" s="8">
        <v>75</v>
      </c>
      <c r="J61" s="15">
        <v>14958</v>
      </c>
      <c r="K61" s="8">
        <v>15.6</v>
      </c>
      <c r="L61" s="8">
        <v>17</v>
      </c>
      <c r="M61" s="8">
        <v>19.100000000000001</v>
      </c>
      <c r="N61" s="8">
        <v>17.5</v>
      </c>
      <c r="O61" s="8">
        <v>13.9</v>
      </c>
      <c r="P61" s="8">
        <v>83.1</v>
      </c>
      <c r="Q61" s="15">
        <v>39354</v>
      </c>
      <c r="R61" s="8">
        <v>13.6</v>
      </c>
      <c r="S61" s="8">
        <v>15.5</v>
      </c>
      <c r="T61" s="8">
        <v>18.7</v>
      </c>
      <c r="U61" s="8">
        <v>18.2</v>
      </c>
      <c r="V61" s="8">
        <v>14.9</v>
      </c>
      <c r="W61" s="8">
        <v>80.900000000000006</v>
      </c>
      <c r="X61" s="15">
        <v>54312</v>
      </c>
      <c r="Z61" s="73"/>
      <c r="AA61" s="73"/>
      <c r="AB61" s="73"/>
      <c r="AC61" s="73"/>
      <c r="AD61" s="73"/>
      <c r="AE61" s="73"/>
      <c r="AF61" s="73"/>
      <c r="AG61" s="73"/>
      <c r="AH61" s="73"/>
      <c r="AI61" s="73"/>
      <c r="AJ61" s="73"/>
      <c r="AK61" s="73"/>
      <c r="AL61" s="73"/>
      <c r="AM61" s="73"/>
      <c r="AN61" s="73"/>
      <c r="AO61" s="73"/>
      <c r="AP61" s="73"/>
      <c r="AQ61" s="73"/>
      <c r="AR61" s="73"/>
      <c r="AS61" s="73"/>
      <c r="AT61" s="73"/>
      <c r="AU61" s="73"/>
      <c r="AW61" s="78"/>
      <c r="AX61" s="89"/>
      <c r="AY61" s="89"/>
      <c r="AZ61" s="89"/>
      <c r="BA61" s="89"/>
      <c r="BB61" s="89"/>
      <c r="BC61" s="89"/>
      <c r="BD61" s="89"/>
      <c r="BE61" s="89"/>
      <c r="BF61" s="89"/>
      <c r="BG61" s="89"/>
      <c r="BH61" s="89"/>
      <c r="BI61" s="89"/>
      <c r="BJ61" s="89"/>
      <c r="BK61" s="89"/>
      <c r="BL61" s="89"/>
      <c r="BM61" s="89"/>
      <c r="BN61" s="89"/>
      <c r="BO61" s="89"/>
      <c r="BP61" s="89"/>
      <c r="BQ61" s="89"/>
      <c r="BR61" s="89"/>
    </row>
    <row r="62" spans="1:70" ht="14.25" customHeight="1" x14ac:dyDescent="0.2">
      <c r="C62" s="2" t="s">
        <v>18</v>
      </c>
      <c r="D62" s="8">
        <v>10.4</v>
      </c>
      <c r="E62" s="8">
        <v>13.1</v>
      </c>
      <c r="F62" s="8">
        <v>17.899999999999999</v>
      </c>
      <c r="G62" s="8">
        <v>19.3</v>
      </c>
      <c r="H62" s="8">
        <v>17.100000000000001</v>
      </c>
      <c r="I62" s="8">
        <v>77.900000000000006</v>
      </c>
      <c r="J62" s="15">
        <v>7570</v>
      </c>
      <c r="K62" s="8">
        <v>16.600000000000001</v>
      </c>
      <c r="L62" s="8">
        <v>17.399999999999999</v>
      </c>
      <c r="M62" s="8">
        <v>18.7</v>
      </c>
      <c r="N62" s="8">
        <v>17.5</v>
      </c>
      <c r="O62" s="8">
        <v>14.4</v>
      </c>
      <c r="P62" s="8">
        <v>84.7</v>
      </c>
      <c r="Q62" s="15">
        <v>21711</v>
      </c>
      <c r="R62" s="8">
        <v>15</v>
      </c>
      <c r="S62" s="8">
        <v>16.3</v>
      </c>
      <c r="T62" s="8">
        <v>18.5</v>
      </c>
      <c r="U62" s="8">
        <v>18</v>
      </c>
      <c r="V62" s="8">
        <v>15.1</v>
      </c>
      <c r="W62" s="8">
        <v>82.9</v>
      </c>
      <c r="X62" s="15">
        <v>29281</v>
      </c>
      <c r="Z62" s="73"/>
      <c r="AA62" s="73"/>
      <c r="AB62" s="73"/>
      <c r="AC62" s="73"/>
      <c r="AD62" s="73"/>
      <c r="AE62" s="73"/>
      <c r="AF62" s="73"/>
      <c r="AG62" s="73"/>
      <c r="AH62" s="73"/>
      <c r="AI62" s="73"/>
      <c r="AJ62" s="73"/>
      <c r="AK62" s="73"/>
      <c r="AL62" s="73"/>
      <c r="AM62" s="73"/>
      <c r="AN62" s="73"/>
      <c r="AO62" s="73"/>
      <c r="AP62" s="73"/>
      <c r="AQ62" s="73"/>
      <c r="AR62" s="73"/>
      <c r="AS62" s="73"/>
      <c r="AT62" s="73"/>
      <c r="AU62" s="73"/>
      <c r="AW62" s="78"/>
      <c r="AX62" s="89"/>
      <c r="AY62" s="89"/>
      <c r="AZ62" s="89"/>
      <c r="BA62" s="89"/>
      <c r="BB62" s="89"/>
      <c r="BC62" s="89"/>
      <c r="BD62" s="89"/>
      <c r="BE62" s="89"/>
      <c r="BF62" s="89"/>
      <c r="BG62" s="89"/>
      <c r="BH62" s="89"/>
      <c r="BI62" s="89"/>
      <c r="BJ62" s="89"/>
      <c r="BK62" s="89"/>
      <c r="BL62" s="89"/>
      <c r="BM62" s="89"/>
      <c r="BN62" s="89"/>
      <c r="BO62" s="89"/>
      <c r="BP62" s="89"/>
      <c r="BQ62" s="89"/>
      <c r="BR62" s="89"/>
    </row>
    <row r="63" spans="1:70" ht="14.25" customHeight="1" x14ac:dyDescent="0.2">
      <c r="C63" s="2" t="s">
        <v>19</v>
      </c>
      <c r="D63" s="8">
        <v>12</v>
      </c>
      <c r="E63" s="8">
        <v>13.4</v>
      </c>
      <c r="F63" s="8">
        <v>17.100000000000001</v>
      </c>
      <c r="G63" s="8">
        <v>19.3</v>
      </c>
      <c r="H63" s="8">
        <v>14.9</v>
      </c>
      <c r="I63" s="8">
        <v>76.7</v>
      </c>
      <c r="J63" s="15">
        <v>2371</v>
      </c>
      <c r="K63" s="8">
        <v>15.6</v>
      </c>
      <c r="L63" s="8">
        <v>15</v>
      </c>
      <c r="M63" s="8">
        <v>16.8</v>
      </c>
      <c r="N63" s="8">
        <v>17.2</v>
      </c>
      <c r="O63" s="8">
        <v>16.100000000000001</v>
      </c>
      <c r="P63" s="8">
        <v>80.8</v>
      </c>
      <c r="Q63" s="15">
        <v>2769</v>
      </c>
      <c r="R63" s="8">
        <v>14</v>
      </c>
      <c r="S63" s="8">
        <v>14.3</v>
      </c>
      <c r="T63" s="8">
        <v>17</v>
      </c>
      <c r="U63" s="8">
        <v>18.2</v>
      </c>
      <c r="V63" s="8">
        <v>15.5</v>
      </c>
      <c r="W63" s="8">
        <v>78.900000000000006</v>
      </c>
      <c r="X63" s="15">
        <v>5140</v>
      </c>
      <c r="Z63" s="73"/>
      <c r="AA63" s="73"/>
      <c r="AB63" s="73"/>
      <c r="AC63" s="73"/>
      <c r="AD63" s="73"/>
      <c r="AE63" s="73"/>
      <c r="AF63" s="73"/>
      <c r="AG63" s="73"/>
      <c r="AH63" s="73"/>
      <c r="AI63" s="73"/>
      <c r="AJ63" s="73"/>
      <c r="AK63" s="73"/>
      <c r="AL63" s="73"/>
      <c r="AM63" s="73"/>
      <c r="AN63" s="73"/>
      <c r="AO63" s="73"/>
      <c r="AP63" s="73"/>
      <c r="AQ63" s="73"/>
      <c r="AR63" s="73"/>
      <c r="AS63" s="73"/>
      <c r="AT63" s="73"/>
      <c r="AU63" s="73"/>
      <c r="AW63" s="78"/>
      <c r="AX63" s="89"/>
      <c r="AY63" s="89"/>
      <c r="AZ63" s="89"/>
      <c r="BA63" s="89"/>
      <c r="BB63" s="89"/>
      <c r="BC63" s="89"/>
      <c r="BD63" s="89"/>
      <c r="BE63" s="89"/>
      <c r="BF63" s="89"/>
      <c r="BG63" s="89"/>
      <c r="BH63" s="89"/>
      <c r="BI63" s="89"/>
      <c r="BJ63" s="89"/>
      <c r="BK63" s="89"/>
      <c r="BL63" s="89"/>
      <c r="BM63" s="89"/>
      <c r="BN63" s="89"/>
      <c r="BO63" s="89"/>
      <c r="BP63" s="89"/>
      <c r="BQ63" s="89"/>
      <c r="BR63" s="89"/>
    </row>
    <row r="64" spans="1:70" ht="14.25" customHeight="1" x14ac:dyDescent="0.2">
      <c r="C64" s="2" t="s">
        <v>20</v>
      </c>
      <c r="D64" s="8">
        <v>15.4</v>
      </c>
      <c r="E64" s="8">
        <v>15.1</v>
      </c>
      <c r="F64" s="8">
        <v>19.8</v>
      </c>
      <c r="G64" s="8">
        <v>19</v>
      </c>
      <c r="H64" s="8">
        <v>13.8</v>
      </c>
      <c r="I64" s="8">
        <v>83.1</v>
      </c>
      <c r="J64" s="15">
        <v>15735</v>
      </c>
      <c r="K64" s="8">
        <v>24.3</v>
      </c>
      <c r="L64" s="8">
        <v>20.9</v>
      </c>
      <c r="M64" s="8">
        <v>21.5</v>
      </c>
      <c r="N64" s="8">
        <v>15.8</v>
      </c>
      <c r="O64" s="8">
        <v>9</v>
      </c>
      <c r="P64" s="8">
        <v>91.5</v>
      </c>
      <c r="Q64" s="15">
        <v>31309</v>
      </c>
      <c r="R64" s="8">
        <v>21.3</v>
      </c>
      <c r="S64" s="8">
        <v>19</v>
      </c>
      <c r="T64" s="8">
        <v>20.9</v>
      </c>
      <c r="U64" s="8">
        <v>16.899999999999999</v>
      </c>
      <c r="V64" s="8">
        <v>10.6</v>
      </c>
      <c r="W64" s="8">
        <v>88.7</v>
      </c>
      <c r="X64" s="15">
        <v>47044</v>
      </c>
      <c r="Z64" s="73"/>
      <c r="AA64" s="73"/>
      <c r="AB64" s="73"/>
      <c r="AC64" s="73"/>
      <c r="AD64" s="73"/>
      <c r="AE64" s="73"/>
      <c r="AF64" s="73"/>
      <c r="AG64" s="73"/>
      <c r="AH64" s="73"/>
      <c r="AI64" s="73"/>
      <c r="AJ64" s="73"/>
      <c r="AK64" s="73"/>
      <c r="AL64" s="73"/>
      <c r="AM64" s="73"/>
      <c r="AN64" s="73"/>
      <c r="AO64" s="73"/>
      <c r="AP64" s="73"/>
      <c r="AQ64" s="73"/>
      <c r="AR64" s="73"/>
      <c r="AS64" s="73"/>
      <c r="AT64" s="73"/>
      <c r="AU64" s="73"/>
      <c r="AW64" s="78"/>
      <c r="AX64" s="89"/>
      <c r="AY64" s="89"/>
      <c r="AZ64" s="89"/>
      <c r="BA64" s="89"/>
      <c r="BB64" s="89"/>
      <c r="BC64" s="89"/>
      <c r="BD64" s="89"/>
      <c r="BE64" s="89"/>
      <c r="BF64" s="89"/>
      <c r="BG64" s="89"/>
      <c r="BH64" s="89"/>
      <c r="BI64" s="89"/>
      <c r="BJ64" s="89"/>
      <c r="BK64" s="89"/>
      <c r="BL64" s="89"/>
      <c r="BM64" s="89"/>
      <c r="BN64" s="89"/>
      <c r="BO64" s="89"/>
      <c r="BP64" s="89"/>
      <c r="BQ64" s="89"/>
      <c r="BR64" s="89"/>
    </row>
    <row r="65" spans="3:70" ht="14.25" customHeight="1" x14ac:dyDescent="0.2">
      <c r="C65" s="2" t="s">
        <v>21</v>
      </c>
      <c r="D65" s="8">
        <v>9.5</v>
      </c>
      <c r="E65" s="8">
        <v>18.399999999999999</v>
      </c>
      <c r="F65" s="8">
        <v>27.2</v>
      </c>
      <c r="G65" s="8">
        <v>22.3</v>
      </c>
      <c r="H65" s="8">
        <v>13.2</v>
      </c>
      <c r="I65" s="8">
        <v>90.5</v>
      </c>
      <c r="J65" s="15">
        <v>4444</v>
      </c>
      <c r="K65" s="8">
        <v>15.7</v>
      </c>
      <c r="L65" s="8">
        <v>23.7</v>
      </c>
      <c r="M65" s="8">
        <v>26.9</v>
      </c>
      <c r="N65" s="8">
        <v>18.5</v>
      </c>
      <c r="O65" s="8">
        <v>9.9</v>
      </c>
      <c r="P65" s="8">
        <v>94.7</v>
      </c>
      <c r="Q65" s="15">
        <v>11242</v>
      </c>
      <c r="R65" s="8">
        <v>14</v>
      </c>
      <c r="S65" s="8">
        <v>22.2</v>
      </c>
      <c r="T65" s="8">
        <v>26.9</v>
      </c>
      <c r="U65" s="8">
        <v>19.600000000000001</v>
      </c>
      <c r="V65" s="8">
        <v>10.9</v>
      </c>
      <c r="W65" s="8">
        <v>93.5</v>
      </c>
      <c r="X65" s="15">
        <v>15686</v>
      </c>
      <c r="Z65" s="73"/>
      <c r="AA65" s="73"/>
      <c r="AB65" s="73"/>
      <c r="AC65" s="73"/>
      <c r="AD65" s="73"/>
      <c r="AE65" s="73"/>
      <c r="AF65" s="73"/>
      <c r="AG65" s="73"/>
      <c r="AH65" s="73"/>
      <c r="AI65" s="73"/>
      <c r="AJ65" s="73"/>
      <c r="AK65" s="73"/>
      <c r="AL65" s="73"/>
      <c r="AM65" s="73"/>
      <c r="AN65" s="73"/>
      <c r="AO65" s="73"/>
      <c r="AP65" s="73"/>
      <c r="AQ65" s="73"/>
      <c r="AR65" s="73"/>
      <c r="AS65" s="73"/>
      <c r="AT65" s="73"/>
      <c r="AU65" s="73"/>
      <c r="AW65" s="78"/>
      <c r="AX65" s="89"/>
      <c r="AY65" s="89"/>
      <c r="AZ65" s="89"/>
      <c r="BA65" s="89"/>
      <c r="BB65" s="89"/>
      <c r="BC65" s="89"/>
      <c r="BD65" s="89"/>
      <c r="BE65" s="89"/>
      <c r="BF65" s="89"/>
      <c r="BG65" s="89"/>
      <c r="BH65" s="89"/>
      <c r="BI65" s="89"/>
      <c r="BJ65" s="89"/>
      <c r="BK65" s="89"/>
      <c r="BL65" s="89"/>
      <c r="BM65" s="89"/>
      <c r="BN65" s="89"/>
      <c r="BO65" s="89"/>
      <c r="BP65" s="89"/>
      <c r="BQ65" s="89"/>
      <c r="BR65" s="89"/>
    </row>
    <row r="66" spans="3:70" ht="14.25" customHeight="1" x14ac:dyDescent="0.2">
      <c r="C66" s="2" t="s">
        <v>22</v>
      </c>
      <c r="D66" s="8">
        <v>13.7</v>
      </c>
      <c r="E66" s="8">
        <v>17.8</v>
      </c>
      <c r="F66" s="8">
        <v>22.9</v>
      </c>
      <c r="G66" s="8">
        <v>22.2</v>
      </c>
      <c r="H66" s="8">
        <v>14.3</v>
      </c>
      <c r="I66" s="8">
        <v>91</v>
      </c>
      <c r="J66" s="15">
        <v>24398</v>
      </c>
      <c r="K66" s="8">
        <v>14.9</v>
      </c>
      <c r="L66" s="8">
        <v>19.8</v>
      </c>
      <c r="M66" s="8">
        <v>24.8</v>
      </c>
      <c r="N66" s="8">
        <v>21.5</v>
      </c>
      <c r="O66" s="8">
        <v>12.2</v>
      </c>
      <c r="P66" s="8">
        <v>93.3</v>
      </c>
      <c r="Q66" s="15">
        <v>56335</v>
      </c>
      <c r="R66" s="8">
        <v>14.6</v>
      </c>
      <c r="S66" s="8">
        <v>19.2</v>
      </c>
      <c r="T66" s="8">
        <v>24.2</v>
      </c>
      <c r="U66" s="8">
        <v>21.7</v>
      </c>
      <c r="V66" s="8">
        <v>12.9</v>
      </c>
      <c r="W66" s="8">
        <v>92.6</v>
      </c>
      <c r="X66" s="15">
        <v>80733</v>
      </c>
      <c r="Z66" s="73"/>
      <c r="AA66" s="73"/>
      <c r="AB66" s="73"/>
      <c r="AC66" s="73"/>
      <c r="AD66" s="73"/>
      <c r="AE66" s="73"/>
      <c r="AF66" s="73"/>
      <c r="AG66" s="73"/>
      <c r="AH66" s="73"/>
      <c r="AI66" s="73"/>
      <c r="AJ66" s="73"/>
      <c r="AK66" s="73"/>
      <c r="AL66" s="73"/>
      <c r="AM66" s="73"/>
      <c r="AN66" s="73"/>
      <c r="AO66" s="73"/>
      <c r="AP66" s="73"/>
      <c r="AQ66" s="73"/>
      <c r="AR66" s="73"/>
      <c r="AS66" s="73"/>
      <c r="AT66" s="73"/>
      <c r="AU66" s="73"/>
      <c r="AW66" s="78"/>
      <c r="AX66" s="89"/>
      <c r="AY66" s="89"/>
      <c r="AZ66" s="89"/>
      <c r="BA66" s="89"/>
      <c r="BB66" s="89"/>
      <c r="BC66" s="89"/>
      <c r="BD66" s="89"/>
      <c r="BE66" s="89"/>
      <c r="BF66" s="89"/>
      <c r="BG66" s="89"/>
      <c r="BH66" s="89"/>
      <c r="BI66" s="89"/>
      <c r="BJ66" s="89"/>
      <c r="BK66" s="89"/>
      <c r="BL66" s="89"/>
      <c r="BM66" s="89"/>
      <c r="BN66" s="89"/>
      <c r="BO66" s="89"/>
      <c r="BP66" s="89"/>
      <c r="BQ66" s="89"/>
      <c r="BR66" s="89"/>
    </row>
    <row r="67" spans="3:70" ht="14.25" customHeight="1" x14ac:dyDescent="0.2">
      <c r="C67" s="2" t="s">
        <v>51</v>
      </c>
      <c r="D67" s="8">
        <v>8.3000000000000007</v>
      </c>
      <c r="E67" s="8">
        <v>18.5</v>
      </c>
      <c r="F67" s="8">
        <v>27.1</v>
      </c>
      <c r="G67" s="8">
        <v>23.4</v>
      </c>
      <c r="H67" s="8">
        <v>13.5</v>
      </c>
      <c r="I67" s="8">
        <v>91</v>
      </c>
      <c r="J67" s="15">
        <v>10525</v>
      </c>
      <c r="K67" s="8">
        <v>12.3</v>
      </c>
      <c r="L67" s="8">
        <v>24.2</v>
      </c>
      <c r="M67" s="8">
        <v>27.7</v>
      </c>
      <c r="N67" s="8">
        <v>19.8</v>
      </c>
      <c r="O67" s="8">
        <v>9.6999999999999993</v>
      </c>
      <c r="P67" s="8">
        <v>93.6</v>
      </c>
      <c r="Q67" s="15">
        <v>13738</v>
      </c>
      <c r="R67" s="8">
        <v>10.6</v>
      </c>
      <c r="S67" s="8">
        <v>21.7</v>
      </c>
      <c r="T67" s="8">
        <v>27.4</v>
      </c>
      <c r="U67" s="8">
        <v>21.4</v>
      </c>
      <c r="V67" s="8">
        <v>11.3</v>
      </c>
      <c r="W67" s="8">
        <v>92.5</v>
      </c>
      <c r="X67" s="15">
        <v>24263</v>
      </c>
      <c r="Z67" s="73"/>
      <c r="AA67" s="73"/>
      <c r="AB67" s="73"/>
      <c r="AC67" s="73"/>
      <c r="AD67" s="73"/>
      <c r="AE67" s="73"/>
      <c r="AF67" s="73"/>
      <c r="AG67" s="73"/>
      <c r="AH67" s="73"/>
      <c r="AI67" s="73"/>
      <c r="AJ67" s="73"/>
      <c r="AK67" s="73"/>
      <c r="AL67" s="73"/>
      <c r="AM67" s="73"/>
      <c r="AN67" s="73"/>
      <c r="AO67" s="73"/>
      <c r="AP67" s="73"/>
      <c r="AQ67" s="73"/>
      <c r="AR67" s="73"/>
      <c r="AS67" s="73"/>
      <c r="AT67" s="73"/>
      <c r="AU67" s="73"/>
      <c r="AW67" s="78"/>
      <c r="AX67" s="89"/>
      <c r="AY67" s="89"/>
      <c r="AZ67" s="89"/>
      <c r="BA67" s="89"/>
      <c r="BB67" s="89"/>
      <c r="BC67" s="89"/>
      <c r="BD67" s="89"/>
      <c r="BE67" s="89"/>
      <c r="BF67" s="89"/>
      <c r="BG67" s="89"/>
      <c r="BH67" s="89"/>
      <c r="BI67" s="89"/>
      <c r="BJ67" s="89"/>
      <c r="BK67" s="89"/>
      <c r="BL67" s="89"/>
      <c r="BM67" s="89"/>
      <c r="BN67" s="89"/>
      <c r="BO67" s="89"/>
      <c r="BP67" s="89"/>
      <c r="BQ67" s="89"/>
      <c r="BR67" s="89"/>
    </row>
    <row r="68" spans="3:70" ht="14.25" customHeight="1" x14ac:dyDescent="0.2">
      <c r="C68" s="2" t="s">
        <v>23</v>
      </c>
      <c r="D68" s="8">
        <v>9.8000000000000007</v>
      </c>
      <c r="E68" s="8">
        <v>23.1</v>
      </c>
      <c r="F68" s="8">
        <v>28.4</v>
      </c>
      <c r="G68" s="8">
        <v>20</v>
      </c>
      <c r="H68" s="8">
        <v>9.4</v>
      </c>
      <c r="I68" s="8">
        <v>90.7</v>
      </c>
      <c r="J68" s="15">
        <v>4482</v>
      </c>
      <c r="K68" s="8">
        <v>12.9</v>
      </c>
      <c r="L68" s="8">
        <v>25.9</v>
      </c>
      <c r="M68" s="8">
        <v>30.5</v>
      </c>
      <c r="N68" s="8">
        <v>17.7</v>
      </c>
      <c r="O68" s="8">
        <v>7</v>
      </c>
      <c r="P68" s="8">
        <v>94</v>
      </c>
      <c r="Q68" s="15">
        <v>7437</v>
      </c>
      <c r="R68" s="8">
        <v>11.8</v>
      </c>
      <c r="S68" s="8">
        <v>24.8</v>
      </c>
      <c r="T68" s="8">
        <v>29.7</v>
      </c>
      <c r="U68" s="8">
        <v>18.600000000000001</v>
      </c>
      <c r="V68" s="8">
        <v>7.9</v>
      </c>
      <c r="W68" s="8">
        <v>92.7</v>
      </c>
      <c r="X68" s="15">
        <v>11919</v>
      </c>
      <c r="Z68" s="73"/>
      <c r="AA68" s="73"/>
      <c r="AB68" s="73"/>
      <c r="AC68" s="73"/>
      <c r="AD68" s="73"/>
      <c r="AE68" s="73"/>
      <c r="AF68" s="73"/>
      <c r="AG68" s="73"/>
      <c r="AH68" s="73"/>
      <c r="AI68" s="73"/>
      <c r="AJ68" s="73"/>
      <c r="AK68" s="73"/>
      <c r="AL68" s="73"/>
      <c r="AM68" s="73"/>
      <c r="AN68" s="73"/>
      <c r="AO68" s="73"/>
      <c r="AP68" s="73"/>
      <c r="AQ68" s="73"/>
      <c r="AR68" s="73"/>
      <c r="AS68" s="73"/>
      <c r="AT68" s="73"/>
      <c r="AU68" s="73"/>
      <c r="AW68" s="78"/>
      <c r="AX68" s="89"/>
      <c r="AY68" s="89"/>
      <c r="AZ68" s="89"/>
      <c r="BA68" s="89"/>
      <c r="BB68" s="89"/>
      <c r="BC68" s="89"/>
      <c r="BD68" s="89"/>
      <c r="BE68" s="89"/>
      <c r="BF68" s="89"/>
      <c r="BG68" s="89"/>
      <c r="BH68" s="89"/>
      <c r="BI68" s="89"/>
      <c r="BJ68" s="89"/>
      <c r="BK68" s="89"/>
      <c r="BL68" s="89"/>
      <c r="BM68" s="89"/>
      <c r="BN68" s="89"/>
      <c r="BO68" s="89"/>
      <c r="BP68" s="89"/>
      <c r="BQ68" s="89"/>
      <c r="BR68" s="89"/>
    </row>
    <row r="69" spans="3:70" ht="14.25" customHeight="1" x14ac:dyDescent="0.2">
      <c r="C69" s="2" t="s">
        <v>24</v>
      </c>
      <c r="D69" s="8">
        <v>23.8</v>
      </c>
      <c r="E69" s="8">
        <v>18.100000000000001</v>
      </c>
      <c r="F69" s="8">
        <v>18.600000000000001</v>
      </c>
      <c r="G69" s="8">
        <v>16</v>
      </c>
      <c r="H69" s="8">
        <v>11.9</v>
      </c>
      <c r="I69" s="8">
        <v>88.4</v>
      </c>
      <c r="J69" s="15">
        <v>5491</v>
      </c>
      <c r="K69" s="8">
        <v>20.399999999999999</v>
      </c>
      <c r="L69" s="8">
        <v>18.5</v>
      </c>
      <c r="M69" s="8">
        <v>19.100000000000001</v>
      </c>
      <c r="N69" s="8">
        <v>16.100000000000001</v>
      </c>
      <c r="O69" s="8">
        <v>12.9</v>
      </c>
      <c r="P69" s="8">
        <v>87</v>
      </c>
      <c r="Q69" s="15">
        <v>12457</v>
      </c>
      <c r="R69" s="8">
        <v>21.4</v>
      </c>
      <c r="S69" s="8">
        <v>18.399999999999999</v>
      </c>
      <c r="T69" s="8">
        <v>19</v>
      </c>
      <c r="U69" s="8">
        <v>16.100000000000001</v>
      </c>
      <c r="V69" s="8">
        <v>12.6</v>
      </c>
      <c r="W69" s="8">
        <v>87.4</v>
      </c>
      <c r="X69" s="15">
        <v>17948</v>
      </c>
      <c r="Z69" s="73"/>
      <c r="AA69" s="73"/>
      <c r="AB69" s="73"/>
      <c r="AC69" s="73"/>
      <c r="AD69" s="73"/>
      <c r="AE69" s="73"/>
      <c r="AF69" s="73"/>
      <c r="AG69" s="73"/>
      <c r="AH69" s="73"/>
      <c r="AI69" s="73"/>
      <c r="AJ69" s="73"/>
      <c r="AK69" s="73"/>
      <c r="AL69" s="73"/>
      <c r="AM69" s="73"/>
      <c r="AN69" s="73"/>
      <c r="AO69" s="73"/>
      <c r="AP69" s="73"/>
      <c r="AQ69" s="73"/>
      <c r="AR69" s="73"/>
      <c r="AS69" s="73"/>
      <c r="AT69" s="73"/>
      <c r="AU69" s="73"/>
      <c r="AW69" s="78"/>
      <c r="AX69" s="89"/>
      <c r="AY69" s="89"/>
      <c r="AZ69" s="89"/>
      <c r="BA69" s="89"/>
      <c r="BB69" s="89"/>
      <c r="BC69" s="89"/>
      <c r="BD69" s="89"/>
      <c r="BE69" s="89"/>
      <c r="BF69" s="89"/>
      <c r="BG69" s="89"/>
      <c r="BH69" s="89"/>
      <c r="BI69" s="89"/>
      <c r="BJ69" s="89"/>
      <c r="BK69" s="89"/>
      <c r="BL69" s="89"/>
      <c r="BM69" s="89"/>
      <c r="BN69" s="89"/>
      <c r="BO69" s="89"/>
      <c r="BP69" s="89"/>
      <c r="BQ69" s="89"/>
      <c r="BR69" s="89"/>
    </row>
    <row r="70" spans="3:70" ht="14.25" customHeight="1" x14ac:dyDescent="0.2">
      <c r="C70" s="2" t="s">
        <v>25</v>
      </c>
      <c r="D70" s="8">
        <v>20.7</v>
      </c>
      <c r="E70" s="8">
        <v>18.399999999999999</v>
      </c>
      <c r="F70" s="8">
        <v>20.399999999999999</v>
      </c>
      <c r="G70" s="8">
        <v>17.5</v>
      </c>
      <c r="H70" s="8">
        <v>11.6</v>
      </c>
      <c r="I70" s="8">
        <v>88.6</v>
      </c>
      <c r="J70" s="15">
        <v>2750</v>
      </c>
      <c r="K70" s="8">
        <v>20.5</v>
      </c>
      <c r="L70" s="8">
        <v>18.600000000000001</v>
      </c>
      <c r="M70" s="8">
        <v>20.8</v>
      </c>
      <c r="N70" s="8">
        <v>17.7</v>
      </c>
      <c r="O70" s="8">
        <v>12.5</v>
      </c>
      <c r="P70" s="8">
        <v>90.1</v>
      </c>
      <c r="Q70" s="15">
        <v>5463</v>
      </c>
      <c r="R70" s="8">
        <v>20.6</v>
      </c>
      <c r="S70" s="8">
        <v>18.600000000000001</v>
      </c>
      <c r="T70" s="8">
        <v>20.7</v>
      </c>
      <c r="U70" s="8">
        <v>17.600000000000001</v>
      </c>
      <c r="V70" s="8">
        <v>12.2</v>
      </c>
      <c r="W70" s="8">
        <v>89.6</v>
      </c>
      <c r="X70" s="15">
        <v>8213</v>
      </c>
      <c r="Z70" s="73"/>
      <c r="AA70" s="73"/>
      <c r="AB70" s="73"/>
      <c r="AC70" s="73"/>
      <c r="AD70" s="73"/>
      <c r="AE70" s="73"/>
      <c r="AF70" s="73"/>
      <c r="AG70" s="73"/>
      <c r="AH70" s="73"/>
      <c r="AI70" s="73"/>
      <c r="AJ70" s="73"/>
      <c r="AK70" s="73"/>
      <c r="AL70" s="73"/>
      <c r="AM70" s="73"/>
      <c r="AN70" s="73"/>
      <c r="AO70" s="73"/>
      <c r="AP70" s="73"/>
      <c r="AQ70" s="73"/>
      <c r="AR70" s="73"/>
      <c r="AS70" s="73"/>
      <c r="AT70" s="73"/>
      <c r="AU70" s="73"/>
      <c r="AW70" s="78"/>
      <c r="AX70" s="89"/>
      <c r="AY70" s="89"/>
      <c r="AZ70" s="89"/>
      <c r="BA70" s="89"/>
      <c r="BB70" s="89"/>
      <c r="BC70" s="89"/>
      <c r="BD70" s="89"/>
      <c r="BE70" s="89"/>
      <c r="BF70" s="89"/>
      <c r="BG70" s="89"/>
      <c r="BH70" s="89"/>
      <c r="BI70" s="89"/>
      <c r="BJ70" s="89"/>
      <c r="BK70" s="89"/>
      <c r="BL70" s="89"/>
      <c r="BM70" s="89"/>
      <c r="BN70" s="89"/>
      <c r="BO70" s="89"/>
      <c r="BP70" s="89"/>
      <c r="BQ70" s="89"/>
      <c r="BR70" s="89"/>
    </row>
    <row r="71" spans="3:70" ht="14.25" customHeight="1" x14ac:dyDescent="0.2">
      <c r="C71" s="2" t="s">
        <v>26</v>
      </c>
      <c r="D71" s="8">
        <v>23.7</v>
      </c>
      <c r="E71" s="8">
        <v>20.9</v>
      </c>
      <c r="F71" s="8">
        <v>19.5</v>
      </c>
      <c r="G71" s="8">
        <v>14.9</v>
      </c>
      <c r="H71" s="8">
        <v>10.3</v>
      </c>
      <c r="I71" s="8">
        <v>89.2</v>
      </c>
      <c r="J71" s="15">
        <v>1572</v>
      </c>
      <c r="K71" s="8">
        <v>20.8</v>
      </c>
      <c r="L71" s="8">
        <v>20</v>
      </c>
      <c r="M71" s="8">
        <v>19.5</v>
      </c>
      <c r="N71" s="8">
        <v>15.7</v>
      </c>
      <c r="O71" s="8">
        <v>12</v>
      </c>
      <c r="P71" s="8">
        <v>88.1</v>
      </c>
      <c r="Q71" s="15">
        <v>3811</v>
      </c>
      <c r="R71" s="8">
        <v>21.6</v>
      </c>
      <c r="S71" s="8">
        <v>20.3</v>
      </c>
      <c r="T71" s="8">
        <v>19.5</v>
      </c>
      <c r="U71" s="8">
        <v>15.5</v>
      </c>
      <c r="V71" s="8">
        <v>11.5</v>
      </c>
      <c r="W71" s="8">
        <v>88.4</v>
      </c>
      <c r="X71" s="15">
        <v>5383</v>
      </c>
      <c r="Z71" s="73"/>
      <c r="AA71" s="73"/>
      <c r="AB71" s="73"/>
      <c r="AC71" s="73"/>
      <c r="AD71" s="73"/>
      <c r="AE71" s="73"/>
      <c r="AF71" s="73"/>
      <c r="AG71" s="73"/>
      <c r="AH71" s="73"/>
      <c r="AI71" s="73"/>
      <c r="AJ71" s="73"/>
      <c r="AK71" s="73"/>
      <c r="AL71" s="73"/>
      <c r="AM71" s="73"/>
      <c r="AN71" s="73"/>
      <c r="AO71" s="73"/>
      <c r="AP71" s="73"/>
      <c r="AQ71" s="73"/>
      <c r="AR71" s="73"/>
      <c r="AS71" s="73"/>
      <c r="AT71" s="73"/>
      <c r="AU71" s="73"/>
      <c r="AW71" s="78"/>
      <c r="AX71" s="89"/>
      <c r="AY71" s="89"/>
      <c r="AZ71" s="89"/>
      <c r="BA71" s="89"/>
      <c r="BB71" s="89"/>
      <c r="BC71" s="89"/>
      <c r="BD71" s="89"/>
      <c r="BE71" s="89"/>
      <c r="BF71" s="89"/>
      <c r="BG71" s="89"/>
      <c r="BH71" s="89"/>
      <c r="BI71" s="89"/>
      <c r="BJ71" s="89"/>
      <c r="BK71" s="89"/>
      <c r="BL71" s="89"/>
      <c r="BM71" s="89"/>
      <c r="BN71" s="89"/>
      <c r="BO71" s="89"/>
      <c r="BP71" s="89"/>
      <c r="BQ71" s="89"/>
      <c r="BR71" s="89"/>
    </row>
    <row r="72" spans="3:70" ht="14.25" customHeight="1" x14ac:dyDescent="0.2">
      <c r="C72" s="2" t="s">
        <v>27</v>
      </c>
      <c r="D72" s="8">
        <v>43.9</v>
      </c>
      <c r="E72" s="8">
        <v>22.1</v>
      </c>
      <c r="F72" s="8">
        <v>11.5</v>
      </c>
      <c r="G72" s="8">
        <v>7.4</v>
      </c>
      <c r="H72" s="8">
        <v>5.6</v>
      </c>
      <c r="I72" s="8">
        <v>90.6</v>
      </c>
      <c r="J72" s="15">
        <v>1080</v>
      </c>
      <c r="K72" s="8">
        <v>43.8</v>
      </c>
      <c r="L72" s="8">
        <v>22.5</v>
      </c>
      <c r="M72" s="8">
        <v>13.2</v>
      </c>
      <c r="N72" s="8">
        <v>8.5</v>
      </c>
      <c r="O72" s="8">
        <v>5.5</v>
      </c>
      <c r="P72" s="8">
        <v>93.4</v>
      </c>
      <c r="Q72" s="15">
        <v>1572</v>
      </c>
      <c r="R72" s="8">
        <v>43.8</v>
      </c>
      <c r="S72" s="8">
        <v>22.3</v>
      </c>
      <c r="T72" s="8">
        <v>12.5</v>
      </c>
      <c r="U72" s="8">
        <v>8.1</v>
      </c>
      <c r="V72" s="8">
        <v>5.5</v>
      </c>
      <c r="W72" s="8">
        <v>92.2</v>
      </c>
      <c r="X72" s="15">
        <v>2652</v>
      </c>
      <c r="Z72" s="73"/>
      <c r="AA72" s="73"/>
      <c r="AB72" s="73"/>
      <c r="AC72" s="73"/>
      <c r="AD72" s="73"/>
      <c r="AE72" s="73"/>
      <c r="AF72" s="73"/>
      <c r="AG72" s="73"/>
      <c r="AH72" s="73"/>
      <c r="AI72" s="73"/>
      <c r="AJ72" s="73"/>
      <c r="AK72" s="73"/>
      <c r="AL72" s="73"/>
      <c r="AM72" s="73"/>
      <c r="AN72" s="73"/>
      <c r="AO72" s="73"/>
      <c r="AP72" s="73"/>
      <c r="AQ72" s="73"/>
      <c r="AR72" s="73"/>
      <c r="AS72" s="73"/>
      <c r="AT72" s="73"/>
      <c r="AU72" s="73"/>
      <c r="AW72" s="78"/>
      <c r="AX72" s="89"/>
      <c r="AY72" s="89"/>
      <c r="AZ72" s="89"/>
      <c r="BA72" s="89"/>
      <c r="BB72" s="89"/>
      <c r="BC72" s="89"/>
      <c r="BD72" s="89"/>
      <c r="BE72" s="89"/>
      <c r="BF72" s="89"/>
      <c r="BG72" s="89"/>
      <c r="BH72" s="89"/>
      <c r="BI72" s="89"/>
      <c r="BJ72" s="89"/>
      <c r="BK72" s="89"/>
      <c r="BL72" s="89"/>
      <c r="BM72" s="89"/>
      <c r="BN72" s="89"/>
      <c r="BO72" s="89"/>
      <c r="BP72" s="89"/>
      <c r="BQ72" s="89"/>
      <c r="BR72" s="89"/>
    </row>
    <row r="73" spans="3:70" ht="14.25" customHeight="1" x14ac:dyDescent="0.2">
      <c r="C73" s="2" t="s">
        <v>28</v>
      </c>
      <c r="D73" s="8">
        <v>28.8</v>
      </c>
      <c r="E73" s="8">
        <v>18.399999999999999</v>
      </c>
      <c r="F73" s="8">
        <v>19.899999999999999</v>
      </c>
      <c r="G73" s="8">
        <v>16.600000000000001</v>
      </c>
      <c r="H73" s="8">
        <v>10.4</v>
      </c>
      <c r="I73" s="8">
        <v>94.1</v>
      </c>
      <c r="J73" s="15">
        <v>2361</v>
      </c>
      <c r="K73" s="8">
        <v>32.200000000000003</v>
      </c>
      <c r="L73" s="8">
        <v>24.4</v>
      </c>
      <c r="M73" s="8">
        <v>19.399999999999999</v>
      </c>
      <c r="N73" s="8">
        <v>13</v>
      </c>
      <c r="O73" s="8">
        <v>6.9</v>
      </c>
      <c r="P73" s="8">
        <v>95.8</v>
      </c>
      <c r="Q73" s="15">
        <v>3411</v>
      </c>
      <c r="R73" s="8">
        <v>30.8</v>
      </c>
      <c r="S73" s="8">
        <v>22</v>
      </c>
      <c r="T73" s="8">
        <v>19.600000000000001</v>
      </c>
      <c r="U73" s="8">
        <v>14.4</v>
      </c>
      <c r="V73" s="8">
        <v>8.3000000000000007</v>
      </c>
      <c r="W73" s="8">
        <v>95.1</v>
      </c>
      <c r="X73" s="15">
        <v>5772</v>
      </c>
      <c r="Z73" s="73"/>
      <c r="AA73" s="73"/>
      <c r="AB73" s="73"/>
      <c r="AC73" s="73"/>
      <c r="AD73" s="73"/>
      <c r="AE73" s="73"/>
      <c r="AF73" s="73"/>
      <c r="AG73" s="73"/>
      <c r="AH73" s="73"/>
      <c r="AI73" s="73"/>
      <c r="AJ73" s="73"/>
      <c r="AK73" s="73"/>
      <c r="AL73" s="73"/>
      <c r="AM73" s="73"/>
      <c r="AN73" s="73"/>
      <c r="AO73" s="73"/>
      <c r="AP73" s="73"/>
      <c r="AQ73" s="73"/>
      <c r="AR73" s="73"/>
      <c r="AS73" s="73"/>
      <c r="AT73" s="73"/>
      <c r="AU73" s="73"/>
      <c r="AW73" s="78"/>
      <c r="AX73" s="89"/>
      <c r="AY73" s="89"/>
      <c r="AZ73" s="89"/>
      <c r="BA73" s="89"/>
      <c r="BB73" s="89"/>
      <c r="BC73" s="89"/>
      <c r="BD73" s="89"/>
      <c r="BE73" s="89"/>
      <c r="BF73" s="89"/>
      <c r="BG73" s="89"/>
      <c r="BH73" s="89"/>
      <c r="BI73" s="89"/>
      <c r="BJ73" s="89"/>
      <c r="BK73" s="89"/>
      <c r="BL73" s="89"/>
      <c r="BM73" s="89"/>
      <c r="BN73" s="89"/>
      <c r="BO73" s="89"/>
      <c r="BP73" s="89"/>
      <c r="BQ73" s="89"/>
      <c r="BR73" s="89"/>
    </row>
    <row r="74" spans="3:70" ht="14.25" customHeight="1" x14ac:dyDescent="0.2">
      <c r="C74" s="2" t="s">
        <v>29</v>
      </c>
      <c r="D74" s="8">
        <v>18</v>
      </c>
      <c r="E74" s="8">
        <v>19.399999999999999</v>
      </c>
      <c r="F74" s="8">
        <v>21.8</v>
      </c>
      <c r="G74" s="8">
        <v>16.7</v>
      </c>
      <c r="H74" s="8">
        <v>12.8</v>
      </c>
      <c r="I74" s="8">
        <v>88.6</v>
      </c>
      <c r="J74" s="15">
        <v>3571</v>
      </c>
      <c r="K74" s="8">
        <v>19.3</v>
      </c>
      <c r="L74" s="8">
        <v>22.2</v>
      </c>
      <c r="M74" s="8">
        <v>22.2</v>
      </c>
      <c r="N74" s="8">
        <v>16.899999999999999</v>
      </c>
      <c r="O74" s="8">
        <v>10.6</v>
      </c>
      <c r="P74" s="8">
        <v>91.2</v>
      </c>
      <c r="Q74" s="15">
        <v>8745</v>
      </c>
      <c r="R74" s="8">
        <v>18.899999999999999</v>
      </c>
      <c r="S74" s="8">
        <v>21.4</v>
      </c>
      <c r="T74" s="8">
        <v>22.1</v>
      </c>
      <c r="U74" s="8">
        <v>16.8</v>
      </c>
      <c r="V74" s="8">
        <v>11.2</v>
      </c>
      <c r="W74" s="8">
        <v>90.4</v>
      </c>
      <c r="X74" s="15">
        <v>12316</v>
      </c>
      <c r="Z74" s="73"/>
      <c r="AA74" s="73"/>
      <c r="AB74" s="73"/>
      <c r="AC74" s="73"/>
      <c r="AD74" s="73"/>
      <c r="AE74" s="73"/>
      <c r="AF74" s="73"/>
      <c r="AG74" s="73"/>
      <c r="AH74" s="73"/>
      <c r="AI74" s="73"/>
      <c r="AJ74" s="73"/>
      <c r="AK74" s="73"/>
      <c r="AL74" s="73"/>
      <c r="AM74" s="73"/>
      <c r="AN74" s="73"/>
      <c r="AO74" s="73"/>
      <c r="AP74" s="73"/>
      <c r="AQ74" s="73"/>
      <c r="AR74" s="73"/>
      <c r="AS74" s="73"/>
      <c r="AT74" s="73"/>
      <c r="AU74" s="73"/>
      <c r="AW74" s="78"/>
      <c r="AX74" s="89"/>
      <c r="AY74" s="89"/>
      <c r="AZ74" s="89"/>
      <c r="BA74" s="89"/>
      <c r="BB74" s="89"/>
      <c r="BC74" s="89"/>
      <c r="BD74" s="89"/>
      <c r="BE74" s="89"/>
      <c r="BF74" s="89"/>
      <c r="BG74" s="89"/>
      <c r="BH74" s="89"/>
      <c r="BI74" s="89"/>
      <c r="BJ74" s="89"/>
      <c r="BK74" s="89"/>
      <c r="BL74" s="89"/>
      <c r="BM74" s="89"/>
      <c r="BN74" s="89"/>
      <c r="BO74" s="89"/>
      <c r="BP74" s="89"/>
      <c r="BQ74" s="89"/>
      <c r="BR74" s="89"/>
    </row>
    <row r="75" spans="3:70" ht="14.25" customHeight="1" x14ac:dyDescent="0.2">
      <c r="C75" s="2" t="s">
        <v>30</v>
      </c>
      <c r="D75" s="8">
        <v>15.8</v>
      </c>
      <c r="E75" s="8">
        <v>16.5</v>
      </c>
      <c r="F75" s="8">
        <v>21.9</v>
      </c>
      <c r="G75" s="8">
        <v>19.600000000000001</v>
      </c>
      <c r="H75" s="8">
        <v>14</v>
      </c>
      <c r="I75" s="8">
        <v>87.8</v>
      </c>
      <c r="J75" s="15">
        <v>4914</v>
      </c>
      <c r="K75" s="8">
        <v>21.6</v>
      </c>
      <c r="L75" s="8">
        <v>22.6</v>
      </c>
      <c r="M75" s="8">
        <v>22.4</v>
      </c>
      <c r="N75" s="8">
        <v>17</v>
      </c>
      <c r="O75" s="8">
        <v>10.5</v>
      </c>
      <c r="P75" s="8">
        <v>94</v>
      </c>
      <c r="Q75" s="15">
        <v>4553</v>
      </c>
      <c r="R75" s="8">
        <v>18.600000000000001</v>
      </c>
      <c r="S75" s="8">
        <v>19.399999999999999</v>
      </c>
      <c r="T75" s="8">
        <v>22.1</v>
      </c>
      <c r="U75" s="8">
        <v>18.399999999999999</v>
      </c>
      <c r="V75" s="8">
        <v>12.3</v>
      </c>
      <c r="W75" s="8">
        <v>90.8</v>
      </c>
      <c r="X75" s="15">
        <v>9467</v>
      </c>
      <c r="Z75" s="73"/>
      <c r="AA75" s="73"/>
      <c r="AB75" s="73"/>
      <c r="AC75" s="73"/>
      <c r="AD75" s="73"/>
      <c r="AE75" s="73"/>
      <c r="AF75" s="73"/>
      <c r="AG75" s="73"/>
      <c r="AH75" s="73"/>
      <c r="AI75" s="73"/>
      <c r="AJ75" s="73"/>
      <c r="AK75" s="73"/>
      <c r="AL75" s="73"/>
      <c r="AM75" s="73"/>
      <c r="AN75" s="73"/>
      <c r="AO75" s="73"/>
      <c r="AP75" s="73"/>
      <c r="AQ75" s="73"/>
      <c r="AR75" s="73"/>
      <c r="AS75" s="73"/>
      <c r="AT75" s="73"/>
      <c r="AU75" s="73"/>
      <c r="AW75" s="78"/>
      <c r="AX75" s="89"/>
      <c r="AY75" s="89"/>
      <c r="AZ75" s="89"/>
      <c r="BA75" s="89"/>
      <c r="BB75" s="89"/>
      <c r="BC75" s="89"/>
      <c r="BD75" s="89"/>
      <c r="BE75" s="89"/>
      <c r="BF75" s="89"/>
      <c r="BG75" s="89"/>
      <c r="BH75" s="89"/>
      <c r="BI75" s="89"/>
      <c r="BJ75" s="89"/>
      <c r="BK75" s="89"/>
      <c r="BL75" s="89"/>
      <c r="BM75" s="89"/>
      <c r="BN75" s="89"/>
      <c r="BO75" s="89"/>
      <c r="BP75" s="89"/>
      <c r="BQ75" s="89"/>
      <c r="BR75" s="89"/>
    </row>
    <row r="76" spans="3:70" ht="14.25" customHeight="1" x14ac:dyDescent="0.2">
      <c r="C76" s="2" t="s">
        <v>31</v>
      </c>
      <c r="D76" s="8">
        <v>7.5</v>
      </c>
      <c r="E76" s="8">
        <v>14.3</v>
      </c>
      <c r="F76" s="8">
        <v>20.8</v>
      </c>
      <c r="G76" s="8">
        <v>23.2</v>
      </c>
      <c r="H76" s="8">
        <v>18.899999999999999</v>
      </c>
      <c r="I76" s="8">
        <v>84.7</v>
      </c>
      <c r="J76" s="15">
        <v>13956</v>
      </c>
      <c r="K76" s="8">
        <v>17.7</v>
      </c>
      <c r="L76" s="8">
        <v>18.899999999999999</v>
      </c>
      <c r="M76" s="8">
        <v>21.5</v>
      </c>
      <c r="N76" s="8">
        <v>18.899999999999999</v>
      </c>
      <c r="O76" s="8">
        <v>12.5</v>
      </c>
      <c r="P76" s="8">
        <v>89.4</v>
      </c>
      <c r="Q76" s="15">
        <v>9305</v>
      </c>
      <c r="R76" s="8">
        <v>11.6</v>
      </c>
      <c r="S76" s="8">
        <v>16.100000000000001</v>
      </c>
      <c r="T76" s="8">
        <v>21</v>
      </c>
      <c r="U76" s="8">
        <v>21.4</v>
      </c>
      <c r="V76" s="8">
        <v>16.3</v>
      </c>
      <c r="W76" s="8">
        <v>86.6</v>
      </c>
      <c r="X76" s="15">
        <v>23261</v>
      </c>
      <c r="Z76" s="73"/>
      <c r="AA76" s="73"/>
      <c r="AB76" s="73"/>
      <c r="AC76" s="73"/>
      <c r="AD76" s="73"/>
      <c r="AE76" s="73"/>
      <c r="AF76" s="73"/>
      <c r="AG76" s="73"/>
      <c r="AH76" s="73"/>
      <c r="AI76" s="73"/>
      <c r="AJ76" s="73"/>
      <c r="AK76" s="73"/>
      <c r="AL76" s="73"/>
      <c r="AM76" s="73"/>
      <c r="AN76" s="73"/>
      <c r="AO76" s="73"/>
      <c r="AP76" s="73"/>
      <c r="AQ76" s="73"/>
      <c r="AR76" s="73"/>
      <c r="AS76" s="73"/>
      <c r="AT76" s="73"/>
      <c r="AU76" s="73"/>
      <c r="AW76" s="78"/>
      <c r="AX76" s="89"/>
      <c r="AY76" s="89"/>
      <c r="AZ76" s="89"/>
      <c r="BA76" s="89"/>
      <c r="BB76" s="89"/>
      <c r="BC76" s="89"/>
      <c r="BD76" s="89"/>
      <c r="BE76" s="89"/>
      <c r="BF76" s="89"/>
      <c r="BG76" s="89"/>
      <c r="BH76" s="89"/>
      <c r="BI76" s="89"/>
      <c r="BJ76" s="89"/>
      <c r="BK76" s="89"/>
      <c r="BL76" s="89"/>
      <c r="BM76" s="89"/>
      <c r="BN76" s="89"/>
      <c r="BO76" s="89"/>
      <c r="BP76" s="89"/>
      <c r="BQ76" s="89"/>
      <c r="BR76" s="89"/>
    </row>
    <row r="77" spans="3:70" ht="14.25" customHeight="1" x14ac:dyDescent="0.2">
      <c r="C77" s="2" t="s">
        <v>32</v>
      </c>
      <c r="D77" s="8">
        <v>9.8000000000000007</v>
      </c>
      <c r="E77" s="8">
        <v>12.2</v>
      </c>
      <c r="F77" s="8">
        <v>16.7</v>
      </c>
      <c r="G77" s="8">
        <v>18.399999999999999</v>
      </c>
      <c r="H77" s="8">
        <v>17.399999999999999</v>
      </c>
      <c r="I77" s="8">
        <v>74.5</v>
      </c>
      <c r="J77" s="15">
        <v>37007</v>
      </c>
      <c r="K77" s="8">
        <v>11.6</v>
      </c>
      <c r="L77" s="8">
        <v>14.2</v>
      </c>
      <c r="M77" s="8">
        <v>17.8</v>
      </c>
      <c r="N77" s="8">
        <v>18.399999999999999</v>
      </c>
      <c r="O77" s="8">
        <v>16.399999999999999</v>
      </c>
      <c r="P77" s="8">
        <v>78.5</v>
      </c>
      <c r="Q77" s="15">
        <v>41641</v>
      </c>
      <c r="R77" s="8">
        <v>10.7</v>
      </c>
      <c r="S77" s="8">
        <v>13.3</v>
      </c>
      <c r="T77" s="8">
        <v>17.3</v>
      </c>
      <c r="U77" s="8">
        <v>18.399999999999999</v>
      </c>
      <c r="V77" s="8">
        <v>16.899999999999999</v>
      </c>
      <c r="W77" s="8">
        <v>76.599999999999994</v>
      </c>
      <c r="X77" s="15">
        <v>78648</v>
      </c>
      <c r="Z77" s="73"/>
      <c r="AA77" s="73"/>
      <c r="AB77" s="73"/>
      <c r="AC77" s="73"/>
      <c r="AD77" s="73"/>
      <c r="AE77" s="73"/>
      <c r="AF77" s="73"/>
      <c r="AG77" s="73"/>
      <c r="AH77" s="73"/>
      <c r="AI77" s="73"/>
      <c r="AJ77" s="73"/>
      <c r="AK77" s="73"/>
      <c r="AL77" s="73"/>
      <c r="AM77" s="73"/>
      <c r="AN77" s="73"/>
      <c r="AO77" s="73"/>
      <c r="AP77" s="73"/>
      <c r="AQ77" s="73"/>
      <c r="AR77" s="73"/>
      <c r="AS77" s="73"/>
      <c r="AT77" s="73"/>
      <c r="AU77" s="73"/>
      <c r="AW77" s="78"/>
      <c r="AX77" s="89"/>
      <c r="AY77" s="89"/>
      <c r="AZ77" s="89"/>
      <c r="BA77" s="89"/>
      <c r="BB77" s="89"/>
      <c r="BC77" s="89"/>
      <c r="BD77" s="89"/>
      <c r="BE77" s="89"/>
      <c r="BF77" s="89"/>
      <c r="BG77" s="89"/>
      <c r="BH77" s="89"/>
      <c r="BI77" s="89"/>
      <c r="BJ77" s="89"/>
      <c r="BK77" s="89"/>
      <c r="BL77" s="89"/>
      <c r="BM77" s="89"/>
      <c r="BN77" s="89"/>
      <c r="BO77" s="89"/>
      <c r="BP77" s="89"/>
      <c r="BQ77" s="89"/>
      <c r="BR77" s="89"/>
    </row>
    <row r="78" spans="3:70" ht="14.25" customHeight="1" x14ac:dyDescent="0.2">
      <c r="C78" s="2" t="s">
        <v>46</v>
      </c>
      <c r="D78" s="8">
        <v>14.1</v>
      </c>
      <c r="E78" s="8">
        <v>15.4</v>
      </c>
      <c r="F78" s="8">
        <v>18.899999999999999</v>
      </c>
      <c r="G78" s="8">
        <v>18.600000000000001</v>
      </c>
      <c r="H78" s="8">
        <v>14.9</v>
      </c>
      <c r="I78" s="8">
        <v>81.900000000000006</v>
      </c>
      <c r="J78" s="15">
        <v>385823</v>
      </c>
      <c r="K78" s="8">
        <v>17.600000000000001</v>
      </c>
      <c r="L78" s="8">
        <v>18.3</v>
      </c>
      <c r="M78" s="8">
        <v>20.5</v>
      </c>
      <c r="N78" s="8">
        <v>17.600000000000001</v>
      </c>
      <c r="O78" s="8">
        <v>12.7</v>
      </c>
      <c r="P78" s="8">
        <v>86.7</v>
      </c>
      <c r="Q78" s="15">
        <v>453318</v>
      </c>
      <c r="R78" s="8">
        <v>16</v>
      </c>
      <c r="S78" s="8">
        <v>17</v>
      </c>
      <c r="T78" s="8">
        <v>19.8</v>
      </c>
      <c r="U78" s="8">
        <v>18.100000000000001</v>
      </c>
      <c r="V78" s="8">
        <v>13.7</v>
      </c>
      <c r="W78" s="8">
        <v>84.5</v>
      </c>
      <c r="X78" s="15">
        <v>839141</v>
      </c>
      <c r="Z78" s="73"/>
      <c r="AA78" s="73"/>
      <c r="AB78" s="73"/>
      <c r="AC78" s="73"/>
      <c r="AD78" s="73"/>
      <c r="AE78" s="73"/>
      <c r="AF78" s="73"/>
      <c r="AG78" s="73"/>
      <c r="AH78" s="73"/>
      <c r="AI78" s="73"/>
      <c r="AJ78" s="73"/>
      <c r="AK78" s="73"/>
      <c r="AL78" s="73"/>
      <c r="AM78" s="73"/>
      <c r="AN78" s="73"/>
      <c r="AO78" s="73"/>
      <c r="AP78" s="73"/>
      <c r="AQ78" s="73"/>
      <c r="AR78" s="73"/>
      <c r="AS78" s="73"/>
      <c r="AT78" s="73"/>
      <c r="AU78" s="73"/>
      <c r="AW78" s="78"/>
      <c r="AX78" s="89"/>
      <c r="AY78" s="89"/>
      <c r="AZ78" s="89"/>
      <c r="BA78" s="89"/>
      <c r="BB78" s="89"/>
      <c r="BC78" s="89"/>
      <c r="BD78" s="89"/>
      <c r="BE78" s="89"/>
      <c r="BF78" s="89"/>
      <c r="BG78" s="89"/>
      <c r="BH78" s="89"/>
      <c r="BI78" s="89"/>
      <c r="BJ78" s="89"/>
      <c r="BK78" s="89"/>
      <c r="BL78" s="89"/>
      <c r="BM78" s="89"/>
      <c r="BN78" s="89"/>
      <c r="BO78" s="89"/>
      <c r="BP78" s="89"/>
      <c r="BQ78" s="89"/>
      <c r="BR78" s="89"/>
    </row>
    <row r="79" spans="3:70" ht="14.25" customHeight="1" x14ac:dyDescent="0.2">
      <c r="AX79" s="89"/>
      <c r="AY79" s="89"/>
      <c r="AZ79" s="89"/>
      <c r="BA79" s="89"/>
      <c r="BB79" s="89"/>
      <c r="BC79" s="89"/>
      <c r="BD79" s="89"/>
      <c r="BE79" s="89"/>
      <c r="BF79" s="89"/>
      <c r="BG79" s="89"/>
      <c r="BH79" s="89"/>
      <c r="BI79" s="89"/>
      <c r="BJ79" s="89"/>
      <c r="BK79" s="89"/>
      <c r="BL79" s="89"/>
      <c r="BM79" s="89"/>
      <c r="BN79" s="89"/>
      <c r="BO79" s="89"/>
      <c r="BP79" s="89"/>
      <c r="BQ79" s="89"/>
      <c r="BR79" s="89"/>
    </row>
    <row r="80" spans="3:70" ht="14.25" customHeight="1" x14ac:dyDescent="0.2">
      <c r="D80" s="2" t="s">
        <v>59</v>
      </c>
      <c r="K80" s="2" t="s">
        <v>59</v>
      </c>
      <c r="R80" s="2" t="s">
        <v>59</v>
      </c>
      <c r="AX80" s="89"/>
      <c r="AY80" s="89"/>
      <c r="AZ80" s="89"/>
      <c r="BA80" s="89"/>
      <c r="BB80" s="89"/>
      <c r="BC80" s="89"/>
      <c r="BD80" s="89"/>
      <c r="BE80" s="89"/>
      <c r="BF80" s="89"/>
      <c r="BG80" s="89"/>
      <c r="BH80" s="89"/>
      <c r="BI80" s="89"/>
      <c r="BJ80" s="89"/>
      <c r="BK80" s="89"/>
      <c r="BL80" s="89"/>
      <c r="BM80" s="89"/>
      <c r="BN80" s="89"/>
      <c r="BO80" s="89"/>
      <c r="BP80" s="89"/>
      <c r="BQ80" s="89"/>
      <c r="BR80" s="89"/>
    </row>
    <row r="81" spans="3:70" ht="14.25" customHeight="1" x14ac:dyDescent="0.2">
      <c r="D81" s="2" t="s">
        <v>33</v>
      </c>
      <c r="E81" s="2" t="s">
        <v>34</v>
      </c>
      <c r="F81" s="2" t="s">
        <v>35</v>
      </c>
      <c r="G81" s="2" t="s">
        <v>36</v>
      </c>
      <c r="H81" s="2" t="s">
        <v>37</v>
      </c>
      <c r="I81" s="2" t="s">
        <v>47</v>
      </c>
      <c r="J81" s="2" t="s">
        <v>58</v>
      </c>
      <c r="K81" s="2" t="s">
        <v>33</v>
      </c>
      <c r="L81" s="2" t="s">
        <v>34</v>
      </c>
      <c r="M81" s="2" t="s">
        <v>35</v>
      </c>
      <c r="N81" s="2" t="s">
        <v>36</v>
      </c>
      <c r="O81" s="2" t="s">
        <v>37</v>
      </c>
      <c r="P81" s="2" t="s">
        <v>47</v>
      </c>
      <c r="Q81" s="2" t="s">
        <v>58</v>
      </c>
      <c r="R81" s="2" t="s">
        <v>33</v>
      </c>
      <c r="S81" s="2" t="s">
        <v>34</v>
      </c>
      <c r="T81" s="2" t="s">
        <v>35</v>
      </c>
      <c r="U81" s="2" t="s">
        <v>36</v>
      </c>
      <c r="V81" s="2" t="s">
        <v>37</v>
      </c>
      <c r="W81" s="2" t="s">
        <v>47</v>
      </c>
      <c r="X81" s="2" t="s">
        <v>58</v>
      </c>
      <c r="AX81" s="89"/>
      <c r="AY81" s="89"/>
      <c r="AZ81" s="89"/>
      <c r="BA81" s="89"/>
      <c r="BB81" s="89"/>
      <c r="BC81" s="89"/>
      <c r="BD81" s="89"/>
      <c r="BE81" s="89"/>
      <c r="BF81" s="89"/>
      <c r="BG81" s="89"/>
      <c r="BH81" s="89"/>
      <c r="BI81" s="89"/>
      <c r="BJ81" s="89"/>
      <c r="BK81" s="89"/>
      <c r="BL81" s="89"/>
      <c r="BM81" s="89"/>
      <c r="BN81" s="89"/>
      <c r="BO81" s="89"/>
      <c r="BP81" s="89"/>
      <c r="BQ81" s="89"/>
      <c r="BR81" s="89"/>
    </row>
    <row r="82" spans="3:70" ht="14.25" customHeight="1" x14ac:dyDescent="0.2">
      <c r="C82" s="2" t="s">
        <v>0</v>
      </c>
      <c r="D82" s="8">
        <f>ROUND(D44,1)</f>
        <v>14.8</v>
      </c>
      <c r="E82" s="8">
        <f t="shared" ref="E82:W82" si="0">ROUND(E44,1)</f>
        <v>14.6</v>
      </c>
      <c r="F82" s="8">
        <f t="shared" si="0"/>
        <v>16.600000000000001</v>
      </c>
      <c r="G82" s="8">
        <f t="shared" si="0"/>
        <v>17.2</v>
      </c>
      <c r="H82" s="8">
        <f t="shared" si="0"/>
        <v>15.5</v>
      </c>
      <c r="I82" s="8">
        <f t="shared" si="0"/>
        <v>78.8</v>
      </c>
      <c r="J82" s="15">
        <f>ROUND(J44,0)</f>
        <v>20633</v>
      </c>
      <c r="K82" s="8">
        <f t="shared" si="0"/>
        <v>19.2</v>
      </c>
      <c r="L82" s="8">
        <f t="shared" si="0"/>
        <v>16.3</v>
      </c>
      <c r="M82" s="8">
        <f t="shared" si="0"/>
        <v>16.899999999999999</v>
      </c>
      <c r="N82" s="8">
        <f t="shared" si="0"/>
        <v>15.8</v>
      </c>
      <c r="O82" s="8">
        <f t="shared" si="0"/>
        <v>14</v>
      </c>
      <c r="P82" s="8">
        <f t="shared" si="0"/>
        <v>82.3</v>
      </c>
      <c r="Q82" s="15">
        <f>ROUND(Q44,0)</f>
        <v>32427</v>
      </c>
      <c r="R82" s="8">
        <f t="shared" si="0"/>
        <v>17.5</v>
      </c>
      <c r="S82" s="8">
        <f t="shared" si="0"/>
        <v>15.7</v>
      </c>
      <c r="T82" s="8">
        <f t="shared" si="0"/>
        <v>16.8</v>
      </c>
      <c r="U82" s="8">
        <f t="shared" si="0"/>
        <v>16.399999999999999</v>
      </c>
      <c r="V82" s="8">
        <f t="shared" si="0"/>
        <v>14.6</v>
      </c>
      <c r="W82" s="8">
        <f t="shared" si="0"/>
        <v>80.900000000000006</v>
      </c>
      <c r="X82" s="15">
        <f>ROUND(X44,0)</f>
        <v>53060</v>
      </c>
      <c r="AX82" s="89"/>
      <c r="AY82" s="89"/>
      <c r="AZ82" s="89"/>
      <c r="BA82" s="89"/>
      <c r="BB82" s="89"/>
      <c r="BC82" s="89"/>
      <c r="BD82" s="89"/>
      <c r="BE82" s="89"/>
      <c r="BF82" s="89"/>
      <c r="BG82" s="89"/>
      <c r="BH82" s="89"/>
      <c r="BI82" s="89"/>
      <c r="BJ82" s="89"/>
      <c r="BK82" s="89"/>
      <c r="BL82" s="89"/>
      <c r="BM82" s="89"/>
      <c r="BN82" s="89"/>
      <c r="BO82" s="89"/>
      <c r="BP82" s="89"/>
      <c r="BQ82" s="89"/>
      <c r="BR82" s="89"/>
    </row>
    <row r="83" spans="3:70" ht="14.25" customHeight="1" x14ac:dyDescent="0.2">
      <c r="C83" s="2" t="s">
        <v>1</v>
      </c>
      <c r="D83" s="8">
        <f t="shared" ref="D83:W83" si="1">ROUND(D45,1)</f>
        <v>18.899999999999999</v>
      </c>
      <c r="E83" s="8">
        <f t="shared" si="1"/>
        <v>16.7</v>
      </c>
      <c r="F83" s="8">
        <f t="shared" si="1"/>
        <v>17</v>
      </c>
      <c r="G83" s="8">
        <f t="shared" si="1"/>
        <v>16.3</v>
      </c>
      <c r="H83" s="8">
        <f t="shared" si="1"/>
        <v>14.1</v>
      </c>
      <c r="I83" s="8">
        <f t="shared" si="1"/>
        <v>82.9</v>
      </c>
      <c r="J83" s="15">
        <f t="shared" ref="J83:J116" si="2">ROUND(J45,0)</f>
        <v>17809</v>
      </c>
      <c r="K83" s="8">
        <f t="shared" si="1"/>
        <v>22.1</v>
      </c>
      <c r="L83" s="8">
        <f t="shared" si="1"/>
        <v>18.3</v>
      </c>
      <c r="M83" s="8">
        <f t="shared" si="1"/>
        <v>17.7</v>
      </c>
      <c r="N83" s="8">
        <f t="shared" si="1"/>
        <v>15.6</v>
      </c>
      <c r="O83" s="8">
        <f t="shared" si="1"/>
        <v>12.7</v>
      </c>
      <c r="P83" s="8">
        <f t="shared" si="1"/>
        <v>86.5</v>
      </c>
      <c r="Q83" s="15">
        <f t="shared" ref="Q83:Q116" si="3">ROUND(Q45,0)</f>
        <v>18249</v>
      </c>
      <c r="R83" s="8">
        <f t="shared" si="1"/>
        <v>20.5</v>
      </c>
      <c r="S83" s="8">
        <f t="shared" si="1"/>
        <v>17.5</v>
      </c>
      <c r="T83" s="8">
        <f t="shared" si="1"/>
        <v>17.3</v>
      </c>
      <c r="U83" s="8">
        <f t="shared" si="1"/>
        <v>16</v>
      </c>
      <c r="V83" s="8">
        <f t="shared" si="1"/>
        <v>13.4</v>
      </c>
      <c r="W83" s="8">
        <f t="shared" si="1"/>
        <v>84.7</v>
      </c>
      <c r="X83" s="15">
        <f t="shared" ref="X83:X116" si="4">ROUND(X45,0)</f>
        <v>36058</v>
      </c>
      <c r="AX83" s="89"/>
      <c r="AY83" s="89"/>
      <c r="AZ83" s="89"/>
      <c r="BA83" s="89"/>
      <c r="BB83" s="89"/>
      <c r="BC83" s="89"/>
      <c r="BD83" s="89"/>
      <c r="BE83" s="89"/>
      <c r="BF83" s="89"/>
      <c r="BG83" s="89"/>
      <c r="BH83" s="89"/>
      <c r="BI83" s="89"/>
      <c r="BJ83" s="89"/>
      <c r="BK83" s="89"/>
      <c r="BL83" s="89"/>
      <c r="BM83" s="89"/>
      <c r="BN83" s="89"/>
      <c r="BO83" s="89"/>
      <c r="BP83" s="89"/>
      <c r="BQ83" s="89"/>
      <c r="BR83" s="89"/>
    </row>
    <row r="84" spans="3:70" ht="14.25" customHeight="1" x14ac:dyDescent="0.2">
      <c r="C84" s="2" t="s">
        <v>2</v>
      </c>
      <c r="D84" s="8">
        <f t="shared" ref="D84:W84" si="5">ROUND(D46,1)</f>
        <v>19.399999999999999</v>
      </c>
      <c r="E84" s="8">
        <f t="shared" si="5"/>
        <v>16.2</v>
      </c>
      <c r="F84" s="8">
        <f t="shared" si="5"/>
        <v>16.7</v>
      </c>
      <c r="G84" s="8">
        <f t="shared" si="5"/>
        <v>15.5</v>
      </c>
      <c r="H84" s="8">
        <f t="shared" si="5"/>
        <v>13.4</v>
      </c>
      <c r="I84" s="8">
        <f t="shared" si="5"/>
        <v>81.099999999999994</v>
      </c>
      <c r="J84" s="15">
        <f t="shared" si="2"/>
        <v>23540</v>
      </c>
      <c r="K84" s="8">
        <f t="shared" si="5"/>
        <v>25.9</v>
      </c>
      <c r="L84" s="8">
        <f t="shared" si="5"/>
        <v>19.100000000000001</v>
      </c>
      <c r="M84" s="8">
        <f t="shared" si="5"/>
        <v>17.8</v>
      </c>
      <c r="N84" s="8">
        <f t="shared" si="5"/>
        <v>14.3</v>
      </c>
      <c r="O84" s="8">
        <f t="shared" si="5"/>
        <v>10.8</v>
      </c>
      <c r="P84" s="8">
        <f t="shared" si="5"/>
        <v>87.9</v>
      </c>
      <c r="Q84" s="15">
        <f t="shared" si="3"/>
        <v>7714</v>
      </c>
      <c r="R84" s="8">
        <f t="shared" si="5"/>
        <v>21</v>
      </c>
      <c r="S84" s="8">
        <f t="shared" si="5"/>
        <v>16.899999999999999</v>
      </c>
      <c r="T84" s="8">
        <f t="shared" si="5"/>
        <v>16.899999999999999</v>
      </c>
      <c r="U84" s="8">
        <f t="shared" si="5"/>
        <v>15.2</v>
      </c>
      <c r="V84" s="8">
        <f t="shared" si="5"/>
        <v>12.7</v>
      </c>
      <c r="W84" s="8">
        <f t="shared" si="5"/>
        <v>82.7</v>
      </c>
      <c r="X84" s="15">
        <f t="shared" si="4"/>
        <v>31254</v>
      </c>
      <c r="AX84" s="89"/>
      <c r="AY84" s="89"/>
      <c r="AZ84" s="89"/>
      <c r="BA84" s="89"/>
      <c r="BB84" s="89"/>
      <c r="BC84" s="89"/>
      <c r="BD84" s="89"/>
      <c r="BE84" s="89"/>
      <c r="BF84" s="89"/>
      <c r="BG84" s="89"/>
      <c r="BH84" s="89"/>
      <c r="BI84" s="89"/>
      <c r="BJ84" s="89"/>
      <c r="BK84" s="89"/>
      <c r="BL84" s="89"/>
      <c r="BM84" s="89"/>
      <c r="BN84" s="89"/>
      <c r="BO84" s="89"/>
      <c r="BP84" s="89"/>
      <c r="BQ84" s="89"/>
      <c r="BR84" s="89"/>
    </row>
    <row r="85" spans="3:70" ht="14.25" customHeight="1" x14ac:dyDescent="0.2">
      <c r="C85" s="2" t="s">
        <v>3</v>
      </c>
      <c r="D85" s="8">
        <f t="shared" ref="D85:W85" si="6">ROUND(D47,1)</f>
        <v>15.1</v>
      </c>
      <c r="E85" s="8">
        <f t="shared" si="6"/>
        <v>15</v>
      </c>
      <c r="F85" s="8">
        <f t="shared" si="6"/>
        <v>18.399999999999999</v>
      </c>
      <c r="G85" s="8">
        <f t="shared" si="6"/>
        <v>18.600000000000001</v>
      </c>
      <c r="H85" s="8">
        <f t="shared" si="6"/>
        <v>15.2</v>
      </c>
      <c r="I85" s="8">
        <f t="shared" si="6"/>
        <v>82.2</v>
      </c>
      <c r="J85" s="15">
        <f t="shared" si="2"/>
        <v>5348</v>
      </c>
      <c r="K85" s="8">
        <f t="shared" si="6"/>
        <v>12.4</v>
      </c>
      <c r="L85" s="8">
        <f t="shared" si="6"/>
        <v>16.100000000000001</v>
      </c>
      <c r="M85" s="8">
        <f t="shared" si="6"/>
        <v>19.5</v>
      </c>
      <c r="N85" s="8">
        <f t="shared" si="6"/>
        <v>20.6</v>
      </c>
      <c r="O85" s="8">
        <f t="shared" si="6"/>
        <v>15.2</v>
      </c>
      <c r="P85" s="8">
        <f t="shared" si="6"/>
        <v>83.9</v>
      </c>
      <c r="Q85" s="15">
        <f t="shared" si="3"/>
        <v>2584</v>
      </c>
      <c r="R85" s="8">
        <f t="shared" si="6"/>
        <v>14.2</v>
      </c>
      <c r="S85" s="8">
        <f t="shared" si="6"/>
        <v>15.4</v>
      </c>
      <c r="T85" s="8">
        <f t="shared" si="6"/>
        <v>18.7</v>
      </c>
      <c r="U85" s="8">
        <f t="shared" si="6"/>
        <v>19.2</v>
      </c>
      <c r="V85" s="8">
        <f t="shared" si="6"/>
        <v>15.2</v>
      </c>
      <c r="W85" s="8">
        <f t="shared" si="6"/>
        <v>82.8</v>
      </c>
      <c r="X85" s="15">
        <f t="shared" si="4"/>
        <v>7932</v>
      </c>
      <c r="AX85" s="89"/>
      <c r="AY85" s="89"/>
      <c r="AZ85" s="89"/>
      <c r="BA85" s="89"/>
      <c r="BB85" s="89"/>
      <c r="BC85" s="89"/>
      <c r="BD85" s="89"/>
      <c r="BE85" s="89"/>
      <c r="BF85" s="89"/>
      <c r="BG85" s="89"/>
      <c r="BH85" s="89"/>
      <c r="BI85" s="89"/>
      <c r="BJ85" s="89"/>
      <c r="BK85" s="89"/>
      <c r="BL85" s="89"/>
      <c r="BM85" s="89"/>
      <c r="BN85" s="89"/>
      <c r="BO85" s="89"/>
      <c r="BP85" s="89"/>
      <c r="BQ85" s="89"/>
      <c r="BR85" s="89"/>
    </row>
    <row r="86" spans="3:70" ht="14.25" customHeight="1" x14ac:dyDescent="0.2">
      <c r="C86" s="2" t="s">
        <v>4</v>
      </c>
      <c r="D86" s="8">
        <f t="shared" ref="D86:W86" si="7">ROUND(D48,1)</f>
        <v>19.8</v>
      </c>
      <c r="E86" s="8">
        <f t="shared" si="7"/>
        <v>12.8</v>
      </c>
      <c r="F86" s="8">
        <f t="shared" si="7"/>
        <v>13.5</v>
      </c>
      <c r="G86" s="8">
        <f t="shared" si="7"/>
        <v>13.7</v>
      </c>
      <c r="H86" s="8">
        <f t="shared" si="7"/>
        <v>13.5</v>
      </c>
      <c r="I86" s="8">
        <f t="shared" si="7"/>
        <v>73.2</v>
      </c>
      <c r="J86" s="15">
        <f t="shared" si="2"/>
        <v>34399</v>
      </c>
      <c r="K86" s="8">
        <f t="shared" si="7"/>
        <v>22.9</v>
      </c>
      <c r="L86" s="8">
        <f t="shared" si="7"/>
        <v>14.5</v>
      </c>
      <c r="M86" s="8">
        <f t="shared" si="7"/>
        <v>15</v>
      </c>
      <c r="N86" s="8">
        <f t="shared" si="7"/>
        <v>13.9</v>
      </c>
      <c r="O86" s="8">
        <f t="shared" si="7"/>
        <v>12.7</v>
      </c>
      <c r="P86" s="8">
        <f t="shared" si="7"/>
        <v>79</v>
      </c>
      <c r="Q86" s="15">
        <f t="shared" si="3"/>
        <v>22834</v>
      </c>
      <c r="R86" s="8">
        <f t="shared" si="7"/>
        <v>21</v>
      </c>
      <c r="S86" s="8">
        <f t="shared" si="7"/>
        <v>13.5</v>
      </c>
      <c r="T86" s="8">
        <f t="shared" si="7"/>
        <v>14.1</v>
      </c>
      <c r="U86" s="8">
        <f t="shared" si="7"/>
        <v>13.8</v>
      </c>
      <c r="V86" s="8">
        <f t="shared" si="7"/>
        <v>13.2</v>
      </c>
      <c r="W86" s="8">
        <f t="shared" si="7"/>
        <v>75.5</v>
      </c>
      <c r="X86" s="15">
        <f t="shared" si="4"/>
        <v>57233</v>
      </c>
      <c r="AX86" s="89"/>
      <c r="AY86" s="89"/>
      <c r="AZ86" s="89"/>
      <c r="BA86" s="89"/>
      <c r="BB86" s="89"/>
      <c r="BC86" s="89"/>
      <c r="BD86" s="89"/>
      <c r="BE86" s="89"/>
      <c r="BF86" s="89"/>
      <c r="BG86" s="89"/>
      <c r="BH86" s="89"/>
      <c r="BI86" s="89"/>
      <c r="BJ86" s="89"/>
      <c r="BK86" s="89"/>
      <c r="BL86" s="89"/>
      <c r="BM86" s="89"/>
      <c r="BN86" s="89"/>
      <c r="BO86" s="89"/>
      <c r="BP86" s="89"/>
      <c r="BQ86" s="89"/>
      <c r="BR86" s="89"/>
    </row>
    <row r="87" spans="3:70" ht="14.25" customHeight="1" x14ac:dyDescent="0.2">
      <c r="C87" s="2" t="s">
        <v>5</v>
      </c>
      <c r="D87" s="8">
        <f t="shared" ref="D87:W87" si="8">ROUND(D49,1)</f>
        <v>42.1</v>
      </c>
      <c r="E87" s="8">
        <f t="shared" si="8"/>
        <v>17.100000000000001</v>
      </c>
      <c r="F87" s="8">
        <f t="shared" si="8"/>
        <v>15.7</v>
      </c>
      <c r="G87" s="8">
        <f t="shared" si="8"/>
        <v>10.7</v>
      </c>
      <c r="H87" s="8">
        <f t="shared" si="8"/>
        <v>6.9</v>
      </c>
      <c r="I87" s="8">
        <f t="shared" si="8"/>
        <v>92.4</v>
      </c>
      <c r="J87" s="15">
        <f t="shared" si="2"/>
        <v>1467</v>
      </c>
      <c r="K87" s="8">
        <f t="shared" si="8"/>
        <v>50.1</v>
      </c>
      <c r="L87" s="8">
        <f t="shared" si="8"/>
        <v>19.2</v>
      </c>
      <c r="M87" s="8">
        <f t="shared" si="8"/>
        <v>14.5</v>
      </c>
      <c r="N87" s="8">
        <f t="shared" si="8"/>
        <v>7.5</v>
      </c>
      <c r="O87" s="8">
        <f t="shared" si="8"/>
        <v>2.9</v>
      </c>
      <c r="P87" s="8">
        <f t="shared" si="8"/>
        <v>94.3</v>
      </c>
      <c r="Q87" s="15">
        <f t="shared" si="3"/>
        <v>826</v>
      </c>
      <c r="R87" s="8">
        <f t="shared" si="8"/>
        <v>45</v>
      </c>
      <c r="S87" s="8">
        <f t="shared" si="8"/>
        <v>17.899999999999999</v>
      </c>
      <c r="T87" s="8">
        <f t="shared" si="8"/>
        <v>15.3</v>
      </c>
      <c r="U87" s="8">
        <f t="shared" si="8"/>
        <v>9.6</v>
      </c>
      <c r="V87" s="8">
        <f t="shared" si="8"/>
        <v>5.5</v>
      </c>
      <c r="W87" s="8">
        <f t="shared" si="8"/>
        <v>93.1</v>
      </c>
      <c r="X87" s="15">
        <f t="shared" si="4"/>
        <v>2293</v>
      </c>
      <c r="AX87" s="89"/>
      <c r="AY87" s="89"/>
      <c r="AZ87" s="89"/>
      <c r="BA87" s="89"/>
      <c r="BB87" s="89"/>
      <c r="BC87" s="89"/>
      <c r="BD87" s="89"/>
      <c r="BE87" s="89"/>
      <c r="BF87" s="89"/>
      <c r="BG87" s="89"/>
      <c r="BH87" s="89"/>
      <c r="BI87" s="89"/>
      <c r="BJ87" s="89"/>
      <c r="BK87" s="89"/>
      <c r="BL87" s="89"/>
      <c r="BM87" s="89"/>
      <c r="BN87" s="89"/>
      <c r="BO87" s="89"/>
      <c r="BP87" s="89"/>
      <c r="BQ87" s="89"/>
      <c r="BR87" s="89"/>
    </row>
    <row r="88" spans="3:70" ht="14.25" customHeight="1" x14ac:dyDescent="0.2">
      <c r="C88" s="2" t="s">
        <v>6</v>
      </c>
      <c r="D88" s="8">
        <f t="shared" ref="D88:W88" si="9">ROUND(D50,1)</f>
        <v>11.2</v>
      </c>
      <c r="E88" s="8">
        <f t="shared" si="9"/>
        <v>16</v>
      </c>
      <c r="F88" s="8">
        <f t="shared" si="9"/>
        <v>21</v>
      </c>
      <c r="G88" s="8">
        <f t="shared" si="9"/>
        <v>20.399999999999999</v>
      </c>
      <c r="H88" s="8">
        <f t="shared" si="9"/>
        <v>16.3</v>
      </c>
      <c r="I88" s="8">
        <f t="shared" si="9"/>
        <v>84.9</v>
      </c>
      <c r="J88" s="15">
        <f t="shared" si="2"/>
        <v>12052</v>
      </c>
      <c r="K88" s="8">
        <f t="shared" si="9"/>
        <v>16.3</v>
      </c>
      <c r="L88" s="8">
        <f t="shared" si="9"/>
        <v>20.100000000000001</v>
      </c>
      <c r="M88" s="8">
        <f t="shared" si="9"/>
        <v>23.6</v>
      </c>
      <c r="N88" s="8">
        <f t="shared" si="9"/>
        <v>18.5</v>
      </c>
      <c r="O88" s="8">
        <f t="shared" si="9"/>
        <v>12</v>
      </c>
      <c r="P88" s="8">
        <f t="shared" si="9"/>
        <v>90.6</v>
      </c>
      <c r="Q88" s="15">
        <f t="shared" si="3"/>
        <v>7330</v>
      </c>
      <c r="R88" s="8">
        <f t="shared" si="9"/>
        <v>13.2</v>
      </c>
      <c r="S88" s="8">
        <f t="shared" si="9"/>
        <v>17.600000000000001</v>
      </c>
      <c r="T88" s="8">
        <f t="shared" si="9"/>
        <v>22</v>
      </c>
      <c r="U88" s="8">
        <f t="shared" si="9"/>
        <v>19.7</v>
      </c>
      <c r="V88" s="8">
        <f t="shared" si="9"/>
        <v>14.7</v>
      </c>
      <c r="W88" s="8">
        <f t="shared" si="9"/>
        <v>87.1</v>
      </c>
      <c r="X88" s="15">
        <f t="shared" si="4"/>
        <v>19382</v>
      </c>
      <c r="AX88" s="89"/>
      <c r="AY88" s="89"/>
      <c r="AZ88" s="89"/>
      <c r="BA88" s="89"/>
      <c r="BB88" s="89"/>
      <c r="BC88" s="89"/>
      <c r="BD88" s="89"/>
      <c r="BE88" s="89"/>
      <c r="BF88" s="89"/>
      <c r="BG88" s="89"/>
      <c r="BH88" s="89"/>
      <c r="BI88" s="89"/>
      <c r="BJ88" s="89"/>
      <c r="BK88" s="89"/>
      <c r="BL88" s="89"/>
      <c r="BM88" s="89"/>
      <c r="BN88" s="89"/>
      <c r="BO88" s="89"/>
      <c r="BP88" s="89"/>
      <c r="BQ88" s="89"/>
      <c r="BR88" s="89"/>
    </row>
    <row r="89" spans="3:70" ht="14.25" customHeight="1" x14ac:dyDescent="0.2">
      <c r="C89" s="2" t="s">
        <v>7</v>
      </c>
      <c r="D89" s="8">
        <f t="shared" ref="D89:W89" si="10">ROUND(D51,1)</f>
        <v>10.9</v>
      </c>
      <c r="E89" s="8">
        <f t="shared" si="10"/>
        <v>13.7</v>
      </c>
      <c r="F89" s="8">
        <f t="shared" si="10"/>
        <v>17.5</v>
      </c>
      <c r="G89" s="8">
        <f t="shared" si="10"/>
        <v>18.600000000000001</v>
      </c>
      <c r="H89" s="8">
        <f t="shared" si="10"/>
        <v>15.4</v>
      </c>
      <c r="I89" s="8">
        <f t="shared" si="10"/>
        <v>76.3</v>
      </c>
      <c r="J89" s="15">
        <f t="shared" si="2"/>
        <v>11171</v>
      </c>
      <c r="K89" s="8">
        <f t="shared" si="10"/>
        <v>10.199999999999999</v>
      </c>
      <c r="L89" s="8">
        <f t="shared" si="10"/>
        <v>13.3</v>
      </c>
      <c r="M89" s="8">
        <f t="shared" si="10"/>
        <v>16.399999999999999</v>
      </c>
      <c r="N89" s="8">
        <f t="shared" si="10"/>
        <v>18.5</v>
      </c>
      <c r="O89" s="8">
        <f t="shared" si="10"/>
        <v>16.899999999999999</v>
      </c>
      <c r="P89" s="8">
        <f t="shared" si="10"/>
        <v>75.3</v>
      </c>
      <c r="Q89" s="15">
        <f t="shared" si="3"/>
        <v>1828</v>
      </c>
      <c r="R89" s="8">
        <f t="shared" si="10"/>
        <v>10.8</v>
      </c>
      <c r="S89" s="8">
        <f t="shared" si="10"/>
        <v>13.7</v>
      </c>
      <c r="T89" s="8">
        <f t="shared" si="10"/>
        <v>17.3</v>
      </c>
      <c r="U89" s="8">
        <f t="shared" si="10"/>
        <v>18.600000000000001</v>
      </c>
      <c r="V89" s="8">
        <f t="shared" si="10"/>
        <v>15.6</v>
      </c>
      <c r="W89" s="8">
        <f t="shared" si="10"/>
        <v>76.099999999999994</v>
      </c>
      <c r="X89" s="15">
        <f t="shared" si="4"/>
        <v>12999</v>
      </c>
      <c r="AX89" s="89"/>
      <c r="AY89" s="89"/>
      <c r="AZ89" s="89"/>
      <c r="BA89" s="89"/>
      <c r="BB89" s="89"/>
      <c r="BC89" s="89"/>
      <c r="BD89" s="89"/>
      <c r="BE89" s="89"/>
      <c r="BF89" s="89"/>
      <c r="BG89" s="89"/>
      <c r="BH89" s="89"/>
      <c r="BI89" s="89"/>
      <c r="BJ89" s="89"/>
      <c r="BK89" s="89"/>
      <c r="BL89" s="89"/>
      <c r="BM89" s="89"/>
      <c r="BN89" s="89"/>
      <c r="BO89" s="89"/>
      <c r="BP89" s="89"/>
      <c r="BQ89" s="89"/>
      <c r="BR89" s="89"/>
    </row>
    <row r="90" spans="3:70" ht="14.25" customHeight="1" x14ac:dyDescent="0.2">
      <c r="C90" s="2" t="s">
        <v>8</v>
      </c>
      <c r="D90" s="8">
        <f t="shared" ref="D90:W90" si="11">ROUND(D52,1)</f>
        <v>4.4000000000000004</v>
      </c>
      <c r="E90" s="8">
        <f t="shared" si="11"/>
        <v>10.4</v>
      </c>
      <c r="F90" s="8">
        <f t="shared" si="11"/>
        <v>18.100000000000001</v>
      </c>
      <c r="G90" s="8">
        <f t="shared" si="11"/>
        <v>21.4</v>
      </c>
      <c r="H90" s="8">
        <f t="shared" si="11"/>
        <v>19.399999999999999</v>
      </c>
      <c r="I90" s="8">
        <f t="shared" si="11"/>
        <v>73.8</v>
      </c>
      <c r="J90" s="15">
        <f t="shared" si="2"/>
        <v>17583</v>
      </c>
      <c r="K90" s="8">
        <f t="shared" si="11"/>
        <v>5.3</v>
      </c>
      <c r="L90" s="8">
        <f t="shared" si="11"/>
        <v>11.7</v>
      </c>
      <c r="M90" s="8">
        <f t="shared" si="11"/>
        <v>19.3</v>
      </c>
      <c r="N90" s="8">
        <f t="shared" si="11"/>
        <v>21.5</v>
      </c>
      <c r="O90" s="8">
        <f t="shared" si="11"/>
        <v>18.600000000000001</v>
      </c>
      <c r="P90" s="8">
        <f t="shared" si="11"/>
        <v>76.3</v>
      </c>
      <c r="Q90" s="15">
        <f t="shared" si="3"/>
        <v>10393</v>
      </c>
      <c r="R90" s="8">
        <f t="shared" si="11"/>
        <v>4.7</v>
      </c>
      <c r="S90" s="8">
        <f t="shared" si="11"/>
        <v>10.9</v>
      </c>
      <c r="T90" s="8">
        <f t="shared" si="11"/>
        <v>18.600000000000001</v>
      </c>
      <c r="U90" s="8">
        <f t="shared" si="11"/>
        <v>21.5</v>
      </c>
      <c r="V90" s="8">
        <f t="shared" si="11"/>
        <v>19.100000000000001</v>
      </c>
      <c r="W90" s="8">
        <f t="shared" si="11"/>
        <v>74.7</v>
      </c>
      <c r="X90" s="15">
        <f t="shared" si="4"/>
        <v>27976</v>
      </c>
      <c r="AX90" s="89"/>
      <c r="AY90" s="89"/>
      <c r="AZ90" s="89"/>
      <c r="BA90" s="89"/>
      <c r="BB90" s="89"/>
      <c r="BC90" s="89"/>
      <c r="BD90" s="89"/>
      <c r="BE90" s="89"/>
      <c r="BF90" s="89"/>
      <c r="BG90" s="89"/>
      <c r="BH90" s="89"/>
      <c r="BI90" s="89"/>
      <c r="BJ90" s="89"/>
      <c r="BK90" s="89"/>
      <c r="BL90" s="89"/>
      <c r="BM90" s="89"/>
      <c r="BN90" s="89"/>
      <c r="BO90" s="89"/>
      <c r="BP90" s="89"/>
      <c r="BQ90" s="89"/>
      <c r="BR90" s="89"/>
    </row>
    <row r="91" spans="3:70" ht="14.25" customHeight="1" x14ac:dyDescent="0.2">
      <c r="C91" s="2" t="s">
        <v>9</v>
      </c>
      <c r="D91" s="8" t="e">
        <f t="shared" ref="D91:W91" si="12">ROUND(D53,1)</f>
        <v>#VALUE!</v>
      </c>
      <c r="E91" s="8">
        <f t="shared" si="12"/>
        <v>12.6</v>
      </c>
      <c r="F91" s="8">
        <f t="shared" si="12"/>
        <v>19.5</v>
      </c>
      <c r="G91" s="8">
        <f t="shared" si="12"/>
        <v>23</v>
      </c>
      <c r="H91" s="8">
        <f t="shared" si="12"/>
        <v>27.6</v>
      </c>
      <c r="I91" s="8">
        <f t="shared" si="12"/>
        <v>85.1</v>
      </c>
      <c r="J91" s="15">
        <f t="shared" si="2"/>
        <v>87</v>
      </c>
      <c r="K91" s="8">
        <f t="shared" si="12"/>
        <v>19.399999999999999</v>
      </c>
      <c r="L91" s="8">
        <f t="shared" si="12"/>
        <v>14.7</v>
      </c>
      <c r="M91" s="8">
        <f t="shared" si="12"/>
        <v>18.2</v>
      </c>
      <c r="N91" s="8">
        <f t="shared" si="12"/>
        <v>22.8</v>
      </c>
      <c r="O91" s="8">
        <f t="shared" si="12"/>
        <v>14.3</v>
      </c>
      <c r="P91" s="8">
        <f t="shared" si="12"/>
        <v>89.4</v>
      </c>
      <c r="Q91" s="15">
        <f t="shared" si="3"/>
        <v>707</v>
      </c>
      <c r="R91" s="8">
        <f t="shared" si="12"/>
        <v>17.5</v>
      </c>
      <c r="S91" s="8">
        <f t="shared" si="12"/>
        <v>14.5</v>
      </c>
      <c r="T91" s="8">
        <f t="shared" si="12"/>
        <v>18.399999999999999</v>
      </c>
      <c r="U91" s="8">
        <f t="shared" si="12"/>
        <v>22.8</v>
      </c>
      <c r="V91" s="8">
        <f t="shared" si="12"/>
        <v>15.7</v>
      </c>
      <c r="W91" s="8">
        <f t="shared" si="12"/>
        <v>88.9</v>
      </c>
      <c r="X91" s="15">
        <f t="shared" si="4"/>
        <v>794</v>
      </c>
      <c r="AX91" s="89"/>
      <c r="AY91" s="89"/>
      <c r="AZ91" s="89"/>
      <c r="BA91" s="89"/>
      <c r="BB91" s="89"/>
      <c r="BC91" s="89"/>
      <c r="BD91" s="89"/>
      <c r="BE91" s="89"/>
      <c r="BF91" s="89"/>
      <c r="BG91" s="89"/>
      <c r="BH91" s="89"/>
      <c r="BI91" s="89"/>
      <c r="BJ91" s="89"/>
      <c r="BK91" s="89"/>
      <c r="BL91" s="89"/>
      <c r="BM91" s="89"/>
      <c r="BN91" s="89"/>
      <c r="BO91" s="89"/>
      <c r="BP91" s="89"/>
      <c r="BQ91" s="89"/>
      <c r="BR91" s="89"/>
    </row>
    <row r="92" spans="3:70" ht="14.25" customHeight="1" x14ac:dyDescent="0.2">
      <c r="C92" s="2" t="s">
        <v>10</v>
      </c>
      <c r="D92" s="8">
        <f t="shared" ref="D92:W92" si="13">ROUND(D54,1)</f>
        <v>9.3000000000000007</v>
      </c>
      <c r="E92" s="8">
        <f t="shared" si="13"/>
        <v>12.3</v>
      </c>
      <c r="F92" s="8">
        <f t="shared" si="13"/>
        <v>14.7</v>
      </c>
      <c r="G92" s="8">
        <f t="shared" si="13"/>
        <v>16.7</v>
      </c>
      <c r="H92" s="8">
        <f t="shared" si="13"/>
        <v>15</v>
      </c>
      <c r="I92" s="8">
        <f t="shared" si="13"/>
        <v>68</v>
      </c>
      <c r="J92" s="15">
        <f t="shared" si="2"/>
        <v>3117</v>
      </c>
      <c r="K92" s="8">
        <f t="shared" si="13"/>
        <v>10.6</v>
      </c>
      <c r="L92" s="8">
        <f t="shared" si="13"/>
        <v>12.8</v>
      </c>
      <c r="M92" s="8">
        <f t="shared" si="13"/>
        <v>14.9</v>
      </c>
      <c r="N92" s="8">
        <f t="shared" si="13"/>
        <v>16.2</v>
      </c>
      <c r="O92" s="8">
        <f t="shared" si="13"/>
        <v>16.5</v>
      </c>
      <c r="P92" s="8">
        <f t="shared" si="13"/>
        <v>70.900000000000006</v>
      </c>
      <c r="Q92" s="15">
        <f t="shared" si="3"/>
        <v>1968</v>
      </c>
      <c r="R92" s="8">
        <f t="shared" si="13"/>
        <v>9.8000000000000007</v>
      </c>
      <c r="S92" s="8">
        <f t="shared" si="13"/>
        <v>12.5</v>
      </c>
      <c r="T92" s="8">
        <f t="shared" si="13"/>
        <v>14.8</v>
      </c>
      <c r="U92" s="8">
        <f t="shared" si="13"/>
        <v>16.5</v>
      </c>
      <c r="V92" s="8">
        <f t="shared" si="13"/>
        <v>15.6</v>
      </c>
      <c r="W92" s="8">
        <f t="shared" si="13"/>
        <v>69.099999999999994</v>
      </c>
      <c r="X92" s="15">
        <f t="shared" si="4"/>
        <v>5085</v>
      </c>
      <c r="AX92" s="89"/>
      <c r="AY92" s="89"/>
      <c r="AZ92" s="89"/>
      <c r="BA92" s="89"/>
      <c r="BB92" s="89"/>
      <c r="BC92" s="89"/>
      <c r="BD92" s="89"/>
      <c r="BE92" s="89"/>
      <c r="BF92" s="89"/>
      <c r="BG92" s="89"/>
      <c r="BH92" s="89"/>
      <c r="BI92" s="89"/>
      <c r="BJ92" s="89"/>
      <c r="BK92" s="89"/>
      <c r="BL92" s="89"/>
      <c r="BM92" s="89"/>
      <c r="BN92" s="89"/>
      <c r="BO92" s="89"/>
      <c r="BP92" s="89"/>
      <c r="BQ92" s="89"/>
      <c r="BR92" s="89"/>
    </row>
    <row r="93" spans="3:70" ht="14.25" customHeight="1" x14ac:dyDescent="0.2">
      <c r="C93" s="2" t="s">
        <v>11</v>
      </c>
      <c r="D93" s="8">
        <f t="shared" ref="D93:W93" si="14">ROUND(D55,1)</f>
        <v>9.6999999999999993</v>
      </c>
      <c r="E93" s="8">
        <f t="shared" si="14"/>
        <v>15.7</v>
      </c>
      <c r="F93" s="8">
        <f t="shared" si="14"/>
        <v>22.3</v>
      </c>
      <c r="G93" s="8">
        <f t="shared" si="14"/>
        <v>21.6</v>
      </c>
      <c r="H93" s="8">
        <f t="shared" si="14"/>
        <v>15.8</v>
      </c>
      <c r="I93" s="8">
        <f t="shared" si="14"/>
        <v>85.1</v>
      </c>
      <c r="J93" s="15">
        <f t="shared" si="2"/>
        <v>22934</v>
      </c>
      <c r="K93" s="8">
        <f t="shared" si="14"/>
        <v>12.1</v>
      </c>
      <c r="L93" s="8">
        <f t="shared" si="14"/>
        <v>16.7</v>
      </c>
      <c r="M93" s="8">
        <f t="shared" si="14"/>
        <v>22.3</v>
      </c>
      <c r="N93" s="8">
        <f t="shared" si="14"/>
        <v>20</v>
      </c>
      <c r="O93" s="8">
        <f t="shared" si="14"/>
        <v>15.3</v>
      </c>
      <c r="P93" s="8">
        <f t="shared" si="14"/>
        <v>86.3</v>
      </c>
      <c r="Q93" s="15">
        <f t="shared" si="3"/>
        <v>16658</v>
      </c>
      <c r="R93" s="8">
        <f t="shared" si="14"/>
        <v>10.7</v>
      </c>
      <c r="S93" s="8">
        <f t="shared" si="14"/>
        <v>16.100000000000001</v>
      </c>
      <c r="T93" s="8">
        <f t="shared" si="14"/>
        <v>22.3</v>
      </c>
      <c r="U93" s="8">
        <f t="shared" si="14"/>
        <v>20.9</v>
      </c>
      <c r="V93" s="8">
        <f t="shared" si="14"/>
        <v>15.6</v>
      </c>
      <c r="W93" s="8">
        <f t="shared" si="14"/>
        <v>85.6</v>
      </c>
      <c r="X93" s="15">
        <f t="shared" si="4"/>
        <v>39592</v>
      </c>
      <c r="AX93" s="89"/>
      <c r="AY93" s="89"/>
      <c r="AZ93" s="89"/>
      <c r="BA93" s="89"/>
      <c r="BB93" s="89"/>
      <c r="BC93" s="89"/>
      <c r="BD93" s="89"/>
      <c r="BE93" s="89"/>
      <c r="BF93" s="89"/>
      <c r="BG93" s="89"/>
      <c r="BH93" s="89"/>
      <c r="BI93" s="89"/>
      <c r="BJ93" s="89"/>
      <c r="BK93" s="89"/>
      <c r="BL93" s="89"/>
      <c r="BM93" s="89"/>
      <c r="BN93" s="89"/>
      <c r="BO93" s="89"/>
      <c r="BP93" s="89"/>
      <c r="BQ93" s="89"/>
      <c r="BR93" s="89"/>
    </row>
    <row r="94" spans="3:70" ht="14.25" customHeight="1" x14ac:dyDescent="0.2">
      <c r="C94" s="2" t="s">
        <v>12</v>
      </c>
      <c r="D94" s="8">
        <f t="shared" ref="D94:W94" si="15">ROUND(D56,1)</f>
        <v>24.6</v>
      </c>
      <c r="E94" s="8">
        <f t="shared" si="15"/>
        <v>18</v>
      </c>
      <c r="F94" s="8">
        <f t="shared" si="15"/>
        <v>16.899999999999999</v>
      </c>
      <c r="G94" s="8">
        <f t="shared" si="15"/>
        <v>15</v>
      </c>
      <c r="H94" s="8">
        <f t="shared" si="15"/>
        <v>11.7</v>
      </c>
      <c r="I94" s="8">
        <f t="shared" si="15"/>
        <v>86.2</v>
      </c>
      <c r="J94" s="15">
        <f t="shared" si="2"/>
        <v>10033</v>
      </c>
      <c r="K94" s="8">
        <f t="shared" si="15"/>
        <v>27.2</v>
      </c>
      <c r="L94" s="8">
        <f t="shared" si="15"/>
        <v>18.7</v>
      </c>
      <c r="M94" s="8">
        <f t="shared" si="15"/>
        <v>16.399999999999999</v>
      </c>
      <c r="N94" s="8">
        <f t="shared" si="15"/>
        <v>14.3</v>
      </c>
      <c r="O94" s="8">
        <f t="shared" si="15"/>
        <v>10.3</v>
      </c>
      <c r="P94" s="8">
        <f t="shared" si="15"/>
        <v>86.9</v>
      </c>
      <c r="Q94" s="15">
        <f t="shared" si="3"/>
        <v>4563</v>
      </c>
      <c r="R94" s="8">
        <f t="shared" si="15"/>
        <v>25.4</v>
      </c>
      <c r="S94" s="8">
        <f t="shared" si="15"/>
        <v>18.2</v>
      </c>
      <c r="T94" s="8">
        <f t="shared" si="15"/>
        <v>16.8</v>
      </c>
      <c r="U94" s="8">
        <f t="shared" si="15"/>
        <v>14.8</v>
      </c>
      <c r="V94" s="8">
        <f t="shared" si="15"/>
        <v>11.3</v>
      </c>
      <c r="W94" s="8">
        <f t="shared" si="15"/>
        <v>86.4</v>
      </c>
      <c r="X94" s="15">
        <f t="shared" si="4"/>
        <v>14596</v>
      </c>
      <c r="AX94" s="89"/>
      <c r="AY94" s="89"/>
      <c r="AZ94" s="89"/>
      <c r="BA94" s="89"/>
      <c r="BB94" s="89"/>
      <c r="BC94" s="89"/>
      <c r="BD94" s="89"/>
      <c r="BE94" s="89"/>
      <c r="BF94" s="89"/>
      <c r="BG94" s="89"/>
      <c r="BH94" s="89"/>
      <c r="BI94" s="89"/>
      <c r="BJ94" s="89"/>
      <c r="BK94" s="89"/>
      <c r="BL94" s="89"/>
      <c r="BM94" s="89"/>
      <c r="BN94" s="89"/>
      <c r="BO94" s="89"/>
      <c r="BP94" s="89"/>
      <c r="BQ94" s="89"/>
      <c r="BR94" s="89"/>
    </row>
    <row r="95" spans="3:70" ht="14.25" customHeight="1" x14ac:dyDescent="0.2">
      <c r="C95" s="2" t="s">
        <v>13</v>
      </c>
      <c r="D95" s="8">
        <f t="shared" ref="D95:W95" si="16">ROUND(D57,1)</f>
        <v>15.4</v>
      </c>
      <c r="E95" s="8">
        <f t="shared" si="16"/>
        <v>18</v>
      </c>
      <c r="F95" s="8">
        <f t="shared" si="16"/>
        <v>20.2</v>
      </c>
      <c r="G95" s="8">
        <f t="shared" si="16"/>
        <v>19</v>
      </c>
      <c r="H95" s="8">
        <f t="shared" si="16"/>
        <v>14.7</v>
      </c>
      <c r="I95" s="8">
        <f t="shared" si="16"/>
        <v>87.2</v>
      </c>
      <c r="J95" s="15">
        <f t="shared" si="2"/>
        <v>18173</v>
      </c>
      <c r="K95" s="8">
        <f t="shared" si="16"/>
        <v>23.5</v>
      </c>
      <c r="L95" s="8">
        <f t="shared" si="16"/>
        <v>19.600000000000001</v>
      </c>
      <c r="M95" s="8">
        <f t="shared" si="16"/>
        <v>19.899999999999999</v>
      </c>
      <c r="N95" s="8">
        <f t="shared" si="16"/>
        <v>16</v>
      </c>
      <c r="O95" s="8">
        <f t="shared" si="16"/>
        <v>11.3</v>
      </c>
      <c r="P95" s="8">
        <f t="shared" si="16"/>
        <v>90.3</v>
      </c>
      <c r="Q95" s="15">
        <f t="shared" si="3"/>
        <v>15854</v>
      </c>
      <c r="R95" s="8">
        <f t="shared" si="16"/>
        <v>19.2</v>
      </c>
      <c r="S95" s="8">
        <f t="shared" si="16"/>
        <v>18.7</v>
      </c>
      <c r="T95" s="8">
        <f t="shared" si="16"/>
        <v>20.100000000000001</v>
      </c>
      <c r="U95" s="8">
        <f t="shared" si="16"/>
        <v>17.600000000000001</v>
      </c>
      <c r="V95" s="8">
        <f t="shared" si="16"/>
        <v>13.1</v>
      </c>
      <c r="W95" s="8">
        <f t="shared" si="16"/>
        <v>88.7</v>
      </c>
      <c r="X95" s="15">
        <f t="shared" si="4"/>
        <v>34027</v>
      </c>
      <c r="AX95" s="89"/>
      <c r="AY95" s="89"/>
      <c r="AZ95" s="89"/>
      <c r="BA95" s="89"/>
      <c r="BB95" s="89"/>
      <c r="BC95" s="89"/>
      <c r="BD95" s="89"/>
      <c r="BE95" s="89"/>
      <c r="BF95" s="89"/>
      <c r="BG95" s="89"/>
      <c r="BH95" s="89"/>
      <c r="BI95" s="89"/>
      <c r="BJ95" s="89"/>
      <c r="BK95" s="89"/>
      <c r="BL95" s="89"/>
      <c r="BM95" s="89"/>
      <c r="BN95" s="89"/>
      <c r="BO95" s="89"/>
      <c r="BP95" s="89"/>
      <c r="BQ95" s="89"/>
      <c r="BR95" s="89"/>
    </row>
    <row r="96" spans="3:70" ht="14.25" customHeight="1" x14ac:dyDescent="0.2">
      <c r="C96" s="2" t="s">
        <v>14</v>
      </c>
      <c r="D96" s="8">
        <f t="shared" ref="D96:W96" si="17">ROUND(D58,1)</f>
        <v>20.7</v>
      </c>
      <c r="E96" s="8">
        <f t="shared" si="17"/>
        <v>18.5</v>
      </c>
      <c r="F96" s="8">
        <f t="shared" si="17"/>
        <v>19.899999999999999</v>
      </c>
      <c r="G96" s="8">
        <f t="shared" si="17"/>
        <v>17.3</v>
      </c>
      <c r="H96" s="8">
        <f t="shared" si="17"/>
        <v>12.5</v>
      </c>
      <c r="I96" s="8">
        <f t="shared" si="17"/>
        <v>88.8</v>
      </c>
      <c r="J96" s="15">
        <f t="shared" si="2"/>
        <v>5421</v>
      </c>
      <c r="K96" s="8">
        <f t="shared" si="17"/>
        <v>23.5</v>
      </c>
      <c r="L96" s="8">
        <f t="shared" si="17"/>
        <v>19.100000000000001</v>
      </c>
      <c r="M96" s="8">
        <f t="shared" si="17"/>
        <v>19.399999999999999</v>
      </c>
      <c r="N96" s="8">
        <f t="shared" si="17"/>
        <v>15.3</v>
      </c>
      <c r="O96" s="8">
        <f t="shared" si="17"/>
        <v>10.9</v>
      </c>
      <c r="P96" s="8">
        <f t="shared" si="17"/>
        <v>88.1</v>
      </c>
      <c r="Q96" s="15">
        <f t="shared" si="3"/>
        <v>4155</v>
      </c>
      <c r="R96" s="8">
        <f t="shared" si="17"/>
        <v>21.9</v>
      </c>
      <c r="S96" s="8">
        <f t="shared" si="17"/>
        <v>18.7</v>
      </c>
      <c r="T96" s="8">
        <f t="shared" si="17"/>
        <v>19.7</v>
      </c>
      <c r="U96" s="8">
        <f t="shared" si="17"/>
        <v>16.399999999999999</v>
      </c>
      <c r="V96" s="8">
        <f t="shared" si="17"/>
        <v>11.8</v>
      </c>
      <c r="W96" s="8">
        <f t="shared" si="17"/>
        <v>88.5</v>
      </c>
      <c r="X96" s="15">
        <f t="shared" si="4"/>
        <v>9576</v>
      </c>
    </row>
    <row r="97" spans="3:24" ht="14.25" customHeight="1" x14ac:dyDescent="0.2">
      <c r="C97" s="2" t="s">
        <v>15</v>
      </c>
      <c r="D97" s="8">
        <f t="shared" ref="D97:W97" si="18">ROUND(D59,1)</f>
        <v>16.3</v>
      </c>
      <c r="E97" s="8">
        <f t="shared" si="18"/>
        <v>20.399999999999999</v>
      </c>
      <c r="F97" s="8">
        <f t="shared" si="18"/>
        <v>23.1</v>
      </c>
      <c r="G97" s="8">
        <f t="shared" si="18"/>
        <v>19.399999999999999</v>
      </c>
      <c r="H97" s="8">
        <f t="shared" si="18"/>
        <v>12.1</v>
      </c>
      <c r="I97" s="8">
        <f t="shared" si="18"/>
        <v>91.3</v>
      </c>
      <c r="J97" s="15">
        <f t="shared" si="2"/>
        <v>18127</v>
      </c>
      <c r="K97" s="8">
        <f t="shared" si="18"/>
        <v>18.5</v>
      </c>
      <c r="L97" s="8">
        <f t="shared" si="18"/>
        <v>21.2</v>
      </c>
      <c r="M97" s="8">
        <f t="shared" si="18"/>
        <v>22.8</v>
      </c>
      <c r="N97" s="8">
        <f t="shared" si="18"/>
        <v>17.8</v>
      </c>
      <c r="O97" s="8">
        <f t="shared" si="18"/>
        <v>11.2</v>
      </c>
      <c r="P97" s="8">
        <f t="shared" si="18"/>
        <v>91.4</v>
      </c>
      <c r="Q97" s="15">
        <f t="shared" si="3"/>
        <v>21028</v>
      </c>
      <c r="R97" s="8">
        <f t="shared" si="18"/>
        <v>17.399999999999999</v>
      </c>
      <c r="S97" s="8">
        <f t="shared" si="18"/>
        <v>20.8</v>
      </c>
      <c r="T97" s="8">
        <f t="shared" si="18"/>
        <v>22.9</v>
      </c>
      <c r="U97" s="8">
        <f t="shared" si="18"/>
        <v>18.5</v>
      </c>
      <c r="V97" s="8">
        <f t="shared" si="18"/>
        <v>11.6</v>
      </c>
      <c r="W97" s="8">
        <f t="shared" si="18"/>
        <v>91.4</v>
      </c>
      <c r="X97" s="15">
        <f t="shared" si="4"/>
        <v>39155</v>
      </c>
    </row>
    <row r="98" spans="3:24" ht="14.25" customHeight="1" x14ac:dyDescent="0.2">
      <c r="C98" s="2" t="s">
        <v>16</v>
      </c>
      <c r="D98" s="8">
        <f t="shared" ref="D98:W98" si="19">ROUND(D60,1)</f>
        <v>9.6999999999999993</v>
      </c>
      <c r="E98" s="8">
        <f t="shared" si="19"/>
        <v>13.3</v>
      </c>
      <c r="F98" s="8">
        <f t="shared" si="19"/>
        <v>15.7</v>
      </c>
      <c r="G98" s="8">
        <f t="shared" si="19"/>
        <v>17.7</v>
      </c>
      <c r="H98" s="8">
        <f t="shared" si="19"/>
        <v>17.600000000000001</v>
      </c>
      <c r="I98" s="8">
        <f t="shared" si="19"/>
        <v>74</v>
      </c>
      <c r="J98" s="15">
        <f t="shared" si="2"/>
        <v>6744</v>
      </c>
      <c r="K98" s="8">
        <f t="shared" si="19"/>
        <v>14.4</v>
      </c>
      <c r="L98" s="8">
        <f t="shared" si="19"/>
        <v>15.4</v>
      </c>
      <c r="M98" s="8">
        <f t="shared" si="19"/>
        <v>17.899999999999999</v>
      </c>
      <c r="N98" s="8">
        <f t="shared" si="19"/>
        <v>17</v>
      </c>
      <c r="O98" s="8">
        <f t="shared" si="19"/>
        <v>13.9</v>
      </c>
      <c r="P98" s="8">
        <f t="shared" si="19"/>
        <v>78.5</v>
      </c>
      <c r="Q98" s="15">
        <f t="shared" si="3"/>
        <v>9347</v>
      </c>
      <c r="R98" s="8">
        <f t="shared" si="19"/>
        <v>12.4</v>
      </c>
      <c r="S98" s="8">
        <f t="shared" si="19"/>
        <v>14.5</v>
      </c>
      <c r="T98" s="8">
        <f t="shared" si="19"/>
        <v>17</v>
      </c>
      <c r="U98" s="8">
        <f t="shared" si="19"/>
        <v>17.3</v>
      </c>
      <c r="V98" s="8">
        <f t="shared" si="19"/>
        <v>15.4</v>
      </c>
      <c r="W98" s="8">
        <f t="shared" si="19"/>
        <v>76.599999999999994</v>
      </c>
      <c r="X98" s="15">
        <f t="shared" si="4"/>
        <v>16091</v>
      </c>
    </row>
    <row r="99" spans="3:24" ht="14.25" customHeight="1" x14ac:dyDescent="0.2">
      <c r="C99" s="2" t="s">
        <v>17</v>
      </c>
      <c r="D99" s="8">
        <f t="shared" ref="D99:W99" si="20">ROUND(D61,1)</f>
        <v>8.1</v>
      </c>
      <c r="E99" s="8">
        <f t="shared" si="20"/>
        <v>11.6</v>
      </c>
      <c r="F99" s="8">
        <f t="shared" si="20"/>
        <v>17.7</v>
      </c>
      <c r="G99" s="8">
        <f t="shared" si="20"/>
        <v>19.899999999999999</v>
      </c>
      <c r="H99" s="8">
        <f t="shared" si="20"/>
        <v>17.600000000000001</v>
      </c>
      <c r="I99" s="8">
        <f t="shared" si="20"/>
        <v>75</v>
      </c>
      <c r="J99" s="15">
        <f t="shared" si="2"/>
        <v>14958</v>
      </c>
      <c r="K99" s="8">
        <f t="shared" si="20"/>
        <v>15.6</v>
      </c>
      <c r="L99" s="8">
        <f t="shared" si="20"/>
        <v>17</v>
      </c>
      <c r="M99" s="8">
        <f t="shared" si="20"/>
        <v>19.100000000000001</v>
      </c>
      <c r="N99" s="8">
        <f t="shared" si="20"/>
        <v>17.5</v>
      </c>
      <c r="O99" s="8">
        <f t="shared" si="20"/>
        <v>13.9</v>
      </c>
      <c r="P99" s="8">
        <f t="shared" si="20"/>
        <v>83.1</v>
      </c>
      <c r="Q99" s="15">
        <f t="shared" si="3"/>
        <v>39354</v>
      </c>
      <c r="R99" s="8">
        <f t="shared" si="20"/>
        <v>13.6</v>
      </c>
      <c r="S99" s="8">
        <f t="shared" si="20"/>
        <v>15.5</v>
      </c>
      <c r="T99" s="8">
        <f t="shared" si="20"/>
        <v>18.7</v>
      </c>
      <c r="U99" s="8">
        <f t="shared" si="20"/>
        <v>18.2</v>
      </c>
      <c r="V99" s="8">
        <f t="shared" si="20"/>
        <v>14.9</v>
      </c>
      <c r="W99" s="8">
        <f t="shared" si="20"/>
        <v>80.900000000000006</v>
      </c>
      <c r="X99" s="15">
        <f t="shared" si="4"/>
        <v>54312</v>
      </c>
    </row>
    <row r="100" spans="3:24" ht="14.25" customHeight="1" x14ac:dyDescent="0.2">
      <c r="C100" s="2" t="s">
        <v>18</v>
      </c>
      <c r="D100" s="8">
        <f t="shared" ref="D100:W100" si="21">ROUND(D62,1)</f>
        <v>10.4</v>
      </c>
      <c r="E100" s="8">
        <f t="shared" si="21"/>
        <v>13.1</v>
      </c>
      <c r="F100" s="8">
        <f t="shared" si="21"/>
        <v>17.899999999999999</v>
      </c>
      <c r="G100" s="8">
        <f t="shared" si="21"/>
        <v>19.3</v>
      </c>
      <c r="H100" s="8">
        <f t="shared" si="21"/>
        <v>17.100000000000001</v>
      </c>
      <c r="I100" s="8">
        <f t="shared" si="21"/>
        <v>77.900000000000006</v>
      </c>
      <c r="J100" s="15">
        <f t="shared" si="2"/>
        <v>7570</v>
      </c>
      <c r="K100" s="8">
        <f t="shared" si="21"/>
        <v>16.600000000000001</v>
      </c>
      <c r="L100" s="8">
        <f t="shared" si="21"/>
        <v>17.399999999999999</v>
      </c>
      <c r="M100" s="8">
        <f t="shared" si="21"/>
        <v>18.7</v>
      </c>
      <c r="N100" s="8">
        <f t="shared" si="21"/>
        <v>17.5</v>
      </c>
      <c r="O100" s="8">
        <f t="shared" si="21"/>
        <v>14.4</v>
      </c>
      <c r="P100" s="8">
        <f t="shared" si="21"/>
        <v>84.7</v>
      </c>
      <c r="Q100" s="15">
        <f t="shared" si="3"/>
        <v>21711</v>
      </c>
      <c r="R100" s="8">
        <f t="shared" si="21"/>
        <v>15</v>
      </c>
      <c r="S100" s="8">
        <f t="shared" si="21"/>
        <v>16.3</v>
      </c>
      <c r="T100" s="8">
        <f t="shared" si="21"/>
        <v>18.5</v>
      </c>
      <c r="U100" s="8">
        <f t="shared" si="21"/>
        <v>18</v>
      </c>
      <c r="V100" s="8">
        <f t="shared" si="21"/>
        <v>15.1</v>
      </c>
      <c r="W100" s="8">
        <f t="shared" si="21"/>
        <v>82.9</v>
      </c>
      <c r="X100" s="15">
        <f t="shared" si="4"/>
        <v>29281</v>
      </c>
    </row>
    <row r="101" spans="3:24" ht="14.25" customHeight="1" x14ac:dyDescent="0.2">
      <c r="C101" s="2" t="s">
        <v>19</v>
      </c>
      <c r="D101" s="8">
        <f t="shared" ref="D101:W101" si="22">ROUND(D63,1)</f>
        <v>12</v>
      </c>
      <c r="E101" s="8">
        <f t="shared" si="22"/>
        <v>13.4</v>
      </c>
      <c r="F101" s="8">
        <f t="shared" si="22"/>
        <v>17.100000000000001</v>
      </c>
      <c r="G101" s="8">
        <f t="shared" si="22"/>
        <v>19.3</v>
      </c>
      <c r="H101" s="8">
        <f t="shared" si="22"/>
        <v>14.9</v>
      </c>
      <c r="I101" s="8">
        <f t="shared" si="22"/>
        <v>76.7</v>
      </c>
      <c r="J101" s="15">
        <f t="shared" si="2"/>
        <v>2371</v>
      </c>
      <c r="K101" s="8">
        <f t="shared" si="22"/>
        <v>15.6</v>
      </c>
      <c r="L101" s="8">
        <f t="shared" si="22"/>
        <v>15</v>
      </c>
      <c r="M101" s="8">
        <f t="shared" si="22"/>
        <v>16.8</v>
      </c>
      <c r="N101" s="8">
        <f t="shared" si="22"/>
        <v>17.2</v>
      </c>
      <c r="O101" s="8">
        <f t="shared" si="22"/>
        <v>16.100000000000001</v>
      </c>
      <c r="P101" s="8">
        <f t="shared" si="22"/>
        <v>80.8</v>
      </c>
      <c r="Q101" s="15">
        <f t="shared" si="3"/>
        <v>2769</v>
      </c>
      <c r="R101" s="8">
        <f t="shared" si="22"/>
        <v>14</v>
      </c>
      <c r="S101" s="8">
        <f t="shared" si="22"/>
        <v>14.3</v>
      </c>
      <c r="T101" s="8">
        <f t="shared" si="22"/>
        <v>17</v>
      </c>
      <c r="U101" s="8">
        <f t="shared" si="22"/>
        <v>18.2</v>
      </c>
      <c r="V101" s="8">
        <f t="shared" si="22"/>
        <v>15.5</v>
      </c>
      <c r="W101" s="8">
        <f t="shared" si="22"/>
        <v>78.900000000000006</v>
      </c>
      <c r="X101" s="15">
        <f t="shared" si="4"/>
        <v>5140</v>
      </c>
    </row>
    <row r="102" spans="3:24" ht="14.25" customHeight="1" x14ac:dyDescent="0.2">
      <c r="C102" s="2" t="s">
        <v>20</v>
      </c>
      <c r="D102" s="8">
        <f t="shared" ref="D102:W102" si="23">ROUND(D64,1)</f>
        <v>15.4</v>
      </c>
      <c r="E102" s="8">
        <f t="shared" si="23"/>
        <v>15.1</v>
      </c>
      <c r="F102" s="8">
        <f t="shared" si="23"/>
        <v>19.8</v>
      </c>
      <c r="G102" s="8">
        <f t="shared" si="23"/>
        <v>19</v>
      </c>
      <c r="H102" s="8">
        <f t="shared" si="23"/>
        <v>13.8</v>
      </c>
      <c r="I102" s="8">
        <f t="shared" si="23"/>
        <v>83.1</v>
      </c>
      <c r="J102" s="15">
        <f t="shared" si="2"/>
        <v>15735</v>
      </c>
      <c r="K102" s="8">
        <f t="shared" si="23"/>
        <v>24.3</v>
      </c>
      <c r="L102" s="8">
        <f t="shared" si="23"/>
        <v>20.9</v>
      </c>
      <c r="M102" s="8">
        <f t="shared" si="23"/>
        <v>21.5</v>
      </c>
      <c r="N102" s="8">
        <f t="shared" si="23"/>
        <v>15.8</v>
      </c>
      <c r="O102" s="8">
        <f t="shared" si="23"/>
        <v>9</v>
      </c>
      <c r="P102" s="8">
        <f t="shared" si="23"/>
        <v>91.5</v>
      </c>
      <c r="Q102" s="15">
        <f t="shared" si="3"/>
        <v>31309</v>
      </c>
      <c r="R102" s="8">
        <f t="shared" si="23"/>
        <v>21.3</v>
      </c>
      <c r="S102" s="8">
        <f t="shared" si="23"/>
        <v>19</v>
      </c>
      <c r="T102" s="8">
        <f t="shared" si="23"/>
        <v>20.9</v>
      </c>
      <c r="U102" s="8">
        <f t="shared" si="23"/>
        <v>16.899999999999999</v>
      </c>
      <c r="V102" s="8">
        <f t="shared" si="23"/>
        <v>10.6</v>
      </c>
      <c r="W102" s="8">
        <f t="shared" si="23"/>
        <v>88.7</v>
      </c>
      <c r="X102" s="15">
        <f t="shared" si="4"/>
        <v>47044</v>
      </c>
    </row>
    <row r="103" spans="3:24" ht="14.25" customHeight="1" x14ac:dyDescent="0.2">
      <c r="C103" s="2" t="s">
        <v>21</v>
      </c>
      <c r="D103" s="8">
        <f t="shared" ref="D103:W103" si="24">ROUND(D65,1)</f>
        <v>9.5</v>
      </c>
      <c r="E103" s="8">
        <f t="shared" si="24"/>
        <v>18.399999999999999</v>
      </c>
      <c r="F103" s="8">
        <f t="shared" si="24"/>
        <v>27.2</v>
      </c>
      <c r="G103" s="8">
        <f t="shared" si="24"/>
        <v>22.3</v>
      </c>
      <c r="H103" s="8">
        <f t="shared" si="24"/>
        <v>13.2</v>
      </c>
      <c r="I103" s="8">
        <f t="shared" si="24"/>
        <v>90.5</v>
      </c>
      <c r="J103" s="15">
        <f t="shared" si="2"/>
        <v>4444</v>
      </c>
      <c r="K103" s="8">
        <f t="shared" si="24"/>
        <v>15.7</v>
      </c>
      <c r="L103" s="8">
        <f t="shared" si="24"/>
        <v>23.7</v>
      </c>
      <c r="M103" s="8">
        <f t="shared" si="24"/>
        <v>26.9</v>
      </c>
      <c r="N103" s="8">
        <f t="shared" si="24"/>
        <v>18.5</v>
      </c>
      <c r="O103" s="8">
        <f t="shared" si="24"/>
        <v>9.9</v>
      </c>
      <c r="P103" s="8">
        <f t="shared" si="24"/>
        <v>94.7</v>
      </c>
      <c r="Q103" s="15">
        <f t="shared" si="3"/>
        <v>11242</v>
      </c>
      <c r="R103" s="8">
        <f t="shared" si="24"/>
        <v>14</v>
      </c>
      <c r="S103" s="8">
        <f t="shared" si="24"/>
        <v>22.2</v>
      </c>
      <c r="T103" s="8">
        <f t="shared" si="24"/>
        <v>26.9</v>
      </c>
      <c r="U103" s="8">
        <f t="shared" si="24"/>
        <v>19.600000000000001</v>
      </c>
      <c r="V103" s="8">
        <f t="shared" si="24"/>
        <v>10.9</v>
      </c>
      <c r="W103" s="8">
        <f t="shared" si="24"/>
        <v>93.5</v>
      </c>
      <c r="X103" s="15">
        <f t="shared" si="4"/>
        <v>15686</v>
      </c>
    </row>
    <row r="104" spans="3:24" ht="14.25" customHeight="1" x14ac:dyDescent="0.2">
      <c r="C104" s="2" t="s">
        <v>22</v>
      </c>
      <c r="D104" s="8">
        <f t="shared" ref="D104:W104" si="25">ROUND(D66,1)</f>
        <v>13.7</v>
      </c>
      <c r="E104" s="8">
        <f t="shared" si="25"/>
        <v>17.8</v>
      </c>
      <c r="F104" s="8">
        <f t="shared" si="25"/>
        <v>22.9</v>
      </c>
      <c r="G104" s="8">
        <f t="shared" si="25"/>
        <v>22.2</v>
      </c>
      <c r="H104" s="8">
        <f t="shared" si="25"/>
        <v>14.3</v>
      </c>
      <c r="I104" s="8">
        <f t="shared" si="25"/>
        <v>91</v>
      </c>
      <c r="J104" s="15">
        <f t="shared" si="2"/>
        <v>24398</v>
      </c>
      <c r="K104" s="8">
        <f t="shared" si="25"/>
        <v>14.9</v>
      </c>
      <c r="L104" s="8">
        <f t="shared" si="25"/>
        <v>19.8</v>
      </c>
      <c r="M104" s="8">
        <f t="shared" si="25"/>
        <v>24.8</v>
      </c>
      <c r="N104" s="8">
        <f t="shared" si="25"/>
        <v>21.5</v>
      </c>
      <c r="O104" s="8">
        <f t="shared" si="25"/>
        <v>12.2</v>
      </c>
      <c r="P104" s="8">
        <f t="shared" si="25"/>
        <v>93.3</v>
      </c>
      <c r="Q104" s="15">
        <f t="shared" si="3"/>
        <v>56335</v>
      </c>
      <c r="R104" s="8">
        <f t="shared" si="25"/>
        <v>14.6</v>
      </c>
      <c r="S104" s="8">
        <f t="shared" si="25"/>
        <v>19.2</v>
      </c>
      <c r="T104" s="8">
        <f t="shared" si="25"/>
        <v>24.2</v>
      </c>
      <c r="U104" s="8">
        <f t="shared" si="25"/>
        <v>21.7</v>
      </c>
      <c r="V104" s="8">
        <f t="shared" si="25"/>
        <v>12.9</v>
      </c>
      <c r="W104" s="8">
        <f t="shared" si="25"/>
        <v>92.6</v>
      </c>
      <c r="X104" s="15">
        <f t="shared" si="4"/>
        <v>80733</v>
      </c>
    </row>
    <row r="105" spans="3:24" ht="14.25" customHeight="1" x14ac:dyDescent="0.2">
      <c r="C105" s="2" t="s">
        <v>51</v>
      </c>
      <c r="D105" s="8">
        <f t="shared" ref="D105:W105" si="26">ROUND(D67,1)</f>
        <v>8.3000000000000007</v>
      </c>
      <c r="E105" s="8">
        <f t="shared" si="26"/>
        <v>18.5</v>
      </c>
      <c r="F105" s="8">
        <f t="shared" si="26"/>
        <v>27.1</v>
      </c>
      <c r="G105" s="8">
        <f t="shared" si="26"/>
        <v>23.4</v>
      </c>
      <c r="H105" s="8">
        <f t="shared" si="26"/>
        <v>13.5</v>
      </c>
      <c r="I105" s="8">
        <f t="shared" si="26"/>
        <v>91</v>
      </c>
      <c r="J105" s="15">
        <f t="shared" si="2"/>
        <v>10525</v>
      </c>
      <c r="K105" s="8">
        <f t="shared" si="26"/>
        <v>12.3</v>
      </c>
      <c r="L105" s="8">
        <f t="shared" si="26"/>
        <v>24.2</v>
      </c>
      <c r="M105" s="8">
        <f t="shared" si="26"/>
        <v>27.7</v>
      </c>
      <c r="N105" s="8">
        <f t="shared" si="26"/>
        <v>19.8</v>
      </c>
      <c r="O105" s="8">
        <f t="shared" si="26"/>
        <v>9.6999999999999993</v>
      </c>
      <c r="P105" s="8">
        <f t="shared" si="26"/>
        <v>93.6</v>
      </c>
      <c r="Q105" s="15">
        <f t="shared" si="3"/>
        <v>13738</v>
      </c>
      <c r="R105" s="8">
        <f t="shared" si="26"/>
        <v>10.6</v>
      </c>
      <c r="S105" s="8">
        <f t="shared" si="26"/>
        <v>21.7</v>
      </c>
      <c r="T105" s="8">
        <f t="shared" si="26"/>
        <v>27.4</v>
      </c>
      <c r="U105" s="8">
        <f t="shared" si="26"/>
        <v>21.4</v>
      </c>
      <c r="V105" s="8">
        <f t="shared" si="26"/>
        <v>11.3</v>
      </c>
      <c r="W105" s="8">
        <f t="shared" si="26"/>
        <v>92.5</v>
      </c>
      <c r="X105" s="15">
        <f t="shared" si="4"/>
        <v>24263</v>
      </c>
    </row>
    <row r="106" spans="3:24" ht="14.25" customHeight="1" x14ac:dyDescent="0.2">
      <c r="C106" s="2" t="s">
        <v>23</v>
      </c>
      <c r="D106" s="8">
        <f t="shared" ref="D106:W106" si="27">ROUND(D68,1)</f>
        <v>9.8000000000000007</v>
      </c>
      <c r="E106" s="8">
        <f t="shared" si="27"/>
        <v>23.1</v>
      </c>
      <c r="F106" s="8">
        <f t="shared" si="27"/>
        <v>28.4</v>
      </c>
      <c r="G106" s="8">
        <f t="shared" si="27"/>
        <v>20</v>
      </c>
      <c r="H106" s="8">
        <f t="shared" si="27"/>
        <v>9.4</v>
      </c>
      <c r="I106" s="8">
        <f t="shared" si="27"/>
        <v>90.7</v>
      </c>
      <c r="J106" s="15">
        <f t="shared" si="2"/>
        <v>4482</v>
      </c>
      <c r="K106" s="8">
        <f t="shared" si="27"/>
        <v>12.9</v>
      </c>
      <c r="L106" s="8">
        <f t="shared" si="27"/>
        <v>25.9</v>
      </c>
      <c r="M106" s="8">
        <f t="shared" si="27"/>
        <v>30.5</v>
      </c>
      <c r="N106" s="8">
        <f t="shared" si="27"/>
        <v>17.7</v>
      </c>
      <c r="O106" s="8">
        <f t="shared" si="27"/>
        <v>7</v>
      </c>
      <c r="P106" s="8">
        <f t="shared" si="27"/>
        <v>94</v>
      </c>
      <c r="Q106" s="15">
        <f t="shared" si="3"/>
        <v>7437</v>
      </c>
      <c r="R106" s="8">
        <f t="shared" si="27"/>
        <v>11.8</v>
      </c>
      <c r="S106" s="8">
        <f t="shared" si="27"/>
        <v>24.8</v>
      </c>
      <c r="T106" s="8">
        <f t="shared" si="27"/>
        <v>29.7</v>
      </c>
      <c r="U106" s="8">
        <f t="shared" si="27"/>
        <v>18.600000000000001</v>
      </c>
      <c r="V106" s="8">
        <f t="shared" si="27"/>
        <v>7.9</v>
      </c>
      <c r="W106" s="8">
        <f t="shared" si="27"/>
        <v>92.7</v>
      </c>
      <c r="X106" s="15">
        <f t="shared" si="4"/>
        <v>11919</v>
      </c>
    </row>
    <row r="107" spans="3:24" ht="14.25" customHeight="1" x14ac:dyDescent="0.2">
      <c r="C107" s="2" t="s">
        <v>24</v>
      </c>
      <c r="D107" s="8">
        <f t="shared" ref="D107:W107" si="28">ROUND(D69,1)</f>
        <v>23.8</v>
      </c>
      <c r="E107" s="8">
        <f t="shared" si="28"/>
        <v>18.100000000000001</v>
      </c>
      <c r="F107" s="8">
        <f t="shared" si="28"/>
        <v>18.600000000000001</v>
      </c>
      <c r="G107" s="8">
        <f t="shared" si="28"/>
        <v>16</v>
      </c>
      <c r="H107" s="8">
        <f t="shared" si="28"/>
        <v>11.9</v>
      </c>
      <c r="I107" s="8">
        <f t="shared" si="28"/>
        <v>88.4</v>
      </c>
      <c r="J107" s="15">
        <f t="shared" si="2"/>
        <v>5491</v>
      </c>
      <c r="K107" s="8">
        <f t="shared" si="28"/>
        <v>20.399999999999999</v>
      </c>
      <c r="L107" s="8">
        <f t="shared" si="28"/>
        <v>18.5</v>
      </c>
      <c r="M107" s="8">
        <f t="shared" si="28"/>
        <v>19.100000000000001</v>
      </c>
      <c r="N107" s="8">
        <f t="shared" si="28"/>
        <v>16.100000000000001</v>
      </c>
      <c r="O107" s="8">
        <f t="shared" si="28"/>
        <v>12.9</v>
      </c>
      <c r="P107" s="8">
        <f t="shared" si="28"/>
        <v>87</v>
      </c>
      <c r="Q107" s="15">
        <f t="shared" si="3"/>
        <v>12457</v>
      </c>
      <c r="R107" s="8">
        <f t="shared" si="28"/>
        <v>21.4</v>
      </c>
      <c r="S107" s="8">
        <f t="shared" si="28"/>
        <v>18.399999999999999</v>
      </c>
      <c r="T107" s="8">
        <f t="shared" si="28"/>
        <v>19</v>
      </c>
      <c r="U107" s="8">
        <f t="shared" si="28"/>
        <v>16.100000000000001</v>
      </c>
      <c r="V107" s="8">
        <f t="shared" si="28"/>
        <v>12.6</v>
      </c>
      <c r="W107" s="8">
        <f t="shared" si="28"/>
        <v>87.4</v>
      </c>
      <c r="X107" s="15">
        <f t="shared" si="4"/>
        <v>17948</v>
      </c>
    </row>
    <row r="108" spans="3:24" ht="14.25" customHeight="1" x14ac:dyDescent="0.2">
      <c r="C108" s="2" t="s">
        <v>25</v>
      </c>
      <c r="D108" s="8">
        <f t="shared" ref="D108:W108" si="29">ROUND(D70,1)</f>
        <v>20.7</v>
      </c>
      <c r="E108" s="8">
        <f t="shared" si="29"/>
        <v>18.399999999999999</v>
      </c>
      <c r="F108" s="8">
        <f t="shared" si="29"/>
        <v>20.399999999999999</v>
      </c>
      <c r="G108" s="8">
        <f t="shared" si="29"/>
        <v>17.5</v>
      </c>
      <c r="H108" s="8">
        <f t="shared" si="29"/>
        <v>11.6</v>
      </c>
      <c r="I108" s="8">
        <f t="shared" si="29"/>
        <v>88.6</v>
      </c>
      <c r="J108" s="15">
        <f t="shared" si="2"/>
        <v>2750</v>
      </c>
      <c r="K108" s="8">
        <f t="shared" si="29"/>
        <v>20.5</v>
      </c>
      <c r="L108" s="8">
        <f t="shared" si="29"/>
        <v>18.600000000000001</v>
      </c>
      <c r="M108" s="8">
        <f t="shared" si="29"/>
        <v>20.8</v>
      </c>
      <c r="N108" s="8">
        <f t="shared" si="29"/>
        <v>17.7</v>
      </c>
      <c r="O108" s="8">
        <f t="shared" si="29"/>
        <v>12.5</v>
      </c>
      <c r="P108" s="8">
        <f t="shared" si="29"/>
        <v>90.1</v>
      </c>
      <c r="Q108" s="15">
        <f t="shared" si="3"/>
        <v>5463</v>
      </c>
      <c r="R108" s="8">
        <f t="shared" si="29"/>
        <v>20.6</v>
      </c>
      <c r="S108" s="8">
        <f t="shared" si="29"/>
        <v>18.600000000000001</v>
      </c>
      <c r="T108" s="8">
        <f t="shared" si="29"/>
        <v>20.7</v>
      </c>
      <c r="U108" s="8">
        <f t="shared" si="29"/>
        <v>17.600000000000001</v>
      </c>
      <c r="V108" s="8">
        <f t="shared" si="29"/>
        <v>12.2</v>
      </c>
      <c r="W108" s="8">
        <f t="shared" si="29"/>
        <v>89.6</v>
      </c>
      <c r="X108" s="15">
        <f t="shared" si="4"/>
        <v>8213</v>
      </c>
    </row>
    <row r="109" spans="3:24" ht="14.25" customHeight="1" x14ac:dyDescent="0.2">
      <c r="C109" s="2" t="s">
        <v>26</v>
      </c>
      <c r="D109" s="8">
        <f t="shared" ref="D109:W109" si="30">ROUND(D71,1)</f>
        <v>23.7</v>
      </c>
      <c r="E109" s="8">
        <f t="shared" si="30"/>
        <v>20.9</v>
      </c>
      <c r="F109" s="8">
        <f t="shared" si="30"/>
        <v>19.5</v>
      </c>
      <c r="G109" s="8">
        <f t="shared" si="30"/>
        <v>14.9</v>
      </c>
      <c r="H109" s="8">
        <f t="shared" si="30"/>
        <v>10.3</v>
      </c>
      <c r="I109" s="8">
        <f t="shared" si="30"/>
        <v>89.2</v>
      </c>
      <c r="J109" s="15">
        <f t="shared" si="2"/>
        <v>1572</v>
      </c>
      <c r="K109" s="8">
        <f t="shared" si="30"/>
        <v>20.8</v>
      </c>
      <c r="L109" s="8">
        <f t="shared" si="30"/>
        <v>20</v>
      </c>
      <c r="M109" s="8">
        <f t="shared" si="30"/>
        <v>19.5</v>
      </c>
      <c r="N109" s="8">
        <f t="shared" si="30"/>
        <v>15.7</v>
      </c>
      <c r="O109" s="8">
        <f t="shared" si="30"/>
        <v>12</v>
      </c>
      <c r="P109" s="8">
        <f t="shared" si="30"/>
        <v>88.1</v>
      </c>
      <c r="Q109" s="15">
        <f t="shared" si="3"/>
        <v>3811</v>
      </c>
      <c r="R109" s="8">
        <f t="shared" si="30"/>
        <v>21.6</v>
      </c>
      <c r="S109" s="8">
        <f t="shared" si="30"/>
        <v>20.3</v>
      </c>
      <c r="T109" s="8">
        <f t="shared" si="30"/>
        <v>19.5</v>
      </c>
      <c r="U109" s="8">
        <f t="shared" si="30"/>
        <v>15.5</v>
      </c>
      <c r="V109" s="8">
        <f t="shared" si="30"/>
        <v>11.5</v>
      </c>
      <c r="W109" s="8">
        <f t="shared" si="30"/>
        <v>88.4</v>
      </c>
      <c r="X109" s="15">
        <f t="shared" si="4"/>
        <v>5383</v>
      </c>
    </row>
    <row r="110" spans="3:24" ht="14.25" customHeight="1" x14ac:dyDescent="0.2">
      <c r="C110" s="2" t="s">
        <v>27</v>
      </c>
      <c r="D110" s="8">
        <f t="shared" ref="D110:W110" si="31">ROUND(D72,1)</f>
        <v>43.9</v>
      </c>
      <c r="E110" s="8">
        <f t="shared" si="31"/>
        <v>22.1</v>
      </c>
      <c r="F110" s="8">
        <f t="shared" si="31"/>
        <v>11.5</v>
      </c>
      <c r="G110" s="8">
        <f t="shared" si="31"/>
        <v>7.4</v>
      </c>
      <c r="H110" s="8">
        <f t="shared" si="31"/>
        <v>5.6</v>
      </c>
      <c r="I110" s="8">
        <f t="shared" si="31"/>
        <v>90.6</v>
      </c>
      <c r="J110" s="15">
        <f t="shared" si="2"/>
        <v>1080</v>
      </c>
      <c r="K110" s="8">
        <f t="shared" si="31"/>
        <v>43.8</v>
      </c>
      <c r="L110" s="8">
        <f t="shared" si="31"/>
        <v>22.5</v>
      </c>
      <c r="M110" s="8">
        <f t="shared" si="31"/>
        <v>13.2</v>
      </c>
      <c r="N110" s="8">
        <f t="shared" si="31"/>
        <v>8.5</v>
      </c>
      <c r="O110" s="8">
        <f t="shared" si="31"/>
        <v>5.5</v>
      </c>
      <c r="P110" s="8">
        <f t="shared" si="31"/>
        <v>93.4</v>
      </c>
      <c r="Q110" s="15">
        <f t="shared" si="3"/>
        <v>1572</v>
      </c>
      <c r="R110" s="8">
        <f t="shared" si="31"/>
        <v>43.8</v>
      </c>
      <c r="S110" s="8">
        <f t="shared" si="31"/>
        <v>22.3</v>
      </c>
      <c r="T110" s="8">
        <f t="shared" si="31"/>
        <v>12.5</v>
      </c>
      <c r="U110" s="8">
        <f t="shared" si="31"/>
        <v>8.1</v>
      </c>
      <c r="V110" s="8">
        <f t="shared" si="31"/>
        <v>5.5</v>
      </c>
      <c r="W110" s="8">
        <f t="shared" si="31"/>
        <v>92.2</v>
      </c>
      <c r="X110" s="15">
        <f t="shared" si="4"/>
        <v>2652</v>
      </c>
    </row>
    <row r="111" spans="3:24" ht="14.25" customHeight="1" x14ac:dyDescent="0.2">
      <c r="C111" s="2" t="s">
        <v>28</v>
      </c>
      <c r="D111" s="8">
        <f t="shared" ref="D111:W111" si="32">ROUND(D73,1)</f>
        <v>28.8</v>
      </c>
      <c r="E111" s="8">
        <f t="shared" si="32"/>
        <v>18.399999999999999</v>
      </c>
      <c r="F111" s="8">
        <f t="shared" si="32"/>
        <v>19.899999999999999</v>
      </c>
      <c r="G111" s="8">
        <f t="shared" si="32"/>
        <v>16.600000000000001</v>
      </c>
      <c r="H111" s="8">
        <f t="shared" si="32"/>
        <v>10.4</v>
      </c>
      <c r="I111" s="8">
        <f t="shared" si="32"/>
        <v>94.1</v>
      </c>
      <c r="J111" s="15">
        <f t="shared" si="2"/>
        <v>2361</v>
      </c>
      <c r="K111" s="8">
        <f t="shared" si="32"/>
        <v>32.200000000000003</v>
      </c>
      <c r="L111" s="8">
        <f t="shared" si="32"/>
        <v>24.4</v>
      </c>
      <c r="M111" s="8">
        <f t="shared" si="32"/>
        <v>19.399999999999999</v>
      </c>
      <c r="N111" s="8">
        <f t="shared" si="32"/>
        <v>13</v>
      </c>
      <c r="O111" s="8">
        <f t="shared" si="32"/>
        <v>6.9</v>
      </c>
      <c r="P111" s="8">
        <f t="shared" si="32"/>
        <v>95.8</v>
      </c>
      <c r="Q111" s="15">
        <f t="shared" si="3"/>
        <v>3411</v>
      </c>
      <c r="R111" s="8">
        <f t="shared" si="32"/>
        <v>30.8</v>
      </c>
      <c r="S111" s="8">
        <f t="shared" si="32"/>
        <v>22</v>
      </c>
      <c r="T111" s="8">
        <f t="shared" si="32"/>
        <v>19.600000000000001</v>
      </c>
      <c r="U111" s="8">
        <f t="shared" si="32"/>
        <v>14.4</v>
      </c>
      <c r="V111" s="8">
        <f t="shared" si="32"/>
        <v>8.3000000000000007</v>
      </c>
      <c r="W111" s="8">
        <f t="shared" si="32"/>
        <v>95.1</v>
      </c>
      <c r="X111" s="15">
        <f t="shared" si="4"/>
        <v>5772</v>
      </c>
    </row>
    <row r="112" spans="3:24" ht="14.25" customHeight="1" x14ac:dyDescent="0.2">
      <c r="C112" s="2" t="s">
        <v>29</v>
      </c>
      <c r="D112" s="8">
        <f t="shared" ref="D112:W112" si="33">ROUND(D74,1)</f>
        <v>18</v>
      </c>
      <c r="E112" s="8">
        <f t="shared" si="33"/>
        <v>19.399999999999999</v>
      </c>
      <c r="F112" s="8">
        <f t="shared" si="33"/>
        <v>21.8</v>
      </c>
      <c r="G112" s="8">
        <f t="shared" si="33"/>
        <v>16.7</v>
      </c>
      <c r="H112" s="8">
        <f t="shared" si="33"/>
        <v>12.8</v>
      </c>
      <c r="I112" s="8">
        <f t="shared" si="33"/>
        <v>88.6</v>
      </c>
      <c r="J112" s="15">
        <f t="shared" si="2"/>
        <v>3571</v>
      </c>
      <c r="K112" s="8">
        <f t="shared" si="33"/>
        <v>19.3</v>
      </c>
      <c r="L112" s="8">
        <f t="shared" si="33"/>
        <v>22.2</v>
      </c>
      <c r="M112" s="8">
        <f t="shared" si="33"/>
        <v>22.2</v>
      </c>
      <c r="N112" s="8">
        <f t="shared" si="33"/>
        <v>16.899999999999999</v>
      </c>
      <c r="O112" s="8">
        <f t="shared" si="33"/>
        <v>10.6</v>
      </c>
      <c r="P112" s="8">
        <f t="shared" si="33"/>
        <v>91.2</v>
      </c>
      <c r="Q112" s="15">
        <f t="shared" si="3"/>
        <v>8745</v>
      </c>
      <c r="R112" s="8">
        <f t="shared" si="33"/>
        <v>18.899999999999999</v>
      </c>
      <c r="S112" s="8">
        <f t="shared" si="33"/>
        <v>21.4</v>
      </c>
      <c r="T112" s="8">
        <f t="shared" si="33"/>
        <v>22.1</v>
      </c>
      <c r="U112" s="8">
        <f t="shared" si="33"/>
        <v>16.8</v>
      </c>
      <c r="V112" s="8">
        <f t="shared" si="33"/>
        <v>11.2</v>
      </c>
      <c r="W112" s="8">
        <f t="shared" si="33"/>
        <v>90.4</v>
      </c>
      <c r="X112" s="15">
        <f t="shared" si="4"/>
        <v>12316</v>
      </c>
    </row>
    <row r="113" spans="3:24" ht="14.25" customHeight="1" x14ac:dyDescent="0.2">
      <c r="C113" s="2" t="s">
        <v>30</v>
      </c>
      <c r="D113" s="8">
        <f t="shared" ref="D113:W113" si="34">ROUND(D75,1)</f>
        <v>15.8</v>
      </c>
      <c r="E113" s="8">
        <f t="shared" si="34"/>
        <v>16.5</v>
      </c>
      <c r="F113" s="8">
        <f t="shared" si="34"/>
        <v>21.9</v>
      </c>
      <c r="G113" s="8">
        <f t="shared" si="34"/>
        <v>19.600000000000001</v>
      </c>
      <c r="H113" s="8">
        <f t="shared" si="34"/>
        <v>14</v>
      </c>
      <c r="I113" s="8">
        <f t="shared" si="34"/>
        <v>87.8</v>
      </c>
      <c r="J113" s="15">
        <f t="shared" si="2"/>
        <v>4914</v>
      </c>
      <c r="K113" s="8">
        <f t="shared" si="34"/>
        <v>21.6</v>
      </c>
      <c r="L113" s="8">
        <f t="shared" si="34"/>
        <v>22.6</v>
      </c>
      <c r="M113" s="8">
        <f t="shared" si="34"/>
        <v>22.4</v>
      </c>
      <c r="N113" s="8">
        <f t="shared" si="34"/>
        <v>17</v>
      </c>
      <c r="O113" s="8">
        <f t="shared" si="34"/>
        <v>10.5</v>
      </c>
      <c r="P113" s="8">
        <f t="shared" si="34"/>
        <v>94</v>
      </c>
      <c r="Q113" s="15">
        <f t="shared" si="3"/>
        <v>4553</v>
      </c>
      <c r="R113" s="8">
        <f t="shared" si="34"/>
        <v>18.600000000000001</v>
      </c>
      <c r="S113" s="8">
        <f t="shared" si="34"/>
        <v>19.399999999999999</v>
      </c>
      <c r="T113" s="8">
        <f t="shared" si="34"/>
        <v>22.1</v>
      </c>
      <c r="U113" s="8">
        <f t="shared" si="34"/>
        <v>18.399999999999999</v>
      </c>
      <c r="V113" s="8">
        <f t="shared" si="34"/>
        <v>12.3</v>
      </c>
      <c r="W113" s="8">
        <f t="shared" si="34"/>
        <v>90.8</v>
      </c>
      <c r="X113" s="15">
        <f t="shared" si="4"/>
        <v>9467</v>
      </c>
    </row>
    <row r="114" spans="3:24" ht="14.25" customHeight="1" x14ac:dyDescent="0.2">
      <c r="C114" s="2" t="s">
        <v>31</v>
      </c>
      <c r="D114" s="8">
        <f t="shared" ref="D114:W114" si="35">ROUND(D76,1)</f>
        <v>7.5</v>
      </c>
      <c r="E114" s="8">
        <f t="shared" si="35"/>
        <v>14.3</v>
      </c>
      <c r="F114" s="8">
        <f t="shared" si="35"/>
        <v>20.8</v>
      </c>
      <c r="G114" s="8">
        <f t="shared" si="35"/>
        <v>23.2</v>
      </c>
      <c r="H114" s="8">
        <f t="shared" si="35"/>
        <v>18.899999999999999</v>
      </c>
      <c r="I114" s="8">
        <f t="shared" si="35"/>
        <v>84.7</v>
      </c>
      <c r="J114" s="15">
        <f t="shared" si="2"/>
        <v>13956</v>
      </c>
      <c r="K114" s="8">
        <f t="shared" si="35"/>
        <v>17.7</v>
      </c>
      <c r="L114" s="8">
        <f t="shared" si="35"/>
        <v>18.899999999999999</v>
      </c>
      <c r="M114" s="8">
        <f t="shared" si="35"/>
        <v>21.5</v>
      </c>
      <c r="N114" s="8">
        <f t="shared" si="35"/>
        <v>18.899999999999999</v>
      </c>
      <c r="O114" s="8">
        <f t="shared" si="35"/>
        <v>12.5</v>
      </c>
      <c r="P114" s="8">
        <f t="shared" si="35"/>
        <v>89.4</v>
      </c>
      <c r="Q114" s="15">
        <f t="shared" si="3"/>
        <v>9305</v>
      </c>
      <c r="R114" s="8">
        <f t="shared" si="35"/>
        <v>11.6</v>
      </c>
      <c r="S114" s="8">
        <f t="shared" si="35"/>
        <v>16.100000000000001</v>
      </c>
      <c r="T114" s="8">
        <f t="shared" si="35"/>
        <v>21</v>
      </c>
      <c r="U114" s="8">
        <f t="shared" si="35"/>
        <v>21.4</v>
      </c>
      <c r="V114" s="8">
        <f t="shared" si="35"/>
        <v>16.3</v>
      </c>
      <c r="W114" s="8">
        <f t="shared" si="35"/>
        <v>86.6</v>
      </c>
      <c r="X114" s="15">
        <f t="shared" si="4"/>
        <v>23261</v>
      </c>
    </row>
    <row r="115" spans="3:24" ht="14.25" customHeight="1" x14ac:dyDescent="0.2">
      <c r="C115" s="2" t="s">
        <v>32</v>
      </c>
      <c r="D115" s="8">
        <f t="shared" ref="D115:W115" si="36">ROUND(D77,1)</f>
        <v>9.8000000000000007</v>
      </c>
      <c r="E115" s="8">
        <f t="shared" si="36"/>
        <v>12.2</v>
      </c>
      <c r="F115" s="8">
        <f t="shared" si="36"/>
        <v>16.7</v>
      </c>
      <c r="G115" s="8">
        <f t="shared" si="36"/>
        <v>18.399999999999999</v>
      </c>
      <c r="H115" s="8">
        <f t="shared" si="36"/>
        <v>17.399999999999999</v>
      </c>
      <c r="I115" s="8">
        <f t="shared" si="36"/>
        <v>74.5</v>
      </c>
      <c r="J115" s="15">
        <f t="shared" si="2"/>
        <v>37007</v>
      </c>
      <c r="K115" s="8">
        <f t="shared" si="36"/>
        <v>11.6</v>
      </c>
      <c r="L115" s="8">
        <f t="shared" si="36"/>
        <v>14.2</v>
      </c>
      <c r="M115" s="8">
        <f t="shared" si="36"/>
        <v>17.8</v>
      </c>
      <c r="N115" s="8">
        <f t="shared" si="36"/>
        <v>18.399999999999999</v>
      </c>
      <c r="O115" s="8">
        <f t="shared" si="36"/>
        <v>16.399999999999999</v>
      </c>
      <c r="P115" s="8">
        <f t="shared" si="36"/>
        <v>78.5</v>
      </c>
      <c r="Q115" s="15">
        <f t="shared" si="3"/>
        <v>41641</v>
      </c>
      <c r="R115" s="8">
        <f t="shared" si="36"/>
        <v>10.7</v>
      </c>
      <c r="S115" s="8">
        <f t="shared" si="36"/>
        <v>13.3</v>
      </c>
      <c r="T115" s="8">
        <f t="shared" si="36"/>
        <v>17.3</v>
      </c>
      <c r="U115" s="8">
        <f t="shared" si="36"/>
        <v>18.399999999999999</v>
      </c>
      <c r="V115" s="8">
        <f t="shared" si="36"/>
        <v>16.899999999999999</v>
      </c>
      <c r="W115" s="8">
        <f t="shared" si="36"/>
        <v>76.599999999999994</v>
      </c>
      <c r="X115" s="15">
        <f t="shared" si="4"/>
        <v>78648</v>
      </c>
    </row>
    <row r="116" spans="3:24" ht="14.25" customHeight="1" x14ac:dyDescent="0.2">
      <c r="C116" s="2" t="s">
        <v>46</v>
      </c>
      <c r="D116" s="8">
        <f t="shared" ref="D116:W116" si="37">ROUND(D78,1)</f>
        <v>14.1</v>
      </c>
      <c r="E116" s="8">
        <f t="shared" si="37"/>
        <v>15.4</v>
      </c>
      <c r="F116" s="8">
        <f t="shared" si="37"/>
        <v>18.899999999999999</v>
      </c>
      <c r="G116" s="8">
        <f t="shared" si="37"/>
        <v>18.600000000000001</v>
      </c>
      <c r="H116" s="8">
        <f t="shared" si="37"/>
        <v>14.9</v>
      </c>
      <c r="I116" s="8">
        <f t="shared" si="37"/>
        <v>81.900000000000006</v>
      </c>
      <c r="J116" s="15">
        <f t="shared" si="2"/>
        <v>385823</v>
      </c>
      <c r="K116" s="8">
        <f t="shared" si="37"/>
        <v>17.600000000000001</v>
      </c>
      <c r="L116" s="8">
        <f t="shared" si="37"/>
        <v>18.3</v>
      </c>
      <c r="M116" s="8">
        <f t="shared" si="37"/>
        <v>20.5</v>
      </c>
      <c r="N116" s="8">
        <f t="shared" si="37"/>
        <v>17.600000000000001</v>
      </c>
      <c r="O116" s="8">
        <f t="shared" si="37"/>
        <v>12.7</v>
      </c>
      <c r="P116" s="8">
        <f t="shared" si="37"/>
        <v>86.7</v>
      </c>
      <c r="Q116" s="15">
        <f t="shared" si="3"/>
        <v>453318</v>
      </c>
      <c r="R116" s="8">
        <f t="shared" si="37"/>
        <v>16</v>
      </c>
      <c r="S116" s="8">
        <f t="shared" si="37"/>
        <v>17</v>
      </c>
      <c r="T116" s="8">
        <f t="shared" si="37"/>
        <v>19.8</v>
      </c>
      <c r="U116" s="8">
        <f t="shared" si="37"/>
        <v>18.100000000000001</v>
      </c>
      <c r="V116" s="8">
        <f t="shared" si="37"/>
        <v>13.7</v>
      </c>
      <c r="W116" s="8">
        <f t="shared" si="37"/>
        <v>84.5</v>
      </c>
      <c r="X116" s="15">
        <f t="shared" si="4"/>
        <v>839141</v>
      </c>
    </row>
  </sheetData>
  <phoneticPr fontId="3" type="noConversion"/>
  <conditionalFormatting sqref="D6:U40">
    <cfRule type="cellIs" dxfId="2" priority="1" operator="between">
      <formula>1</formula>
      <formula>2</formula>
    </cfRule>
  </conditionalFormatting>
  <printOptions headings="1" gridLines="1"/>
  <pageMargins left="0.75" right="0.75" top="1" bottom="1" header="0" footer="0"/>
  <pageSetup paperSize="0" scale="0" orientation="portrait" usePrinterDefaults="0" blackAndWhite="1" cellComments="asDisplayed" horizontalDpi="0" verticalDpi="0" copies="0"/>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R143"/>
  <sheetViews>
    <sheetView defaultGridColor="0" topLeftCell="A19" colorId="22" workbookViewId="0">
      <selection activeCell="A2" sqref="A2"/>
    </sheetView>
  </sheetViews>
  <sheetFormatPr defaultColWidth="10.28515625" defaultRowHeight="14.25" customHeight="1" x14ac:dyDescent="0.2"/>
  <cols>
    <col min="1" max="16384" width="10.28515625" style="7"/>
  </cols>
  <sheetData>
    <row r="1" spans="1:21" ht="12" customHeight="1" x14ac:dyDescent="0.2">
      <c r="A1" s="2"/>
    </row>
    <row r="2" spans="1:21" ht="12" customHeight="1" x14ac:dyDescent="0.2">
      <c r="A2" s="2"/>
    </row>
    <row r="3" spans="1:21" ht="12" customHeight="1" x14ac:dyDescent="0.2">
      <c r="D3" s="2" t="s">
        <v>42</v>
      </c>
      <c r="J3" s="2" t="s">
        <v>43</v>
      </c>
      <c r="P3" s="2" t="s">
        <v>54</v>
      </c>
    </row>
    <row r="4" spans="1:21" ht="12" customHeight="1" x14ac:dyDescent="0.2">
      <c r="D4" s="2" t="s">
        <v>33</v>
      </c>
      <c r="E4" s="2" t="s">
        <v>34</v>
      </c>
      <c r="F4" s="2" t="s">
        <v>35</v>
      </c>
      <c r="G4" s="2" t="s">
        <v>36</v>
      </c>
      <c r="H4" s="2" t="s">
        <v>37</v>
      </c>
      <c r="I4" s="2" t="s">
        <v>38</v>
      </c>
      <c r="J4" s="2" t="s">
        <v>33</v>
      </c>
      <c r="K4" s="2" t="s">
        <v>34</v>
      </c>
      <c r="L4" s="2" t="s">
        <v>35</v>
      </c>
      <c r="M4" s="2" t="s">
        <v>36</v>
      </c>
      <c r="N4" s="2" t="s">
        <v>37</v>
      </c>
      <c r="O4" s="2" t="s">
        <v>38</v>
      </c>
      <c r="P4" s="2" t="s">
        <v>33</v>
      </c>
      <c r="Q4" s="2" t="s">
        <v>34</v>
      </c>
      <c r="R4" s="2" t="s">
        <v>35</v>
      </c>
      <c r="S4" s="2" t="s">
        <v>36</v>
      </c>
      <c r="T4" s="2" t="s">
        <v>37</v>
      </c>
      <c r="U4" s="2" t="s">
        <v>38</v>
      </c>
    </row>
    <row r="6" spans="1:21" ht="12" customHeight="1" x14ac:dyDescent="0.2">
      <c r="A6" s="2"/>
      <c r="C6" s="2" t="s">
        <v>0</v>
      </c>
      <c r="D6" s="21">
        <v>2987</v>
      </c>
      <c r="E6" s="21">
        <v>3048</v>
      </c>
      <c r="F6" s="21">
        <v>3465</v>
      </c>
      <c r="G6" s="21">
        <v>3740</v>
      </c>
      <c r="H6" s="21">
        <v>3788</v>
      </c>
      <c r="I6" s="21">
        <v>4993</v>
      </c>
      <c r="J6" s="21">
        <v>5539</v>
      </c>
      <c r="K6" s="21">
        <v>5167</v>
      </c>
      <c r="L6" s="21">
        <v>5511</v>
      </c>
      <c r="M6" s="21">
        <v>5536</v>
      </c>
      <c r="N6" s="21">
        <v>5297</v>
      </c>
      <c r="O6" s="21">
        <v>6364</v>
      </c>
      <c r="P6" s="21">
        <v>8526</v>
      </c>
      <c r="Q6" s="21">
        <v>8215</v>
      </c>
      <c r="R6" s="21">
        <v>8976</v>
      </c>
      <c r="S6" s="21">
        <v>9276</v>
      </c>
      <c r="T6" s="21">
        <v>9085</v>
      </c>
      <c r="U6" s="21">
        <v>11357</v>
      </c>
    </row>
    <row r="7" spans="1:21" ht="12" customHeight="1" x14ac:dyDescent="0.2">
      <c r="C7" s="2" t="s">
        <v>1</v>
      </c>
      <c r="D7" s="21">
        <v>3458</v>
      </c>
      <c r="E7" s="21">
        <v>3077</v>
      </c>
      <c r="F7" s="21">
        <v>3191</v>
      </c>
      <c r="G7" s="21">
        <v>3126</v>
      </c>
      <c r="H7" s="21">
        <v>2698</v>
      </c>
      <c r="I7" s="21">
        <v>3276</v>
      </c>
      <c r="J7" s="21">
        <v>3903</v>
      </c>
      <c r="K7" s="21">
        <v>3434</v>
      </c>
      <c r="L7" s="21">
        <v>3337</v>
      </c>
      <c r="M7" s="21">
        <v>3119</v>
      </c>
      <c r="N7" s="21">
        <v>2526</v>
      </c>
      <c r="O7" s="21">
        <v>2767</v>
      </c>
      <c r="P7" s="21">
        <v>7361</v>
      </c>
      <c r="Q7" s="21">
        <v>6511</v>
      </c>
      <c r="R7" s="21">
        <v>6528</v>
      </c>
      <c r="S7" s="21">
        <v>6245</v>
      </c>
      <c r="T7" s="21">
        <v>5224</v>
      </c>
      <c r="U7" s="21">
        <v>6043</v>
      </c>
    </row>
    <row r="8" spans="1:21" ht="12" customHeight="1" x14ac:dyDescent="0.2">
      <c r="C8" s="2" t="s">
        <v>2</v>
      </c>
      <c r="D8" s="21">
        <v>4295</v>
      </c>
      <c r="E8" s="21">
        <v>3574</v>
      </c>
      <c r="F8" s="21">
        <v>3744</v>
      </c>
      <c r="G8" s="21">
        <v>3570</v>
      </c>
      <c r="H8" s="21">
        <v>3397</v>
      </c>
      <c r="I8" s="21">
        <v>4527</v>
      </c>
      <c r="J8" s="21">
        <v>1828</v>
      </c>
      <c r="K8" s="21">
        <v>1342</v>
      </c>
      <c r="L8" s="21">
        <v>1275</v>
      </c>
      <c r="M8" s="21">
        <v>1068</v>
      </c>
      <c r="N8" s="21">
        <v>899</v>
      </c>
      <c r="O8" s="21">
        <v>879</v>
      </c>
      <c r="P8" s="21">
        <v>6123</v>
      </c>
      <c r="Q8" s="21">
        <v>4916</v>
      </c>
      <c r="R8" s="21">
        <v>5019</v>
      </c>
      <c r="S8" s="21">
        <v>4638</v>
      </c>
      <c r="T8" s="21">
        <v>4296</v>
      </c>
      <c r="U8" s="21">
        <v>5406</v>
      </c>
    </row>
    <row r="9" spans="1:21" ht="12" customHeight="1" x14ac:dyDescent="0.2">
      <c r="C9" s="2" t="s">
        <v>3</v>
      </c>
      <c r="D9" s="21">
        <v>757</v>
      </c>
      <c r="E9" s="21">
        <v>755</v>
      </c>
      <c r="F9" s="21">
        <v>969</v>
      </c>
      <c r="G9" s="21">
        <v>971</v>
      </c>
      <c r="H9" s="21">
        <v>797</v>
      </c>
      <c r="I9" s="21">
        <v>896</v>
      </c>
      <c r="J9" s="21">
        <v>279</v>
      </c>
      <c r="K9" s="21">
        <v>386</v>
      </c>
      <c r="L9" s="21">
        <v>479</v>
      </c>
      <c r="M9" s="21">
        <v>437</v>
      </c>
      <c r="N9" s="21">
        <v>329</v>
      </c>
      <c r="O9" s="21">
        <v>425</v>
      </c>
      <c r="P9" s="21">
        <v>1036</v>
      </c>
      <c r="Q9" s="21">
        <v>1141</v>
      </c>
      <c r="R9" s="21">
        <v>1448</v>
      </c>
      <c r="S9" s="21">
        <v>1408</v>
      </c>
      <c r="T9" s="21">
        <v>1126</v>
      </c>
      <c r="U9" s="21">
        <v>1321</v>
      </c>
    </row>
    <row r="10" spans="1:21" ht="12" customHeight="1" x14ac:dyDescent="0.2">
      <c r="C10" s="2" t="s">
        <v>4</v>
      </c>
      <c r="D10" s="21">
        <v>6835</v>
      </c>
      <c r="E10" s="21">
        <v>4477</v>
      </c>
      <c r="F10" s="21">
        <v>4722</v>
      </c>
      <c r="G10" s="21">
        <v>4525</v>
      </c>
      <c r="H10" s="21">
        <v>4626</v>
      </c>
      <c r="I10" s="21">
        <v>9014</v>
      </c>
      <c r="J10" s="21">
        <v>5073</v>
      </c>
      <c r="K10" s="21">
        <v>3582</v>
      </c>
      <c r="L10" s="21">
        <v>3584</v>
      </c>
      <c r="M10" s="21">
        <v>3183</v>
      </c>
      <c r="N10" s="21">
        <v>2784</v>
      </c>
      <c r="O10" s="21">
        <v>4594</v>
      </c>
      <c r="P10" s="21">
        <v>11908</v>
      </c>
      <c r="Q10" s="21">
        <v>8059</v>
      </c>
      <c r="R10" s="21">
        <v>8306</v>
      </c>
      <c r="S10" s="21">
        <v>7708</v>
      </c>
      <c r="T10" s="21">
        <v>7410</v>
      </c>
      <c r="U10" s="21">
        <v>13608</v>
      </c>
    </row>
    <row r="11" spans="1:21" ht="12" customHeight="1" x14ac:dyDescent="0.2">
      <c r="C11" s="2" t="s">
        <v>5</v>
      </c>
      <c r="D11" s="21">
        <v>525</v>
      </c>
      <c r="E11" s="21">
        <v>287</v>
      </c>
      <c r="F11" s="21">
        <v>256</v>
      </c>
      <c r="G11" s="21">
        <v>199</v>
      </c>
      <c r="H11" s="21">
        <v>107</v>
      </c>
      <c r="I11" s="21">
        <v>111</v>
      </c>
      <c r="J11" s="21">
        <v>372</v>
      </c>
      <c r="K11" s="21">
        <v>152</v>
      </c>
      <c r="L11" s="21">
        <v>103</v>
      </c>
      <c r="M11" s="21">
        <v>64</v>
      </c>
      <c r="N11" s="21">
        <v>34</v>
      </c>
      <c r="O11" s="21">
        <v>44</v>
      </c>
      <c r="P11" s="21">
        <v>897</v>
      </c>
      <c r="Q11" s="21">
        <v>439</v>
      </c>
      <c r="R11" s="21">
        <v>359</v>
      </c>
      <c r="S11" s="21">
        <v>263</v>
      </c>
      <c r="T11" s="21">
        <v>141</v>
      </c>
      <c r="U11" s="21">
        <v>155</v>
      </c>
    </row>
    <row r="12" spans="1:21" ht="12" customHeight="1" x14ac:dyDescent="0.2">
      <c r="C12" s="2" t="s">
        <v>6</v>
      </c>
      <c r="D12" s="21">
        <v>1191</v>
      </c>
      <c r="E12" s="21">
        <v>1799</v>
      </c>
      <c r="F12" s="21">
        <v>2421</v>
      </c>
      <c r="G12" s="21">
        <v>2430</v>
      </c>
      <c r="H12" s="21">
        <v>1987</v>
      </c>
      <c r="I12" s="21">
        <v>1942</v>
      </c>
      <c r="J12" s="21">
        <v>1168</v>
      </c>
      <c r="K12" s="21">
        <v>1403</v>
      </c>
      <c r="L12" s="21">
        <v>1602</v>
      </c>
      <c r="M12" s="21">
        <v>1403</v>
      </c>
      <c r="N12" s="21">
        <v>917</v>
      </c>
      <c r="O12" s="21">
        <v>707</v>
      </c>
      <c r="P12" s="21">
        <v>2359</v>
      </c>
      <c r="Q12" s="21">
        <v>3202</v>
      </c>
      <c r="R12" s="21">
        <v>4023</v>
      </c>
      <c r="S12" s="21">
        <v>3833</v>
      </c>
      <c r="T12" s="21">
        <v>2904</v>
      </c>
      <c r="U12" s="21">
        <v>2649</v>
      </c>
    </row>
    <row r="13" spans="1:21" ht="12" customHeight="1" x14ac:dyDescent="0.2">
      <c r="C13" s="2" t="s">
        <v>168</v>
      </c>
      <c r="D13" s="21">
        <v>1132</v>
      </c>
      <c r="E13" s="21">
        <v>1330</v>
      </c>
      <c r="F13" s="21">
        <v>1690</v>
      </c>
      <c r="G13" s="21">
        <v>1909</v>
      </c>
      <c r="H13" s="21">
        <v>1749</v>
      </c>
      <c r="I13" s="21">
        <v>2458</v>
      </c>
      <c r="J13" s="21">
        <v>153</v>
      </c>
      <c r="K13" s="21">
        <v>162</v>
      </c>
      <c r="L13" s="21">
        <v>217</v>
      </c>
      <c r="M13" s="21">
        <v>235</v>
      </c>
      <c r="N13" s="21">
        <v>273</v>
      </c>
      <c r="O13" s="21">
        <v>362</v>
      </c>
      <c r="P13" s="21">
        <v>1285</v>
      </c>
      <c r="Q13" s="21">
        <v>1492</v>
      </c>
      <c r="R13" s="21">
        <v>1907</v>
      </c>
      <c r="S13" s="21">
        <v>2144</v>
      </c>
      <c r="T13" s="21">
        <v>2022</v>
      </c>
      <c r="U13" s="21">
        <v>2820</v>
      </c>
    </row>
    <row r="14" spans="1:21" ht="12" customHeight="1" x14ac:dyDescent="0.2">
      <c r="C14" s="2" t="s">
        <v>8</v>
      </c>
      <c r="D14" s="21">
        <v>607</v>
      </c>
      <c r="E14" s="21">
        <v>1405</v>
      </c>
      <c r="F14" s="21">
        <v>2786</v>
      </c>
      <c r="G14" s="21">
        <v>3625</v>
      </c>
      <c r="H14" s="21">
        <v>3702</v>
      </c>
      <c r="I14" s="21">
        <v>4331</v>
      </c>
      <c r="J14" s="21">
        <v>432</v>
      </c>
      <c r="K14" s="21">
        <v>963</v>
      </c>
      <c r="L14" s="21">
        <v>1747</v>
      </c>
      <c r="M14" s="21">
        <v>2235</v>
      </c>
      <c r="N14" s="21">
        <v>2059</v>
      </c>
      <c r="O14" s="21">
        <v>2157</v>
      </c>
      <c r="P14" s="21">
        <v>1039</v>
      </c>
      <c r="Q14" s="21">
        <v>2368</v>
      </c>
      <c r="R14" s="21">
        <v>4533</v>
      </c>
      <c r="S14" s="21">
        <v>5860</v>
      </c>
      <c r="T14" s="21">
        <v>5761</v>
      </c>
      <c r="U14" s="21">
        <v>6488</v>
      </c>
    </row>
    <row r="15" spans="1:21" ht="12" customHeight="1" x14ac:dyDescent="0.2">
      <c r="C15" s="2" t="s">
        <v>9</v>
      </c>
      <c r="D15" s="21">
        <v>1</v>
      </c>
      <c r="E15" s="21">
        <v>8</v>
      </c>
      <c r="F15" s="21">
        <v>13</v>
      </c>
      <c r="G15" s="21">
        <v>14</v>
      </c>
      <c r="H15" s="21">
        <v>20</v>
      </c>
      <c r="I15" s="21">
        <v>27</v>
      </c>
      <c r="J15" s="21">
        <v>109</v>
      </c>
      <c r="K15" s="21">
        <v>121</v>
      </c>
      <c r="L15" s="21">
        <v>136</v>
      </c>
      <c r="M15" s="21">
        <v>118</v>
      </c>
      <c r="N15" s="21">
        <v>79</v>
      </c>
      <c r="O15" s="21">
        <v>53</v>
      </c>
      <c r="P15" s="21">
        <v>110</v>
      </c>
      <c r="Q15" s="21">
        <v>129</v>
      </c>
      <c r="R15" s="21">
        <v>149</v>
      </c>
      <c r="S15" s="21">
        <v>132</v>
      </c>
      <c r="T15" s="21">
        <v>99</v>
      </c>
      <c r="U15" s="21">
        <v>80</v>
      </c>
    </row>
    <row r="16" spans="1:21" ht="12" customHeight="1" x14ac:dyDescent="0.2">
      <c r="C16" s="2" t="s">
        <v>10</v>
      </c>
      <c r="D16" s="21">
        <v>235</v>
      </c>
      <c r="E16" s="21">
        <v>393</v>
      </c>
      <c r="F16" s="21">
        <v>571</v>
      </c>
      <c r="G16" s="21">
        <v>636</v>
      </c>
      <c r="H16" s="21">
        <v>620</v>
      </c>
      <c r="I16" s="21">
        <v>1339</v>
      </c>
      <c r="J16" s="21">
        <v>210</v>
      </c>
      <c r="K16" s="21">
        <v>260</v>
      </c>
      <c r="L16" s="21">
        <v>365</v>
      </c>
      <c r="M16" s="21">
        <v>378</v>
      </c>
      <c r="N16" s="21">
        <v>403</v>
      </c>
      <c r="O16" s="21">
        <v>748</v>
      </c>
      <c r="P16" s="21">
        <v>445</v>
      </c>
      <c r="Q16" s="21">
        <v>653</v>
      </c>
      <c r="R16" s="21">
        <v>936</v>
      </c>
      <c r="S16" s="21">
        <v>1014</v>
      </c>
      <c r="T16" s="21">
        <v>1023</v>
      </c>
      <c r="U16" s="21">
        <v>2087</v>
      </c>
    </row>
    <row r="17" spans="3:21" ht="12" customHeight="1" x14ac:dyDescent="0.2">
      <c r="C17" s="2" t="s">
        <v>11</v>
      </c>
      <c r="D17" s="21">
        <v>2338</v>
      </c>
      <c r="E17" s="21">
        <v>3550</v>
      </c>
      <c r="F17" s="21">
        <v>4799</v>
      </c>
      <c r="G17" s="21">
        <v>5078</v>
      </c>
      <c r="H17" s="21">
        <v>4040</v>
      </c>
      <c r="I17" s="21">
        <v>3517</v>
      </c>
      <c r="J17" s="21">
        <v>2148</v>
      </c>
      <c r="K17" s="21">
        <v>2670</v>
      </c>
      <c r="L17" s="21">
        <v>3439</v>
      </c>
      <c r="M17" s="21">
        <v>3512</v>
      </c>
      <c r="N17" s="21">
        <v>2822</v>
      </c>
      <c r="O17" s="21">
        <v>2471</v>
      </c>
      <c r="P17" s="21">
        <v>4486</v>
      </c>
      <c r="Q17" s="21">
        <v>6220</v>
      </c>
      <c r="R17" s="21">
        <v>8238</v>
      </c>
      <c r="S17" s="21">
        <v>8590</v>
      </c>
      <c r="T17" s="21">
        <v>6862</v>
      </c>
      <c r="U17" s="21">
        <v>5988</v>
      </c>
    </row>
    <row r="18" spans="3:21" ht="12" customHeight="1" x14ac:dyDescent="0.2">
      <c r="C18" s="2" t="s">
        <v>12</v>
      </c>
      <c r="D18" s="21">
        <v>2410</v>
      </c>
      <c r="E18" s="21">
        <v>1886</v>
      </c>
      <c r="F18" s="21">
        <v>1809</v>
      </c>
      <c r="G18" s="21">
        <v>1574</v>
      </c>
      <c r="H18" s="21">
        <v>1342</v>
      </c>
      <c r="I18" s="21">
        <v>1638</v>
      </c>
      <c r="J18" s="21">
        <v>1068</v>
      </c>
      <c r="K18" s="21">
        <v>900</v>
      </c>
      <c r="L18" s="21">
        <v>844</v>
      </c>
      <c r="M18" s="21">
        <v>662</v>
      </c>
      <c r="N18" s="21">
        <v>543</v>
      </c>
      <c r="O18" s="21">
        <v>654</v>
      </c>
      <c r="P18" s="21">
        <v>3478</v>
      </c>
      <c r="Q18" s="21">
        <v>2786</v>
      </c>
      <c r="R18" s="21">
        <v>2653</v>
      </c>
      <c r="S18" s="21">
        <v>2236</v>
      </c>
      <c r="T18" s="21">
        <v>1885</v>
      </c>
      <c r="U18" s="21">
        <v>2292</v>
      </c>
    </row>
    <row r="19" spans="3:21" ht="12" customHeight="1" x14ac:dyDescent="0.2">
      <c r="C19" s="2" t="s">
        <v>13</v>
      </c>
      <c r="D19" s="21">
        <v>2886</v>
      </c>
      <c r="E19" s="21">
        <v>3092</v>
      </c>
      <c r="F19" s="21">
        <v>3596</v>
      </c>
      <c r="G19" s="21">
        <v>3441</v>
      </c>
      <c r="H19" s="21">
        <v>2660</v>
      </c>
      <c r="I19" s="21">
        <v>2233</v>
      </c>
      <c r="J19" s="21">
        <v>3601</v>
      </c>
      <c r="K19" s="21">
        <v>2945</v>
      </c>
      <c r="L19" s="21">
        <v>2883</v>
      </c>
      <c r="M19" s="21">
        <v>2435</v>
      </c>
      <c r="N19" s="21">
        <v>1689</v>
      </c>
      <c r="O19" s="21">
        <v>1377</v>
      </c>
      <c r="P19" s="21">
        <v>6487</v>
      </c>
      <c r="Q19" s="21">
        <v>6037</v>
      </c>
      <c r="R19" s="21">
        <v>6479</v>
      </c>
      <c r="S19" s="21">
        <v>5876</v>
      </c>
      <c r="T19" s="21">
        <v>4349</v>
      </c>
      <c r="U19" s="21">
        <v>3610</v>
      </c>
    </row>
    <row r="20" spans="3:21" ht="12" customHeight="1" x14ac:dyDescent="0.2">
      <c r="C20" s="2" t="s">
        <v>14</v>
      </c>
      <c r="D20" s="21">
        <v>1070</v>
      </c>
      <c r="E20" s="21">
        <v>1064</v>
      </c>
      <c r="F20" s="21">
        <v>1104</v>
      </c>
      <c r="G20" s="21">
        <v>957</v>
      </c>
      <c r="H20" s="21">
        <v>708</v>
      </c>
      <c r="I20" s="21">
        <v>676</v>
      </c>
      <c r="J20" s="21">
        <v>945</v>
      </c>
      <c r="K20" s="21">
        <v>824</v>
      </c>
      <c r="L20" s="21">
        <v>779</v>
      </c>
      <c r="M20" s="21">
        <v>637</v>
      </c>
      <c r="N20" s="21">
        <v>475</v>
      </c>
      <c r="O20" s="21">
        <v>528</v>
      </c>
      <c r="P20" s="21">
        <v>2015</v>
      </c>
      <c r="Q20" s="21">
        <v>1888</v>
      </c>
      <c r="R20" s="21">
        <v>1883</v>
      </c>
      <c r="S20" s="21">
        <v>1594</v>
      </c>
      <c r="T20" s="21">
        <v>1183</v>
      </c>
      <c r="U20" s="21">
        <v>1204</v>
      </c>
    </row>
    <row r="21" spans="3:21" ht="12" customHeight="1" x14ac:dyDescent="0.2">
      <c r="C21" s="2" t="s">
        <v>15</v>
      </c>
      <c r="D21" s="21">
        <v>2865</v>
      </c>
      <c r="E21" s="21">
        <v>3906</v>
      </c>
      <c r="F21" s="21">
        <v>4601</v>
      </c>
      <c r="G21" s="21">
        <v>3955</v>
      </c>
      <c r="H21" s="21">
        <v>2467</v>
      </c>
      <c r="I21" s="21">
        <v>1713</v>
      </c>
      <c r="J21" s="21">
        <v>3980</v>
      </c>
      <c r="K21" s="21">
        <v>4775</v>
      </c>
      <c r="L21" s="21">
        <v>4905</v>
      </c>
      <c r="M21" s="21">
        <v>3794</v>
      </c>
      <c r="N21" s="21">
        <v>2385</v>
      </c>
      <c r="O21" s="21">
        <v>1801</v>
      </c>
      <c r="P21" s="21">
        <v>6845</v>
      </c>
      <c r="Q21" s="21">
        <v>8681</v>
      </c>
      <c r="R21" s="21">
        <v>9506</v>
      </c>
      <c r="S21" s="21">
        <v>7749</v>
      </c>
      <c r="T21" s="21">
        <v>4852</v>
      </c>
      <c r="U21" s="21">
        <v>3514</v>
      </c>
    </row>
    <row r="22" spans="3:21" ht="12" customHeight="1" x14ac:dyDescent="0.2">
      <c r="C22" s="2" t="s">
        <v>16</v>
      </c>
      <c r="D22" s="21">
        <v>758</v>
      </c>
      <c r="E22" s="21">
        <v>1060</v>
      </c>
      <c r="F22" s="21">
        <v>1483</v>
      </c>
      <c r="G22" s="21">
        <v>1478</v>
      </c>
      <c r="H22" s="21">
        <v>1268</v>
      </c>
      <c r="I22" s="21">
        <v>1857</v>
      </c>
      <c r="J22" s="21">
        <v>1469</v>
      </c>
      <c r="K22" s="21">
        <v>1754</v>
      </c>
      <c r="L22" s="21">
        <v>2074</v>
      </c>
      <c r="M22" s="21">
        <v>1963</v>
      </c>
      <c r="N22" s="21">
        <v>1593</v>
      </c>
      <c r="O22" s="21">
        <v>2193</v>
      </c>
      <c r="P22" s="21">
        <v>2227</v>
      </c>
      <c r="Q22" s="21">
        <v>2814</v>
      </c>
      <c r="R22" s="21">
        <v>3557</v>
      </c>
      <c r="S22" s="21">
        <v>3441</v>
      </c>
      <c r="T22" s="21">
        <v>2861</v>
      </c>
      <c r="U22" s="21">
        <v>4050</v>
      </c>
    </row>
    <row r="23" spans="3:21" ht="12" customHeight="1" x14ac:dyDescent="0.2">
      <c r="C23" s="2" t="s">
        <v>17</v>
      </c>
      <c r="D23" s="21">
        <v>1375</v>
      </c>
      <c r="E23" s="21">
        <v>2208</v>
      </c>
      <c r="F23" s="21">
        <v>3201</v>
      </c>
      <c r="G23" s="21">
        <v>3427</v>
      </c>
      <c r="H23" s="21">
        <v>3280</v>
      </c>
      <c r="I23" s="21">
        <v>4746</v>
      </c>
      <c r="J23" s="21">
        <v>6741</v>
      </c>
      <c r="K23" s="21">
        <v>7549</v>
      </c>
      <c r="L23" s="21">
        <v>8403</v>
      </c>
      <c r="M23" s="21">
        <v>7662</v>
      </c>
      <c r="N23" s="21">
        <v>6353</v>
      </c>
      <c r="O23" s="21">
        <v>7273</v>
      </c>
      <c r="P23" s="21">
        <v>8116</v>
      </c>
      <c r="Q23" s="21">
        <v>9757</v>
      </c>
      <c r="R23" s="21">
        <v>11604</v>
      </c>
      <c r="S23" s="21">
        <v>11089</v>
      </c>
      <c r="T23" s="21">
        <v>9633</v>
      </c>
      <c r="U23" s="21">
        <v>12019</v>
      </c>
    </row>
    <row r="24" spans="3:21" ht="12" customHeight="1" x14ac:dyDescent="0.2">
      <c r="C24" s="2" t="s">
        <v>18</v>
      </c>
      <c r="D24" s="21">
        <v>902</v>
      </c>
      <c r="E24" s="21">
        <v>1246</v>
      </c>
      <c r="F24" s="21">
        <v>1503</v>
      </c>
      <c r="G24" s="21">
        <v>1530</v>
      </c>
      <c r="H24" s="21">
        <v>1338</v>
      </c>
      <c r="I24" s="21">
        <v>1677</v>
      </c>
      <c r="J24" s="21">
        <v>4060</v>
      </c>
      <c r="K24" s="21">
        <v>4204</v>
      </c>
      <c r="L24" s="21">
        <v>4375</v>
      </c>
      <c r="M24" s="21">
        <v>4033</v>
      </c>
      <c r="N24" s="21">
        <v>3293</v>
      </c>
      <c r="O24" s="21">
        <v>3395</v>
      </c>
      <c r="P24" s="21">
        <v>4962</v>
      </c>
      <c r="Q24" s="21">
        <v>5450</v>
      </c>
      <c r="R24" s="21">
        <v>5878</v>
      </c>
      <c r="S24" s="21">
        <v>5563</v>
      </c>
      <c r="T24" s="21">
        <v>4631</v>
      </c>
      <c r="U24" s="21">
        <v>5072</v>
      </c>
    </row>
    <row r="25" spans="3:21" ht="12" customHeight="1" x14ac:dyDescent="0.2">
      <c r="C25" s="2" t="s">
        <v>19</v>
      </c>
      <c r="D25" s="21">
        <v>321</v>
      </c>
      <c r="E25" s="21">
        <v>364</v>
      </c>
      <c r="F25" s="21">
        <v>524</v>
      </c>
      <c r="G25" s="21">
        <v>505</v>
      </c>
      <c r="H25" s="21">
        <v>378</v>
      </c>
      <c r="I25" s="21">
        <v>678</v>
      </c>
      <c r="J25" s="21">
        <v>452</v>
      </c>
      <c r="K25" s="21">
        <v>493</v>
      </c>
      <c r="L25" s="21">
        <v>631</v>
      </c>
      <c r="M25" s="21">
        <v>573</v>
      </c>
      <c r="N25" s="21">
        <v>468</v>
      </c>
      <c r="O25" s="21">
        <v>644</v>
      </c>
      <c r="P25" s="21">
        <v>773</v>
      </c>
      <c r="Q25" s="21">
        <v>857</v>
      </c>
      <c r="R25" s="21">
        <v>1155</v>
      </c>
      <c r="S25" s="21">
        <v>1078</v>
      </c>
      <c r="T25" s="21">
        <v>846</v>
      </c>
      <c r="U25" s="21">
        <v>1322</v>
      </c>
    </row>
    <row r="26" spans="3:21" ht="12" customHeight="1" x14ac:dyDescent="0.2">
      <c r="C26" s="2" t="s">
        <v>20</v>
      </c>
      <c r="D26" s="21">
        <v>2334</v>
      </c>
      <c r="E26" s="21">
        <v>2501</v>
      </c>
      <c r="F26" s="21">
        <v>3194</v>
      </c>
      <c r="G26" s="21">
        <v>3058</v>
      </c>
      <c r="H26" s="21">
        <v>2382</v>
      </c>
      <c r="I26" s="21">
        <v>3015</v>
      </c>
      <c r="J26" s="21">
        <v>7002</v>
      </c>
      <c r="K26" s="21">
        <v>6475</v>
      </c>
      <c r="L26" s="21">
        <v>6767</v>
      </c>
      <c r="M26" s="21">
        <v>5205</v>
      </c>
      <c r="N26" s="21">
        <v>3149</v>
      </c>
      <c r="O26" s="21">
        <v>3052</v>
      </c>
      <c r="P26" s="21">
        <v>9336</v>
      </c>
      <c r="Q26" s="21">
        <v>8976</v>
      </c>
      <c r="R26" s="21">
        <v>9961</v>
      </c>
      <c r="S26" s="21">
        <v>8263</v>
      </c>
      <c r="T26" s="21">
        <v>5531</v>
      </c>
      <c r="U26" s="21">
        <v>6067</v>
      </c>
    </row>
    <row r="27" spans="3:21" ht="12" customHeight="1" x14ac:dyDescent="0.2">
      <c r="C27" s="2" t="s">
        <v>21</v>
      </c>
      <c r="D27" s="21">
        <v>467</v>
      </c>
      <c r="E27" s="21">
        <v>852</v>
      </c>
      <c r="F27" s="21">
        <v>1238</v>
      </c>
      <c r="G27" s="21">
        <v>1054</v>
      </c>
      <c r="H27" s="21">
        <v>666</v>
      </c>
      <c r="I27" s="21">
        <v>416</v>
      </c>
      <c r="J27" s="21">
        <v>1530</v>
      </c>
      <c r="K27" s="21">
        <v>2781</v>
      </c>
      <c r="L27" s="21">
        <v>3223</v>
      </c>
      <c r="M27" s="21">
        <v>2197</v>
      </c>
      <c r="N27" s="21">
        <v>1071</v>
      </c>
      <c r="O27" s="21">
        <v>512</v>
      </c>
      <c r="P27" s="21">
        <v>1997</v>
      </c>
      <c r="Q27" s="21">
        <v>3633</v>
      </c>
      <c r="R27" s="21">
        <v>4461</v>
      </c>
      <c r="S27" s="21">
        <v>3251</v>
      </c>
      <c r="T27" s="21">
        <v>1737</v>
      </c>
      <c r="U27" s="21">
        <v>928</v>
      </c>
    </row>
    <row r="28" spans="3:21" ht="12" customHeight="1" x14ac:dyDescent="0.2">
      <c r="C28" s="2" t="s">
        <v>22</v>
      </c>
      <c r="D28" s="21">
        <v>3335</v>
      </c>
      <c r="E28" s="21">
        <v>4262</v>
      </c>
      <c r="F28" s="21">
        <v>5805</v>
      </c>
      <c r="G28" s="21">
        <v>5860</v>
      </c>
      <c r="H28" s="21">
        <v>3756</v>
      </c>
      <c r="I28" s="21">
        <v>2084</v>
      </c>
      <c r="J28" s="21">
        <v>7988</v>
      </c>
      <c r="K28" s="21">
        <v>10899</v>
      </c>
      <c r="L28" s="21">
        <v>14390</v>
      </c>
      <c r="M28" s="21">
        <v>13139</v>
      </c>
      <c r="N28" s="21">
        <v>7474</v>
      </c>
      <c r="O28" s="21">
        <v>3473</v>
      </c>
      <c r="P28" s="21">
        <v>11323</v>
      </c>
      <c r="Q28" s="21">
        <v>15161</v>
      </c>
      <c r="R28" s="21">
        <v>20195</v>
      </c>
      <c r="S28" s="21">
        <v>18999</v>
      </c>
      <c r="T28" s="21">
        <v>11230</v>
      </c>
      <c r="U28" s="21">
        <v>5557</v>
      </c>
    </row>
    <row r="29" spans="3:21" ht="12" customHeight="1" x14ac:dyDescent="0.2">
      <c r="C29" s="2" t="s">
        <v>61</v>
      </c>
      <c r="D29" s="21">
        <v>1062</v>
      </c>
      <c r="E29" s="21">
        <v>2277</v>
      </c>
      <c r="F29" s="21">
        <v>3209</v>
      </c>
      <c r="G29" s="21">
        <v>2697</v>
      </c>
      <c r="H29" s="21">
        <v>1529</v>
      </c>
      <c r="I29" s="21">
        <v>1032</v>
      </c>
      <c r="J29" s="21">
        <v>1999</v>
      </c>
      <c r="K29" s="21">
        <v>3597</v>
      </c>
      <c r="L29" s="21">
        <v>4090</v>
      </c>
      <c r="M29" s="21">
        <v>2933</v>
      </c>
      <c r="N29" s="21">
        <v>1440</v>
      </c>
      <c r="O29" s="21">
        <v>900</v>
      </c>
      <c r="P29" s="21">
        <v>3061</v>
      </c>
      <c r="Q29" s="21">
        <v>5874</v>
      </c>
      <c r="R29" s="21">
        <v>7299</v>
      </c>
      <c r="S29" s="21">
        <v>5630</v>
      </c>
      <c r="T29" s="21">
        <v>2969</v>
      </c>
      <c r="U29" s="21">
        <v>1932</v>
      </c>
    </row>
    <row r="30" spans="3:21" ht="12" customHeight="1" x14ac:dyDescent="0.2">
      <c r="C30" s="2" t="s">
        <v>23</v>
      </c>
      <c r="D30" s="21">
        <v>546</v>
      </c>
      <c r="E30" s="21">
        <v>1188</v>
      </c>
      <c r="F30" s="21">
        <v>1477</v>
      </c>
      <c r="G30" s="21">
        <v>983</v>
      </c>
      <c r="H30" s="21">
        <v>460</v>
      </c>
      <c r="I30" s="21">
        <v>448</v>
      </c>
      <c r="J30" s="21">
        <v>1031</v>
      </c>
      <c r="K30" s="21">
        <v>2118</v>
      </c>
      <c r="L30" s="21">
        <v>2290</v>
      </c>
      <c r="M30" s="21">
        <v>1451</v>
      </c>
      <c r="N30" s="21">
        <v>530</v>
      </c>
      <c r="O30" s="21">
        <v>436</v>
      </c>
      <c r="P30" s="21">
        <v>1577</v>
      </c>
      <c r="Q30" s="21">
        <v>3306</v>
      </c>
      <c r="R30" s="21">
        <v>3767</v>
      </c>
      <c r="S30" s="21">
        <v>2434</v>
      </c>
      <c r="T30" s="21">
        <v>990</v>
      </c>
      <c r="U30" s="21">
        <v>884</v>
      </c>
    </row>
    <row r="31" spans="3:21" ht="12" customHeight="1" x14ac:dyDescent="0.2">
      <c r="C31" s="2" t="s">
        <v>24</v>
      </c>
      <c r="D31" s="21">
        <v>1150</v>
      </c>
      <c r="E31" s="21">
        <v>955</v>
      </c>
      <c r="F31" s="21">
        <v>972</v>
      </c>
      <c r="G31" s="21">
        <v>811</v>
      </c>
      <c r="H31" s="21">
        <v>648</v>
      </c>
      <c r="I31" s="21">
        <v>593</v>
      </c>
      <c r="J31" s="21">
        <v>2478</v>
      </c>
      <c r="K31" s="21">
        <v>2126</v>
      </c>
      <c r="L31" s="21">
        <v>2250</v>
      </c>
      <c r="M31" s="21">
        <v>1994</v>
      </c>
      <c r="N31" s="21">
        <v>1587</v>
      </c>
      <c r="O31" s="21">
        <v>1371</v>
      </c>
      <c r="P31" s="21">
        <v>3628</v>
      </c>
      <c r="Q31" s="21">
        <v>3081</v>
      </c>
      <c r="R31" s="21">
        <v>3222</v>
      </c>
      <c r="S31" s="21">
        <v>2805</v>
      </c>
      <c r="T31" s="21">
        <v>2235</v>
      </c>
      <c r="U31" s="21">
        <v>1964</v>
      </c>
    </row>
    <row r="32" spans="3:21" ht="12" customHeight="1" x14ac:dyDescent="0.2">
      <c r="C32" s="2" t="s">
        <v>25</v>
      </c>
      <c r="D32" s="21">
        <v>512</v>
      </c>
      <c r="E32" s="21">
        <v>432</v>
      </c>
      <c r="F32" s="21">
        <v>506</v>
      </c>
      <c r="G32" s="21">
        <v>407</v>
      </c>
      <c r="H32" s="21">
        <v>366</v>
      </c>
      <c r="I32" s="21">
        <v>282</v>
      </c>
      <c r="J32" s="21">
        <v>1020</v>
      </c>
      <c r="K32" s="21">
        <v>920</v>
      </c>
      <c r="L32" s="21">
        <v>1038</v>
      </c>
      <c r="M32" s="21">
        <v>884</v>
      </c>
      <c r="N32" s="21">
        <v>646</v>
      </c>
      <c r="O32" s="21">
        <v>537</v>
      </c>
      <c r="P32" s="21">
        <v>1532</v>
      </c>
      <c r="Q32" s="21">
        <v>1352</v>
      </c>
      <c r="R32" s="21">
        <v>1544</v>
      </c>
      <c r="S32" s="21">
        <v>1291</v>
      </c>
      <c r="T32" s="21">
        <v>1012</v>
      </c>
      <c r="U32" s="21">
        <v>819</v>
      </c>
    </row>
    <row r="33" spans="3:70" ht="12" customHeight="1" x14ac:dyDescent="0.2">
      <c r="C33" s="2" t="s">
        <v>26</v>
      </c>
      <c r="D33" s="21">
        <v>347</v>
      </c>
      <c r="E33" s="21">
        <v>315</v>
      </c>
      <c r="F33" s="21">
        <v>276</v>
      </c>
      <c r="G33" s="21">
        <v>227</v>
      </c>
      <c r="H33" s="21">
        <v>189</v>
      </c>
      <c r="I33" s="21">
        <v>178</v>
      </c>
      <c r="J33" s="21">
        <v>740</v>
      </c>
      <c r="K33" s="21">
        <v>794</v>
      </c>
      <c r="L33" s="21">
        <v>750</v>
      </c>
      <c r="M33" s="21">
        <v>655</v>
      </c>
      <c r="N33" s="21">
        <v>533</v>
      </c>
      <c r="O33" s="21">
        <v>500</v>
      </c>
      <c r="P33" s="21">
        <v>1087</v>
      </c>
      <c r="Q33" s="21">
        <v>1109</v>
      </c>
      <c r="R33" s="21">
        <v>1026</v>
      </c>
      <c r="S33" s="21">
        <v>882</v>
      </c>
      <c r="T33" s="21">
        <v>722</v>
      </c>
      <c r="U33" s="21">
        <v>678</v>
      </c>
    </row>
    <row r="34" spans="3:70" ht="12" customHeight="1" x14ac:dyDescent="0.2">
      <c r="C34" s="2" t="s">
        <v>27</v>
      </c>
      <c r="D34" s="21">
        <v>521</v>
      </c>
      <c r="E34" s="21">
        <v>300</v>
      </c>
      <c r="F34" s="21">
        <v>123</v>
      </c>
      <c r="G34" s="21">
        <v>90</v>
      </c>
      <c r="H34" s="21">
        <v>63</v>
      </c>
      <c r="I34" s="21">
        <v>114</v>
      </c>
      <c r="J34" s="21">
        <v>700</v>
      </c>
      <c r="K34" s="21">
        <v>350</v>
      </c>
      <c r="L34" s="21">
        <v>247</v>
      </c>
      <c r="M34" s="21">
        <v>147</v>
      </c>
      <c r="N34" s="21">
        <v>92</v>
      </c>
      <c r="O34" s="21">
        <v>142</v>
      </c>
      <c r="P34" s="21">
        <v>1221</v>
      </c>
      <c r="Q34" s="21">
        <v>650</v>
      </c>
      <c r="R34" s="21">
        <v>370</v>
      </c>
      <c r="S34" s="21">
        <v>237</v>
      </c>
      <c r="T34" s="21">
        <v>155</v>
      </c>
      <c r="U34" s="21">
        <v>256</v>
      </c>
    </row>
    <row r="35" spans="3:70" ht="12" customHeight="1" x14ac:dyDescent="0.2">
      <c r="C35" s="2" t="s">
        <v>28</v>
      </c>
      <c r="D35" s="21">
        <v>600</v>
      </c>
      <c r="E35" s="21">
        <v>485</v>
      </c>
      <c r="F35" s="21">
        <v>438</v>
      </c>
      <c r="G35" s="21">
        <v>369</v>
      </c>
      <c r="H35" s="21">
        <v>226</v>
      </c>
      <c r="I35" s="21">
        <v>146</v>
      </c>
      <c r="J35" s="21">
        <v>994</v>
      </c>
      <c r="K35" s="21">
        <v>733</v>
      </c>
      <c r="L35" s="21">
        <v>620</v>
      </c>
      <c r="M35" s="21">
        <v>455</v>
      </c>
      <c r="N35" s="21">
        <v>235</v>
      </c>
      <c r="O35" s="21">
        <v>167</v>
      </c>
      <c r="P35" s="21">
        <v>1594</v>
      </c>
      <c r="Q35" s="21">
        <v>1218</v>
      </c>
      <c r="R35" s="21">
        <v>1058</v>
      </c>
      <c r="S35" s="21">
        <v>824</v>
      </c>
      <c r="T35" s="21">
        <v>461</v>
      </c>
      <c r="U35" s="21">
        <v>313</v>
      </c>
    </row>
    <row r="36" spans="3:70" ht="12" customHeight="1" x14ac:dyDescent="0.2">
      <c r="C36" s="2" t="s">
        <v>29</v>
      </c>
      <c r="D36" s="21">
        <v>743</v>
      </c>
      <c r="E36" s="21">
        <v>807</v>
      </c>
      <c r="F36" s="21">
        <v>875</v>
      </c>
      <c r="G36" s="21">
        <v>723</v>
      </c>
      <c r="H36" s="21">
        <v>509</v>
      </c>
      <c r="I36" s="21">
        <v>515</v>
      </c>
      <c r="J36" s="21">
        <v>1919</v>
      </c>
      <c r="K36" s="21">
        <v>2138</v>
      </c>
      <c r="L36" s="21">
        <v>2228</v>
      </c>
      <c r="M36" s="21">
        <v>1558</v>
      </c>
      <c r="N36" s="21">
        <v>960</v>
      </c>
      <c r="O36" s="21">
        <v>826</v>
      </c>
      <c r="P36" s="21">
        <v>2662</v>
      </c>
      <c r="Q36" s="21">
        <v>2945</v>
      </c>
      <c r="R36" s="21">
        <v>3103</v>
      </c>
      <c r="S36" s="21">
        <v>2281</v>
      </c>
      <c r="T36" s="21">
        <v>1469</v>
      </c>
      <c r="U36" s="21">
        <v>1341</v>
      </c>
    </row>
    <row r="37" spans="3:70" ht="12" customHeight="1" x14ac:dyDescent="0.2">
      <c r="C37" s="2" t="s">
        <v>30</v>
      </c>
      <c r="D37" s="21">
        <v>782</v>
      </c>
      <c r="E37" s="21">
        <v>906</v>
      </c>
      <c r="F37" s="21">
        <v>1163</v>
      </c>
      <c r="G37" s="21">
        <v>1178</v>
      </c>
      <c r="H37" s="21">
        <v>772</v>
      </c>
      <c r="I37" s="21">
        <v>707</v>
      </c>
      <c r="J37" s="21">
        <v>957</v>
      </c>
      <c r="K37" s="21">
        <v>936</v>
      </c>
      <c r="L37" s="21">
        <v>1024</v>
      </c>
      <c r="M37" s="21">
        <v>872</v>
      </c>
      <c r="N37" s="21">
        <v>507</v>
      </c>
      <c r="O37" s="21">
        <v>368</v>
      </c>
      <c r="P37" s="21">
        <v>1739</v>
      </c>
      <c r="Q37" s="21">
        <v>1842</v>
      </c>
      <c r="R37" s="21">
        <v>2187</v>
      </c>
      <c r="S37" s="21">
        <v>2050</v>
      </c>
      <c r="T37" s="21">
        <v>1279</v>
      </c>
      <c r="U37" s="21">
        <v>1075</v>
      </c>
    </row>
    <row r="38" spans="3:70" ht="12" customHeight="1" x14ac:dyDescent="0.2">
      <c r="C38" s="2" t="s">
        <v>31</v>
      </c>
      <c r="D38" s="21">
        <v>970</v>
      </c>
      <c r="E38" s="21">
        <v>1858</v>
      </c>
      <c r="F38" s="21">
        <v>2904</v>
      </c>
      <c r="G38" s="21">
        <v>3306</v>
      </c>
      <c r="H38" s="21">
        <v>2940</v>
      </c>
      <c r="I38" s="21">
        <v>2224</v>
      </c>
      <c r="J38" s="21">
        <v>1699</v>
      </c>
      <c r="K38" s="21">
        <v>1806</v>
      </c>
      <c r="L38" s="21">
        <v>2001</v>
      </c>
      <c r="M38" s="21">
        <v>1832</v>
      </c>
      <c r="N38" s="21">
        <v>1440</v>
      </c>
      <c r="O38" s="21">
        <v>1139</v>
      </c>
      <c r="P38" s="21">
        <v>2669</v>
      </c>
      <c r="Q38" s="21">
        <v>3664</v>
      </c>
      <c r="R38" s="21">
        <v>4905</v>
      </c>
      <c r="S38" s="21">
        <v>5138</v>
      </c>
      <c r="T38" s="21">
        <v>4380</v>
      </c>
      <c r="U38" s="21">
        <v>3363</v>
      </c>
    </row>
    <row r="39" spans="3:70" ht="12" customHeight="1" x14ac:dyDescent="0.2">
      <c r="C39" s="2" t="s">
        <v>32</v>
      </c>
      <c r="D39" s="21">
        <v>4036</v>
      </c>
      <c r="E39" s="21">
        <v>5598</v>
      </c>
      <c r="F39" s="21">
        <v>7557</v>
      </c>
      <c r="G39" s="21">
        <v>8252</v>
      </c>
      <c r="H39" s="21">
        <v>8187</v>
      </c>
      <c r="I39" s="21">
        <v>11196</v>
      </c>
      <c r="J39" s="21">
        <v>5207</v>
      </c>
      <c r="K39" s="21">
        <v>6745</v>
      </c>
      <c r="L39" s="21">
        <v>9127</v>
      </c>
      <c r="M39" s="21">
        <v>9499</v>
      </c>
      <c r="N39" s="21">
        <v>8879</v>
      </c>
      <c r="O39" s="21">
        <v>10563</v>
      </c>
      <c r="P39" s="21">
        <v>9243</v>
      </c>
      <c r="Q39" s="21">
        <v>12343</v>
      </c>
      <c r="R39" s="21">
        <v>16684</v>
      </c>
      <c r="S39" s="21">
        <v>17751</v>
      </c>
      <c r="T39" s="21">
        <v>17066</v>
      </c>
      <c r="U39" s="21">
        <v>21759</v>
      </c>
    </row>
    <row r="40" spans="3:70" ht="12" customHeight="1" x14ac:dyDescent="0.2">
      <c r="C40" s="2" t="s">
        <v>62</v>
      </c>
      <c r="D40" s="21">
        <v>54353</v>
      </c>
      <c r="E40" s="21">
        <v>61265</v>
      </c>
      <c r="F40" s="21">
        <v>76185</v>
      </c>
      <c r="G40" s="21">
        <v>75705</v>
      </c>
      <c r="H40" s="21">
        <v>63665</v>
      </c>
      <c r="I40" s="21">
        <v>74599</v>
      </c>
      <c r="J40" s="21">
        <v>78794</v>
      </c>
      <c r="K40" s="21">
        <v>85504</v>
      </c>
      <c r="L40" s="21">
        <v>96734</v>
      </c>
      <c r="M40" s="21">
        <v>85868</v>
      </c>
      <c r="N40" s="21">
        <v>63764</v>
      </c>
      <c r="O40" s="21">
        <v>63422</v>
      </c>
      <c r="P40" s="21">
        <v>133147</v>
      </c>
      <c r="Q40" s="21">
        <v>146769</v>
      </c>
      <c r="R40" s="21">
        <v>172919</v>
      </c>
      <c r="S40" s="21">
        <v>161573</v>
      </c>
      <c r="T40" s="21">
        <v>127429</v>
      </c>
      <c r="U40" s="21">
        <v>138021</v>
      </c>
    </row>
    <row r="41" spans="3:70" ht="14.25" customHeight="1" x14ac:dyDescent="0.2">
      <c r="D41" s="15"/>
    </row>
    <row r="42" spans="3:70" ht="14.25" customHeight="1" x14ac:dyDescent="0.2">
      <c r="D42" s="2" t="s">
        <v>59</v>
      </c>
      <c r="K42" s="2" t="s">
        <v>59</v>
      </c>
      <c r="R42" s="2" t="s">
        <v>59</v>
      </c>
      <c r="Z42" s="73"/>
      <c r="AA42" s="73"/>
      <c r="AB42" s="73"/>
      <c r="AC42" s="73"/>
      <c r="AD42" s="73"/>
      <c r="AE42" s="73"/>
      <c r="AF42" s="73"/>
      <c r="AG42" s="73"/>
      <c r="AH42" s="73"/>
      <c r="AI42" s="73"/>
      <c r="AJ42" s="73"/>
      <c r="AK42" s="73"/>
      <c r="AL42" s="73"/>
      <c r="AM42" s="73"/>
      <c r="AN42" s="73"/>
      <c r="AO42" s="73"/>
      <c r="AP42" s="73"/>
      <c r="AQ42" s="73"/>
      <c r="AR42" s="73"/>
      <c r="AS42" s="73"/>
      <c r="AT42" s="73"/>
      <c r="AU42" s="73"/>
      <c r="AW42" s="78"/>
      <c r="AX42" s="78"/>
      <c r="AY42" s="78"/>
      <c r="AZ42" s="78"/>
      <c r="BA42" s="78"/>
      <c r="BB42" s="78"/>
      <c r="BC42" s="78"/>
      <c r="BD42" s="78"/>
      <c r="BE42" s="78"/>
      <c r="BF42" s="78"/>
      <c r="BG42" s="78"/>
      <c r="BH42" s="78"/>
      <c r="BI42" s="78"/>
      <c r="BJ42" s="78"/>
      <c r="BK42" s="78"/>
      <c r="BL42" s="78"/>
      <c r="BM42" s="78"/>
      <c r="BN42" s="78"/>
      <c r="BO42" s="78"/>
      <c r="BP42" s="78"/>
      <c r="BQ42" s="78"/>
      <c r="BR42" s="78"/>
    </row>
    <row r="43" spans="3:70" ht="14.25" customHeight="1" x14ac:dyDescent="0.2">
      <c r="D43" s="2" t="s">
        <v>33</v>
      </c>
      <c r="E43" s="2" t="s">
        <v>34</v>
      </c>
      <c r="F43" s="2" t="s">
        <v>35</v>
      </c>
      <c r="G43" s="2" t="s">
        <v>36</v>
      </c>
      <c r="H43" s="2" t="s">
        <v>37</v>
      </c>
      <c r="I43" s="2" t="s">
        <v>47</v>
      </c>
      <c r="J43" s="2" t="s">
        <v>58</v>
      </c>
      <c r="K43" s="2" t="s">
        <v>33</v>
      </c>
      <c r="L43" s="2" t="s">
        <v>34</v>
      </c>
      <c r="M43" s="2" t="s">
        <v>35</v>
      </c>
      <c r="N43" s="2" t="s">
        <v>36</v>
      </c>
      <c r="O43" s="2" t="s">
        <v>37</v>
      </c>
      <c r="P43" s="2" t="s">
        <v>47</v>
      </c>
      <c r="Q43" s="2" t="s">
        <v>58</v>
      </c>
      <c r="R43" s="2" t="s">
        <v>33</v>
      </c>
      <c r="S43" s="2" t="s">
        <v>34</v>
      </c>
      <c r="T43" s="2" t="s">
        <v>35</v>
      </c>
      <c r="U43" s="2" t="s">
        <v>36</v>
      </c>
      <c r="V43" s="2" t="s">
        <v>37</v>
      </c>
      <c r="W43" s="2" t="s">
        <v>47</v>
      </c>
      <c r="X43" s="2" t="s">
        <v>58</v>
      </c>
      <c r="Z43" s="73"/>
      <c r="AA43" s="73"/>
      <c r="AB43" s="73"/>
      <c r="AC43" s="73"/>
      <c r="AD43" s="73"/>
      <c r="AE43" s="73"/>
      <c r="AF43" s="73"/>
      <c r="AG43" s="73"/>
      <c r="AH43" s="73"/>
      <c r="AI43" s="73"/>
      <c r="AJ43" s="73"/>
      <c r="AK43" s="73"/>
      <c r="AL43" s="73"/>
      <c r="AM43" s="73"/>
      <c r="AN43" s="73"/>
      <c r="AO43" s="73"/>
      <c r="AP43" s="73"/>
      <c r="AQ43" s="73"/>
      <c r="AR43" s="73"/>
      <c r="AS43" s="73"/>
      <c r="AT43" s="73"/>
      <c r="AU43" s="73"/>
      <c r="AW43" s="78"/>
      <c r="AX43" s="78"/>
      <c r="AY43" s="78"/>
      <c r="AZ43" s="78"/>
      <c r="BA43" s="78"/>
      <c r="BB43" s="78"/>
      <c r="BC43" s="78"/>
      <c r="BD43" s="78"/>
      <c r="BE43" s="78"/>
      <c r="BF43" s="78"/>
      <c r="BG43" s="78"/>
      <c r="BH43" s="78"/>
      <c r="BI43" s="78"/>
      <c r="BJ43" s="78"/>
      <c r="BK43" s="78"/>
      <c r="BL43" s="78"/>
      <c r="BM43" s="78"/>
      <c r="BN43" s="78"/>
      <c r="BO43" s="78"/>
      <c r="BP43" s="78"/>
      <c r="BQ43" s="78"/>
      <c r="BR43" s="78"/>
    </row>
    <row r="44" spans="3:70" ht="14.25" customHeight="1" x14ac:dyDescent="0.2">
      <c r="C44" s="2" t="s">
        <v>0</v>
      </c>
      <c r="D44" s="8">
        <v>13.6</v>
      </c>
      <c r="E44" s="8">
        <v>13.8</v>
      </c>
      <c r="F44" s="8">
        <v>15.7</v>
      </c>
      <c r="G44" s="8">
        <v>17</v>
      </c>
      <c r="H44" s="8">
        <v>17.2</v>
      </c>
      <c r="I44" s="8">
        <v>77.3</v>
      </c>
      <c r="J44" s="15">
        <v>22021</v>
      </c>
      <c r="K44" s="8">
        <v>16.600000000000001</v>
      </c>
      <c r="L44" s="8">
        <v>15.5</v>
      </c>
      <c r="M44" s="8">
        <v>16.5</v>
      </c>
      <c r="N44" s="8">
        <v>16.600000000000001</v>
      </c>
      <c r="O44" s="8">
        <v>15.9</v>
      </c>
      <c r="P44" s="8">
        <v>81</v>
      </c>
      <c r="Q44" s="15">
        <v>33414</v>
      </c>
      <c r="R44" s="8">
        <v>15.4</v>
      </c>
      <c r="S44" s="8">
        <v>14.8</v>
      </c>
      <c r="T44" s="8">
        <v>16.2</v>
      </c>
      <c r="U44" s="8">
        <v>16.7</v>
      </c>
      <c r="V44" s="8">
        <v>16.399999999999999</v>
      </c>
      <c r="W44" s="8">
        <v>79.5</v>
      </c>
      <c r="X44" s="15">
        <v>55435</v>
      </c>
      <c r="Z44" s="73"/>
      <c r="AA44" s="73"/>
      <c r="AB44" s="73"/>
      <c r="AC44" s="73"/>
      <c r="AD44" s="73"/>
      <c r="AE44" s="73"/>
      <c r="AF44" s="73"/>
      <c r="AG44" s="73"/>
      <c r="AH44" s="73"/>
      <c r="AI44" s="73"/>
      <c r="AJ44" s="73"/>
      <c r="AK44" s="73"/>
      <c r="AL44" s="73"/>
      <c r="AM44" s="73"/>
      <c r="AN44" s="73"/>
      <c r="AO44" s="73"/>
      <c r="AP44" s="73"/>
      <c r="AQ44" s="73"/>
      <c r="AR44" s="73"/>
      <c r="AS44" s="73"/>
      <c r="AT44" s="73"/>
      <c r="AU44" s="73"/>
      <c r="AW44" s="78"/>
      <c r="AX44" s="89"/>
      <c r="AY44" s="89"/>
      <c r="AZ44" s="89"/>
      <c r="BA44" s="89"/>
      <c r="BB44" s="89"/>
      <c r="BC44" s="89"/>
      <c r="BD44" s="89"/>
      <c r="BE44" s="89"/>
      <c r="BF44" s="89"/>
      <c r="BG44" s="89"/>
      <c r="BH44" s="89"/>
      <c r="BI44" s="89"/>
      <c r="BJ44" s="89"/>
      <c r="BK44" s="89"/>
      <c r="BL44" s="89"/>
      <c r="BM44" s="89"/>
      <c r="BN44" s="89"/>
      <c r="BO44" s="89"/>
      <c r="BP44" s="89"/>
      <c r="BQ44" s="89"/>
      <c r="BR44" s="89"/>
    </row>
    <row r="45" spans="3:70" ht="14.25" customHeight="1" x14ac:dyDescent="0.2">
      <c r="C45" s="2" t="s">
        <v>1</v>
      </c>
      <c r="D45" s="8">
        <v>18.399999999999999</v>
      </c>
      <c r="E45" s="8">
        <v>16.3</v>
      </c>
      <c r="F45" s="8">
        <v>16.899999999999999</v>
      </c>
      <c r="G45" s="8">
        <v>16.600000000000001</v>
      </c>
      <c r="H45" s="8">
        <v>14.3</v>
      </c>
      <c r="I45" s="8">
        <v>82.6</v>
      </c>
      <c r="J45" s="15">
        <v>18826</v>
      </c>
      <c r="K45" s="8">
        <v>20.399999999999999</v>
      </c>
      <c r="L45" s="8">
        <v>18</v>
      </c>
      <c r="M45" s="8">
        <v>17.5</v>
      </c>
      <c r="N45" s="8">
        <v>16.3</v>
      </c>
      <c r="O45" s="8">
        <v>13.2</v>
      </c>
      <c r="P45" s="8">
        <v>85.5</v>
      </c>
      <c r="Q45" s="15">
        <v>19086</v>
      </c>
      <c r="R45" s="8">
        <v>19.399999999999999</v>
      </c>
      <c r="S45" s="8">
        <v>17.2</v>
      </c>
      <c r="T45" s="8">
        <v>17.2</v>
      </c>
      <c r="U45" s="8">
        <v>16.5</v>
      </c>
      <c r="V45" s="8">
        <v>13.8</v>
      </c>
      <c r="W45" s="8">
        <v>84.1</v>
      </c>
      <c r="X45" s="15">
        <v>37912</v>
      </c>
      <c r="Z45" s="73"/>
      <c r="AA45" s="73"/>
      <c r="AB45" s="73"/>
      <c r="AC45" s="73"/>
      <c r="AD45" s="73"/>
      <c r="AE45" s="73"/>
      <c r="AF45" s="73"/>
      <c r="AG45" s="73"/>
      <c r="AH45" s="73"/>
      <c r="AI45" s="73"/>
      <c r="AJ45" s="73"/>
      <c r="AK45" s="73"/>
      <c r="AL45" s="73"/>
      <c r="AM45" s="73"/>
      <c r="AN45" s="73"/>
      <c r="AO45" s="73"/>
      <c r="AP45" s="73"/>
      <c r="AQ45" s="73"/>
      <c r="AR45" s="73"/>
      <c r="AS45" s="73"/>
      <c r="AT45" s="73"/>
      <c r="AU45" s="73"/>
      <c r="AW45" s="78"/>
      <c r="AX45" s="89"/>
      <c r="AY45" s="89"/>
      <c r="AZ45" s="89"/>
      <c r="BA45" s="89"/>
      <c r="BB45" s="89"/>
      <c r="BC45" s="89"/>
      <c r="BD45" s="89"/>
      <c r="BE45" s="89"/>
      <c r="BF45" s="89"/>
      <c r="BG45" s="89"/>
      <c r="BH45" s="89"/>
      <c r="BI45" s="89"/>
      <c r="BJ45" s="89"/>
      <c r="BK45" s="89"/>
      <c r="BL45" s="89"/>
      <c r="BM45" s="89"/>
      <c r="BN45" s="89"/>
      <c r="BO45" s="89"/>
      <c r="BP45" s="89"/>
      <c r="BQ45" s="89"/>
      <c r="BR45" s="89"/>
    </row>
    <row r="46" spans="3:70" ht="14.25" customHeight="1" x14ac:dyDescent="0.2">
      <c r="C46" s="2" t="s">
        <v>2</v>
      </c>
      <c r="D46" s="8">
        <v>18.600000000000001</v>
      </c>
      <c r="E46" s="8">
        <v>15.5</v>
      </c>
      <c r="F46" s="8">
        <v>16.2</v>
      </c>
      <c r="G46" s="8">
        <v>15.4</v>
      </c>
      <c r="H46" s="8">
        <v>14.7</v>
      </c>
      <c r="I46" s="8">
        <v>80.400000000000006</v>
      </c>
      <c r="J46" s="15">
        <v>23107</v>
      </c>
      <c r="K46" s="8">
        <v>25.1</v>
      </c>
      <c r="L46" s="8">
        <v>18.399999999999999</v>
      </c>
      <c r="M46" s="8">
        <v>17.5</v>
      </c>
      <c r="N46" s="8">
        <v>14.6</v>
      </c>
      <c r="O46" s="8">
        <v>12.3</v>
      </c>
      <c r="P46" s="8">
        <v>87.9</v>
      </c>
      <c r="Q46" s="15">
        <v>7291</v>
      </c>
      <c r="R46" s="8">
        <v>20.100000000000001</v>
      </c>
      <c r="S46" s="8">
        <v>16.2</v>
      </c>
      <c r="T46" s="8">
        <v>16.5</v>
      </c>
      <c r="U46" s="8">
        <v>15.3</v>
      </c>
      <c r="V46" s="8">
        <v>14.1</v>
      </c>
      <c r="W46" s="8">
        <v>82.2</v>
      </c>
      <c r="X46" s="15">
        <v>30398</v>
      </c>
      <c r="Z46" s="73"/>
      <c r="AA46" s="73"/>
      <c r="AB46" s="73"/>
      <c r="AC46" s="73"/>
      <c r="AD46" s="73"/>
      <c r="AE46" s="73"/>
      <c r="AF46" s="73"/>
      <c r="AG46" s="73"/>
      <c r="AH46" s="73"/>
      <c r="AI46" s="73"/>
      <c r="AJ46" s="73"/>
      <c r="AK46" s="73"/>
      <c r="AL46" s="73"/>
      <c r="AM46" s="73"/>
      <c r="AN46" s="73"/>
      <c r="AO46" s="73"/>
      <c r="AP46" s="73"/>
      <c r="AQ46" s="73"/>
      <c r="AR46" s="73"/>
      <c r="AS46" s="73"/>
      <c r="AT46" s="73"/>
      <c r="AU46" s="73"/>
      <c r="AW46" s="78"/>
      <c r="AX46" s="89"/>
      <c r="AY46" s="89"/>
      <c r="AZ46" s="89"/>
      <c r="BA46" s="89"/>
      <c r="BB46" s="89"/>
      <c r="BC46" s="89"/>
      <c r="BD46" s="89"/>
      <c r="BE46" s="89"/>
      <c r="BF46" s="89"/>
      <c r="BG46" s="89"/>
      <c r="BH46" s="89"/>
      <c r="BI46" s="89"/>
      <c r="BJ46" s="89"/>
      <c r="BK46" s="89"/>
      <c r="BL46" s="89"/>
      <c r="BM46" s="89"/>
      <c r="BN46" s="89"/>
      <c r="BO46" s="89"/>
      <c r="BP46" s="89"/>
      <c r="BQ46" s="89"/>
      <c r="BR46" s="89"/>
    </row>
    <row r="47" spans="3:70" ht="14.25" customHeight="1" x14ac:dyDescent="0.2">
      <c r="C47" s="2" t="s">
        <v>3</v>
      </c>
      <c r="D47" s="8">
        <v>14.7</v>
      </c>
      <c r="E47" s="8">
        <v>14.7</v>
      </c>
      <c r="F47" s="8">
        <v>18.8</v>
      </c>
      <c r="G47" s="8">
        <v>18.899999999999999</v>
      </c>
      <c r="H47" s="8">
        <v>15.5</v>
      </c>
      <c r="I47" s="8">
        <v>82.6</v>
      </c>
      <c r="J47" s="15">
        <v>5145</v>
      </c>
      <c r="K47" s="8">
        <v>11.9</v>
      </c>
      <c r="L47" s="8">
        <v>16.5</v>
      </c>
      <c r="M47" s="8">
        <v>20.5</v>
      </c>
      <c r="N47" s="8">
        <v>18.7</v>
      </c>
      <c r="O47" s="8">
        <v>14.1</v>
      </c>
      <c r="P47" s="8">
        <v>81.8</v>
      </c>
      <c r="Q47" s="15">
        <v>2335</v>
      </c>
      <c r="R47" s="8">
        <v>13.9</v>
      </c>
      <c r="S47" s="8">
        <v>15.3</v>
      </c>
      <c r="T47" s="8">
        <v>19.399999999999999</v>
      </c>
      <c r="U47" s="8">
        <v>18.8</v>
      </c>
      <c r="V47" s="8">
        <v>15.1</v>
      </c>
      <c r="W47" s="8">
        <v>82.3</v>
      </c>
      <c r="X47" s="15">
        <v>7480</v>
      </c>
      <c r="Z47" s="73"/>
      <c r="AA47" s="73"/>
      <c r="AB47" s="73"/>
      <c r="AC47" s="73"/>
      <c r="AD47" s="73"/>
      <c r="AE47" s="73"/>
      <c r="AF47" s="73"/>
      <c r="AG47" s="73"/>
      <c r="AH47" s="73"/>
      <c r="AI47" s="73"/>
      <c r="AJ47" s="73"/>
      <c r="AK47" s="73"/>
      <c r="AL47" s="73"/>
      <c r="AM47" s="73"/>
      <c r="AN47" s="73"/>
      <c r="AO47" s="73"/>
      <c r="AP47" s="73"/>
      <c r="AQ47" s="73"/>
      <c r="AR47" s="73"/>
      <c r="AS47" s="73"/>
      <c r="AT47" s="73"/>
      <c r="AU47" s="73"/>
      <c r="AW47" s="78"/>
      <c r="AX47" s="89"/>
      <c r="AY47" s="89"/>
      <c r="AZ47" s="89"/>
      <c r="BA47" s="89"/>
      <c r="BB47" s="89"/>
      <c r="BC47" s="89"/>
      <c r="BD47" s="89"/>
      <c r="BE47" s="89"/>
      <c r="BF47" s="89"/>
      <c r="BG47" s="89"/>
      <c r="BH47" s="89"/>
      <c r="BI47" s="89"/>
      <c r="BJ47" s="89"/>
      <c r="BK47" s="89"/>
      <c r="BL47" s="89"/>
      <c r="BM47" s="89"/>
      <c r="BN47" s="89"/>
      <c r="BO47" s="89"/>
      <c r="BP47" s="89"/>
      <c r="BQ47" s="89"/>
      <c r="BR47" s="89"/>
    </row>
    <row r="48" spans="3:70" ht="14.25" customHeight="1" x14ac:dyDescent="0.2">
      <c r="C48" s="2" t="s">
        <v>4</v>
      </c>
      <c r="D48" s="8">
        <v>20</v>
      </c>
      <c r="E48" s="8">
        <v>13.1</v>
      </c>
      <c r="F48" s="8">
        <v>13.8</v>
      </c>
      <c r="G48" s="8">
        <v>13.2</v>
      </c>
      <c r="H48" s="8">
        <v>13.5</v>
      </c>
      <c r="I48" s="8">
        <v>73.599999999999994</v>
      </c>
      <c r="J48" s="15">
        <v>34199</v>
      </c>
      <c r="K48" s="8">
        <v>22.3</v>
      </c>
      <c r="L48" s="8">
        <v>15.7</v>
      </c>
      <c r="M48" s="8">
        <v>15.7</v>
      </c>
      <c r="N48" s="8">
        <v>14</v>
      </c>
      <c r="O48" s="8">
        <v>12.2</v>
      </c>
      <c r="P48" s="8">
        <v>79.900000000000006</v>
      </c>
      <c r="Q48" s="15">
        <v>22800</v>
      </c>
      <c r="R48" s="8">
        <v>20.9</v>
      </c>
      <c r="S48" s="8">
        <v>14.1</v>
      </c>
      <c r="T48" s="8">
        <v>14.6</v>
      </c>
      <c r="U48" s="8">
        <v>13.5</v>
      </c>
      <c r="V48" s="8">
        <v>13</v>
      </c>
      <c r="W48" s="8">
        <v>76.099999999999994</v>
      </c>
      <c r="X48" s="15">
        <v>56999</v>
      </c>
      <c r="Z48" s="73"/>
      <c r="AA48" s="73"/>
      <c r="AB48" s="73"/>
      <c r="AC48" s="73"/>
      <c r="AD48" s="73"/>
      <c r="AE48" s="73"/>
      <c r="AF48" s="73"/>
      <c r="AG48" s="73"/>
      <c r="AH48" s="73"/>
      <c r="AI48" s="73"/>
      <c r="AJ48" s="73"/>
      <c r="AK48" s="73"/>
      <c r="AL48" s="73"/>
      <c r="AM48" s="73"/>
      <c r="AN48" s="73"/>
      <c r="AO48" s="73"/>
      <c r="AP48" s="73"/>
      <c r="AQ48" s="73"/>
      <c r="AR48" s="73"/>
      <c r="AS48" s="73"/>
      <c r="AT48" s="73"/>
      <c r="AU48" s="73"/>
      <c r="AW48" s="78"/>
      <c r="AX48" s="89"/>
      <c r="AY48" s="89"/>
      <c r="AZ48" s="89"/>
      <c r="BA48" s="89"/>
      <c r="BB48" s="89"/>
      <c r="BC48" s="89"/>
      <c r="BD48" s="89"/>
      <c r="BE48" s="89"/>
      <c r="BF48" s="89"/>
      <c r="BG48" s="89"/>
      <c r="BH48" s="89"/>
      <c r="BI48" s="89"/>
      <c r="BJ48" s="89"/>
      <c r="BK48" s="89"/>
      <c r="BL48" s="89"/>
      <c r="BM48" s="89"/>
      <c r="BN48" s="89"/>
      <c r="BO48" s="89"/>
      <c r="BP48" s="89"/>
      <c r="BQ48" s="89"/>
      <c r="BR48" s="89"/>
    </row>
    <row r="49" spans="3:70" ht="14.25" customHeight="1" x14ac:dyDescent="0.2">
      <c r="C49" s="2" t="s">
        <v>5</v>
      </c>
      <c r="D49" s="8">
        <v>35.4</v>
      </c>
      <c r="E49" s="8">
        <v>19.3</v>
      </c>
      <c r="F49" s="8">
        <v>17.2</v>
      </c>
      <c r="G49" s="8">
        <v>13.4</v>
      </c>
      <c r="H49" s="8">
        <v>7.2</v>
      </c>
      <c r="I49" s="8">
        <v>92.5</v>
      </c>
      <c r="J49" s="15">
        <v>1485</v>
      </c>
      <c r="K49" s="8">
        <v>48.4</v>
      </c>
      <c r="L49" s="8">
        <v>19.8</v>
      </c>
      <c r="M49" s="8">
        <v>13.4</v>
      </c>
      <c r="N49" s="8">
        <v>8.3000000000000007</v>
      </c>
      <c r="O49" s="8">
        <v>4.4000000000000004</v>
      </c>
      <c r="P49" s="8">
        <v>94.3</v>
      </c>
      <c r="Q49" s="15">
        <v>769</v>
      </c>
      <c r="R49" s="8">
        <v>39.799999999999997</v>
      </c>
      <c r="S49" s="8">
        <v>19.5</v>
      </c>
      <c r="T49" s="8">
        <v>15.9</v>
      </c>
      <c r="U49" s="8">
        <v>11.7</v>
      </c>
      <c r="V49" s="8">
        <v>6.3</v>
      </c>
      <c r="W49" s="8">
        <v>93.1</v>
      </c>
      <c r="X49" s="15">
        <v>2254</v>
      </c>
      <c r="Z49" s="73"/>
      <c r="AA49" s="73"/>
      <c r="AB49" s="73"/>
      <c r="AC49" s="73"/>
      <c r="AD49" s="73"/>
      <c r="AE49" s="73"/>
      <c r="AF49" s="73"/>
      <c r="AG49" s="73"/>
      <c r="AH49" s="73"/>
      <c r="AI49" s="73"/>
      <c r="AJ49" s="73"/>
      <c r="AK49" s="73"/>
      <c r="AL49" s="73"/>
      <c r="AM49" s="73"/>
      <c r="AN49" s="73"/>
      <c r="AO49" s="73"/>
      <c r="AP49" s="73"/>
      <c r="AQ49" s="73"/>
      <c r="AR49" s="73"/>
      <c r="AS49" s="73"/>
      <c r="AT49" s="73"/>
      <c r="AU49" s="73"/>
      <c r="AW49" s="78"/>
      <c r="AX49" s="89"/>
      <c r="AY49" s="89"/>
      <c r="AZ49" s="89"/>
      <c r="BA49" s="89"/>
      <c r="BB49" s="89"/>
      <c r="BC49" s="89"/>
      <c r="BD49" s="89"/>
      <c r="BE49" s="89"/>
      <c r="BF49" s="89"/>
      <c r="BG49" s="89"/>
      <c r="BH49" s="89"/>
      <c r="BI49" s="89"/>
      <c r="BJ49" s="89"/>
      <c r="BK49" s="89"/>
      <c r="BL49" s="89"/>
      <c r="BM49" s="89"/>
      <c r="BN49" s="89"/>
      <c r="BO49" s="89"/>
      <c r="BP49" s="89"/>
      <c r="BQ49" s="89"/>
      <c r="BR49" s="89"/>
    </row>
    <row r="50" spans="3:70" ht="14.25" customHeight="1" x14ac:dyDescent="0.2">
      <c r="C50" s="2" t="s">
        <v>6</v>
      </c>
      <c r="D50" s="8">
        <v>10.1</v>
      </c>
      <c r="E50" s="8">
        <v>15.3</v>
      </c>
      <c r="F50" s="8">
        <v>20.6</v>
      </c>
      <c r="G50" s="8">
        <v>20.6</v>
      </c>
      <c r="H50" s="8">
        <v>16.899999999999999</v>
      </c>
      <c r="I50" s="8">
        <v>83.5</v>
      </c>
      <c r="J50" s="15">
        <v>11770</v>
      </c>
      <c r="K50" s="8">
        <v>16.2</v>
      </c>
      <c r="L50" s="8">
        <v>19.5</v>
      </c>
      <c r="M50" s="8">
        <v>22.3</v>
      </c>
      <c r="N50" s="8">
        <v>19.5</v>
      </c>
      <c r="O50" s="8">
        <v>12.7</v>
      </c>
      <c r="P50" s="8">
        <v>90.2</v>
      </c>
      <c r="Q50" s="15">
        <v>7200</v>
      </c>
      <c r="R50" s="8">
        <v>12.4</v>
      </c>
      <c r="S50" s="8">
        <v>16.899999999999999</v>
      </c>
      <c r="T50" s="8">
        <v>21.2</v>
      </c>
      <c r="U50" s="8">
        <v>20.2</v>
      </c>
      <c r="V50" s="8">
        <v>15.3</v>
      </c>
      <c r="W50" s="8">
        <v>86</v>
      </c>
      <c r="X50" s="15">
        <v>18970</v>
      </c>
      <c r="Z50" s="73"/>
      <c r="AA50" s="73"/>
      <c r="AB50" s="73"/>
      <c r="AC50" s="73"/>
      <c r="AD50" s="73"/>
      <c r="AE50" s="73"/>
      <c r="AF50" s="73"/>
      <c r="AG50" s="73"/>
      <c r="AH50" s="73"/>
      <c r="AI50" s="73"/>
      <c r="AJ50" s="73"/>
      <c r="AK50" s="73"/>
      <c r="AL50" s="73"/>
      <c r="AM50" s="73"/>
      <c r="AN50" s="73"/>
      <c r="AO50" s="73"/>
      <c r="AP50" s="73"/>
      <c r="AQ50" s="73"/>
      <c r="AR50" s="73"/>
      <c r="AS50" s="73"/>
      <c r="AT50" s="73"/>
      <c r="AU50" s="73"/>
      <c r="AW50" s="78"/>
      <c r="AX50" s="89"/>
      <c r="AY50" s="89"/>
      <c r="AZ50" s="89"/>
      <c r="BA50" s="89"/>
      <c r="BB50" s="89"/>
      <c r="BC50" s="89"/>
      <c r="BD50" s="89"/>
      <c r="BE50" s="89"/>
      <c r="BF50" s="89"/>
      <c r="BG50" s="89"/>
      <c r="BH50" s="89"/>
      <c r="BI50" s="89"/>
      <c r="BJ50" s="89"/>
      <c r="BK50" s="89"/>
      <c r="BL50" s="89"/>
      <c r="BM50" s="89"/>
      <c r="BN50" s="89"/>
      <c r="BO50" s="89"/>
      <c r="BP50" s="89"/>
      <c r="BQ50" s="89"/>
      <c r="BR50" s="89"/>
    </row>
    <row r="51" spans="3:70" ht="14.25" customHeight="1" x14ac:dyDescent="0.2">
      <c r="C51" s="2" t="s">
        <v>168</v>
      </c>
      <c r="D51" s="8">
        <v>11</v>
      </c>
      <c r="E51" s="8">
        <v>13</v>
      </c>
      <c r="F51" s="8">
        <v>16.5</v>
      </c>
      <c r="G51" s="8">
        <v>18.600000000000001</v>
      </c>
      <c r="H51" s="8">
        <v>17</v>
      </c>
      <c r="I51" s="8">
        <v>76.099999999999994</v>
      </c>
      <c r="J51" s="15">
        <v>10268</v>
      </c>
      <c r="K51" s="8">
        <v>10.9</v>
      </c>
      <c r="L51" s="8">
        <v>11.6</v>
      </c>
      <c r="M51" s="8">
        <v>15.5</v>
      </c>
      <c r="N51" s="8">
        <v>16.8</v>
      </c>
      <c r="O51" s="8">
        <v>19.5</v>
      </c>
      <c r="P51" s="8">
        <v>74.2</v>
      </c>
      <c r="Q51" s="15">
        <v>1402</v>
      </c>
      <c r="R51" s="8">
        <v>11</v>
      </c>
      <c r="S51" s="8">
        <v>12.8</v>
      </c>
      <c r="T51" s="8">
        <v>16.3</v>
      </c>
      <c r="U51" s="8">
        <v>18.399999999999999</v>
      </c>
      <c r="V51" s="8">
        <v>17.3</v>
      </c>
      <c r="W51" s="8">
        <v>75.8</v>
      </c>
      <c r="X51" s="15">
        <v>11670</v>
      </c>
      <c r="Z51" s="73"/>
      <c r="AA51" s="73"/>
      <c r="AB51" s="73"/>
      <c r="AC51" s="73"/>
      <c r="AD51" s="73"/>
      <c r="AE51" s="73"/>
      <c r="AF51" s="73"/>
      <c r="AG51" s="73"/>
      <c r="AH51" s="73"/>
      <c r="AI51" s="73"/>
      <c r="AJ51" s="73"/>
      <c r="AK51" s="73"/>
      <c r="AL51" s="73"/>
      <c r="AM51" s="73"/>
      <c r="AN51" s="73"/>
      <c r="AO51" s="73"/>
      <c r="AP51" s="73"/>
      <c r="AQ51" s="73"/>
      <c r="AR51" s="73"/>
      <c r="AS51" s="73"/>
      <c r="AT51" s="73"/>
      <c r="AU51" s="73"/>
      <c r="AW51" s="78"/>
      <c r="AX51" s="89"/>
      <c r="AY51" s="89"/>
      <c r="AZ51" s="89"/>
      <c r="BA51" s="89"/>
      <c r="BB51" s="89"/>
      <c r="BC51" s="89"/>
      <c r="BD51" s="89"/>
      <c r="BE51" s="89"/>
      <c r="BF51" s="89"/>
      <c r="BG51" s="89"/>
      <c r="BH51" s="89"/>
      <c r="BI51" s="89"/>
      <c r="BJ51" s="89"/>
      <c r="BK51" s="89"/>
      <c r="BL51" s="89"/>
      <c r="BM51" s="89"/>
      <c r="BN51" s="89"/>
      <c r="BO51" s="89"/>
      <c r="BP51" s="89"/>
      <c r="BQ51" s="89"/>
      <c r="BR51" s="89"/>
    </row>
    <row r="52" spans="3:70" ht="14.25" customHeight="1" x14ac:dyDescent="0.2">
      <c r="C52" s="2" t="s">
        <v>8</v>
      </c>
      <c r="D52" s="8">
        <v>3.7</v>
      </c>
      <c r="E52" s="8">
        <v>8.5</v>
      </c>
      <c r="F52" s="8">
        <v>16.899999999999999</v>
      </c>
      <c r="G52" s="8">
        <v>22</v>
      </c>
      <c r="H52" s="8">
        <v>22.5</v>
      </c>
      <c r="I52" s="8">
        <v>73.7</v>
      </c>
      <c r="J52" s="15">
        <v>16456</v>
      </c>
      <c r="K52" s="8">
        <v>4.5</v>
      </c>
      <c r="L52" s="8">
        <v>10</v>
      </c>
      <c r="M52" s="8">
        <v>18.2</v>
      </c>
      <c r="N52" s="8">
        <v>23.3</v>
      </c>
      <c r="O52" s="8">
        <v>21.5</v>
      </c>
      <c r="P52" s="8">
        <v>77.5</v>
      </c>
      <c r="Q52" s="15">
        <v>9593</v>
      </c>
      <c r="R52" s="8">
        <v>4</v>
      </c>
      <c r="S52" s="8">
        <v>9.1</v>
      </c>
      <c r="T52" s="8">
        <v>17.399999999999999</v>
      </c>
      <c r="U52" s="8">
        <v>22.5</v>
      </c>
      <c r="V52" s="8">
        <v>22.1</v>
      </c>
      <c r="W52" s="8">
        <v>75.099999999999994</v>
      </c>
      <c r="X52" s="15">
        <v>26049</v>
      </c>
      <c r="Z52" s="73"/>
      <c r="AA52" s="73"/>
      <c r="AB52" s="73"/>
      <c r="AC52" s="73"/>
      <c r="AD52" s="73"/>
      <c r="AE52" s="73"/>
      <c r="AF52" s="73"/>
      <c r="AG52" s="73"/>
      <c r="AH52" s="73"/>
      <c r="AI52" s="73"/>
      <c r="AJ52" s="73"/>
      <c r="AK52" s="73"/>
      <c r="AL52" s="73"/>
      <c r="AM52" s="73"/>
      <c r="AN52" s="73"/>
      <c r="AO52" s="73"/>
      <c r="AP52" s="73"/>
      <c r="AQ52" s="73"/>
      <c r="AR52" s="73"/>
      <c r="AS52" s="73"/>
      <c r="AT52" s="73"/>
      <c r="AU52" s="73"/>
      <c r="AW52" s="78"/>
      <c r="AX52" s="89"/>
      <c r="AY52" s="89"/>
      <c r="AZ52" s="89"/>
      <c r="BA52" s="89"/>
      <c r="BB52" s="89"/>
      <c r="BC52" s="89"/>
      <c r="BD52" s="89"/>
      <c r="BE52" s="89"/>
      <c r="BF52" s="89"/>
      <c r="BG52" s="89"/>
      <c r="BH52" s="89"/>
      <c r="BI52" s="89"/>
      <c r="BJ52" s="89"/>
      <c r="BK52" s="89"/>
      <c r="BL52" s="89"/>
      <c r="BM52" s="89"/>
      <c r="BN52" s="89"/>
      <c r="BO52" s="89"/>
      <c r="BP52" s="89"/>
      <c r="BQ52" s="89"/>
      <c r="BR52" s="89"/>
    </row>
    <row r="53" spans="3:70" ht="14.25" customHeight="1" x14ac:dyDescent="0.2">
      <c r="C53" s="2" t="s">
        <v>9</v>
      </c>
      <c r="D53" s="87" t="s">
        <v>78</v>
      </c>
      <c r="E53" s="8">
        <v>9.6</v>
      </c>
      <c r="F53" s="8">
        <v>15.7</v>
      </c>
      <c r="G53" s="8">
        <v>16.899999999999999</v>
      </c>
      <c r="H53" s="8">
        <v>24.1</v>
      </c>
      <c r="I53" s="8">
        <v>67.5</v>
      </c>
      <c r="J53" s="15">
        <v>83</v>
      </c>
      <c r="K53" s="8">
        <v>17.7</v>
      </c>
      <c r="L53" s="8">
        <v>19.600000000000001</v>
      </c>
      <c r="M53" s="8">
        <v>22.1</v>
      </c>
      <c r="N53" s="8">
        <v>19.2</v>
      </c>
      <c r="O53" s="8">
        <v>12.8</v>
      </c>
      <c r="P53" s="8">
        <v>91.4</v>
      </c>
      <c r="Q53" s="15">
        <v>616</v>
      </c>
      <c r="R53" s="8">
        <v>15.7</v>
      </c>
      <c r="S53" s="8">
        <v>18.5</v>
      </c>
      <c r="T53" s="8">
        <v>21.3</v>
      </c>
      <c r="U53" s="8">
        <v>18.899999999999999</v>
      </c>
      <c r="V53" s="8">
        <v>14.2</v>
      </c>
      <c r="W53" s="8">
        <v>88.6</v>
      </c>
      <c r="X53" s="15">
        <v>699</v>
      </c>
      <c r="Z53" s="73"/>
      <c r="AA53" s="73"/>
      <c r="AB53" s="73"/>
      <c r="AC53" s="73"/>
      <c r="AD53" s="73"/>
      <c r="AE53" s="73"/>
      <c r="AF53" s="73"/>
      <c r="AG53" s="73"/>
      <c r="AH53" s="73"/>
      <c r="AI53" s="73"/>
      <c r="AJ53" s="73"/>
      <c r="AK53" s="73"/>
      <c r="AL53" s="73"/>
      <c r="AM53" s="73"/>
      <c r="AN53" s="73"/>
      <c r="AO53" s="73"/>
      <c r="AP53" s="73"/>
      <c r="AQ53" s="73"/>
      <c r="AR53" s="73"/>
      <c r="AS53" s="73"/>
      <c r="AT53" s="73"/>
      <c r="AU53" s="73"/>
      <c r="AW53" s="78"/>
      <c r="AX53" s="89"/>
      <c r="AY53" s="89"/>
      <c r="AZ53" s="89"/>
      <c r="BA53" s="89"/>
      <c r="BB53" s="89"/>
      <c r="BC53" s="89"/>
      <c r="BD53" s="89"/>
      <c r="BE53" s="89"/>
      <c r="BF53" s="89"/>
      <c r="BG53" s="89"/>
      <c r="BH53" s="89"/>
      <c r="BI53" s="89"/>
      <c r="BJ53" s="89"/>
      <c r="BK53" s="89"/>
      <c r="BL53" s="89"/>
      <c r="BM53" s="89"/>
      <c r="BN53" s="89"/>
      <c r="BO53" s="89"/>
      <c r="BP53" s="89"/>
      <c r="BQ53" s="89"/>
      <c r="BR53" s="89"/>
    </row>
    <row r="54" spans="3:70" ht="14.25" customHeight="1" x14ac:dyDescent="0.2">
      <c r="C54" s="2" t="s">
        <v>10</v>
      </c>
      <c r="D54" s="8">
        <v>6.2</v>
      </c>
      <c r="E54" s="8">
        <v>10.4</v>
      </c>
      <c r="F54" s="8">
        <v>15.1</v>
      </c>
      <c r="G54" s="8">
        <v>16.8</v>
      </c>
      <c r="H54" s="8">
        <v>16.3</v>
      </c>
      <c r="I54" s="8">
        <v>64.7</v>
      </c>
      <c r="J54" s="15">
        <v>3794</v>
      </c>
      <c r="K54" s="8">
        <v>8.9</v>
      </c>
      <c r="L54" s="8">
        <v>11</v>
      </c>
      <c r="M54" s="8">
        <v>15.4</v>
      </c>
      <c r="N54" s="8">
        <v>16</v>
      </c>
      <c r="O54" s="8">
        <v>17</v>
      </c>
      <c r="P54" s="8">
        <v>68.400000000000006</v>
      </c>
      <c r="Q54" s="15">
        <v>2364</v>
      </c>
      <c r="R54" s="8">
        <v>7.2</v>
      </c>
      <c r="S54" s="8">
        <v>10.6</v>
      </c>
      <c r="T54" s="8">
        <v>15.2</v>
      </c>
      <c r="U54" s="8">
        <v>16.5</v>
      </c>
      <c r="V54" s="8">
        <v>16.600000000000001</v>
      </c>
      <c r="W54" s="8">
        <v>66.099999999999994</v>
      </c>
      <c r="X54" s="15">
        <v>6158</v>
      </c>
      <c r="Z54" s="73"/>
      <c r="AA54" s="73"/>
      <c r="AB54" s="73"/>
      <c r="AC54" s="73"/>
      <c r="AD54" s="73"/>
      <c r="AE54" s="73"/>
      <c r="AF54" s="73"/>
      <c r="AG54" s="73"/>
      <c r="AH54" s="73"/>
      <c r="AI54" s="73"/>
      <c r="AJ54" s="73"/>
      <c r="AK54" s="73"/>
      <c r="AL54" s="73"/>
      <c r="AM54" s="73"/>
      <c r="AN54" s="73"/>
      <c r="AO54" s="73"/>
      <c r="AP54" s="73"/>
      <c r="AQ54" s="73"/>
      <c r="AR54" s="73"/>
      <c r="AS54" s="73"/>
      <c r="AT54" s="73"/>
      <c r="AU54" s="73"/>
      <c r="AW54" s="78"/>
      <c r="AX54" s="89"/>
      <c r="AY54" s="89"/>
      <c r="AZ54" s="89"/>
      <c r="BA54" s="89"/>
      <c r="BB54" s="89"/>
      <c r="BC54" s="89"/>
      <c r="BD54" s="89"/>
      <c r="BE54" s="89"/>
      <c r="BF54" s="89"/>
      <c r="BG54" s="89"/>
      <c r="BH54" s="89"/>
      <c r="BI54" s="89"/>
      <c r="BJ54" s="89"/>
      <c r="BK54" s="89"/>
      <c r="BL54" s="89"/>
      <c r="BM54" s="89"/>
      <c r="BN54" s="89"/>
      <c r="BO54" s="89"/>
      <c r="BP54" s="89"/>
      <c r="BQ54" s="89"/>
      <c r="BR54" s="89"/>
    </row>
    <row r="55" spans="3:70" ht="14.25" customHeight="1" x14ac:dyDescent="0.2">
      <c r="C55" s="2" t="s">
        <v>11</v>
      </c>
      <c r="D55" s="8">
        <v>10</v>
      </c>
      <c r="E55" s="8">
        <v>15.2</v>
      </c>
      <c r="F55" s="8">
        <v>20.6</v>
      </c>
      <c r="G55" s="8">
        <v>21.8</v>
      </c>
      <c r="H55" s="8">
        <v>17.3</v>
      </c>
      <c r="I55" s="8">
        <v>84.9</v>
      </c>
      <c r="J55" s="15">
        <v>23322</v>
      </c>
      <c r="K55" s="8">
        <v>12.6</v>
      </c>
      <c r="L55" s="8">
        <v>15.6</v>
      </c>
      <c r="M55" s="8">
        <v>20.2</v>
      </c>
      <c r="N55" s="8">
        <v>20.6</v>
      </c>
      <c r="O55" s="8">
        <v>16.5</v>
      </c>
      <c r="P55" s="8">
        <v>85.5</v>
      </c>
      <c r="Q55" s="15">
        <v>17062</v>
      </c>
      <c r="R55" s="8">
        <v>11.1</v>
      </c>
      <c r="S55" s="8">
        <v>15.4</v>
      </c>
      <c r="T55" s="8">
        <v>20.399999999999999</v>
      </c>
      <c r="U55" s="8">
        <v>21.3</v>
      </c>
      <c r="V55" s="8">
        <v>17</v>
      </c>
      <c r="W55" s="8">
        <v>85.2</v>
      </c>
      <c r="X55" s="15">
        <v>40384</v>
      </c>
      <c r="Z55" s="73"/>
      <c r="AA55" s="73"/>
      <c r="AB55" s="73"/>
      <c r="AC55" s="73"/>
      <c r="AD55" s="73"/>
      <c r="AE55" s="73"/>
      <c r="AF55" s="73"/>
      <c r="AG55" s="73"/>
      <c r="AH55" s="73"/>
      <c r="AI55" s="73"/>
      <c r="AJ55" s="73"/>
      <c r="AK55" s="73"/>
      <c r="AL55" s="73"/>
      <c r="AM55" s="73"/>
      <c r="AN55" s="73"/>
      <c r="AO55" s="73"/>
      <c r="AP55" s="73"/>
      <c r="AQ55" s="73"/>
      <c r="AR55" s="73"/>
      <c r="AS55" s="73"/>
      <c r="AT55" s="73"/>
      <c r="AU55" s="73"/>
      <c r="AW55" s="78"/>
      <c r="AX55" s="89"/>
      <c r="AY55" s="89"/>
      <c r="AZ55" s="89"/>
      <c r="BA55" s="89"/>
      <c r="BB55" s="89"/>
      <c r="BC55" s="89"/>
      <c r="BD55" s="89"/>
      <c r="BE55" s="89"/>
      <c r="BF55" s="89"/>
      <c r="BG55" s="89"/>
      <c r="BH55" s="89"/>
      <c r="BI55" s="89"/>
      <c r="BJ55" s="89"/>
      <c r="BK55" s="89"/>
      <c r="BL55" s="89"/>
      <c r="BM55" s="89"/>
      <c r="BN55" s="89"/>
      <c r="BO55" s="89"/>
      <c r="BP55" s="89"/>
      <c r="BQ55" s="89"/>
      <c r="BR55" s="89"/>
    </row>
    <row r="56" spans="3:70" ht="14.25" customHeight="1" x14ac:dyDescent="0.2">
      <c r="C56" s="2" t="s">
        <v>12</v>
      </c>
      <c r="D56" s="8">
        <v>22.6</v>
      </c>
      <c r="E56" s="8">
        <v>17.7</v>
      </c>
      <c r="F56" s="8">
        <v>17</v>
      </c>
      <c r="G56" s="8">
        <v>14.8</v>
      </c>
      <c r="H56" s="8">
        <v>12.6</v>
      </c>
      <c r="I56" s="8">
        <v>84.6</v>
      </c>
      <c r="J56" s="15">
        <v>10659</v>
      </c>
      <c r="K56" s="8">
        <v>22.9</v>
      </c>
      <c r="L56" s="8">
        <v>19.3</v>
      </c>
      <c r="M56" s="8">
        <v>18.100000000000001</v>
      </c>
      <c r="N56" s="8">
        <v>14.2</v>
      </c>
      <c r="O56" s="8">
        <v>11.6</v>
      </c>
      <c r="P56" s="8">
        <v>86</v>
      </c>
      <c r="Q56" s="15">
        <v>4671</v>
      </c>
      <c r="R56" s="8">
        <v>22.7</v>
      </c>
      <c r="S56" s="8">
        <v>18.2</v>
      </c>
      <c r="T56" s="8">
        <v>17.3</v>
      </c>
      <c r="U56" s="8">
        <v>14.6</v>
      </c>
      <c r="V56" s="8">
        <v>12.3</v>
      </c>
      <c r="W56" s="8">
        <v>85</v>
      </c>
      <c r="X56" s="15">
        <v>15330</v>
      </c>
      <c r="Z56" s="73"/>
      <c r="AA56" s="73"/>
      <c r="AB56" s="73"/>
      <c r="AC56" s="73"/>
      <c r="AD56" s="73"/>
      <c r="AE56" s="73"/>
      <c r="AF56" s="73"/>
      <c r="AG56" s="73"/>
      <c r="AH56" s="73"/>
      <c r="AI56" s="73"/>
      <c r="AJ56" s="73"/>
      <c r="AK56" s="73"/>
      <c r="AL56" s="73"/>
      <c r="AM56" s="73"/>
      <c r="AN56" s="73"/>
      <c r="AO56" s="73"/>
      <c r="AP56" s="73"/>
      <c r="AQ56" s="73"/>
      <c r="AR56" s="73"/>
      <c r="AS56" s="73"/>
      <c r="AT56" s="73"/>
      <c r="AU56" s="73"/>
      <c r="AW56" s="78"/>
      <c r="AX56" s="89"/>
      <c r="AY56" s="89"/>
      <c r="AZ56" s="89"/>
      <c r="BA56" s="89"/>
      <c r="BB56" s="89"/>
      <c r="BC56" s="89"/>
      <c r="BD56" s="89"/>
      <c r="BE56" s="89"/>
      <c r="BF56" s="89"/>
      <c r="BG56" s="89"/>
      <c r="BH56" s="89"/>
      <c r="BI56" s="89"/>
      <c r="BJ56" s="89"/>
      <c r="BK56" s="89"/>
      <c r="BL56" s="89"/>
      <c r="BM56" s="89"/>
      <c r="BN56" s="89"/>
      <c r="BO56" s="89"/>
      <c r="BP56" s="89"/>
      <c r="BQ56" s="89"/>
      <c r="BR56" s="89"/>
    </row>
    <row r="57" spans="3:70" ht="14.25" customHeight="1" x14ac:dyDescent="0.2">
      <c r="C57" s="2" t="s">
        <v>13</v>
      </c>
      <c r="D57" s="8">
        <v>16.100000000000001</v>
      </c>
      <c r="E57" s="8">
        <v>17.3</v>
      </c>
      <c r="F57" s="8">
        <v>20.100000000000001</v>
      </c>
      <c r="G57" s="8">
        <v>19.2</v>
      </c>
      <c r="H57" s="8">
        <v>14.9</v>
      </c>
      <c r="I57" s="8">
        <v>87.5</v>
      </c>
      <c r="J57" s="15">
        <v>17908</v>
      </c>
      <c r="K57" s="8">
        <v>24.1</v>
      </c>
      <c r="L57" s="8">
        <v>19.7</v>
      </c>
      <c r="M57" s="8">
        <v>19.3</v>
      </c>
      <c r="N57" s="8">
        <v>16.3</v>
      </c>
      <c r="O57" s="8">
        <v>11.3</v>
      </c>
      <c r="P57" s="8">
        <v>90.8</v>
      </c>
      <c r="Q57" s="15">
        <v>14930</v>
      </c>
      <c r="R57" s="8">
        <v>19.8</v>
      </c>
      <c r="S57" s="8">
        <v>18.399999999999999</v>
      </c>
      <c r="T57" s="8">
        <v>19.7</v>
      </c>
      <c r="U57" s="8">
        <v>17.899999999999999</v>
      </c>
      <c r="V57" s="8">
        <v>13.2</v>
      </c>
      <c r="W57" s="8">
        <v>89</v>
      </c>
      <c r="X57" s="15">
        <v>32838</v>
      </c>
      <c r="Z57" s="73"/>
      <c r="AA57" s="73"/>
      <c r="AB57" s="73"/>
      <c r="AC57" s="73"/>
      <c r="AD57" s="73"/>
      <c r="AE57" s="73"/>
      <c r="AF57" s="73"/>
      <c r="AG57" s="73"/>
      <c r="AH57" s="73"/>
      <c r="AI57" s="73"/>
      <c r="AJ57" s="73"/>
      <c r="AK57" s="73"/>
      <c r="AL57" s="73"/>
      <c r="AM57" s="73"/>
      <c r="AN57" s="73"/>
      <c r="AO57" s="73"/>
      <c r="AP57" s="73"/>
      <c r="AQ57" s="73"/>
      <c r="AR57" s="73"/>
      <c r="AS57" s="73"/>
      <c r="AT57" s="73"/>
      <c r="AU57" s="73"/>
      <c r="AW57" s="78"/>
      <c r="AX57" s="89"/>
      <c r="AY57" s="89"/>
      <c r="AZ57" s="89"/>
      <c r="BA57" s="89"/>
      <c r="BB57" s="89"/>
      <c r="BC57" s="89"/>
      <c r="BD57" s="89"/>
      <c r="BE57" s="89"/>
      <c r="BF57" s="89"/>
      <c r="BG57" s="89"/>
      <c r="BH57" s="89"/>
      <c r="BI57" s="89"/>
      <c r="BJ57" s="89"/>
      <c r="BK57" s="89"/>
      <c r="BL57" s="89"/>
      <c r="BM57" s="89"/>
      <c r="BN57" s="89"/>
      <c r="BO57" s="89"/>
      <c r="BP57" s="89"/>
      <c r="BQ57" s="89"/>
      <c r="BR57" s="89"/>
    </row>
    <row r="58" spans="3:70" ht="14.25" customHeight="1" x14ac:dyDescent="0.2">
      <c r="C58" s="2" t="s">
        <v>14</v>
      </c>
      <c r="D58" s="8">
        <v>19.2</v>
      </c>
      <c r="E58" s="8">
        <v>19.100000000000001</v>
      </c>
      <c r="F58" s="8">
        <v>19.8</v>
      </c>
      <c r="G58" s="8">
        <v>17.2</v>
      </c>
      <c r="H58" s="8">
        <v>12.7</v>
      </c>
      <c r="I58" s="8">
        <v>87.9</v>
      </c>
      <c r="J58" s="15">
        <v>5579</v>
      </c>
      <c r="K58" s="8">
        <v>22.6</v>
      </c>
      <c r="L58" s="8">
        <v>19.7</v>
      </c>
      <c r="M58" s="8">
        <v>18.600000000000001</v>
      </c>
      <c r="N58" s="8">
        <v>15.2</v>
      </c>
      <c r="O58" s="8">
        <v>11.3</v>
      </c>
      <c r="P58" s="8">
        <v>87.4</v>
      </c>
      <c r="Q58" s="15">
        <v>4188</v>
      </c>
      <c r="R58" s="8">
        <v>20.6</v>
      </c>
      <c r="S58" s="8">
        <v>19.3</v>
      </c>
      <c r="T58" s="8">
        <v>19.3</v>
      </c>
      <c r="U58" s="8">
        <v>16.3</v>
      </c>
      <c r="V58" s="8">
        <v>12.1</v>
      </c>
      <c r="W58" s="8">
        <v>87.7</v>
      </c>
      <c r="X58" s="15">
        <v>9767</v>
      </c>
      <c r="Z58" s="73"/>
      <c r="AA58" s="73"/>
      <c r="AB58" s="73"/>
      <c r="AC58" s="73"/>
      <c r="AD58" s="73"/>
      <c r="AE58" s="73"/>
      <c r="AF58" s="73"/>
      <c r="AG58" s="73"/>
      <c r="AH58" s="73"/>
      <c r="AI58" s="73"/>
      <c r="AJ58" s="73"/>
      <c r="AK58" s="73"/>
      <c r="AL58" s="73"/>
      <c r="AM58" s="73"/>
      <c r="AN58" s="73"/>
      <c r="AO58" s="73"/>
      <c r="AP58" s="73"/>
      <c r="AQ58" s="73"/>
      <c r="AR58" s="73"/>
      <c r="AS58" s="73"/>
      <c r="AT58" s="73"/>
      <c r="AU58" s="73"/>
      <c r="AW58" s="78"/>
      <c r="AX58" s="89"/>
      <c r="AY58" s="89"/>
      <c r="AZ58" s="89"/>
      <c r="BA58" s="89"/>
      <c r="BB58" s="89"/>
      <c r="BC58" s="89"/>
      <c r="BD58" s="89"/>
      <c r="BE58" s="89"/>
      <c r="BF58" s="89"/>
      <c r="BG58" s="89"/>
      <c r="BH58" s="89"/>
      <c r="BI58" s="89"/>
      <c r="BJ58" s="89"/>
      <c r="BK58" s="89"/>
      <c r="BL58" s="89"/>
      <c r="BM58" s="89"/>
      <c r="BN58" s="89"/>
      <c r="BO58" s="89"/>
      <c r="BP58" s="89"/>
      <c r="BQ58" s="89"/>
      <c r="BR58" s="89"/>
    </row>
    <row r="59" spans="3:70" ht="14.25" customHeight="1" x14ac:dyDescent="0.2">
      <c r="C59" s="2" t="s">
        <v>15</v>
      </c>
      <c r="D59" s="8">
        <v>14.7</v>
      </c>
      <c r="E59" s="8">
        <v>20</v>
      </c>
      <c r="F59" s="8">
        <v>23.6</v>
      </c>
      <c r="G59" s="8">
        <v>20.3</v>
      </c>
      <c r="H59" s="8">
        <v>12.6</v>
      </c>
      <c r="I59" s="8">
        <v>91.2</v>
      </c>
      <c r="J59" s="15">
        <v>19507</v>
      </c>
      <c r="K59" s="8">
        <v>18.399999999999999</v>
      </c>
      <c r="L59" s="8">
        <v>22.1</v>
      </c>
      <c r="M59" s="8">
        <v>22.7</v>
      </c>
      <c r="N59" s="8">
        <v>17.5</v>
      </c>
      <c r="O59" s="8">
        <v>11</v>
      </c>
      <c r="P59" s="8">
        <v>91.7</v>
      </c>
      <c r="Q59" s="15">
        <v>21640</v>
      </c>
      <c r="R59" s="8">
        <v>16.600000000000001</v>
      </c>
      <c r="S59" s="8">
        <v>21.1</v>
      </c>
      <c r="T59" s="8">
        <v>23.1</v>
      </c>
      <c r="U59" s="8">
        <v>18.8</v>
      </c>
      <c r="V59" s="8">
        <v>11.8</v>
      </c>
      <c r="W59" s="8">
        <v>91.5</v>
      </c>
      <c r="X59" s="15">
        <v>41147</v>
      </c>
      <c r="Z59" s="73"/>
      <c r="AA59" s="73"/>
      <c r="AB59" s="73"/>
      <c r="AC59" s="73"/>
      <c r="AD59" s="73"/>
      <c r="AE59" s="73"/>
      <c r="AF59" s="73"/>
      <c r="AG59" s="73"/>
      <c r="AH59" s="73"/>
      <c r="AI59" s="73"/>
      <c r="AJ59" s="73"/>
      <c r="AK59" s="73"/>
      <c r="AL59" s="73"/>
      <c r="AM59" s="73"/>
      <c r="AN59" s="73"/>
      <c r="AO59" s="73"/>
      <c r="AP59" s="73"/>
      <c r="AQ59" s="73"/>
      <c r="AR59" s="73"/>
      <c r="AS59" s="73"/>
      <c r="AT59" s="73"/>
      <c r="AU59" s="73"/>
      <c r="AW59" s="78"/>
      <c r="AX59" s="89"/>
      <c r="AY59" s="89"/>
      <c r="AZ59" s="89"/>
      <c r="BA59" s="89"/>
      <c r="BB59" s="89"/>
      <c r="BC59" s="89"/>
      <c r="BD59" s="89"/>
      <c r="BE59" s="89"/>
      <c r="BF59" s="89"/>
      <c r="BG59" s="89"/>
      <c r="BH59" s="89"/>
      <c r="BI59" s="89"/>
      <c r="BJ59" s="89"/>
      <c r="BK59" s="89"/>
      <c r="BL59" s="89"/>
      <c r="BM59" s="89"/>
      <c r="BN59" s="89"/>
      <c r="BO59" s="89"/>
      <c r="BP59" s="89"/>
      <c r="BQ59" s="89"/>
      <c r="BR59" s="89"/>
    </row>
    <row r="60" spans="3:70" ht="14.25" customHeight="1" x14ac:dyDescent="0.2">
      <c r="C60" s="2" t="s">
        <v>16</v>
      </c>
      <c r="D60" s="8">
        <v>9.6</v>
      </c>
      <c r="E60" s="8">
        <v>13.4</v>
      </c>
      <c r="F60" s="8">
        <v>18.8</v>
      </c>
      <c r="G60" s="8">
        <v>18.7</v>
      </c>
      <c r="H60" s="8">
        <v>16</v>
      </c>
      <c r="I60" s="8">
        <v>76.5</v>
      </c>
      <c r="J60" s="15">
        <v>7904</v>
      </c>
      <c r="K60" s="8">
        <v>13.3</v>
      </c>
      <c r="L60" s="8">
        <v>15.9</v>
      </c>
      <c r="M60" s="8">
        <v>18.8</v>
      </c>
      <c r="N60" s="8">
        <v>17.8</v>
      </c>
      <c r="O60" s="8">
        <v>14.4</v>
      </c>
      <c r="P60" s="8">
        <v>80.099999999999994</v>
      </c>
      <c r="Q60" s="15">
        <v>11046</v>
      </c>
      <c r="R60" s="8">
        <v>11.8</v>
      </c>
      <c r="S60" s="8">
        <v>14.8</v>
      </c>
      <c r="T60" s="8">
        <v>18.8</v>
      </c>
      <c r="U60" s="8">
        <v>18.2</v>
      </c>
      <c r="V60" s="8">
        <v>15.1</v>
      </c>
      <c r="W60" s="8">
        <v>78.599999999999994</v>
      </c>
      <c r="X60" s="15">
        <v>18950</v>
      </c>
      <c r="Z60" s="73"/>
      <c r="AA60" s="73"/>
      <c r="AB60" s="73"/>
      <c r="AC60" s="73"/>
      <c r="AD60" s="73"/>
      <c r="AE60" s="73"/>
      <c r="AF60" s="73"/>
      <c r="AG60" s="73"/>
      <c r="AH60" s="73"/>
      <c r="AI60" s="73"/>
      <c r="AJ60" s="73"/>
      <c r="AK60" s="73"/>
      <c r="AL60" s="73"/>
      <c r="AM60" s="73"/>
      <c r="AN60" s="73"/>
      <c r="AO60" s="73"/>
      <c r="AP60" s="73"/>
      <c r="AQ60" s="73"/>
      <c r="AR60" s="73"/>
      <c r="AS60" s="73"/>
      <c r="AT60" s="73"/>
      <c r="AU60" s="73"/>
      <c r="AW60" s="78"/>
      <c r="AX60" s="89"/>
      <c r="AY60" s="89"/>
      <c r="AZ60" s="89"/>
      <c r="BA60" s="89"/>
      <c r="BB60" s="89"/>
      <c r="BC60" s="89"/>
      <c r="BD60" s="89"/>
      <c r="BE60" s="89"/>
      <c r="BF60" s="89"/>
      <c r="BG60" s="89"/>
      <c r="BH60" s="89"/>
      <c r="BI60" s="89"/>
      <c r="BJ60" s="89"/>
      <c r="BK60" s="89"/>
      <c r="BL60" s="89"/>
      <c r="BM60" s="89"/>
      <c r="BN60" s="89"/>
      <c r="BO60" s="89"/>
      <c r="BP60" s="89"/>
      <c r="BQ60" s="89"/>
      <c r="BR60" s="89"/>
    </row>
    <row r="61" spans="3:70" ht="14.25" customHeight="1" x14ac:dyDescent="0.2">
      <c r="C61" s="2" t="s">
        <v>17</v>
      </c>
      <c r="D61" s="8">
        <v>7.5</v>
      </c>
      <c r="E61" s="8">
        <v>12.1</v>
      </c>
      <c r="F61" s="8">
        <v>17.600000000000001</v>
      </c>
      <c r="G61" s="8">
        <v>18.8</v>
      </c>
      <c r="H61" s="8">
        <v>18</v>
      </c>
      <c r="I61" s="8">
        <v>74</v>
      </c>
      <c r="J61" s="15">
        <v>18237</v>
      </c>
      <c r="K61" s="8">
        <v>15.3</v>
      </c>
      <c r="L61" s="8">
        <v>17.2</v>
      </c>
      <c r="M61" s="8">
        <v>19.100000000000001</v>
      </c>
      <c r="N61" s="8">
        <v>17.399999999999999</v>
      </c>
      <c r="O61" s="8">
        <v>14.4</v>
      </c>
      <c r="P61" s="8">
        <v>83.5</v>
      </c>
      <c r="Q61" s="15">
        <v>43981</v>
      </c>
      <c r="R61" s="8">
        <v>13</v>
      </c>
      <c r="S61" s="8">
        <v>15.7</v>
      </c>
      <c r="T61" s="8">
        <v>18.7</v>
      </c>
      <c r="U61" s="8">
        <v>17.8</v>
      </c>
      <c r="V61" s="8">
        <v>15.5</v>
      </c>
      <c r="W61" s="8">
        <v>80.7</v>
      </c>
      <c r="X61" s="15">
        <v>62218</v>
      </c>
      <c r="Z61" s="73"/>
      <c r="AA61" s="73"/>
      <c r="AB61" s="73"/>
      <c r="AC61" s="73"/>
      <c r="AD61" s="73"/>
      <c r="AE61" s="73"/>
      <c r="AF61" s="73"/>
      <c r="AG61" s="73"/>
      <c r="AH61" s="73"/>
      <c r="AI61" s="73"/>
      <c r="AJ61" s="73"/>
      <c r="AK61" s="73"/>
      <c r="AL61" s="73"/>
      <c r="AM61" s="73"/>
      <c r="AN61" s="73"/>
      <c r="AO61" s="73"/>
      <c r="AP61" s="73"/>
      <c r="AQ61" s="73"/>
      <c r="AR61" s="73"/>
      <c r="AS61" s="73"/>
      <c r="AT61" s="73"/>
      <c r="AU61" s="73"/>
      <c r="AW61" s="78"/>
      <c r="AX61" s="89"/>
      <c r="AY61" s="89"/>
      <c r="AZ61" s="89"/>
      <c r="BA61" s="89"/>
      <c r="BB61" s="89"/>
      <c r="BC61" s="89"/>
      <c r="BD61" s="89"/>
      <c r="BE61" s="89"/>
      <c r="BF61" s="89"/>
      <c r="BG61" s="89"/>
      <c r="BH61" s="89"/>
      <c r="BI61" s="89"/>
      <c r="BJ61" s="89"/>
      <c r="BK61" s="89"/>
      <c r="BL61" s="89"/>
      <c r="BM61" s="89"/>
      <c r="BN61" s="89"/>
      <c r="BO61" s="89"/>
      <c r="BP61" s="89"/>
      <c r="BQ61" s="89"/>
      <c r="BR61" s="89"/>
    </row>
    <row r="62" spans="3:70" ht="14.25" customHeight="1" x14ac:dyDescent="0.2">
      <c r="C62" s="2" t="s">
        <v>18</v>
      </c>
      <c r="D62" s="8">
        <v>11</v>
      </c>
      <c r="E62" s="8">
        <v>15.2</v>
      </c>
      <c r="F62" s="8">
        <v>18.3</v>
      </c>
      <c r="G62" s="8">
        <v>18.7</v>
      </c>
      <c r="H62" s="8">
        <v>16.3</v>
      </c>
      <c r="I62" s="8">
        <v>79.5</v>
      </c>
      <c r="J62" s="15">
        <v>8196</v>
      </c>
      <c r="K62" s="8">
        <v>17.399999999999999</v>
      </c>
      <c r="L62" s="8">
        <v>18</v>
      </c>
      <c r="M62" s="8">
        <v>18.7</v>
      </c>
      <c r="N62" s="8">
        <v>17.3</v>
      </c>
      <c r="O62" s="8">
        <v>14.1</v>
      </c>
      <c r="P62" s="8">
        <v>85.5</v>
      </c>
      <c r="Q62" s="15">
        <v>23360</v>
      </c>
      <c r="R62" s="8">
        <v>15.7</v>
      </c>
      <c r="S62" s="8">
        <v>17.3</v>
      </c>
      <c r="T62" s="8">
        <v>18.600000000000001</v>
      </c>
      <c r="U62" s="8">
        <v>17.600000000000001</v>
      </c>
      <c r="V62" s="8">
        <v>14.7</v>
      </c>
      <c r="W62" s="8">
        <v>83.9</v>
      </c>
      <c r="X62" s="15">
        <v>31556</v>
      </c>
      <c r="Z62" s="73"/>
      <c r="AA62" s="73"/>
      <c r="AB62" s="73"/>
      <c r="AC62" s="73"/>
      <c r="AD62" s="73"/>
      <c r="AE62" s="73"/>
      <c r="AF62" s="73"/>
      <c r="AG62" s="73"/>
      <c r="AH62" s="73"/>
      <c r="AI62" s="73"/>
      <c r="AJ62" s="73"/>
      <c r="AK62" s="73"/>
      <c r="AL62" s="73"/>
      <c r="AM62" s="73"/>
      <c r="AN62" s="73"/>
      <c r="AO62" s="73"/>
      <c r="AP62" s="73"/>
      <c r="AQ62" s="73"/>
      <c r="AR62" s="73"/>
      <c r="AS62" s="73"/>
      <c r="AT62" s="73"/>
      <c r="AU62" s="73"/>
      <c r="AW62" s="78"/>
      <c r="AX62" s="89"/>
      <c r="AY62" s="89"/>
      <c r="AZ62" s="89"/>
      <c r="BA62" s="89"/>
      <c r="BB62" s="89"/>
      <c r="BC62" s="89"/>
      <c r="BD62" s="89"/>
      <c r="BE62" s="89"/>
      <c r="BF62" s="89"/>
      <c r="BG62" s="89"/>
      <c r="BH62" s="89"/>
      <c r="BI62" s="89"/>
      <c r="BJ62" s="89"/>
      <c r="BK62" s="89"/>
      <c r="BL62" s="89"/>
      <c r="BM62" s="89"/>
      <c r="BN62" s="89"/>
      <c r="BO62" s="89"/>
      <c r="BP62" s="89"/>
      <c r="BQ62" s="89"/>
      <c r="BR62" s="89"/>
    </row>
    <row r="63" spans="3:70" ht="14.25" customHeight="1" x14ac:dyDescent="0.2">
      <c r="C63" s="2" t="s">
        <v>19</v>
      </c>
      <c r="D63" s="8">
        <v>11.6</v>
      </c>
      <c r="E63" s="8">
        <v>13.1</v>
      </c>
      <c r="F63" s="8">
        <v>18.899999999999999</v>
      </c>
      <c r="G63" s="8">
        <v>18.2</v>
      </c>
      <c r="H63" s="8">
        <v>13.6</v>
      </c>
      <c r="I63" s="8">
        <v>75.5</v>
      </c>
      <c r="J63" s="15">
        <v>2770</v>
      </c>
      <c r="K63" s="8">
        <v>13.9</v>
      </c>
      <c r="L63" s="8">
        <v>15.1</v>
      </c>
      <c r="M63" s="8">
        <v>19.3</v>
      </c>
      <c r="N63" s="8">
        <v>17.600000000000001</v>
      </c>
      <c r="O63" s="8">
        <v>14.4</v>
      </c>
      <c r="P63" s="8">
        <v>80.3</v>
      </c>
      <c r="Q63" s="15">
        <v>3261</v>
      </c>
      <c r="R63" s="8">
        <v>12.8</v>
      </c>
      <c r="S63" s="8">
        <v>14.2</v>
      </c>
      <c r="T63" s="8">
        <v>19.2</v>
      </c>
      <c r="U63" s="8">
        <v>17.899999999999999</v>
      </c>
      <c r="V63" s="8">
        <v>14</v>
      </c>
      <c r="W63" s="8">
        <v>78.099999999999994</v>
      </c>
      <c r="X63" s="15">
        <v>6031</v>
      </c>
      <c r="Z63" s="73"/>
      <c r="AA63" s="73"/>
      <c r="AB63" s="73"/>
      <c r="AC63" s="73"/>
      <c r="AD63" s="73"/>
      <c r="AE63" s="73"/>
      <c r="AF63" s="73"/>
      <c r="AG63" s="73"/>
      <c r="AH63" s="73"/>
      <c r="AI63" s="73"/>
      <c r="AJ63" s="73"/>
      <c r="AK63" s="73"/>
      <c r="AL63" s="73"/>
      <c r="AM63" s="73"/>
      <c r="AN63" s="73"/>
      <c r="AO63" s="73"/>
      <c r="AP63" s="73"/>
      <c r="AQ63" s="73"/>
      <c r="AR63" s="73"/>
      <c r="AS63" s="73"/>
      <c r="AT63" s="73"/>
      <c r="AU63" s="73"/>
      <c r="AW63" s="78"/>
      <c r="AX63" s="89"/>
      <c r="AY63" s="89"/>
      <c r="AZ63" s="89"/>
      <c r="BA63" s="89"/>
      <c r="BB63" s="89"/>
      <c r="BC63" s="89"/>
      <c r="BD63" s="89"/>
      <c r="BE63" s="89"/>
      <c r="BF63" s="89"/>
      <c r="BG63" s="89"/>
      <c r="BH63" s="89"/>
      <c r="BI63" s="89"/>
      <c r="BJ63" s="89"/>
      <c r="BK63" s="89"/>
      <c r="BL63" s="89"/>
      <c r="BM63" s="89"/>
      <c r="BN63" s="89"/>
      <c r="BO63" s="89"/>
      <c r="BP63" s="89"/>
      <c r="BQ63" s="89"/>
      <c r="BR63" s="89"/>
    </row>
    <row r="64" spans="3:70" ht="14.25" customHeight="1" x14ac:dyDescent="0.2">
      <c r="C64" s="2" t="s">
        <v>20</v>
      </c>
      <c r="D64" s="8">
        <v>14.2</v>
      </c>
      <c r="E64" s="8">
        <v>15.2</v>
      </c>
      <c r="F64" s="8">
        <v>19.399999999999999</v>
      </c>
      <c r="G64" s="8">
        <v>18.600000000000001</v>
      </c>
      <c r="H64" s="8">
        <v>14.5</v>
      </c>
      <c r="I64" s="8">
        <v>81.7</v>
      </c>
      <c r="J64" s="15">
        <v>16484</v>
      </c>
      <c r="K64" s="8">
        <v>22.1</v>
      </c>
      <c r="L64" s="8">
        <v>20.5</v>
      </c>
      <c r="M64" s="8">
        <v>21.4</v>
      </c>
      <c r="N64" s="8">
        <v>16.399999999999999</v>
      </c>
      <c r="O64" s="8">
        <v>9.9</v>
      </c>
      <c r="P64" s="8">
        <v>90.4</v>
      </c>
      <c r="Q64" s="15">
        <v>31650</v>
      </c>
      <c r="R64" s="8">
        <v>19.399999999999999</v>
      </c>
      <c r="S64" s="8">
        <v>18.600000000000001</v>
      </c>
      <c r="T64" s="8">
        <v>20.7</v>
      </c>
      <c r="U64" s="8">
        <v>17.2</v>
      </c>
      <c r="V64" s="8">
        <v>11.5</v>
      </c>
      <c r="W64" s="8">
        <v>87.4</v>
      </c>
      <c r="X64" s="15">
        <v>48134</v>
      </c>
      <c r="Z64" s="73"/>
      <c r="AA64" s="73"/>
      <c r="AB64" s="73"/>
      <c r="AC64" s="73"/>
      <c r="AD64" s="73"/>
      <c r="AE64" s="73"/>
      <c r="AF64" s="73"/>
      <c r="AG64" s="73"/>
      <c r="AH64" s="73"/>
      <c r="AI64" s="73"/>
      <c r="AJ64" s="73"/>
      <c r="AK64" s="73"/>
      <c r="AL64" s="73"/>
      <c r="AM64" s="73"/>
      <c r="AN64" s="73"/>
      <c r="AO64" s="73"/>
      <c r="AP64" s="73"/>
      <c r="AQ64" s="73"/>
      <c r="AR64" s="73"/>
      <c r="AS64" s="73"/>
      <c r="AT64" s="73"/>
      <c r="AU64" s="73"/>
      <c r="AW64" s="78"/>
      <c r="AX64" s="89"/>
      <c r="AY64" s="89"/>
      <c r="AZ64" s="89"/>
      <c r="BA64" s="89"/>
      <c r="BB64" s="89"/>
      <c r="BC64" s="89"/>
      <c r="BD64" s="89"/>
      <c r="BE64" s="89"/>
      <c r="BF64" s="89"/>
      <c r="BG64" s="89"/>
      <c r="BH64" s="89"/>
      <c r="BI64" s="89"/>
      <c r="BJ64" s="89"/>
      <c r="BK64" s="89"/>
      <c r="BL64" s="89"/>
      <c r="BM64" s="89"/>
      <c r="BN64" s="89"/>
      <c r="BO64" s="89"/>
      <c r="BP64" s="89"/>
      <c r="BQ64" s="89"/>
      <c r="BR64" s="89"/>
    </row>
    <row r="65" spans="3:70" ht="14.25" customHeight="1" x14ac:dyDescent="0.2">
      <c r="C65" s="2" t="s">
        <v>21</v>
      </c>
      <c r="D65" s="8">
        <v>10</v>
      </c>
      <c r="E65" s="8">
        <v>18.2</v>
      </c>
      <c r="F65" s="8">
        <v>26.4</v>
      </c>
      <c r="G65" s="8">
        <v>22.5</v>
      </c>
      <c r="H65" s="8">
        <v>14.2</v>
      </c>
      <c r="I65" s="8">
        <v>91.1</v>
      </c>
      <c r="J65" s="15">
        <v>4693</v>
      </c>
      <c r="K65" s="8">
        <v>13.5</v>
      </c>
      <c r="L65" s="8">
        <v>24.6</v>
      </c>
      <c r="M65" s="8">
        <v>28.5</v>
      </c>
      <c r="N65" s="8">
        <v>19.399999999999999</v>
      </c>
      <c r="O65" s="8">
        <v>9.5</v>
      </c>
      <c r="P65" s="8">
        <v>95.5</v>
      </c>
      <c r="Q65" s="15">
        <v>11314</v>
      </c>
      <c r="R65" s="8">
        <v>12.5</v>
      </c>
      <c r="S65" s="8">
        <v>22.7</v>
      </c>
      <c r="T65" s="8">
        <v>27.9</v>
      </c>
      <c r="U65" s="8">
        <v>20.3</v>
      </c>
      <c r="V65" s="8">
        <v>10.9</v>
      </c>
      <c r="W65" s="8">
        <v>94.2</v>
      </c>
      <c r="X65" s="15">
        <v>16007</v>
      </c>
      <c r="Z65" s="73"/>
      <c r="AA65" s="73"/>
      <c r="AB65" s="73"/>
      <c r="AC65" s="73"/>
      <c r="AD65" s="73"/>
      <c r="AE65" s="73"/>
      <c r="AF65" s="73"/>
      <c r="AG65" s="73"/>
      <c r="AH65" s="73"/>
      <c r="AI65" s="73"/>
      <c r="AJ65" s="73"/>
      <c r="AK65" s="73"/>
      <c r="AL65" s="73"/>
      <c r="AM65" s="73"/>
      <c r="AN65" s="73"/>
      <c r="AO65" s="73"/>
      <c r="AP65" s="73"/>
      <c r="AQ65" s="73"/>
      <c r="AR65" s="73"/>
      <c r="AS65" s="73"/>
      <c r="AT65" s="73"/>
      <c r="AU65" s="73"/>
      <c r="AW65" s="78"/>
      <c r="AX65" s="89"/>
      <c r="AY65" s="89"/>
      <c r="AZ65" s="89"/>
      <c r="BA65" s="89"/>
      <c r="BB65" s="89"/>
      <c r="BC65" s="89"/>
      <c r="BD65" s="89"/>
      <c r="BE65" s="89"/>
      <c r="BF65" s="89"/>
      <c r="BG65" s="89"/>
      <c r="BH65" s="89"/>
      <c r="BI65" s="89"/>
      <c r="BJ65" s="89"/>
      <c r="BK65" s="89"/>
      <c r="BL65" s="89"/>
      <c r="BM65" s="89"/>
      <c r="BN65" s="89"/>
      <c r="BO65" s="89"/>
      <c r="BP65" s="89"/>
      <c r="BQ65" s="89"/>
      <c r="BR65" s="89"/>
    </row>
    <row r="66" spans="3:70" ht="14.25" customHeight="1" x14ac:dyDescent="0.2">
      <c r="C66" s="2" t="s">
        <v>22</v>
      </c>
      <c r="D66" s="8">
        <v>13.3</v>
      </c>
      <c r="E66" s="8">
        <v>17</v>
      </c>
      <c r="F66" s="8">
        <v>23.1</v>
      </c>
      <c r="G66" s="8">
        <v>23.3</v>
      </c>
      <c r="H66" s="8">
        <v>15</v>
      </c>
      <c r="I66" s="8">
        <v>91.7</v>
      </c>
      <c r="J66" s="15">
        <v>25102</v>
      </c>
      <c r="K66" s="8">
        <v>13.9</v>
      </c>
      <c r="L66" s="8">
        <v>19</v>
      </c>
      <c r="M66" s="8">
        <v>25.1</v>
      </c>
      <c r="N66" s="8">
        <v>22.9</v>
      </c>
      <c r="O66" s="8">
        <v>13</v>
      </c>
      <c r="P66" s="8">
        <v>93.9</v>
      </c>
      <c r="Q66" s="15">
        <v>57363</v>
      </c>
      <c r="R66" s="8">
        <v>13.7</v>
      </c>
      <c r="S66" s="8">
        <v>18.399999999999999</v>
      </c>
      <c r="T66" s="8">
        <v>24.5</v>
      </c>
      <c r="U66" s="8">
        <v>23</v>
      </c>
      <c r="V66" s="8">
        <v>13.6</v>
      </c>
      <c r="W66" s="8">
        <v>93.3</v>
      </c>
      <c r="X66" s="15">
        <v>82465</v>
      </c>
      <c r="Z66" s="73"/>
      <c r="AA66" s="73"/>
      <c r="AB66" s="73"/>
      <c r="AC66" s="73"/>
      <c r="AD66" s="73"/>
      <c r="AE66" s="73"/>
      <c r="AF66" s="73"/>
      <c r="AG66" s="73"/>
      <c r="AH66" s="73"/>
      <c r="AI66" s="73"/>
      <c r="AJ66" s="73"/>
      <c r="AK66" s="73"/>
      <c r="AL66" s="73"/>
      <c r="AM66" s="73"/>
      <c r="AN66" s="73"/>
      <c r="AO66" s="73"/>
      <c r="AP66" s="73"/>
      <c r="AQ66" s="73"/>
      <c r="AR66" s="73"/>
      <c r="AS66" s="73"/>
      <c r="AT66" s="73"/>
      <c r="AU66" s="73"/>
      <c r="AW66" s="78"/>
      <c r="AX66" s="89"/>
      <c r="AY66" s="89"/>
      <c r="AZ66" s="89"/>
      <c r="BA66" s="89"/>
      <c r="BB66" s="89"/>
      <c r="BC66" s="89"/>
      <c r="BD66" s="89"/>
      <c r="BE66" s="89"/>
      <c r="BF66" s="89"/>
      <c r="BG66" s="89"/>
      <c r="BH66" s="89"/>
      <c r="BI66" s="89"/>
      <c r="BJ66" s="89"/>
      <c r="BK66" s="89"/>
      <c r="BL66" s="89"/>
      <c r="BM66" s="89"/>
      <c r="BN66" s="89"/>
      <c r="BO66" s="89"/>
      <c r="BP66" s="89"/>
      <c r="BQ66" s="89"/>
      <c r="BR66" s="89"/>
    </row>
    <row r="67" spans="3:70" ht="14.25" customHeight="1" x14ac:dyDescent="0.2">
      <c r="C67" s="2" t="s">
        <v>51</v>
      </c>
      <c r="D67" s="8">
        <v>9</v>
      </c>
      <c r="E67" s="8">
        <v>19.3</v>
      </c>
      <c r="F67" s="8">
        <v>27.2</v>
      </c>
      <c r="G67" s="8">
        <v>22.8</v>
      </c>
      <c r="H67" s="8">
        <v>13</v>
      </c>
      <c r="I67" s="8">
        <v>91.3</v>
      </c>
      <c r="J67" s="15">
        <v>11806</v>
      </c>
      <c r="K67" s="8">
        <v>13.4</v>
      </c>
      <c r="L67" s="8">
        <v>24</v>
      </c>
      <c r="M67" s="8">
        <v>27.3</v>
      </c>
      <c r="N67" s="8">
        <v>19.600000000000001</v>
      </c>
      <c r="O67" s="8">
        <v>9.6</v>
      </c>
      <c r="P67" s="8">
        <v>94</v>
      </c>
      <c r="Q67" s="15">
        <v>14959</v>
      </c>
      <c r="R67" s="8">
        <v>11.4</v>
      </c>
      <c r="S67" s="8">
        <v>21.9</v>
      </c>
      <c r="T67" s="8">
        <v>27.3</v>
      </c>
      <c r="U67" s="8">
        <v>21</v>
      </c>
      <c r="V67" s="8">
        <v>11.1</v>
      </c>
      <c r="W67" s="8">
        <v>92.8</v>
      </c>
      <c r="X67" s="15">
        <v>26765</v>
      </c>
      <c r="Z67" s="73"/>
      <c r="AA67" s="73"/>
      <c r="AB67" s="73"/>
      <c r="AC67" s="73"/>
      <c r="AD67" s="73"/>
      <c r="AE67" s="73"/>
      <c r="AF67" s="73"/>
      <c r="AG67" s="73"/>
      <c r="AH67" s="73"/>
      <c r="AI67" s="73"/>
      <c r="AJ67" s="73"/>
      <c r="AK67" s="73"/>
      <c r="AL67" s="73"/>
      <c r="AM67" s="73"/>
      <c r="AN67" s="73"/>
      <c r="AO67" s="73"/>
      <c r="AP67" s="73"/>
      <c r="AQ67" s="73"/>
      <c r="AR67" s="73"/>
      <c r="AS67" s="73"/>
      <c r="AT67" s="73"/>
      <c r="AU67" s="73"/>
      <c r="AW67" s="78"/>
      <c r="AX67" s="89"/>
      <c r="AY67" s="89"/>
      <c r="AZ67" s="89"/>
      <c r="BA67" s="89"/>
      <c r="BB67" s="89"/>
      <c r="BC67" s="89"/>
      <c r="BD67" s="89"/>
      <c r="BE67" s="89"/>
      <c r="BF67" s="89"/>
      <c r="BG67" s="89"/>
      <c r="BH67" s="89"/>
      <c r="BI67" s="89"/>
      <c r="BJ67" s="89"/>
      <c r="BK67" s="89"/>
      <c r="BL67" s="89"/>
      <c r="BM67" s="89"/>
      <c r="BN67" s="89"/>
      <c r="BO67" s="89"/>
      <c r="BP67" s="89"/>
      <c r="BQ67" s="89"/>
      <c r="BR67" s="89"/>
    </row>
    <row r="68" spans="3:70" ht="14.25" customHeight="1" x14ac:dyDescent="0.2">
      <c r="C68" s="2" t="s">
        <v>23</v>
      </c>
      <c r="D68" s="8">
        <v>10.7</v>
      </c>
      <c r="E68" s="8">
        <v>23.3</v>
      </c>
      <c r="F68" s="8">
        <v>28.9</v>
      </c>
      <c r="G68" s="8">
        <v>19.3</v>
      </c>
      <c r="H68" s="8">
        <v>9</v>
      </c>
      <c r="I68" s="8">
        <v>91.2</v>
      </c>
      <c r="J68" s="15">
        <v>5102</v>
      </c>
      <c r="K68" s="8">
        <v>13.1</v>
      </c>
      <c r="L68" s="8">
        <v>27</v>
      </c>
      <c r="M68" s="8">
        <v>29.1</v>
      </c>
      <c r="N68" s="8">
        <v>18.5</v>
      </c>
      <c r="O68" s="8">
        <v>6.7</v>
      </c>
      <c r="P68" s="8">
        <v>94.5</v>
      </c>
      <c r="Q68" s="15">
        <v>7856</v>
      </c>
      <c r="R68" s="8">
        <v>12.2</v>
      </c>
      <c r="S68" s="8">
        <v>25.5</v>
      </c>
      <c r="T68" s="8">
        <v>29.1</v>
      </c>
      <c r="U68" s="8">
        <v>18.8</v>
      </c>
      <c r="V68" s="8">
        <v>7.6</v>
      </c>
      <c r="W68" s="8">
        <v>93.2</v>
      </c>
      <c r="X68" s="15">
        <v>12958</v>
      </c>
      <c r="Z68" s="73"/>
      <c r="AA68" s="73"/>
      <c r="AB68" s="73"/>
      <c r="AC68" s="73"/>
      <c r="AD68" s="73"/>
      <c r="AE68" s="73"/>
      <c r="AF68" s="73"/>
      <c r="AG68" s="73"/>
      <c r="AH68" s="73"/>
      <c r="AI68" s="73"/>
      <c r="AJ68" s="73"/>
      <c r="AK68" s="73"/>
      <c r="AL68" s="73"/>
      <c r="AM68" s="73"/>
      <c r="AN68" s="73"/>
      <c r="AO68" s="73"/>
      <c r="AP68" s="73"/>
      <c r="AQ68" s="73"/>
      <c r="AR68" s="73"/>
      <c r="AS68" s="73"/>
      <c r="AT68" s="73"/>
      <c r="AU68" s="73"/>
      <c r="AW68" s="78"/>
      <c r="AX68" s="89"/>
      <c r="AY68" s="89"/>
      <c r="AZ68" s="89"/>
      <c r="BA68" s="89"/>
      <c r="BB68" s="89"/>
      <c r="BC68" s="89"/>
      <c r="BD68" s="89"/>
      <c r="BE68" s="89"/>
      <c r="BF68" s="89"/>
      <c r="BG68" s="89"/>
      <c r="BH68" s="89"/>
      <c r="BI68" s="89"/>
      <c r="BJ68" s="89"/>
      <c r="BK68" s="89"/>
      <c r="BL68" s="89"/>
      <c r="BM68" s="89"/>
      <c r="BN68" s="89"/>
      <c r="BO68" s="89"/>
      <c r="BP68" s="89"/>
      <c r="BQ68" s="89"/>
      <c r="BR68" s="89"/>
    </row>
    <row r="69" spans="3:70" ht="14.25" customHeight="1" x14ac:dyDescent="0.2">
      <c r="C69" s="2" t="s">
        <v>24</v>
      </c>
      <c r="D69" s="8">
        <v>22.4</v>
      </c>
      <c r="E69" s="8">
        <v>18.600000000000001</v>
      </c>
      <c r="F69" s="8">
        <v>19</v>
      </c>
      <c r="G69" s="8">
        <v>15.8</v>
      </c>
      <c r="H69" s="8">
        <v>12.6</v>
      </c>
      <c r="I69" s="8">
        <v>88.4</v>
      </c>
      <c r="J69" s="15">
        <v>5129</v>
      </c>
      <c r="K69" s="8">
        <v>21</v>
      </c>
      <c r="L69" s="8">
        <v>18</v>
      </c>
      <c r="M69" s="8">
        <v>19.100000000000001</v>
      </c>
      <c r="N69" s="8">
        <v>16.899999999999999</v>
      </c>
      <c r="O69" s="8">
        <v>13.4</v>
      </c>
      <c r="P69" s="8">
        <v>88.4</v>
      </c>
      <c r="Q69" s="15">
        <v>11806</v>
      </c>
      <c r="R69" s="8">
        <v>21.4</v>
      </c>
      <c r="S69" s="8">
        <v>18.2</v>
      </c>
      <c r="T69" s="8">
        <v>19</v>
      </c>
      <c r="U69" s="8">
        <v>16.600000000000001</v>
      </c>
      <c r="V69" s="8">
        <v>13.2</v>
      </c>
      <c r="W69" s="8">
        <v>88.4</v>
      </c>
      <c r="X69" s="15">
        <v>16935</v>
      </c>
      <c r="Z69" s="73"/>
      <c r="AA69" s="73"/>
      <c r="AB69" s="73"/>
      <c r="AC69" s="73"/>
      <c r="AD69" s="73"/>
      <c r="AE69" s="73"/>
      <c r="AF69" s="73"/>
      <c r="AG69" s="73"/>
      <c r="AH69" s="73"/>
      <c r="AI69" s="73"/>
      <c r="AJ69" s="73"/>
      <c r="AK69" s="73"/>
      <c r="AL69" s="73"/>
      <c r="AM69" s="73"/>
      <c r="AN69" s="73"/>
      <c r="AO69" s="73"/>
      <c r="AP69" s="73"/>
      <c r="AQ69" s="73"/>
      <c r="AR69" s="73"/>
      <c r="AS69" s="73"/>
      <c r="AT69" s="73"/>
      <c r="AU69" s="73"/>
      <c r="AW69" s="78"/>
      <c r="AX69" s="89"/>
      <c r="AY69" s="89"/>
      <c r="AZ69" s="89"/>
      <c r="BA69" s="89"/>
      <c r="BB69" s="89"/>
      <c r="BC69" s="89"/>
      <c r="BD69" s="89"/>
      <c r="BE69" s="89"/>
      <c r="BF69" s="89"/>
      <c r="BG69" s="89"/>
      <c r="BH69" s="89"/>
      <c r="BI69" s="89"/>
      <c r="BJ69" s="89"/>
      <c r="BK69" s="89"/>
      <c r="BL69" s="89"/>
      <c r="BM69" s="89"/>
      <c r="BN69" s="89"/>
      <c r="BO69" s="89"/>
      <c r="BP69" s="89"/>
      <c r="BQ69" s="89"/>
      <c r="BR69" s="89"/>
    </row>
    <row r="70" spans="3:70" ht="14.25" customHeight="1" x14ac:dyDescent="0.2">
      <c r="C70" s="2" t="s">
        <v>25</v>
      </c>
      <c r="D70" s="8">
        <v>20.399999999999999</v>
      </c>
      <c r="E70" s="8">
        <v>17.2</v>
      </c>
      <c r="F70" s="8">
        <v>20.2</v>
      </c>
      <c r="G70" s="8">
        <v>16.2</v>
      </c>
      <c r="H70" s="8">
        <v>14.6</v>
      </c>
      <c r="I70" s="8">
        <v>88.7</v>
      </c>
      <c r="J70" s="15">
        <v>2505</v>
      </c>
      <c r="K70" s="8">
        <v>20.2</v>
      </c>
      <c r="L70" s="8">
        <v>18.2</v>
      </c>
      <c r="M70" s="8">
        <v>20.6</v>
      </c>
      <c r="N70" s="8">
        <v>17.5</v>
      </c>
      <c r="O70" s="8">
        <v>12.8</v>
      </c>
      <c r="P70" s="8">
        <v>89.4</v>
      </c>
      <c r="Q70" s="15">
        <v>5045</v>
      </c>
      <c r="R70" s="8">
        <v>20.3</v>
      </c>
      <c r="S70" s="8">
        <v>17.899999999999999</v>
      </c>
      <c r="T70" s="8">
        <v>20.5</v>
      </c>
      <c r="U70" s="8">
        <v>17.100000000000001</v>
      </c>
      <c r="V70" s="8">
        <v>13.4</v>
      </c>
      <c r="W70" s="8">
        <v>89.2</v>
      </c>
      <c r="X70" s="15">
        <v>7550</v>
      </c>
      <c r="Z70" s="73"/>
      <c r="AA70" s="73"/>
      <c r="AB70" s="73"/>
      <c r="AC70" s="73"/>
      <c r="AD70" s="73"/>
      <c r="AE70" s="73"/>
      <c r="AF70" s="73"/>
      <c r="AG70" s="73"/>
      <c r="AH70" s="73"/>
      <c r="AI70" s="73"/>
      <c r="AJ70" s="73"/>
      <c r="AK70" s="73"/>
      <c r="AL70" s="73"/>
      <c r="AM70" s="73"/>
      <c r="AN70" s="73"/>
      <c r="AO70" s="73"/>
      <c r="AP70" s="73"/>
      <c r="AQ70" s="73"/>
      <c r="AR70" s="73"/>
      <c r="AS70" s="73"/>
      <c r="AT70" s="73"/>
      <c r="AU70" s="73"/>
      <c r="AW70" s="78"/>
      <c r="AX70" s="89"/>
      <c r="AY70" s="89"/>
      <c r="AZ70" s="89"/>
      <c r="BA70" s="89"/>
      <c r="BB70" s="89"/>
      <c r="BC70" s="89"/>
      <c r="BD70" s="89"/>
      <c r="BE70" s="89"/>
      <c r="BF70" s="89"/>
      <c r="BG70" s="89"/>
      <c r="BH70" s="89"/>
      <c r="BI70" s="89"/>
      <c r="BJ70" s="89"/>
      <c r="BK70" s="89"/>
      <c r="BL70" s="89"/>
      <c r="BM70" s="89"/>
      <c r="BN70" s="89"/>
      <c r="BO70" s="89"/>
      <c r="BP70" s="89"/>
      <c r="BQ70" s="89"/>
      <c r="BR70" s="89"/>
    </row>
    <row r="71" spans="3:70" ht="14.25" customHeight="1" x14ac:dyDescent="0.2">
      <c r="C71" s="2" t="s">
        <v>26</v>
      </c>
      <c r="D71" s="8">
        <v>22.7</v>
      </c>
      <c r="E71" s="8">
        <v>20.6</v>
      </c>
      <c r="F71" s="8">
        <v>18</v>
      </c>
      <c r="G71" s="8">
        <v>14.8</v>
      </c>
      <c r="H71" s="8">
        <v>12.3</v>
      </c>
      <c r="I71" s="8">
        <v>88.4</v>
      </c>
      <c r="J71" s="15">
        <v>1532</v>
      </c>
      <c r="K71" s="8">
        <v>18.600000000000001</v>
      </c>
      <c r="L71" s="8">
        <v>20</v>
      </c>
      <c r="M71" s="8">
        <v>18.899999999999999</v>
      </c>
      <c r="N71" s="8">
        <v>16.5</v>
      </c>
      <c r="O71" s="8">
        <v>13.4</v>
      </c>
      <c r="P71" s="8">
        <v>87.4</v>
      </c>
      <c r="Q71" s="15">
        <v>3972</v>
      </c>
      <c r="R71" s="8">
        <v>19.7</v>
      </c>
      <c r="S71" s="8">
        <v>20.100000000000001</v>
      </c>
      <c r="T71" s="8">
        <v>18.600000000000001</v>
      </c>
      <c r="U71" s="8">
        <v>16</v>
      </c>
      <c r="V71" s="8">
        <v>13.1</v>
      </c>
      <c r="W71" s="8">
        <v>87.7</v>
      </c>
      <c r="X71" s="15">
        <v>5504</v>
      </c>
      <c r="Z71" s="73"/>
      <c r="AA71" s="73"/>
      <c r="AB71" s="73"/>
      <c r="AC71" s="73"/>
      <c r="AD71" s="73"/>
      <c r="AE71" s="73"/>
      <c r="AF71" s="73"/>
      <c r="AG71" s="73"/>
      <c r="AH71" s="73"/>
      <c r="AI71" s="73"/>
      <c r="AJ71" s="73"/>
      <c r="AK71" s="73"/>
      <c r="AL71" s="73"/>
      <c r="AM71" s="73"/>
      <c r="AN71" s="73"/>
      <c r="AO71" s="73"/>
      <c r="AP71" s="73"/>
      <c r="AQ71" s="73"/>
      <c r="AR71" s="73"/>
      <c r="AS71" s="73"/>
      <c r="AT71" s="73"/>
      <c r="AU71" s="73"/>
      <c r="AW71" s="78"/>
      <c r="AX71" s="89"/>
      <c r="AY71" s="89"/>
      <c r="AZ71" s="89"/>
      <c r="BA71" s="89"/>
      <c r="BB71" s="89"/>
      <c r="BC71" s="89"/>
      <c r="BD71" s="89"/>
      <c r="BE71" s="89"/>
      <c r="BF71" s="89"/>
      <c r="BG71" s="89"/>
      <c r="BH71" s="89"/>
      <c r="BI71" s="89"/>
      <c r="BJ71" s="89"/>
      <c r="BK71" s="89"/>
      <c r="BL71" s="89"/>
      <c r="BM71" s="89"/>
      <c r="BN71" s="89"/>
      <c r="BO71" s="89"/>
      <c r="BP71" s="89"/>
      <c r="BQ71" s="89"/>
      <c r="BR71" s="89"/>
    </row>
    <row r="72" spans="3:70" ht="14.25" customHeight="1" x14ac:dyDescent="0.2">
      <c r="C72" s="2" t="s">
        <v>27</v>
      </c>
      <c r="D72" s="8">
        <v>43</v>
      </c>
      <c r="E72" s="8">
        <v>24.8</v>
      </c>
      <c r="F72" s="8">
        <v>10.199999999999999</v>
      </c>
      <c r="G72" s="8">
        <v>7.4</v>
      </c>
      <c r="H72" s="8">
        <v>5.2</v>
      </c>
      <c r="I72" s="8">
        <v>90.6</v>
      </c>
      <c r="J72" s="15">
        <v>1211</v>
      </c>
      <c r="K72" s="8">
        <v>41.7</v>
      </c>
      <c r="L72" s="8">
        <v>20.9</v>
      </c>
      <c r="M72" s="8">
        <v>14.7</v>
      </c>
      <c r="N72" s="8">
        <v>8.8000000000000007</v>
      </c>
      <c r="O72" s="8">
        <v>5.5</v>
      </c>
      <c r="P72" s="8">
        <v>91.5</v>
      </c>
      <c r="Q72" s="15">
        <v>1678</v>
      </c>
      <c r="R72" s="8">
        <v>42.3</v>
      </c>
      <c r="S72" s="8">
        <v>22.5</v>
      </c>
      <c r="T72" s="8">
        <v>12.8</v>
      </c>
      <c r="U72" s="8">
        <v>8.1999999999999993</v>
      </c>
      <c r="V72" s="8">
        <v>5.4</v>
      </c>
      <c r="W72" s="8">
        <v>91.1</v>
      </c>
      <c r="X72" s="15">
        <v>2889</v>
      </c>
      <c r="Z72" s="73"/>
      <c r="AA72" s="73"/>
      <c r="AB72" s="73"/>
      <c r="AC72" s="73"/>
      <c r="AD72" s="73"/>
      <c r="AE72" s="73"/>
      <c r="AF72" s="73"/>
      <c r="AG72" s="73"/>
      <c r="AH72" s="73"/>
      <c r="AI72" s="73"/>
      <c r="AJ72" s="73"/>
      <c r="AK72" s="73"/>
      <c r="AL72" s="73"/>
      <c r="AM72" s="73"/>
      <c r="AN72" s="73"/>
      <c r="AO72" s="73"/>
      <c r="AP72" s="73"/>
      <c r="AQ72" s="73"/>
      <c r="AR72" s="73"/>
      <c r="AS72" s="73"/>
      <c r="AT72" s="73"/>
      <c r="AU72" s="73"/>
      <c r="AW72" s="78"/>
      <c r="AX72" s="89"/>
      <c r="AY72" s="89"/>
      <c r="AZ72" s="89"/>
      <c r="BA72" s="89"/>
      <c r="BB72" s="89"/>
      <c r="BC72" s="89"/>
      <c r="BD72" s="89"/>
      <c r="BE72" s="89"/>
      <c r="BF72" s="89"/>
      <c r="BG72" s="89"/>
      <c r="BH72" s="89"/>
      <c r="BI72" s="89"/>
      <c r="BJ72" s="89"/>
      <c r="BK72" s="89"/>
      <c r="BL72" s="89"/>
      <c r="BM72" s="89"/>
      <c r="BN72" s="89"/>
      <c r="BO72" s="89"/>
      <c r="BP72" s="89"/>
      <c r="BQ72" s="89"/>
      <c r="BR72" s="89"/>
    </row>
    <row r="73" spans="3:70" ht="14.25" customHeight="1" x14ac:dyDescent="0.2">
      <c r="C73" s="2" t="s">
        <v>28</v>
      </c>
      <c r="D73" s="8">
        <v>26.5</v>
      </c>
      <c r="E73" s="8">
        <v>21.4</v>
      </c>
      <c r="F73" s="8">
        <v>19.3</v>
      </c>
      <c r="G73" s="8">
        <v>16.3</v>
      </c>
      <c r="H73" s="8">
        <v>10</v>
      </c>
      <c r="I73" s="8">
        <v>93.6</v>
      </c>
      <c r="J73" s="15">
        <v>2264</v>
      </c>
      <c r="K73" s="8">
        <v>31</v>
      </c>
      <c r="L73" s="8">
        <v>22.9</v>
      </c>
      <c r="M73" s="8">
        <v>19.399999999999999</v>
      </c>
      <c r="N73" s="8">
        <v>14.2</v>
      </c>
      <c r="O73" s="8">
        <v>7.3</v>
      </c>
      <c r="P73" s="8">
        <v>94.8</v>
      </c>
      <c r="Q73" s="15">
        <v>3204</v>
      </c>
      <c r="R73" s="8">
        <v>29.2</v>
      </c>
      <c r="S73" s="8">
        <v>22.3</v>
      </c>
      <c r="T73" s="8">
        <v>19.3</v>
      </c>
      <c r="U73" s="8">
        <v>15.1</v>
      </c>
      <c r="V73" s="8">
        <v>8.4</v>
      </c>
      <c r="W73" s="8">
        <v>94.3</v>
      </c>
      <c r="X73" s="15">
        <v>5468</v>
      </c>
      <c r="Z73" s="73"/>
      <c r="AA73" s="73"/>
      <c r="AB73" s="73"/>
      <c r="AC73" s="73"/>
      <c r="AD73" s="73"/>
      <c r="AE73" s="73"/>
      <c r="AF73" s="73"/>
      <c r="AG73" s="73"/>
      <c r="AH73" s="73"/>
      <c r="AI73" s="73"/>
      <c r="AJ73" s="73"/>
      <c r="AK73" s="73"/>
      <c r="AL73" s="73"/>
      <c r="AM73" s="73"/>
      <c r="AN73" s="73"/>
      <c r="AO73" s="73"/>
      <c r="AP73" s="73"/>
      <c r="AQ73" s="73"/>
      <c r="AR73" s="73"/>
      <c r="AS73" s="73"/>
      <c r="AT73" s="73"/>
      <c r="AU73" s="73"/>
      <c r="AW73" s="78"/>
      <c r="AX73" s="89"/>
      <c r="AY73" s="89"/>
      <c r="AZ73" s="89"/>
      <c r="BA73" s="89"/>
      <c r="BB73" s="89"/>
      <c r="BC73" s="89"/>
      <c r="BD73" s="89"/>
      <c r="BE73" s="89"/>
      <c r="BF73" s="89"/>
      <c r="BG73" s="89"/>
      <c r="BH73" s="89"/>
      <c r="BI73" s="89"/>
      <c r="BJ73" s="89"/>
      <c r="BK73" s="89"/>
      <c r="BL73" s="89"/>
      <c r="BM73" s="89"/>
      <c r="BN73" s="89"/>
      <c r="BO73" s="89"/>
      <c r="BP73" s="89"/>
      <c r="BQ73" s="89"/>
      <c r="BR73" s="89"/>
    </row>
    <row r="74" spans="3:70" ht="14.25" customHeight="1" x14ac:dyDescent="0.2">
      <c r="C74" s="2" t="s">
        <v>29</v>
      </c>
      <c r="D74" s="8">
        <v>17.8</v>
      </c>
      <c r="E74" s="8">
        <v>19.3</v>
      </c>
      <c r="F74" s="8">
        <v>21</v>
      </c>
      <c r="G74" s="8">
        <v>17.3</v>
      </c>
      <c r="H74" s="8">
        <v>12.2</v>
      </c>
      <c r="I74" s="8">
        <v>87.7</v>
      </c>
      <c r="J74" s="15">
        <v>4172</v>
      </c>
      <c r="K74" s="8">
        <v>19.899999999999999</v>
      </c>
      <c r="L74" s="8">
        <v>22.2</v>
      </c>
      <c r="M74" s="8">
        <v>23.1</v>
      </c>
      <c r="N74" s="8">
        <v>16.2</v>
      </c>
      <c r="O74" s="8">
        <v>10</v>
      </c>
      <c r="P74" s="8">
        <v>91.4</v>
      </c>
      <c r="Q74" s="15">
        <v>9629</v>
      </c>
      <c r="R74" s="8">
        <v>19.3</v>
      </c>
      <c r="S74" s="8">
        <v>21.3</v>
      </c>
      <c r="T74" s="8">
        <v>22.5</v>
      </c>
      <c r="U74" s="8">
        <v>16.5</v>
      </c>
      <c r="V74" s="8">
        <v>10.6</v>
      </c>
      <c r="W74" s="8">
        <v>90.3</v>
      </c>
      <c r="X74" s="15">
        <v>13801</v>
      </c>
      <c r="Z74" s="73"/>
      <c r="AA74" s="73"/>
      <c r="AB74" s="73"/>
      <c r="AC74" s="73"/>
      <c r="AD74" s="73"/>
      <c r="AE74" s="73"/>
      <c r="AF74" s="73"/>
      <c r="AG74" s="73"/>
      <c r="AH74" s="73"/>
      <c r="AI74" s="73"/>
      <c r="AJ74" s="73"/>
      <c r="AK74" s="73"/>
      <c r="AL74" s="73"/>
      <c r="AM74" s="73"/>
      <c r="AN74" s="73"/>
      <c r="AO74" s="73"/>
      <c r="AP74" s="73"/>
      <c r="AQ74" s="73"/>
      <c r="AR74" s="73"/>
      <c r="AS74" s="73"/>
      <c r="AT74" s="73"/>
      <c r="AU74" s="73"/>
      <c r="AW74" s="78"/>
      <c r="AX74" s="89"/>
      <c r="AY74" s="89"/>
      <c r="AZ74" s="89"/>
      <c r="BA74" s="89"/>
      <c r="BB74" s="89"/>
      <c r="BC74" s="89"/>
      <c r="BD74" s="89"/>
      <c r="BE74" s="89"/>
      <c r="BF74" s="89"/>
      <c r="BG74" s="89"/>
      <c r="BH74" s="89"/>
      <c r="BI74" s="89"/>
      <c r="BJ74" s="89"/>
      <c r="BK74" s="89"/>
      <c r="BL74" s="89"/>
      <c r="BM74" s="89"/>
      <c r="BN74" s="89"/>
      <c r="BO74" s="89"/>
      <c r="BP74" s="89"/>
      <c r="BQ74" s="89"/>
      <c r="BR74" s="89"/>
    </row>
    <row r="75" spans="3:70" ht="14.25" customHeight="1" x14ac:dyDescent="0.2">
      <c r="C75" s="2" t="s">
        <v>30</v>
      </c>
      <c r="D75" s="8">
        <v>14.2</v>
      </c>
      <c r="E75" s="8">
        <v>16.399999999999999</v>
      </c>
      <c r="F75" s="8">
        <v>21.1</v>
      </c>
      <c r="G75" s="8">
        <v>21.4</v>
      </c>
      <c r="H75" s="8">
        <v>14</v>
      </c>
      <c r="I75" s="8">
        <v>87.2</v>
      </c>
      <c r="J75" s="15">
        <v>5508</v>
      </c>
      <c r="K75" s="8">
        <v>20.5</v>
      </c>
      <c r="L75" s="8">
        <v>20.100000000000001</v>
      </c>
      <c r="M75" s="8">
        <v>22</v>
      </c>
      <c r="N75" s="8">
        <v>18.7</v>
      </c>
      <c r="O75" s="8">
        <v>10.9</v>
      </c>
      <c r="P75" s="8">
        <v>92.1</v>
      </c>
      <c r="Q75" s="15">
        <v>4664</v>
      </c>
      <c r="R75" s="8">
        <v>17.100000000000001</v>
      </c>
      <c r="S75" s="8">
        <v>18.100000000000001</v>
      </c>
      <c r="T75" s="8">
        <v>21.5</v>
      </c>
      <c r="U75" s="8">
        <v>20.2</v>
      </c>
      <c r="V75" s="8">
        <v>12.6</v>
      </c>
      <c r="W75" s="8">
        <v>89.4</v>
      </c>
      <c r="X75" s="15">
        <v>10172</v>
      </c>
      <c r="Z75" s="73"/>
      <c r="AA75" s="73"/>
      <c r="AB75" s="73"/>
      <c r="AC75" s="73"/>
      <c r="AD75" s="73"/>
      <c r="AE75" s="73"/>
      <c r="AF75" s="73"/>
      <c r="AG75" s="73"/>
      <c r="AH75" s="73"/>
      <c r="AI75" s="73"/>
      <c r="AJ75" s="73"/>
      <c r="AK75" s="73"/>
      <c r="AL75" s="73"/>
      <c r="AM75" s="73"/>
      <c r="AN75" s="73"/>
      <c r="AO75" s="73"/>
      <c r="AP75" s="73"/>
      <c r="AQ75" s="73"/>
      <c r="AR75" s="73"/>
      <c r="AS75" s="73"/>
      <c r="AT75" s="73"/>
      <c r="AU75" s="73"/>
      <c r="AW75" s="78"/>
      <c r="AX75" s="89"/>
      <c r="AY75" s="89"/>
      <c r="AZ75" s="89"/>
      <c r="BA75" s="89"/>
      <c r="BB75" s="89"/>
      <c r="BC75" s="89"/>
      <c r="BD75" s="89"/>
      <c r="BE75" s="89"/>
      <c r="BF75" s="89"/>
      <c r="BG75" s="89"/>
      <c r="BH75" s="89"/>
      <c r="BI75" s="89"/>
      <c r="BJ75" s="89"/>
      <c r="BK75" s="89"/>
      <c r="BL75" s="89"/>
      <c r="BM75" s="89"/>
      <c r="BN75" s="89"/>
      <c r="BO75" s="89"/>
      <c r="BP75" s="89"/>
      <c r="BQ75" s="89"/>
      <c r="BR75" s="89"/>
    </row>
    <row r="76" spans="3:70" ht="14.25" customHeight="1" x14ac:dyDescent="0.2">
      <c r="C76" s="2" t="s">
        <v>31</v>
      </c>
      <c r="D76" s="8">
        <v>6.8</v>
      </c>
      <c r="E76" s="8">
        <v>13.1</v>
      </c>
      <c r="F76" s="8">
        <v>20.399999999999999</v>
      </c>
      <c r="G76" s="8">
        <v>23.3</v>
      </c>
      <c r="H76" s="8">
        <v>20.7</v>
      </c>
      <c r="I76" s="8">
        <v>84.3</v>
      </c>
      <c r="J76" s="15">
        <v>14202</v>
      </c>
      <c r="K76" s="8">
        <v>17.100000000000001</v>
      </c>
      <c r="L76" s="8">
        <v>18.2</v>
      </c>
      <c r="M76" s="8">
        <v>20.2</v>
      </c>
      <c r="N76" s="8">
        <v>18.5</v>
      </c>
      <c r="O76" s="8">
        <v>14.5</v>
      </c>
      <c r="P76" s="8">
        <v>88.5</v>
      </c>
      <c r="Q76" s="15">
        <v>9917</v>
      </c>
      <c r="R76" s="8">
        <v>11.1</v>
      </c>
      <c r="S76" s="8">
        <v>15.2</v>
      </c>
      <c r="T76" s="8">
        <v>20.3</v>
      </c>
      <c r="U76" s="8">
        <v>21.3</v>
      </c>
      <c r="V76" s="8">
        <v>18.2</v>
      </c>
      <c r="W76" s="8">
        <v>86.1</v>
      </c>
      <c r="X76" s="15">
        <v>24119</v>
      </c>
      <c r="Z76" s="73"/>
      <c r="AA76" s="73"/>
      <c r="AB76" s="73"/>
      <c r="AC76" s="73"/>
      <c r="AD76" s="73"/>
      <c r="AE76" s="73"/>
      <c r="AF76" s="73"/>
      <c r="AG76" s="73"/>
      <c r="AH76" s="73"/>
      <c r="AI76" s="73"/>
      <c r="AJ76" s="73"/>
      <c r="AK76" s="73"/>
      <c r="AL76" s="73"/>
      <c r="AM76" s="73"/>
      <c r="AN76" s="73"/>
      <c r="AO76" s="73"/>
      <c r="AP76" s="73"/>
      <c r="AQ76" s="73"/>
      <c r="AR76" s="73"/>
      <c r="AS76" s="73"/>
      <c r="AT76" s="73"/>
      <c r="AU76" s="73"/>
      <c r="AW76" s="78"/>
      <c r="AX76" s="89"/>
      <c r="AY76" s="89"/>
      <c r="AZ76" s="89"/>
      <c r="BA76" s="89"/>
      <c r="BB76" s="89"/>
      <c r="BC76" s="89"/>
      <c r="BD76" s="89"/>
      <c r="BE76" s="89"/>
      <c r="BF76" s="89"/>
      <c r="BG76" s="89"/>
      <c r="BH76" s="89"/>
      <c r="BI76" s="89"/>
      <c r="BJ76" s="89"/>
      <c r="BK76" s="89"/>
      <c r="BL76" s="89"/>
      <c r="BM76" s="89"/>
      <c r="BN76" s="89"/>
      <c r="BO76" s="89"/>
      <c r="BP76" s="89"/>
      <c r="BQ76" s="89"/>
      <c r="BR76" s="89"/>
    </row>
    <row r="77" spans="3:70" ht="14.25" customHeight="1" x14ac:dyDescent="0.2">
      <c r="C77" s="2" t="s">
        <v>32</v>
      </c>
      <c r="D77" s="8">
        <v>9</v>
      </c>
      <c r="E77" s="8">
        <v>12.5</v>
      </c>
      <c r="F77" s="8">
        <v>16.899999999999999</v>
      </c>
      <c r="G77" s="8">
        <v>18.399999999999999</v>
      </c>
      <c r="H77" s="8">
        <v>18.3</v>
      </c>
      <c r="I77" s="8">
        <v>75</v>
      </c>
      <c r="J77" s="15">
        <v>44826</v>
      </c>
      <c r="K77" s="8">
        <v>10.4</v>
      </c>
      <c r="L77" s="8">
        <v>13.5</v>
      </c>
      <c r="M77" s="8">
        <v>18.2</v>
      </c>
      <c r="N77" s="8">
        <v>19</v>
      </c>
      <c r="O77" s="8">
        <v>17.8</v>
      </c>
      <c r="P77" s="8">
        <v>78.900000000000006</v>
      </c>
      <c r="Q77" s="15">
        <v>50020</v>
      </c>
      <c r="R77" s="8">
        <v>9.6999999999999993</v>
      </c>
      <c r="S77" s="8">
        <v>13</v>
      </c>
      <c r="T77" s="8">
        <v>17.600000000000001</v>
      </c>
      <c r="U77" s="8">
        <v>18.7</v>
      </c>
      <c r="V77" s="8">
        <v>18</v>
      </c>
      <c r="W77" s="8">
        <v>77.099999999999994</v>
      </c>
      <c r="X77" s="15">
        <v>94846</v>
      </c>
      <c r="Z77" s="73"/>
      <c r="AA77" s="73"/>
      <c r="AB77" s="73"/>
      <c r="AC77" s="73"/>
      <c r="AD77" s="73"/>
      <c r="AE77" s="73"/>
      <c r="AF77" s="73"/>
      <c r="AG77" s="73"/>
      <c r="AH77" s="73"/>
      <c r="AI77" s="73"/>
      <c r="AJ77" s="73"/>
      <c r="AK77" s="73"/>
      <c r="AL77" s="73"/>
      <c r="AM77" s="73"/>
      <c r="AN77" s="73"/>
      <c r="AO77" s="73"/>
      <c r="AP77" s="73"/>
      <c r="AQ77" s="73"/>
      <c r="AR77" s="73"/>
      <c r="AS77" s="73"/>
      <c r="AT77" s="73"/>
      <c r="AU77" s="73"/>
      <c r="AW77" s="78"/>
      <c r="AX77" s="89"/>
      <c r="AY77" s="89"/>
      <c r="AZ77" s="89"/>
      <c r="BA77" s="89"/>
      <c r="BB77" s="89"/>
      <c r="BC77" s="89"/>
      <c r="BD77" s="89"/>
      <c r="BE77" s="89"/>
      <c r="BF77" s="89"/>
      <c r="BG77" s="89"/>
      <c r="BH77" s="89"/>
      <c r="BI77" s="89"/>
      <c r="BJ77" s="89"/>
      <c r="BK77" s="89"/>
      <c r="BL77" s="89"/>
      <c r="BM77" s="89"/>
      <c r="BN77" s="89"/>
      <c r="BO77" s="89"/>
      <c r="BP77" s="89"/>
      <c r="BQ77" s="89"/>
      <c r="BR77" s="89"/>
    </row>
    <row r="78" spans="3:70" ht="14.25" customHeight="1" x14ac:dyDescent="0.2">
      <c r="C78" s="2" t="s">
        <v>46</v>
      </c>
      <c r="D78" s="8">
        <v>13.4</v>
      </c>
      <c r="E78" s="8">
        <v>15.1</v>
      </c>
      <c r="F78" s="8">
        <v>18.8</v>
      </c>
      <c r="G78" s="8">
        <v>18.7</v>
      </c>
      <c r="H78" s="8">
        <v>15.7</v>
      </c>
      <c r="I78" s="8">
        <v>81.599999999999994</v>
      </c>
      <c r="J78" s="15">
        <v>405772</v>
      </c>
      <c r="K78" s="8">
        <v>16.600000000000001</v>
      </c>
      <c r="L78" s="8">
        <v>18</v>
      </c>
      <c r="M78" s="8">
        <v>20.399999999999999</v>
      </c>
      <c r="N78" s="8">
        <v>18.100000000000001</v>
      </c>
      <c r="O78" s="8">
        <v>13.4</v>
      </c>
      <c r="P78" s="8">
        <v>86.6</v>
      </c>
      <c r="Q78" s="15">
        <v>474086</v>
      </c>
      <c r="R78" s="8">
        <v>15.1</v>
      </c>
      <c r="S78" s="8">
        <v>16.7</v>
      </c>
      <c r="T78" s="8">
        <v>19.7</v>
      </c>
      <c r="U78" s="8">
        <v>18.399999999999999</v>
      </c>
      <c r="V78" s="8">
        <v>14.5</v>
      </c>
      <c r="W78" s="8">
        <v>84.3</v>
      </c>
      <c r="X78" s="15">
        <v>879858</v>
      </c>
      <c r="Z78" s="73"/>
      <c r="AA78" s="73"/>
      <c r="AB78" s="73"/>
      <c r="AC78" s="73"/>
      <c r="AD78" s="73"/>
      <c r="AE78" s="73"/>
      <c r="AF78" s="73"/>
      <c r="AG78" s="73"/>
      <c r="AH78" s="73"/>
      <c r="AI78" s="73"/>
      <c r="AJ78" s="73"/>
      <c r="AK78" s="73"/>
      <c r="AL78" s="73"/>
      <c r="AM78" s="73"/>
      <c r="AN78" s="73"/>
      <c r="AO78" s="73"/>
      <c r="AP78" s="73"/>
      <c r="AQ78" s="73"/>
      <c r="AR78" s="73"/>
      <c r="AS78" s="73"/>
      <c r="AT78" s="73"/>
      <c r="AU78" s="73"/>
      <c r="AW78" s="78" t="s">
        <v>46</v>
      </c>
      <c r="AX78" s="89">
        <f t="shared" ref="AX78" si="0">D78-AA78</f>
        <v>13.4</v>
      </c>
      <c r="AY78" s="89">
        <f t="shared" ref="AY78" si="1">E78-AB78</f>
        <v>15.1</v>
      </c>
      <c r="AZ78" s="89">
        <f t="shared" ref="AZ78" si="2">F78-AC78</f>
        <v>18.8</v>
      </c>
      <c r="BA78" s="89">
        <f t="shared" ref="BA78" si="3">G78-AD78</f>
        <v>18.7</v>
      </c>
      <c r="BB78" s="89">
        <f t="shared" ref="BB78" si="4">H78-AE78</f>
        <v>15.7</v>
      </c>
      <c r="BC78" s="89">
        <f t="shared" ref="BC78" si="5">I78-AF78</f>
        <v>81.599999999999994</v>
      </c>
      <c r="BD78" s="89">
        <f t="shared" ref="BD78" si="6">J78-AG78</f>
        <v>405772</v>
      </c>
      <c r="BE78" s="89">
        <f t="shared" ref="BE78" si="7">K78-AH78</f>
        <v>16.600000000000001</v>
      </c>
      <c r="BF78" s="89">
        <f t="shared" ref="BF78" si="8">L78-AI78</f>
        <v>18</v>
      </c>
      <c r="BG78" s="89">
        <f t="shared" ref="BG78" si="9">M78-AJ78</f>
        <v>20.399999999999999</v>
      </c>
      <c r="BH78" s="89">
        <f t="shared" ref="BH78" si="10">N78-AK78</f>
        <v>18.100000000000001</v>
      </c>
      <c r="BI78" s="89">
        <f t="shared" ref="BI78" si="11">O78-AL78</f>
        <v>13.4</v>
      </c>
      <c r="BJ78" s="89">
        <f t="shared" ref="BJ78" si="12">P78-AM78</f>
        <v>86.6</v>
      </c>
      <c r="BK78" s="89">
        <f t="shared" ref="BK78" si="13">Q78-AN78</f>
        <v>474086</v>
      </c>
      <c r="BL78" s="89">
        <f t="shared" ref="BL78" si="14">R78-AO78</f>
        <v>15.1</v>
      </c>
      <c r="BM78" s="89">
        <f t="shared" ref="BM78" si="15">S78-AP78</f>
        <v>16.7</v>
      </c>
      <c r="BN78" s="89">
        <f t="shared" ref="BN78" si="16">T78-AQ78</f>
        <v>19.7</v>
      </c>
      <c r="BO78" s="89">
        <f t="shared" ref="BO78" si="17">U78-AR78</f>
        <v>18.399999999999999</v>
      </c>
      <c r="BP78" s="89">
        <f t="shared" ref="BP78" si="18">V78-AS78</f>
        <v>14.5</v>
      </c>
      <c r="BQ78" s="89">
        <f t="shared" ref="BQ78" si="19">W78-AT78</f>
        <v>84.3</v>
      </c>
      <c r="BR78" s="89">
        <f t="shared" ref="BR78" si="20">X78-AU78</f>
        <v>879858</v>
      </c>
    </row>
    <row r="79" spans="3:70" ht="14.25" customHeight="1" x14ac:dyDescent="0.2">
      <c r="AX79" s="89"/>
      <c r="AY79" s="89"/>
      <c r="AZ79" s="89"/>
      <c r="BA79" s="89"/>
      <c r="BB79" s="89"/>
      <c r="BC79" s="89"/>
      <c r="BD79" s="89"/>
      <c r="BE79" s="89"/>
      <c r="BF79" s="89"/>
      <c r="BG79" s="89"/>
      <c r="BH79" s="89"/>
      <c r="BI79" s="89"/>
      <c r="BJ79" s="89"/>
      <c r="BK79" s="89"/>
      <c r="BL79" s="89"/>
      <c r="BM79" s="89"/>
      <c r="BN79" s="89"/>
      <c r="BO79" s="89"/>
      <c r="BP79" s="89"/>
      <c r="BQ79" s="89"/>
      <c r="BR79" s="89"/>
    </row>
    <row r="80" spans="3:70" ht="14.25" customHeight="1" x14ac:dyDescent="0.2">
      <c r="D80" s="8">
        <f>ROUND(D44,1)</f>
        <v>13.6</v>
      </c>
      <c r="E80" s="8">
        <f t="shared" ref="E80:W80" si="21">ROUND(E44,1)</f>
        <v>13.8</v>
      </c>
      <c r="F80" s="8">
        <f t="shared" si="21"/>
        <v>15.7</v>
      </c>
      <c r="G80" s="8">
        <f t="shared" si="21"/>
        <v>17</v>
      </c>
      <c r="H80" s="8">
        <f t="shared" si="21"/>
        <v>17.2</v>
      </c>
      <c r="I80" s="8">
        <f t="shared" si="21"/>
        <v>77.3</v>
      </c>
      <c r="J80" s="15">
        <f>ROUND(J44,0)</f>
        <v>22021</v>
      </c>
      <c r="K80" s="8">
        <f t="shared" si="21"/>
        <v>16.600000000000001</v>
      </c>
      <c r="L80" s="8">
        <f t="shared" si="21"/>
        <v>15.5</v>
      </c>
      <c r="M80" s="8">
        <f t="shared" si="21"/>
        <v>16.5</v>
      </c>
      <c r="N80" s="8">
        <f t="shared" si="21"/>
        <v>16.600000000000001</v>
      </c>
      <c r="O80" s="8">
        <f t="shared" si="21"/>
        <v>15.9</v>
      </c>
      <c r="P80" s="8">
        <f t="shared" si="21"/>
        <v>81</v>
      </c>
      <c r="Q80" s="15">
        <f>ROUND(Q44,0)</f>
        <v>33414</v>
      </c>
      <c r="R80" s="8">
        <f t="shared" si="21"/>
        <v>15.4</v>
      </c>
      <c r="S80" s="8">
        <f t="shared" si="21"/>
        <v>14.8</v>
      </c>
      <c r="T80" s="8">
        <f t="shared" si="21"/>
        <v>16.2</v>
      </c>
      <c r="U80" s="8">
        <f t="shared" si="21"/>
        <v>16.7</v>
      </c>
      <c r="V80" s="8">
        <f t="shared" si="21"/>
        <v>16.399999999999999</v>
      </c>
      <c r="W80" s="8">
        <f t="shared" si="21"/>
        <v>79.5</v>
      </c>
      <c r="X80" s="15">
        <f>ROUND(X44,0)</f>
        <v>55435</v>
      </c>
      <c r="AX80" s="89"/>
      <c r="AY80" s="89"/>
      <c r="AZ80" s="89"/>
      <c r="BA80" s="89"/>
      <c r="BB80" s="89"/>
      <c r="BC80" s="89"/>
      <c r="BD80" s="89"/>
      <c r="BE80" s="89"/>
      <c r="BF80" s="89"/>
      <c r="BG80" s="89"/>
      <c r="BH80" s="89"/>
      <c r="BI80" s="89"/>
      <c r="BJ80" s="89"/>
      <c r="BK80" s="89"/>
      <c r="BL80" s="89"/>
      <c r="BM80" s="89"/>
      <c r="BN80" s="89"/>
      <c r="BO80" s="89"/>
      <c r="BP80" s="89"/>
      <c r="BQ80" s="89"/>
      <c r="BR80" s="89"/>
    </row>
    <row r="81" spans="4:70" ht="14.25" customHeight="1" x14ac:dyDescent="0.2">
      <c r="D81" s="8">
        <f t="shared" ref="D81:I81" si="22">ROUND(D45,1)</f>
        <v>18.399999999999999</v>
      </c>
      <c r="E81" s="8">
        <f t="shared" si="22"/>
        <v>16.3</v>
      </c>
      <c r="F81" s="8">
        <f t="shared" si="22"/>
        <v>16.899999999999999</v>
      </c>
      <c r="G81" s="8">
        <f t="shared" si="22"/>
        <v>16.600000000000001</v>
      </c>
      <c r="H81" s="8">
        <f t="shared" si="22"/>
        <v>14.3</v>
      </c>
      <c r="I81" s="8">
        <f t="shared" si="22"/>
        <v>82.6</v>
      </c>
      <c r="J81" s="15">
        <f t="shared" ref="J81:J114" si="23">ROUND(J45,0)</f>
        <v>18826</v>
      </c>
      <c r="K81" s="8">
        <f t="shared" ref="K81:P81" si="24">ROUND(K45,1)</f>
        <v>20.399999999999999</v>
      </c>
      <c r="L81" s="8">
        <f t="shared" si="24"/>
        <v>18</v>
      </c>
      <c r="M81" s="8">
        <f t="shared" si="24"/>
        <v>17.5</v>
      </c>
      <c r="N81" s="8">
        <f t="shared" si="24"/>
        <v>16.3</v>
      </c>
      <c r="O81" s="8">
        <f t="shared" si="24"/>
        <v>13.2</v>
      </c>
      <c r="P81" s="8">
        <f t="shared" si="24"/>
        <v>85.5</v>
      </c>
      <c r="Q81" s="15">
        <f t="shared" ref="Q81:Q114" si="25">ROUND(Q45,0)</f>
        <v>19086</v>
      </c>
      <c r="R81" s="8">
        <f t="shared" ref="R81:W81" si="26">ROUND(R45,1)</f>
        <v>19.399999999999999</v>
      </c>
      <c r="S81" s="8">
        <f t="shared" si="26"/>
        <v>17.2</v>
      </c>
      <c r="T81" s="8">
        <f t="shared" si="26"/>
        <v>17.2</v>
      </c>
      <c r="U81" s="8">
        <f t="shared" si="26"/>
        <v>16.5</v>
      </c>
      <c r="V81" s="8">
        <f t="shared" si="26"/>
        <v>13.8</v>
      </c>
      <c r="W81" s="8">
        <f t="shared" si="26"/>
        <v>84.1</v>
      </c>
      <c r="X81" s="15">
        <f t="shared" ref="X81:X114" si="27">ROUND(X45,0)</f>
        <v>37912</v>
      </c>
      <c r="AX81" s="89"/>
      <c r="AY81" s="89"/>
      <c r="AZ81" s="89"/>
      <c r="BA81" s="89"/>
      <c r="BB81" s="89"/>
      <c r="BC81" s="89"/>
      <c r="BD81" s="89"/>
      <c r="BE81" s="89"/>
      <c r="BF81" s="89"/>
      <c r="BG81" s="89"/>
      <c r="BH81" s="89"/>
      <c r="BI81" s="89"/>
      <c r="BJ81" s="89"/>
      <c r="BK81" s="89"/>
      <c r="BL81" s="89"/>
      <c r="BM81" s="89"/>
      <c r="BN81" s="89"/>
      <c r="BO81" s="89"/>
      <c r="BP81" s="89"/>
      <c r="BQ81" s="89"/>
      <c r="BR81" s="89"/>
    </row>
    <row r="82" spans="4:70" ht="14.25" customHeight="1" x14ac:dyDescent="0.2">
      <c r="D82" s="8">
        <f t="shared" ref="D82:I82" si="28">ROUND(D46,1)</f>
        <v>18.600000000000001</v>
      </c>
      <c r="E82" s="8">
        <f t="shared" si="28"/>
        <v>15.5</v>
      </c>
      <c r="F82" s="8">
        <f t="shared" si="28"/>
        <v>16.2</v>
      </c>
      <c r="G82" s="8">
        <f t="shared" si="28"/>
        <v>15.4</v>
      </c>
      <c r="H82" s="8">
        <f t="shared" si="28"/>
        <v>14.7</v>
      </c>
      <c r="I82" s="8">
        <f t="shared" si="28"/>
        <v>80.400000000000006</v>
      </c>
      <c r="J82" s="15">
        <f t="shared" si="23"/>
        <v>23107</v>
      </c>
      <c r="K82" s="8">
        <f t="shared" ref="K82:P82" si="29">ROUND(K46,1)</f>
        <v>25.1</v>
      </c>
      <c r="L82" s="8">
        <f t="shared" si="29"/>
        <v>18.399999999999999</v>
      </c>
      <c r="M82" s="8">
        <f t="shared" si="29"/>
        <v>17.5</v>
      </c>
      <c r="N82" s="8">
        <f t="shared" si="29"/>
        <v>14.6</v>
      </c>
      <c r="O82" s="8">
        <f t="shared" si="29"/>
        <v>12.3</v>
      </c>
      <c r="P82" s="8">
        <f t="shared" si="29"/>
        <v>87.9</v>
      </c>
      <c r="Q82" s="15">
        <f t="shared" si="25"/>
        <v>7291</v>
      </c>
      <c r="R82" s="8">
        <f t="shared" ref="R82:W82" si="30">ROUND(R46,1)</f>
        <v>20.100000000000001</v>
      </c>
      <c r="S82" s="8">
        <f t="shared" si="30"/>
        <v>16.2</v>
      </c>
      <c r="T82" s="8">
        <f t="shared" si="30"/>
        <v>16.5</v>
      </c>
      <c r="U82" s="8">
        <f t="shared" si="30"/>
        <v>15.3</v>
      </c>
      <c r="V82" s="8">
        <f t="shared" si="30"/>
        <v>14.1</v>
      </c>
      <c r="W82" s="8">
        <f t="shared" si="30"/>
        <v>82.2</v>
      </c>
      <c r="X82" s="15">
        <f t="shared" si="27"/>
        <v>30398</v>
      </c>
      <c r="AX82" s="89"/>
      <c r="AY82" s="89"/>
      <c r="AZ82" s="89"/>
      <c r="BA82" s="89"/>
      <c r="BB82" s="89"/>
      <c r="BC82" s="89"/>
      <c r="BD82" s="89"/>
      <c r="BE82" s="89"/>
      <c r="BF82" s="89"/>
      <c r="BG82" s="89"/>
      <c r="BH82" s="89"/>
      <c r="BI82" s="89"/>
      <c r="BJ82" s="89"/>
      <c r="BK82" s="89"/>
      <c r="BL82" s="89"/>
      <c r="BM82" s="89"/>
      <c r="BN82" s="89"/>
      <c r="BO82" s="89"/>
      <c r="BP82" s="89"/>
      <c r="BQ82" s="89"/>
      <c r="BR82" s="89"/>
    </row>
    <row r="83" spans="4:70" ht="14.25" customHeight="1" x14ac:dyDescent="0.2">
      <c r="D83" s="8">
        <f t="shared" ref="D83:I83" si="31">ROUND(D47,1)</f>
        <v>14.7</v>
      </c>
      <c r="E83" s="8">
        <f t="shared" si="31"/>
        <v>14.7</v>
      </c>
      <c r="F83" s="8">
        <f t="shared" si="31"/>
        <v>18.8</v>
      </c>
      <c r="G83" s="8">
        <f t="shared" si="31"/>
        <v>18.899999999999999</v>
      </c>
      <c r="H83" s="8">
        <f t="shared" si="31"/>
        <v>15.5</v>
      </c>
      <c r="I83" s="8">
        <f t="shared" si="31"/>
        <v>82.6</v>
      </c>
      <c r="J83" s="15">
        <f t="shared" si="23"/>
        <v>5145</v>
      </c>
      <c r="K83" s="8">
        <f t="shared" ref="K83:P83" si="32">ROUND(K47,1)</f>
        <v>11.9</v>
      </c>
      <c r="L83" s="8">
        <f t="shared" si="32"/>
        <v>16.5</v>
      </c>
      <c r="M83" s="8">
        <f t="shared" si="32"/>
        <v>20.5</v>
      </c>
      <c r="N83" s="8">
        <f t="shared" si="32"/>
        <v>18.7</v>
      </c>
      <c r="O83" s="8">
        <f t="shared" si="32"/>
        <v>14.1</v>
      </c>
      <c r="P83" s="8">
        <f t="shared" si="32"/>
        <v>81.8</v>
      </c>
      <c r="Q83" s="15">
        <f t="shared" si="25"/>
        <v>2335</v>
      </c>
      <c r="R83" s="8">
        <f t="shared" ref="R83:W83" si="33">ROUND(R47,1)</f>
        <v>13.9</v>
      </c>
      <c r="S83" s="8">
        <f t="shared" si="33"/>
        <v>15.3</v>
      </c>
      <c r="T83" s="8">
        <f t="shared" si="33"/>
        <v>19.399999999999999</v>
      </c>
      <c r="U83" s="8">
        <f t="shared" si="33"/>
        <v>18.8</v>
      </c>
      <c r="V83" s="8">
        <f t="shared" si="33"/>
        <v>15.1</v>
      </c>
      <c r="W83" s="8">
        <f t="shared" si="33"/>
        <v>82.3</v>
      </c>
      <c r="X83" s="15">
        <f t="shared" si="27"/>
        <v>7480</v>
      </c>
      <c r="AX83" s="89"/>
      <c r="AY83" s="89"/>
      <c r="AZ83" s="89"/>
      <c r="BA83" s="89"/>
      <c r="BB83" s="89"/>
      <c r="BC83" s="89"/>
      <c r="BD83" s="89"/>
      <c r="BE83" s="89"/>
      <c r="BF83" s="89"/>
      <c r="BG83" s="89"/>
      <c r="BH83" s="89"/>
      <c r="BI83" s="89"/>
      <c r="BJ83" s="89"/>
      <c r="BK83" s="89"/>
      <c r="BL83" s="89"/>
      <c r="BM83" s="89"/>
      <c r="BN83" s="89"/>
      <c r="BO83" s="89"/>
      <c r="BP83" s="89"/>
      <c r="BQ83" s="89"/>
      <c r="BR83" s="89"/>
    </row>
    <row r="84" spans="4:70" ht="14.25" customHeight="1" x14ac:dyDescent="0.2">
      <c r="D84" s="8">
        <f t="shared" ref="D84:I84" si="34">ROUND(D48,1)</f>
        <v>20</v>
      </c>
      <c r="E84" s="8">
        <f t="shared" si="34"/>
        <v>13.1</v>
      </c>
      <c r="F84" s="8">
        <f t="shared" si="34"/>
        <v>13.8</v>
      </c>
      <c r="G84" s="8">
        <f t="shared" si="34"/>
        <v>13.2</v>
      </c>
      <c r="H84" s="8">
        <f t="shared" si="34"/>
        <v>13.5</v>
      </c>
      <c r="I84" s="8">
        <f t="shared" si="34"/>
        <v>73.599999999999994</v>
      </c>
      <c r="J84" s="15">
        <f t="shared" si="23"/>
        <v>34199</v>
      </c>
      <c r="K84" s="8">
        <f t="shared" ref="K84:P84" si="35">ROUND(K48,1)</f>
        <v>22.3</v>
      </c>
      <c r="L84" s="8">
        <f t="shared" si="35"/>
        <v>15.7</v>
      </c>
      <c r="M84" s="8">
        <f t="shared" si="35"/>
        <v>15.7</v>
      </c>
      <c r="N84" s="8">
        <f t="shared" si="35"/>
        <v>14</v>
      </c>
      <c r="O84" s="8">
        <f t="shared" si="35"/>
        <v>12.2</v>
      </c>
      <c r="P84" s="8">
        <f t="shared" si="35"/>
        <v>79.900000000000006</v>
      </c>
      <c r="Q84" s="15">
        <f t="shared" si="25"/>
        <v>22800</v>
      </c>
      <c r="R84" s="8">
        <f t="shared" ref="R84:W84" si="36">ROUND(R48,1)</f>
        <v>20.9</v>
      </c>
      <c r="S84" s="8">
        <f t="shared" si="36"/>
        <v>14.1</v>
      </c>
      <c r="T84" s="8">
        <f t="shared" si="36"/>
        <v>14.6</v>
      </c>
      <c r="U84" s="8">
        <f t="shared" si="36"/>
        <v>13.5</v>
      </c>
      <c r="V84" s="8">
        <f t="shared" si="36"/>
        <v>13</v>
      </c>
      <c r="W84" s="8">
        <f t="shared" si="36"/>
        <v>76.099999999999994</v>
      </c>
      <c r="X84" s="15">
        <f t="shared" si="27"/>
        <v>56999</v>
      </c>
      <c r="AX84" s="89"/>
      <c r="AY84" s="89"/>
      <c r="AZ84" s="89"/>
      <c r="BA84" s="89"/>
      <c r="BB84" s="89"/>
      <c r="BC84" s="89"/>
      <c r="BD84" s="89"/>
      <c r="BE84" s="89"/>
      <c r="BF84" s="89"/>
      <c r="BG84" s="89"/>
      <c r="BH84" s="89"/>
      <c r="BI84" s="89"/>
      <c r="BJ84" s="89"/>
      <c r="BK84" s="89"/>
      <c r="BL84" s="89"/>
      <c r="BM84" s="89"/>
      <c r="BN84" s="89"/>
      <c r="BO84" s="89"/>
      <c r="BP84" s="89"/>
      <c r="BQ84" s="89"/>
      <c r="BR84" s="89"/>
    </row>
    <row r="85" spans="4:70" ht="14.25" customHeight="1" x14ac:dyDescent="0.2">
      <c r="D85" s="8">
        <f t="shared" ref="D85:I85" si="37">ROUND(D49,1)</f>
        <v>35.4</v>
      </c>
      <c r="E85" s="8">
        <f t="shared" si="37"/>
        <v>19.3</v>
      </c>
      <c r="F85" s="8">
        <f t="shared" si="37"/>
        <v>17.2</v>
      </c>
      <c r="G85" s="8">
        <f t="shared" si="37"/>
        <v>13.4</v>
      </c>
      <c r="H85" s="8">
        <f t="shared" si="37"/>
        <v>7.2</v>
      </c>
      <c r="I85" s="8">
        <f t="shared" si="37"/>
        <v>92.5</v>
      </c>
      <c r="J85" s="15">
        <f t="shared" si="23"/>
        <v>1485</v>
      </c>
      <c r="K85" s="8">
        <f t="shared" ref="K85:P85" si="38">ROUND(K49,1)</f>
        <v>48.4</v>
      </c>
      <c r="L85" s="8">
        <f t="shared" si="38"/>
        <v>19.8</v>
      </c>
      <c r="M85" s="8">
        <f t="shared" si="38"/>
        <v>13.4</v>
      </c>
      <c r="N85" s="8">
        <f t="shared" si="38"/>
        <v>8.3000000000000007</v>
      </c>
      <c r="O85" s="8">
        <f t="shared" si="38"/>
        <v>4.4000000000000004</v>
      </c>
      <c r="P85" s="8">
        <f t="shared" si="38"/>
        <v>94.3</v>
      </c>
      <c r="Q85" s="15">
        <f t="shared" si="25"/>
        <v>769</v>
      </c>
      <c r="R85" s="8">
        <f t="shared" ref="R85:W85" si="39">ROUND(R49,1)</f>
        <v>39.799999999999997</v>
      </c>
      <c r="S85" s="8">
        <f t="shared" si="39"/>
        <v>19.5</v>
      </c>
      <c r="T85" s="8">
        <f t="shared" si="39"/>
        <v>15.9</v>
      </c>
      <c r="U85" s="8">
        <f t="shared" si="39"/>
        <v>11.7</v>
      </c>
      <c r="V85" s="8">
        <f t="shared" si="39"/>
        <v>6.3</v>
      </c>
      <c r="W85" s="8">
        <f t="shared" si="39"/>
        <v>93.1</v>
      </c>
      <c r="X85" s="15">
        <f t="shared" si="27"/>
        <v>2254</v>
      </c>
      <c r="AX85" s="89"/>
      <c r="AY85" s="89"/>
      <c r="AZ85" s="89"/>
      <c r="BA85" s="89"/>
      <c r="BB85" s="89"/>
      <c r="BC85" s="89"/>
      <c r="BD85" s="89"/>
      <c r="BE85" s="89"/>
      <c r="BF85" s="89"/>
      <c r="BG85" s="89"/>
      <c r="BH85" s="89"/>
      <c r="BI85" s="89"/>
      <c r="BJ85" s="89"/>
      <c r="BK85" s="89"/>
      <c r="BL85" s="89"/>
      <c r="BM85" s="89"/>
      <c r="BN85" s="89"/>
      <c r="BO85" s="89"/>
      <c r="BP85" s="89"/>
      <c r="BQ85" s="89"/>
      <c r="BR85" s="89"/>
    </row>
    <row r="86" spans="4:70" ht="14.25" customHeight="1" x14ac:dyDescent="0.2">
      <c r="D86" s="8">
        <f t="shared" ref="D86:I86" si="40">ROUND(D50,1)</f>
        <v>10.1</v>
      </c>
      <c r="E86" s="8">
        <f t="shared" si="40"/>
        <v>15.3</v>
      </c>
      <c r="F86" s="8">
        <f t="shared" si="40"/>
        <v>20.6</v>
      </c>
      <c r="G86" s="8">
        <f t="shared" si="40"/>
        <v>20.6</v>
      </c>
      <c r="H86" s="8">
        <f t="shared" si="40"/>
        <v>16.899999999999999</v>
      </c>
      <c r="I86" s="8">
        <f t="shared" si="40"/>
        <v>83.5</v>
      </c>
      <c r="J86" s="15">
        <f t="shared" si="23"/>
        <v>11770</v>
      </c>
      <c r="K86" s="8">
        <f t="shared" ref="K86:P86" si="41">ROUND(K50,1)</f>
        <v>16.2</v>
      </c>
      <c r="L86" s="8">
        <f t="shared" si="41"/>
        <v>19.5</v>
      </c>
      <c r="M86" s="8">
        <f t="shared" si="41"/>
        <v>22.3</v>
      </c>
      <c r="N86" s="8">
        <f t="shared" si="41"/>
        <v>19.5</v>
      </c>
      <c r="O86" s="8">
        <f t="shared" si="41"/>
        <v>12.7</v>
      </c>
      <c r="P86" s="8">
        <f t="shared" si="41"/>
        <v>90.2</v>
      </c>
      <c r="Q86" s="15">
        <f t="shared" si="25"/>
        <v>7200</v>
      </c>
      <c r="R86" s="8">
        <f t="shared" ref="R86:W86" si="42">ROUND(R50,1)</f>
        <v>12.4</v>
      </c>
      <c r="S86" s="8">
        <f t="shared" si="42"/>
        <v>16.899999999999999</v>
      </c>
      <c r="T86" s="8">
        <f t="shared" si="42"/>
        <v>21.2</v>
      </c>
      <c r="U86" s="8">
        <f t="shared" si="42"/>
        <v>20.2</v>
      </c>
      <c r="V86" s="8">
        <f t="shared" si="42"/>
        <v>15.3</v>
      </c>
      <c r="W86" s="8">
        <f t="shared" si="42"/>
        <v>86</v>
      </c>
      <c r="X86" s="15">
        <f t="shared" si="27"/>
        <v>18970</v>
      </c>
      <c r="AX86" s="89"/>
      <c r="AY86" s="89"/>
      <c r="AZ86" s="89"/>
      <c r="BA86" s="89"/>
      <c r="BB86" s="89"/>
      <c r="BC86" s="89"/>
      <c r="BD86" s="89"/>
      <c r="BE86" s="89"/>
      <c r="BF86" s="89"/>
      <c r="BG86" s="89"/>
      <c r="BH86" s="89"/>
      <c r="BI86" s="89"/>
      <c r="BJ86" s="89"/>
      <c r="BK86" s="89"/>
      <c r="BL86" s="89"/>
      <c r="BM86" s="89"/>
      <c r="BN86" s="89"/>
      <c r="BO86" s="89"/>
      <c r="BP86" s="89"/>
      <c r="BQ86" s="89"/>
      <c r="BR86" s="89"/>
    </row>
    <row r="87" spans="4:70" ht="14.25" customHeight="1" x14ac:dyDescent="0.2">
      <c r="D87" s="8">
        <f t="shared" ref="D87:I87" si="43">ROUND(D51,1)</f>
        <v>11</v>
      </c>
      <c r="E87" s="8">
        <f t="shared" si="43"/>
        <v>13</v>
      </c>
      <c r="F87" s="8">
        <f t="shared" si="43"/>
        <v>16.5</v>
      </c>
      <c r="G87" s="8">
        <f t="shared" si="43"/>
        <v>18.600000000000001</v>
      </c>
      <c r="H87" s="8">
        <f t="shared" si="43"/>
        <v>17</v>
      </c>
      <c r="I87" s="8">
        <f t="shared" si="43"/>
        <v>76.099999999999994</v>
      </c>
      <c r="J87" s="15">
        <f t="shared" si="23"/>
        <v>10268</v>
      </c>
      <c r="K87" s="8">
        <f t="shared" ref="K87:P87" si="44">ROUND(K51,1)</f>
        <v>10.9</v>
      </c>
      <c r="L87" s="8">
        <f t="shared" si="44"/>
        <v>11.6</v>
      </c>
      <c r="M87" s="8">
        <f t="shared" si="44"/>
        <v>15.5</v>
      </c>
      <c r="N87" s="8">
        <f t="shared" si="44"/>
        <v>16.8</v>
      </c>
      <c r="O87" s="8">
        <f t="shared" si="44"/>
        <v>19.5</v>
      </c>
      <c r="P87" s="8">
        <f t="shared" si="44"/>
        <v>74.2</v>
      </c>
      <c r="Q87" s="15">
        <f t="shared" si="25"/>
        <v>1402</v>
      </c>
      <c r="R87" s="8">
        <f t="shared" ref="R87:W87" si="45">ROUND(R51,1)</f>
        <v>11</v>
      </c>
      <c r="S87" s="8">
        <f t="shared" si="45"/>
        <v>12.8</v>
      </c>
      <c r="T87" s="8">
        <f t="shared" si="45"/>
        <v>16.3</v>
      </c>
      <c r="U87" s="8">
        <f t="shared" si="45"/>
        <v>18.399999999999999</v>
      </c>
      <c r="V87" s="8">
        <f t="shared" si="45"/>
        <v>17.3</v>
      </c>
      <c r="W87" s="8">
        <f t="shared" si="45"/>
        <v>75.8</v>
      </c>
      <c r="X87" s="15">
        <f t="shared" si="27"/>
        <v>11670</v>
      </c>
      <c r="AX87" s="89"/>
      <c r="AY87" s="89"/>
      <c r="AZ87" s="89"/>
      <c r="BA87" s="89"/>
      <c r="BB87" s="89"/>
      <c r="BC87" s="89"/>
      <c r="BD87" s="89"/>
      <c r="BE87" s="89"/>
      <c r="BF87" s="89"/>
      <c r="BG87" s="89"/>
      <c r="BH87" s="89"/>
      <c r="BI87" s="89"/>
      <c r="BJ87" s="89"/>
      <c r="BK87" s="89"/>
      <c r="BL87" s="89"/>
      <c r="BM87" s="89"/>
      <c r="BN87" s="89"/>
      <c r="BO87" s="89"/>
      <c r="BP87" s="89"/>
      <c r="BQ87" s="89"/>
      <c r="BR87" s="89"/>
    </row>
    <row r="88" spans="4:70" ht="14.25" customHeight="1" x14ac:dyDescent="0.2">
      <c r="D88" s="8">
        <f t="shared" ref="D88:I88" si="46">ROUND(D52,1)</f>
        <v>3.7</v>
      </c>
      <c r="E88" s="8">
        <f t="shared" si="46"/>
        <v>8.5</v>
      </c>
      <c r="F88" s="8">
        <f t="shared" si="46"/>
        <v>16.899999999999999</v>
      </c>
      <c r="G88" s="8">
        <f t="shared" si="46"/>
        <v>22</v>
      </c>
      <c r="H88" s="8">
        <f t="shared" si="46"/>
        <v>22.5</v>
      </c>
      <c r="I88" s="8">
        <f t="shared" si="46"/>
        <v>73.7</v>
      </c>
      <c r="J88" s="15">
        <f t="shared" si="23"/>
        <v>16456</v>
      </c>
      <c r="K88" s="8">
        <f t="shared" ref="K88:P88" si="47">ROUND(K52,1)</f>
        <v>4.5</v>
      </c>
      <c r="L88" s="8">
        <f t="shared" si="47"/>
        <v>10</v>
      </c>
      <c r="M88" s="8">
        <f t="shared" si="47"/>
        <v>18.2</v>
      </c>
      <c r="N88" s="8">
        <f t="shared" si="47"/>
        <v>23.3</v>
      </c>
      <c r="O88" s="8">
        <f t="shared" si="47"/>
        <v>21.5</v>
      </c>
      <c r="P88" s="8">
        <f t="shared" si="47"/>
        <v>77.5</v>
      </c>
      <c r="Q88" s="15">
        <f t="shared" si="25"/>
        <v>9593</v>
      </c>
      <c r="R88" s="8">
        <f t="shared" ref="R88:W88" si="48">ROUND(R52,1)</f>
        <v>4</v>
      </c>
      <c r="S88" s="8">
        <f t="shared" si="48"/>
        <v>9.1</v>
      </c>
      <c r="T88" s="8">
        <f t="shared" si="48"/>
        <v>17.399999999999999</v>
      </c>
      <c r="U88" s="8">
        <f t="shared" si="48"/>
        <v>22.5</v>
      </c>
      <c r="V88" s="8">
        <f t="shared" si="48"/>
        <v>22.1</v>
      </c>
      <c r="W88" s="8">
        <f t="shared" si="48"/>
        <v>75.099999999999994</v>
      </c>
      <c r="X88" s="15">
        <f t="shared" si="27"/>
        <v>26049</v>
      </c>
      <c r="AX88" s="89"/>
      <c r="AY88" s="89"/>
      <c r="AZ88" s="89"/>
      <c r="BA88" s="89"/>
      <c r="BB88" s="89"/>
      <c r="BC88" s="89"/>
      <c r="BD88" s="89"/>
      <c r="BE88" s="89"/>
      <c r="BF88" s="89"/>
      <c r="BG88" s="89"/>
      <c r="BH88" s="89"/>
      <c r="BI88" s="89"/>
      <c r="BJ88" s="89"/>
      <c r="BK88" s="89"/>
      <c r="BL88" s="89"/>
      <c r="BM88" s="89"/>
      <c r="BN88" s="89"/>
      <c r="BO88" s="89"/>
      <c r="BP88" s="89"/>
      <c r="BQ88" s="89"/>
      <c r="BR88" s="89"/>
    </row>
    <row r="89" spans="4:70" ht="14.25" customHeight="1" x14ac:dyDescent="0.2">
      <c r="D89" s="8" t="e">
        <f t="shared" ref="D89:I89" si="49">ROUND(D53,1)</f>
        <v>#VALUE!</v>
      </c>
      <c r="E89" s="8">
        <f t="shared" si="49"/>
        <v>9.6</v>
      </c>
      <c r="F89" s="8">
        <f t="shared" si="49"/>
        <v>15.7</v>
      </c>
      <c r="G89" s="8">
        <f t="shared" si="49"/>
        <v>16.899999999999999</v>
      </c>
      <c r="H89" s="8">
        <f t="shared" si="49"/>
        <v>24.1</v>
      </c>
      <c r="I89" s="8">
        <f t="shared" si="49"/>
        <v>67.5</v>
      </c>
      <c r="J89" s="15">
        <f t="shared" si="23"/>
        <v>83</v>
      </c>
      <c r="K89" s="8">
        <f t="shared" ref="K89:P89" si="50">ROUND(K53,1)</f>
        <v>17.7</v>
      </c>
      <c r="L89" s="8">
        <f t="shared" si="50"/>
        <v>19.600000000000001</v>
      </c>
      <c r="M89" s="8">
        <f t="shared" si="50"/>
        <v>22.1</v>
      </c>
      <c r="N89" s="8">
        <f t="shared" si="50"/>
        <v>19.2</v>
      </c>
      <c r="O89" s="8">
        <f t="shared" si="50"/>
        <v>12.8</v>
      </c>
      <c r="P89" s="8">
        <f t="shared" si="50"/>
        <v>91.4</v>
      </c>
      <c r="Q89" s="15">
        <f t="shared" si="25"/>
        <v>616</v>
      </c>
      <c r="R89" s="8">
        <f t="shared" ref="R89:W89" si="51">ROUND(R53,1)</f>
        <v>15.7</v>
      </c>
      <c r="S89" s="8">
        <f t="shared" si="51"/>
        <v>18.5</v>
      </c>
      <c r="T89" s="8">
        <f t="shared" si="51"/>
        <v>21.3</v>
      </c>
      <c r="U89" s="8">
        <f t="shared" si="51"/>
        <v>18.899999999999999</v>
      </c>
      <c r="V89" s="8">
        <f t="shared" si="51"/>
        <v>14.2</v>
      </c>
      <c r="W89" s="8">
        <f t="shared" si="51"/>
        <v>88.6</v>
      </c>
      <c r="X89" s="15">
        <f t="shared" si="27"/>
        <v>699</v>
      </c>
      <c r="AX89" s="89"/>
      <c r="AY89" s="89"/>
      <c r="AZ89" s="89"/>
      <c r="BA89" s="89"/>
      <c r="BB89" s="89"/>
      <c r="BC89" s="89"/>
      <c r="BD89" s="89"/>
      <c r="BE89" s="89"/>
      <c r="BF89" s="89"/>
      <c r="BG89" s="89"/>
      <c r="BH89" s="89"/>
      <c r="BI89" s="89"/>
      <c r="BJ89" s="89"/>
      <c r="BK89" s="89"/>
      <c r="BL89" s="89"/>
      <c r="BM89" s="89"/>
      <c r="BN89" s="89"/>
      <c r="BO89" s="89"/>
      <c r="BP89" s="89"/>
      <c r="BQ89" s="89"/>
      <c r="BR89" s="89"/>
    </row>
    <row r="90" spans="4:70" ht="14.25" customHeight="1" x14ac:dyDescent="0.2">
      <c r="D90" s="8">
        <f t="shared" ref="D90:I90" si="52">ROUND(D54,1)</f>
        <v>6.2</v>
      </c>
      <c r="E90" s="8">
        <f t="shared" si="52"/>
        <v>10.4</v>
      </c>
      <c r="F90" s="8">
        <f t="shared" si="52"/>
        <v>15.1</v>
      </c>
      <c r="G90" s="8">
        <f t="shared" si="52"/>
        <v>16.8</v>
      </c>
      <c r="H90" s="8">
        <f t="shared" si="52"/>
        <v>16.3</v>
      </c>
      <c r="I90" s="8">
        <f t="shared" si="52"/>
        <v>64.7</v>
      </c>
      <c r="J90" s="15">
        <f t="shared" si="23"/>
        <v>3794</v>
      </c>
      <c r="K90" s="8">
        <f t="shared" ref="K90:P90" si="53">ROUND(K54,1)</f>
        <v>8.9</v>
      </c>
      <c r="L90" s="8">
        <f t="shared" si="53"/>
        <v>11</v>
      </c>
      <c r="M90" s="8">
        <f t="shared" si="53"/>
        <v>15.4</v>
      </c>
      <c r="N90" s="8">
        <f t="shared" si="53"/>
        <v>16</v>
      </c>
      <c r="O90" s="8">
        <f t="shared" si="53"/>
        <v>17</v>
      </c>
      <c r="P90" s="8">
        <f t="shared" si="53"/>
        <v>68.400000000000006</v>
      </c>
      <c r="Q90" s="15">
        <f t="shared" si="25"/>
        <v>2364</v>
      </c>
      <c r="R90" s="8">
        <f t="shared" ref="R90:W90" si="54">ROUND(R54,1)</f>
        <v>7.2</v>
      </c>
      <c r="S90" s="8">
        <f t="shared" si="54"/>
        <v>10.6</v>
      </c>
      <c r="T90" s="8">
        <f t="shared" si="54"/>
        <v>15.2</v>
      </c>
      <c r="U90" s="8">
        <f t="shared" si="54"/>
        <v>16.5</v>
      </c>
      <c r="V90" s="8">
        <f t="shared" si="54"/>
        <v>16.600000000000001</v>
      </c>
      <c r="W90" s="8">
        <f t="shared" si="54"/>
        <v>66.099999999999994</v>
      </c>
      <c r="X90" s="15">
        <f t="shared" si="27"/>
        <v>6158</v>
      </c>
      <c r="AX90" s="89"/>
      <c r="AY90" s="89"/>
      <c r="AZ90" s="89"/>
      <c r="BA90" s="89"/>
      <c r="BB90" s="89"/>
      <c r="BC90" s="89"/>
      <c r="BD90" s="89"/>
      <c r="BE90" s="89"/>
      <c r="BF90" s="89"/>
      <c r="BG90" s="89"/>
      <c r="BH90" s="89"/>
      <c r="BI90" s="89"/>
      <c r="BJ90" s="89"/>
      <c r="BK90" s="89"/>
      <c r="BL90" s="89"/>
      <c r="BM90" s="89"/>
      <c r="BN90" s="89"/>
      <c r="BO90" s="89"/>
      <c r="BP90" s="89"/>
      <c r="BQ90" s="89"/>
      <c r="BR90" s="89"/>
    </row>
    <row r="91" spans="4:70" ht="14.25" customHeight="1" x14ac:dyDescent="0.2">
      <c r="D91" s="8">
        <f t="shared" ref="D91:I91" si="55">ROUND(D55,1)</f>
        <v>10</v>
      </c>
      <c r="E91" s="8">
        <f t="shared" si="55"/>
        <v>15.2</v>
      </c>
      <c r="F91" s="8">
        <f t="shared" si="55"/>
        <v>20.6</v>
      </c>
      <c r="G91" s="8">
        <f t="shared" si="55"/>
        <v>21.8</v>
      </c>
      <c r="H91" s="8">
        <f t="shared" si="55"/>
        <v>17.3</v>
      </c>
      <c r="I91" s="8">
        <f t="shared" si="55"/>
        <v>84.9</v>
      </c>
      <c r="J91" s="15">
        <f t="shared" si="23"/>
        <v>23322</v>
      </c>
      <c r="K91" s="8">
        <f t="shared" ref="K91:P91" si="56">ROUND(K55,1)</f>
        <v>12.6</v>
      </c>
      <c r="L91" s="8">
        <f t="shared" si="56"/>
        <v>15.6</v>
      </c>
      <c r="M91" s="8">
        <f t="shared" si="56"/>
        <v>20.2</v>
      </c>
      <c r="N91" s="8">
        <f t="shared" si="56"/>
        <v>20.6</v>
      </c>
      <c r="O91" s="8">
        <f t="shared" si="56"/>
        <v>16.5</v>
      </c>
      <c r="P91" s="8">
        <f t="shared" si="56"/>
        <v>85.5</v>
      </c>
      <c r="Q91" s="15">
        <f t="shared" si="25"/>
        <v>17062</v>
      </c>
      <c r="R91" s="8">
        <f t="shared" ref="R91:W91" si="57">ROUND(R55,1)</f>
        <v>11.1</v>
      </c>
      <c r="S91" s="8">
        <f t="shared" si="57"/>
        <v>15.4</v>
      </c>
      <c r="T91" s="8">
        <f t="shared" si="57"/>
        <v>20.399999999999999</v>
      </c>
      <c r="U91" s="8">
        <f t="shared" si="57"/>
        <v>21.3</v>
      </c>
      <c r="V91" s="8">
        <f t="shared" si="57"/>
        <v>17</v>
      </c>
      <c r="W91" s="8">
        <f t="shared" si="57"/>
        <v>85.2</v>
      </c>
      <c r="X91" s="15">
        <f t="shared" si="27"/>
        <v>40384</v>
      </c>
      <c r="AX91" s="89"/>
      <c r="AY91" s="89"/>
      <c r="AZ91" s="89"/>
      <c r="BA91" s="89"/>
      <c r="BB91" s="89"/>
      <c r="BC91" s="89"/>
      <c r="BD91" s="89"/>
      <c r="BE91" s="89"/>
      <c r="BF91" s="89"/>
      <c r="BG91" s="89"/>
      <c r="BH91" s="89"/>
      <c r="BI91" s="89"/>
      <c r="BJ91" s="89"/>
      <c r="BK91" s="89"/>
      <c r="BL91" s="89"/>
      <c r="BM91" s="89"/>
      <c r="BN91" s="89"/>
      <c r="BO91" s="89"/>
      <c r="BP91" s="89"/>
      <c r="BQ91" s="89"/>
      <c r="BR91" s="89"/>
    </row>
    <row r="92" spans="4:70" ht="14.25" customHeight="1" x14ac:dyDescent="0.2">
      <c r="D92" s="8">
        <f t="shared" ref="D92:I92" si="58">ROUND(D56,1)</f>
        <v>22.6</v>
      </c>
      <c r="E92" s="8">
        <f t="shared" si="58"/>
        <v>17.7</v>
      </c>
      <c r="F92" s="8">
        <f t="shared" si="58"/>
        <v>17</v>
      </c>
      <c r="G92" s="8">
        <f t="shared" si="58"/>
        <v>14.8</v>
      </c>
      <c r="H92" s="8">
        <f t="shared" si="58"/>
        <v>12.6</v>
      </c>
      <c r="I92" s="8">
        <f t="shared" si="58"/>
        <v>84.6</v>
      </c>
      <c r="J92" s="15">
        <f t="shared" si="23"/>
        <v>10659</v>
      </c>
      <c r="K92" s="8">
        <f t="shared" ref="K92:P92" si="59">ROUND(K56,1)</f>
        <v>22.9</v>
      </c>
      <c r="L92" s="8">
        <f t="shared" si="59"/>
        <v>19.3</v>
      </c>
      <c r="M92" s="8">
        <f t="shared" si="59"/>
        <v>18.100000000000001</v>
      </c>
      <c r="N92" s="8">
        <f t="shared" si="59"/>
        <v>14.2</v>
      </c>
      <c r="O92" s="8">
        <f t="shared" si="59"/>
        <v>11.6</v>
      </c>
      <c r="P92" s="8">
        <f t="shared" si="59"/>
        <v>86</v>
      </c>
      <c r="Q92" s="15">
        <f t="shared" si="25"/>
        <v>4671</v>
      </c>
      <c r="R92" s="8">
        <f t="shared" ref="R92:W92" si="60">ROUND(R56,1)</f>
        <v>22.7</v>
      </c>
      <c r="S92" s="8">
        <f t="shared" si="60"/>
        <v>18.2</v>
      </c>
      <c r="T92" s="8">
        <f t="shared" si="60"/>
        <v>17.3</v>
      </c>
      <c r="U92" s="8">
        <f t="shared" si="60"/>
        <v>14.6</v>
      </c>
      <c r="V92" s="8">
        <f t="shared" si="60"/>
        <v>12.3</v>
      </c>
      <c r="W92" s="8">
        <f t="shared" si="60"/>
        <v>85</v>
      </c>
      <c r="X92" s="15">
        <f t="shared" si="27"/>
        <v>15330</v>
      </c>
      <c r="AX92" s="89"/>
      <c r="AY92" s="89"/>
      <c r="AZ92" s="89"/>
      <c r="BA92" s="89"/>
      <c r="BB92" s="89"/>
      <c r="BC92" s="89"/>
      <c r="BD92" s="89"/>
      <c r="BE92" s="89"/>
      <c r="BF92" s="89"/>
      <c r="BG92" s="89"/>
      <c r="BH92" s="89"/>
      <c r="BI92" s="89"/>
      <c r="BJ92" s="89"/>
      <c r="BK92" s="89"/>
      <c r="BL92" s="89"/>
      <c r="BM92" s="89"/>
      <c r="BN92" s="89"/>
      <c r="BO92" s="89"/>
      <c r="BP92" s="89"/>
      <c r="BQ92" s="89"/>
      <c r="BR92" s="89"/>
    </row>
    <row r="93" spans="4:70" ht="14.25" customHeight="1" x14ac:dyDescent="0.2">
      <c r="D93" s="8">
        <f t="shared" ref="D93:I93" si="61">ROUND(D57,1)</f>
        <v>16.100000000000001</v>
      </c>
      <c r="E93" s="8">
        <f t="shared" si="61"/>
        <v>17.3</v>
      </c>
      <c r="F93" s="8">
        <f t="shared" si="61"/>
        <v>20.100000000000001</v>
      </c>
      <c r="G93" s="8">
        <f t="shared" si="61"/>
        <v>19.2</v>
      </c>
      <c r="H93" s="8">
        <f t="shared" si="61"/>
        <v>14.9</v>
      </c>
      <c r="I93" s="8">
        <f t="shared" si="61"/>
        <v>87.5</v>
      </c>
      <c r="J93" s="15">
        <f t="shared" si="23"/>
        <v>17908</v>
      </c>
      <c r="K93" s="8">
        <f t="shared" ref="K93:P93" si="62">ROUND(K57,1)</f>
        <v>24.1</v>
      </c>
      <c r="L93" s="8">
        <f t="shared" si="62"/>
        <v>19.7</v>
      </c>
      <c r="M93" s="8">
        <f t="shared" si="62"/>
        <v>19.3</v>
      </c>
      <c r="N93" s="8">
        <f t="shared" si="62"/>
        <v>16.3</v>
      </c>
      <c r="O93" s="8">
        <f t="shared" si="62"/>
        <v>11.3</v>
      </c>
      <c r="P93" s="8">
        <f t="shared" si="62"/>
        <v>90.8</v>
      </c>
      <c r="Q93" s="15">
        <f t="shared" si="25"/>
        <v>14930</v>
      </c>
      <c r="R93" s="8">
        <f t="shared" ref="R93:W93" si="63">ROUND(R57,1)</f>
        <v>19.8</v>
      </c>
      <c r="S93" s="8">
        <f t="shared" si="63"/>
        <v>18.399999999999999</v>
      </c>
      <c r="T93" s="8">
        <f t="shared" si="63"/>
        <v>19.7</v>
      </c>
      <c r="U93" s="8">
        <f t="shared" si="63"/>
        <v>17.899999999999999</v>
      </c>
      <c r="V93" s="8">
        <f t="shared" si="63"/>
        <v>13.2</v>
      </c>
      <c r="W93" s="8">
        <f t="shared" si="63"/>
        <v>89</v>
      </c>
      <c r="X93" s="15">
        <f t="shared" si="27"/>
        <v>32838</v>
      </c>
      <c r="AX93" s="89"/>
      <c r="AY93" s="89"/>
      <c r="AZ93" s="89"/>
      <c r="BA93" s="89"/>
      <c r="BB93" s="89"/>
      <c r="BC93" s="89"/>
      <c r="BD93" s="89"/>
      <c r="BE93" s="89"/>
      <c r="BF93" s="89"/>
      <c r="BG93" s="89"/>
      <c r="BH93" s="89"/>
      <c r="BI93" s="89"/>
      <c r="BJ93" s="89"/>
      <c r="BK93" s="89"/>
      <c r="BL93" s="89"/>
      <c r="BM93" s="89"/>
      <c r="BN93" s="89"/>
      <c r="BO93" s="89"/>
      <c r="BP93" s="89"/>
      <c r="BQ93" s="89"/>
      <c r="BR93" s="89"/>
    </row>
    <row r="94" spans="4:70" ht="14.25" customHeight="1" x14ac:dyDescent="0.2">
      <c r="D94" s="8">
        <f t="shared" ref="D94:I94" si="64">ROUND(D58,1)</f>
        <v>19.2</v>
      </c>
      <c r="E94" s="8">
        <f t="shared" si="64"/>
        <v>19.100000000000001</v>
      </c>
      <c r="F94" s="8">
        <f t="shared" si="64"/>
        <v>19.8</v>
      </c>
      <c r="G94" s="8">
        <f t="shared" si="64"/>
        <v>17.2</v>
      </c>
      <c r="H94" s="8">
        <f t="shared" si="64"/>
        <v>12.7</v>
      </c>
      <c r="I94" s="8">
        <f t="shared" si="64"/>
        <v>87.9</v>
      </c>
      <c r="J94" s="15">
        <f t="shared" si="23"/>
        <v>5579</v>
      </c>
      <c r="K94" s="8">
        <f t="shared" ref="K94:P94" si="65">ROUND(K58,1)</f>
        <v>22.6</v>
      </c>
      <c r="L94" s="8">
        <f t="shared" si="65"/>
        <v>19.7</v>
      </c>
      <c r="M94" s="8">
        <f t="shared" si="65"/>
        <v>18.600000000000001</v>
      </c>
      <c r="N94" s="8">
        <f t="shared" si="65"/>
        <v>15.2</v>
      </c>
      <c r="O94" s="8">
        <f t="shared" si="65"/>
        <v>11.3</v>
      </c>
      <c r="P94" s="8">
        <f t="shared" si="65"/>
        <v>87.4</v>
      </c>
      <c r="Q94" s="15">
        <f t="shared" si="25"/>
        <v>4188</v>
      </c>
      <c r="R94" s="8">
        <f t="shared" ref="R94:W94" si="66">ROUND(R58,1)</f>
        <v>20.6</v>
      </c>
      <c r="S94" s="8">
        <f t="shared" si="66"/>
        <v>19.3</v>
      </c>
      <c r="T94" s="8">
        <f t="shared" si="66"/>
        <v>19.3</v>
      </c>
      <c r="U94" s="8">
        <f t="shared" si="66"/>
        <v>16.3</v>
      </c>
      <c r="V94" s="8">
        <f t="shared" si="66"/>
        <v>12.1</v>
      </c>
      <c r="W94" s="8">
        <f t="shared" si="66"/>
        <v>87.7</v>
      </c>
      <c r="X94" s="15">
        <f t="shared" si="27"/>
        <v>9767</v>
      </c>
      <c r="AX94" s="89"/>
      <c r="AY94" s="89"/>
      <c r="AZ94" s="89"/>
      <c r="BA94" s="89"/>
      <c r="BB94" s="89"/>
      <c r="BC94" s="89"/>
      <c r="BD94" s="89"/>
      <c r="BE94" s="89"/>
      <c r="BF94" s="89"/>
      <c r="BG94" s="89"/>
      <c r="BH94" s="89"/>
      <c r="BI94" s="89"/>
      <c r="BJ94" s="89"/>
      <c r="BK94" s="89"/>
      <c r="BL94" s="89"/>
      <c r="BM94" s="89"/>
      <c r="BN94" s="89"/>
      <c r="BO94" s="89"/>
      <c r="BP94" s="89"/>
      <c r="BQ94" s="89"/>
      <c r="BR94" s="89"/>
    </row>
    <row r="95" spans="4:70" ht="14.25" customHeight="1" x14ac:dyDescent="0.2">
      <c r="D95" s="8">
        <f t="shared" ref="D95:I95" si="67">ROUND(D59,1)</f>
        <v>14.7</v>
      </c>
      <c r="E95" s="8">
        <f t="shared" si="67"/>
        <v>20</v>
      </c>
      <c r="F95" s="8">
        <f t="shared" si="67"/>
        <v>23.6</v>
      </c>
      <c r="G95" s="8">
        <f t="shared" si="67"/>
        <v>20.3</v>
      </c>
      <c r="H95" s="8">
        <f t="shared" si="67"/>
        <v>12.6</v>
      </c>
      <c r="I95" s="8">
        <f t="shared" si="67"/>
        <v>91.2</v>
      </c>
      <c r="J95" s="15">
        <f t="shared" si="23"/>
        <v>19507</v>
      </c>
      <c r="K95" s="8">
        <f t="shared" ref="K95:P95" si="68">ROUND(K59,1)</f>
        <v>18.399999999999999</v>
      </c>
      <c r="L95" s="8">
        <f t="shared" si="68"/>
        <v>22.1</v>
      </c>
      <c r="M95" s="8">
        <f t="shared" si="68"/>
        <v>22.7</v>
      </c>
      <c r="N95" s="8">
        <f t="shared" si="68"/>
        <v>17.5</v>
      </c>
      <c r="O95" s="8">
        <f t="shared" si="68"/>
        <v>11</v>
      </c>
      <c r="P95" s="8">
        <f t="shared" si="68"/>
        <v>91.7</v>
      </c>
      <c r="Q95" s="15">
        <f t="shared" si="25"/>
        <v>21640</v>
      </c>
      <c r="R95" s="8">
        <f t="shared" ref="R95:W95" si="69">ROUND(R59,1)</f>
        <v>16.600000000000001</v>
      </c>
      <c r="S95" s="8">
        <f t="shared" si="69"/>
        <v>21.1</v>
      </c>
      <c r="T95" s="8">
        <f t="shared" si="69"/>
        <v>23.1</v>
      </c>
      <c r="U95" s="8">
        <f t="shared" si="69"/>
        <v>18.8</v>
      </c>
      <c r="V95" s="8">
        <f t="shared" si="69"/>
        <v>11.8</v>
      </c>
      <c r="W95" s="8">
        <f t="shared" si="69"/>
        <v>91.5</v>
      </c>
      <c r="X95" s="15">
        <f t="shared" si="27"/>
        <v>41147</v>
      </c>
      <c r="AX95" s="89"/>
      <c r="AY95" s="89"/>
      <c r="AZ95" s="89"/>
      <c r="BA95" s="89"/>
      <c r="BB95" s="89"/>
      <c r="BC95" s="89"/>
      <c r="BD95" s="89"/>
      <c r="BE95" s="89"/>
      <c r="BF95" s="89"/>
      <c r="BG95" s="89"/>
      <c r="BH95" s="89"/>
      <c r="BI95" s="89"/>
      <c r="BJ95" s="89"/>
      <c r="BK95" s="89"/>
      <c r="BL95" s="89"/>
      <c r="BM95" s="89"/>
      <c r="BN95" s="89"/>
      <c r="BO95" s="89"/>
      <c r="BP95" s="89"/>
      <c r="BQ95" s="89"/>
      <c r="BR95" s="89"/>
    </row>
    <row r="96" spans="4:70" ht="14.25" customHeight="1" x14ac:dyDescent="0.2">
      <c r="D96" s="8">
        <f t="shared" ref="D96:I96" si="70">ROUND(D60,1)</f>
        <v>9.6</v>
      </c>
      <c r="E96" s="8">
        <f t="shared" si="70"/>
        <v>13.4</v>
      </c>
      <c r="F96" s="8">
        <f t="shared" si="70"/>
        <v>18.8</v>
      </c>
      <c r="G96" s="8">
        <f t="shared" si="70"/>
        <v>18.7</v>
      </c>
      <c r="H96" s="8">
        <f t="shared" si="70"/>
        <v>16</v>
      </c>
      <c r="I96" s="8">
        <f t="shared" si="70"/>
        <v>76.5</v>
      </c>
      <c r="J96" s="15">
        <f t="shared" si="23"/>
        <v>7904</v>
      </c>
      <c r="K96" s="8">
        <f t="shared" ref="K96:P96" si="71">ROUND(K60,1)</f>
        <v>13.3</v>
      </c>
      <c r="L96" s="8">
        <f t="shared" si="71"/>
        <v>15.9</v>
      </c>
      <c r="M96" s="8">
        <f t="shared" si="71"/>
        <v>18.8</v>
      </c>
      <c r="N96" s="8">
        <f t="shared" si="71"/>
        <v>17.8</v>
      </c>
      <c r="O96" s="8">
        <f t="shared" si="71"/>
        <v>14.4</v>
      </c>
      <c r="P96" s="8">
        <f t="shared" si="71"/>
        <v>80.099999999999994</v>
      </c>
      <c r="Q96" s="15">
        <f t="shared" si="25"/>
        <v>11046</v>
      </c>
      <c r="R96" s="8">
        <f t="shared" ref="R96:W96" si="72">ROUND(R60,1)</f>
        <v>11.8</v>
      </c>
      <c r="S96" s="8">
        <f t="shared" si="72"/>
        <v>14.8</v>
      </c>
      <c r="T96" s="8">
        <f t="shared" si="72"/>
        <v>18.8</v>
      </c>
      <c r="U96" s="8">
        <f t="shared" si="72"/>
        <v>18.2</v>
      </c>
      <c r="V96" s="8">
        <f t="shared" si="72"/>
        <v>15.1</v>
      </c>
      <c r="W96" s="8">
        <f t="shared" si="72"/>
        <v>78.599999999999994</v>
      </c>
      <c r="X96" s="15">
        <f t="shared" si="27"/>
        <v>18950</v>
      </c>
      <c r="AX96" s="89"/>
      <c r="AY96" s="89"/>
      <c r="AZ96" s="89"/>
      <c r="BA96" s="89"/>
      <c r="BB96" s="89"/>
      <c r="BC96" s="89"/>
      <c r="BD96" s="89"/>
      <c r="BE96" s="89"/>
      <c r="BF96" s="89"/>
      <c r="BG96" s="89"/>
      <c r="BH96" s="89"/>
      <c r="BI96" s="89"/>
      <c r="BJ96" s="89"/>
      <c r="BK96" s="89"/>
      <c r="BL96" s="89"/>
      <c r="BM96" s="89"/>
      <c r="BN96" s="89"/>
      <c r="BO96" s="89"/>
      <c r="BP96" s="89"/>
      <c r="BQ96" s="89"/>
      <c r="BR96" s="89"/>
    </row>
    <row r="97" spans="4:70" ht="14.25" customHeight="1" x14ac:dyDescent="0.2">
      <c r="D97" s="8">
        <f t="shared" ref="D97:I97" si="73">ROUND(D61,1)</f>
        <v>7.5</v>
      </c>
      <c r="E97" s="8">
        <f t="shared" si="73"/>
        <v>12.1</v>
      </c>
      <c r="F97" s="8">
        <f t="shared" si="73"/>
        <v>17.600000000000001</v>
      </c>
      <c r="G97" s="8">
        <f t="shared" si="73"/>
        <v>18.8</v>
      </c>
      <c r="H97" s="8">
        <f t="shared" si="73"/>
        <v>18</v>
      </c>
      <c r="I97" s="8">
        <f t="shared" si="73"/>
        <v>74</v>
      </c>
      <c r="J97" s="15">
        <f t="shared" si="23"/>
        <v>18237</v>
      </c>
      <c r="K97" s="8">
        <f t="shared" ref="K97:P97" si="74">ROUND(K61,1)</f>
        <v>15.3</v>
      </c>
      <c r="L97" s="8">
        <f t="shared" si="74"/>
        <v>17.2</v>
      </c>
      <c r="M97" s="8">
        <f t="shared" si="74"/>
        <v>19.100000000000001</v>
      </c>
      <c r="N97" s="8">
        <f t="shared" si="74"/>
        <v>17.399999999999999</v>
      </c>
      <c r="O97" s="8">
        <f t="shared" si="74"/>
        <v>14.4</v>
      </c>
      <c r="P97" s="8">
        <f t="shared" si="74"/>
        <v>83.5</v>
      </c>
      <c r="Q97" s="15">
        <f t="shared" si="25"/>
        <v>43981</v>
      </c>
      <c r="R97" s="8">
        <f t="shared" ref="R97:W97" si="75">ROUND(R61,1)</f>
        <v>13</v>
      </c>
      <c r="S97" s="8">
        <f t="shared" si="75"/>
        <v>15.7</v>
      </c>
      <c r="T97" s="8">
        <f t="shared" si="75"/>
        <v>18.7</v>
      </c>
      <c r="U97" s="8">
        <f t="shared" si="75"/>
        <v>17.8</v>
      </c>
      <c r="V97" s="8">
        <f t="shared" si="75"/>
        <v>15.5</v>
      </c>
      <c r="W97" s="8">
        <f t="shared" si="75"/>
        <v>80.7</v>
      </c>
      <c r="X97" s="15">
        <f t="shared" si="27"/>
        <v>62218</v>
      </c>
      <c r="AX97" s="89"/>
      <c r="AY97" s="89"/>
      <c r="AZ97" s="89"/>
      <c r="BA97" s="89"/>
      <c r="BB97" s="89"/>
      <c r="BC97" s="89"/>
      <c r="BD97" s="89"/>
      <c r="BE97" s="89"/>
      <c r="BF97" s="89"/>
      <c r="BG97" s="89"/>
      <c r="BH97" s="89"/>
      <c r="BI97" s="89"/>
      <c r="BJ97" s="89"/>
      <c r="BK97" s="89"/>
      <c r="BL97" s="89"/>
      <c r="BM97" s="89"/>
      <c r="BN97" s="89"/>
      <c r="BO97" s="89"/>
      <c r="BP97" s="89"/>
      <c r="BQ97" s="89"/>
      <c r="BR97" s="89"/>
    </row>
    <row r="98" spans="4:70" ht="14.25" customHeight="1" x14ac:dyDescent="0.2">
      <c r="D98" s="8">
        <f t="shared" ref="D98:I98" si="76">ROUND(D62,1)</f>
        <v>11</v>
      </c>
      <c r="E98" s="8">
        <f t="shared" si="76"/>
        <v>15.2</v>
      </c>
      <c r="F98" s="8">
        <f t="shared" si="76"/>
        <v>18.3</v>
      </c>
      <c r="G98" s="8">
        <f t="shared" si="76"/>
        <v>18.7</v>
      </c>
      <c r="H98" s="8">
        <f t="shared" si="76"/>
        <v>16.3</v>
      </c>
      <c r="I98" s="8">
        <f t="shared" si="76"/>
        <v>79.5</v>
      </c>
      <c r="J98" s="15">
        <f t="shared" si="23"/>
        <v>8196</v>
      </c>
      <c r="K98" s="8">
        <f t="shared" ref="K98:P98" si="77">ROUND(K62,1)</f>
        <v>17.399999999999999</v>
      </c>
      <c r="L98" s="8">
        <f t="shared" si="77"/>
        <v>18</v>
      </c>
      <c r="M98" s="8">
        <f t="shared" si="77"/>
        <v>18.7</v>
      </c>
      <c r="N98" s="8">
        <f t="shared" si="77"/>
        <v>17.3</v>
      </c>
      <c r="O98" s="8">
        <f t="shared" si="77"/>
        <v>14.1</v>
      </c>
      <c r="P98" s="8">
        <f t="shared" si="77"/>
        <v>85.5</v>
      </c>
      <c r="Q98" s="15">
        <f t="shared" si="25"/>
        <v>23360</v>
      </c>
      <c r="R98" s="8">
        <f t="shared" ref="R98:W98" si="78">ROUND(R62,1)</f>
        <v>15.7</v>
      </c>
      <c r="S98" s="8">
        <f t="shared" si="78"/>
        <v>17.3</v>
      </c>
      <c r="T98" s="8">
        <f t="shared" si="78"/>
        <v>18.600000000000001</v>
      </c>
      <c r="U98" s="8">
        <f t="shared" si="78"/>
        <v>17.600000000000001</v>
      </c>
      <c r="V98" s="8">
        <f t="shared" si="78"/>
        <v>14.7</v>
      </c>
      <c r="W98" s="8">
        <f t="shared" si="78"/>
        <v>83.9</v>
      </c>
      <c r="X98" s="15">
        <f t="shared" si="27"/>
        <v>31556</v>
      </c>
      <c r="AX98" s="89"/>
      <c r="AY98" s="89"/>
      <c r="AZ98" s="89"/>
      <c r="BA98" s="89"/>
      <c r="BB98" s="89"/>
      <c r="BC98" s="89"/>
      <c r="BD98" s="89"/>
      <c r="BE98" s="89"/>
      <c r="BF98" s="89"/>
      <c r="BG98" s="89"/>
      <c r="BH98" s="89"/>
      <c r="BI98" s="89"/>
      <c r="BJ98" s="89"/>
      <c r="BK98" s="89"/>
      <c r="BL98" s="89"/>
      <c r="BM98" s="89"/>
      <c r="BN98" s="89"/>
      <c r="BO98" s="89"/>
      <c r="BP98" s="89"/>
      <c r="BQ98" s="89"/>
      <c r="BR98" s="89"/>
    </row>
    <row r="99" spans="4:70" ht="14.25" customHeight="1" x14ac:dyDescent="0.2">
      <c r="D99" s="8">
        <f t="shared" ref="D99:I99" si="79">ROUND(D63,1)</f>
        <v>11.6</v>
      </c>
      <c r="E99" s="8">
        <f t="shared" si="79"/>
        <v>13.1</v>
      </c>
      <c r="F99" s="8">
        <f t="shared" si="79"/>
        <v>18.899999999999999</v>
      </c>
      <c r="G99" s="8">
        <f t="shared" si="79"/>
        <v>18.2</v>
      </c>
      <c r="H99" s="8">
        <f t="shared" si="79"/>
        <v>13.6</v>
      </c>
      <c r="I99" s="8">
        <f t="shared" si="79"/>
        <v>75.5</v>
      </c>
      <c r="J99" s="15">
        <f t="shared" si="23"/>
        <v>2770</v>
      </c>
      <c r="K99" s="8">
        <f t="shared" ref="K99:P99" si="80">ROUND(K63,1)</f>
        <v>13.9</v>
      </c>
      <c r="L99" s="8">
        <f t="shared" si="80"/>
        <v>15.1</v>
      </c>
      <c r="M99" s="8">
        <f t="shared" si="80"/>
        <v>19.3</v>
      </c>
      <c r="N99" s="8">
        <f t="shared" si="80"/>
        <v>17.600000000000001</v>
      </c>
      <c r="O99" s="8">
        <f t="shared" si="80"/>
        <v>14.4</v>
      </c>
      <c r="P99" s="8">
        <f t="shared" si="80"/>
        <v>80.3</v>
      </c>
      <c r="Q99" s="15">
        <f t="shared" si="25"/>
        <v>3261</v>
      </c>
      <c r="R99" s="8">
        <f t="shared" ref="R99:W99" si="81">ROUND(R63,1)</f>
        <v>12.8</v>
      </c>
      <c r="S99" s="8">
        <f t="shared" si="81"/>
        <v>14.2</v>
      </c>
      <c r="T99" s="8">
        <f t="shared" si="81"/>
        <v>19.2</v>
      </c>
      <c r="U99" s="8">
        <f t="shared" si="81"/>
        <v>17.899999999999999</v>
      </c>
      <c r="V99" s="8">
        <f t="shared" si="81"/>
        <v>14</v>
      </c>
      <c r="W99" s="8">
        <f t="shared" si="81"/>
        <v>78.099999999999994</v>
      </c>
      <c r="X99" s="15">
        <f t="shared" si="27"/>
        <v>6031</v>
      </c>
      <c r="AX99" s="89"/>
      <c r="AY99" s="89"/>
      <c r="AZ99" s="89"/>
      <c r="BA99" s="89"/>
      <c r="BB99" s="89"/>
      <c r="BC99" s="89"/>
      <c r="BD99" s="89"/>
      <c r="BE99" s="89"/>
      <c r="BF99" s="89"/>
      <c r="BG99" s="89"/>
      <c r="BH99" s="89"/>
      <c r="BI99" s="89"/>
      <c r="BJ99" s="89"/>
      <c r="BK99" s="89"/>
      <c r="BL99" s="89"/>
      <c r="BM99" s="89"/>
      <c r="BN99" s="89"/>
      <c r="BO99" s="89"/>
      <c r="BP99" s="89"/>
      <c r="BQ99" s="89"/>
      <c r="BR99" s="89"/>
    </row>
    <row r="100" spans="4:70" ht="14.25" customHeight="1" x14ac:dyDescent="0.2">
      <c r="D100" s="8">
        <f t="shared" ref="D100:I100" si="82">ROUND(D64,1)</f>
        <v>14.2</v>
      </c>
      <c r="E100" s="8">
        <f t="shared" si="82"/>
        <v>15.2</v>
      </c>
      <c r="F100" s="8">
        <f t="shared" si="82"/>
        <v>19.399999999999999</v>
      </c>
      <c r="G100" s="8">
        <f t="shared" si="82"/>
        <v>18.600000000000001</v>
      </c>
      <c r="H100" s="8">
        <f t="shared" si="82"/>
        <v>14.5</v>
      </c>
      <c r="I100" s="8">
        <f t="shared" si="82"/>
        <v>81.7</v>
      </c>
      <c r="J100" s="15">
        <f t="shared" si="23"/>
        <v>16484</v>
      </c>
      <c r="K100" s="8">
        <f t="shared" ref="K100:P100" si="83">ROUND(K64,1)</f>
        <v>22.1</v>
      </c>
      <c r="L100" s="8">
        <f t="shared" si="83"/>
        <v>20.5</v>
      </c>
      <c r="M100" s="8">
        <f t="shared" si="83"/>
        <v>21.4</v>
      </c>
      <c r="N100" s="8">
        <f t="shared" si="83"/>
        <v>16.399999999999999</v>
      </c>
      <c r="O100" s="8">
        <f t="shared" si="83"/>
        <v>9.9</v>
      </c>
      <c r="P100" s="8">
        <f t="shared" si="83"/>
        <v>90.4</v>
      </c>
      <c r="Q100" s="15">
        <f t="shared" si="25"/>
        <v>31650</v>
      </c>
      <c r="R100" s="8">
        <f t="shared" ref="R100:W100" si="84">ROUND(R64,1)</f>
        <v>19.399999999999999</v>
      </c>
      <c r="S100" s="8">
        <f t="shared" si="84"/>
        <v>18.600000000000001</v>
      </c>
      <c r="T100" s="8">
        <f t="shared" si="84"/>
        <v>20.7</v>
      </c>
      <c r="U100" s="8">
        <f t="shared" si="84"/>
        <v>17.2</v>
      </c>
      <c r="V100" s="8">
        <f t="shared" si="84"/>
        <v>11.5</v>
      </c>
      <c r="W100" s="8">
        <f t="shared" si="84"/>
        <v>87.4</v>
      </c>
      <c r="X100" s="15">
        <f t="shared" si="27"/>
        <v>48134</v>
      </c>
      <c r="AX100" s="89"/>
      <c r="AY100" s="89"/>
      <c r="AZ100" s="89"/>
      <c r="BA100" s="89"/>
      <c r="BB100" s="89"/>
      <c r="BC100" s="89"/>
      <c r="BD100" s="89"/>
      <c r="BE100" s="89"/>
      <c r="BF100" s="89"/>
      <c r="BG100" s="89"/>
      <c r="BH100" s="89"/>
      <c r="BI100" s="89"/>
      <c r="BJ100" s="89"/>
      <c r="BK100" s="89"/>
      <c r="BL100" s="89"/>
      <c r="BM100" s="89"/>
      <c r="BN100" s="89"/>
      <c r="BO100" s="89"/>
      <c r="BP100" s="89"/>
      <c r="BQ100" s="89"/>
      <c r="BR100" s="89"/>
    </row>
    <row r="101" spans="4:70" ht="14.25" customHeight="1" x14ac:dyDescent="0.2">
      <c r="D101" s="8">
        <f t="shared" ref="D101:I101" si="85">ROUND(D65,1)</f>
        <v>10</v>
      </c>
      <c r="E101" s="8">
        <f t="shared" si="85"/>
        <v>18.2</v>
      </c>
      <c r="F101" s="8">
        <f t="shared" si="85"/>
        <v>26.4</v>
      </c>
      <c r="G101" s="8">
        <f t="shared" si="85"/>
        <v>22.5</v>
      </c>
      <c r="H101" s="8">
        <f t="shared" si="85"/>
        <v>14.2</v>
      </c>
      <c r="I101" s="8">
        <f t="shared" si="85"/>
        <v>91.1</v>
      </c>
      <c r="J101" s="15">
        <f t="shared" si="23"/>
        <v>4693</v>
      </c>
      <c r="K101" s="8">
        <f t="shared" ref="K101:P101" si="86">ROUND(K65,1)</f>
        <v>13.5</v>
      </c>
      <c r="L101" s="8">
        <f t="shared" si="86"/>
        <v>24.6</v>
      </c>
      <c r="M101" s="8">
        <f t="shared" si="86"/>
        <v>28.5</v>
      </c>
      <c r="N101" s="8">
        <f t="shared" si="86"/>
        <v>19.399999999999999</v>
      </c>
      <c r="O101" s="8">
        <f t="shared" si="86"/>
        <v>9.5</v>
      </c>
      <c r="P101" s="8">
        <f t="shared" si="86"/>
        <v>95.5</v>
      </c>
      <c r="Q101" s="15">
        <f t="shared" si="25"/>
        <v>11314</v>
      </c>
      <c r="R101" s="8">
        <f t="shared" ref="R101:W101" si="87">ROUND(R65,1)</f>
        <v>12.5</v>
      </c>
      <c r="S101" s="8">
        <f t="shared" si="87"/>
        <v>22.7</v>
      </c>
      <c r="T101" s="8">
        <f t="shared" si="87"/>
        <v>27.9</v>
      </c>
      <c r="U101" s="8">
        <f t="shared" si="87"/>
        <v>20.3</v>
      </c>
      <c r="V101" s="8">
        <f t="shared" si="87"/>
        <v>10.9</v>
      </c>
      <c r="W101" s="8">
        <f t="shared" si="87"/>
        <v>94.2</v>
      </c>
      <c r="X101" s="15">
        <f t="shared" si="27"/>
        <v>16007</v>
      </c>
      <c r="AX101" s="89"/>
      <c r="AY101" s="89"/>
      <c r="AZ101" s="89"/>
      <c r="BA101" s="89"/>
      <c r="BB101" s="89"/>
      <c r="BC101" s="89"/>
      <c r="BD101" s="89"/>
      <c r="BE101" s="89"/>
      <c r="BF101" s="89"/>
      <c r="BG101" s="89"/>
      <c r="BH101" s="89"/>
      <c r="BI101" s="89"/>
      <c r="BJ101" s="89"/>
      <c r="BK101" s="89"/>
      <c r="BL101" s="89"/>
      <c r="BM101" s="89"/>
      <c r="BN101" s="89"/>
      <c r="BO101" s="89"/>
      <c r="BP101" s="89"/>
      <c r="BQ101" s="89"/>
      <c r="BR101" s="89"/>
    </row>
    <row r="102" spans="4:70" ht="14.25" customHeight="1" x14ac:dyDescent="0.2">
      <c r="D102" s="8">
        <f t="shared" ref="D102:I102" si="88">ROUND(D66,1)</f>
        <v>13.3</v>
      </c>
      <c r="E102" s="8">
        <f t="shared" si="88"/>
        <v>17</v>
      </c>
      <c r="F102" s="8">
        <f t="shared" si="88"/>
        <v>23.1</v>
      </c>
      <c r="G102" s="8">
        <f t="shared" si="88"/>
        <v>23.3</v>
      </c>
      <c r="H102" s="8">
        <f t="shared" si="88"/>
        <v>15</v>
      </c>
      <c r="I102" s="8">
        <f t="shared" si="88"/>
        <v>91.7</v>
      </c>
      <c r="J102" s="15">
        <f t="shared" si="23"/>
        <v>25102</v>
      </c>
      <c r="K102" s="8">
        <f t="shared" ref="K102:P102" si="89">ROUND(K66,1)</f>
        <v>13.9</v>
      </c>
      <c r="L102" s="8">
        <f t="shared" si="89"/>
        <v>19</v>
      </c>
      <c r="M102" s="8">
        <f t="shared" si="89"/>
        <v>25.1</v>
      </c>
      <c r="N102" s="8">
        <f t="shared" si="89"/>
        <v>22.9</v>
      </c>
      <c r="O102" s="8">
        <f t="shared" si="89"/>
        <v>13</v>
      </c>
      <c r="P102" s="8">
        <f t="shared" si="89"/>
        <v>93.9</v>
      </c>
      <c r="Q102" s="15">
        <f t="shared" si="25"/>
        <v>57363</v>
      </c>
      <c r="R102" s="8">
        <f t="shared" ref="R102:W102" si="90">ROUND(R66,1)</f>
        <v>13.7</v>
      </c>
      <c r="S102" s="8">
        <f t="shared" si="90"/>
        <v>18.399999999999999</v>
      </c>
      <c r="T102" s="8">
        <f t="shared" si="90"/>
        <v>24.5</v>
      </c>
      <c r="U102" s="8">
        <f t="shared" si="90"/>
        <v>23</v>
      </c>
      <c r="V102" s="8">
        <f t="shared" si="90"/>
        <v>13.6</v>
      </c>
      <c r="W102" s="8">
        <f t="shared" si="90"/>
        <v>93.3</v>
      </c>
      <c r="X102" s="15">
        <f t="shared" si="27"/>
        <v>82465</v>
      </c>
      <c r="AX102" s="89"/>
      <c r="AY102" s="89"/>
      <c r="AZ102" s="89"/>
      <c r="BA102" s="89"/>
      <c r="BB102" s="89"/>
      <c r="BC102" s="89"/>
      <c r="BD102" s="89"/>
      <c r="BE102" s="89"/>
      <c r="BF102" s="89"/>
      <c r="BG102" s="89"/>
      <c r="BH102" s="89"/>
      <c r="BI102" s="89"/>
      <c r="BJ102" s="89"/>
      <c r="BK102" s="89"/>
      <c r="BL102" s="89"/>
      <c r="BM102" s="89"/>
      <c r="BN102" s="89"/>
      <c r="BO102" s="89"/>
      <c r="BP102" s="89"/>
      <c r="BQ102" s="89"/>
      <c r="BR102" s="89"/>
    </row>
    <row r="103" spans="4:70" ht="14.25" customHeight="1" x14ac:dyDescent="0.2">
      <c r="D103" s="8">
        <f t="shared" ref="D103:I103" si="91">ROUND(D67,1)</f>
        <v>9</v>
      </c>
      <c r="E103" s="8">
        <f t="shared" si="91"/>
        <v>19.3</v>
      </c>
      <c r="F103" s="8">
        <f t="shared" si="91"/>
        <v>27.2</v>
      </c>
      <c r="G103" s="8">
        <f t="shared" si="91"/>
        <v>22.8</v>
      </c>
      <c r="H103" s="8">
        <f t="shared" si="91"/>
        <v>13</v>
      </c>
      <c r="I103" s="8">
        <f t="shared" si="91"/>
        <v>91.3</v>
      </c>
      <c r="J103" s="15">
        <f t="shared" si="23"/>
        <v>11806</v>
      </c>
      <c r="K103" s="8">
        <f t="shared" ref="K103:P103" si="92">ROUND(K67,1)</f>
        <v>13.4</v>
      </c>
      <c r="L103" s="8">
        <f t="shared" si="92"/>
        <v>24</v>
      </c>
      <c r="M103" s="8">
        <f t="shared" si="92"/>
        <v>27.3</v>
      </c>
      <c r="N103" s="8">
        <f t="shared" si="92"/>
        <v>19.600000000000001</v>
      </c>
      <c r="O103" s="8">
        <f t="shared" si="92"/>
        <v>9.6</v>
      </c>
      <c r="P103" s="8">
        <f t="shared" si="92"/>
        <v>94</v>
      </c>
      <c r="Q103" s="15">
        <f t="shared" si="25"/>
        <v>14959</v>
      </c>
      <c r="R103" s="8">
        <f t="shared" ref="R103:W103" si="93">ROUND(R67,1)</f>
        <v>11.4</v>
      </c>
      <c r="S103" s="8">
        <f t="shared" si="93"/>
        <v>21.9</v>
      </c>
      <c r="T103" s="8">
        <f t="shared" si="93"/>
        <v>27.3</v>
      </c>
      <c r="U103" s="8">
        <f t="shared" si="93"/>
        <v>21</v>
      </c>
      <c r="V103" s="8">
        <f t="shared" si="93"/>
        <v>11.1</v>
      </c>
      <c r="W103" s="8">
        <f t="shared" si="93"/>
        <v>92.8</v>
      </c>
      <c r="X103" s="15">
        <f t="shared" si="27"/>
        <v>26765</v>
      </c>
      <c r="AX103" s="89"/>
      <c r="AY103" s="89"/>
      <c r="AZ103" s="89"/>
      <c r="BA103" s="89"/>
      <c r="BB103" s="89"/>
      <c r="BC103" s="89"/>
      <c r="BD103" s="89"/>
      <c r="BE103" s="89"/>
      <c r="BF103" s="89"/>
      <c r="BG103" s="89"/>
      <c r="BH103" s="89"/>
      <c r="BI103" s="89"/>
      <c r="BJ103" s="89"/>
      <c r="BK103" s="89"/>
      <c r="BL103" s="89"/>
      <c r="BM103" s="89"/>
      <c r="BN103" s="89"/>
      <c r="BO103" s="89"/>
      <c r="BP103" s="89"/>
      <c r="BQ103" s="89"/>
      <c r="BR103" s="89"/>
    </row>
    <row r="104" spans="4:70" ht="14.25" customHeight="1" x14ac:dyDescent="0.2">
      <c r="D104" s="8">
        <f t="shared" ref="D104:I104" si="94">ROUND(D68,1)</f>
        <v>10.7</v>
      </c>
      <c r="E104" s="8">
        <f t="shared" si="94"/>
        <v>23.3</v>
      </c>
      <c r="F104" s="8">
        <f t="shared" si="94"/>
        <v>28.9</v>
      </c>
      <c r="G104" s="8">
        <f t="shared" si="94"/>
        <v>19.3</v>
      </c>
      <c r="H104" s="8">
        <f t="shared" si="94"/>
        <v>9</v>
      </c>
      <c r="I104" s="8">
        <f t="shared" si="94"/>
        <v>91.2</v>
      </c>
      <c r="J104" s="15">
        <f t="shared" si="23"/>
        <v>5102</v>
      </c>
      <c r="K104" s="8">
        <f t="shared" ref="K104:P104" si="95">ROUND(K68,1)</f>
        <v>13.1</v>
      </c>
      <c r="L104" s="8">
        <f t="shared" si="95"/>
        <v>27</v>
      </c>
      <c r="M104" s="8">
        <f t="shared" si="95"/>
        <v>29.1</v>
      </c>
      <c r="N104" s="8">
        <f t="shared" si="95"/>
        <v>18.5</v>
      </c>
      <c r="O104" s="8">
        <f t="shared" si="95"/>
        <v>6.7</v>
      </c>
      <c r="P104" s="8">
        <f t="shared" si="95"/>
        <v>94.5</v>
      </c>
      <c r="Q104" s="15">
        <f t="shared" si="25"/>
        <v>7856</v>
      </c>
      <c r="R104" s="8">
        <f t="shared" ref="R104:W104" si="96">ROUND(R68,1)</f>
        <v>12.2</v>
      </c>
      <c r="S104" s="8">
        <f t="shared" si="96"/>
        <v>25.5</v>
      </c>
      <c r="T104" s="8">
        <f t="shared" si="96"/>
        <v>29.1</v>
      </c>
      <c r="U104" s="8">
        <f t="shared" si="96"/>
        <v>18.8</v>
      </c>
      <c r="V104" s="8">
        <f t="shared" si="96"/>
        <v>7.6</v>
      </c>
      <c r="W104" s="8">
        <f t="shared" si="96"/>
        <v>93.2</v>
      </c>
      <c r="X104" s="15">
        <f t="shared" si="27"/>
        <v>12958</v>
      </c>
      <c r="AX104" s="89"/>
      <c r="AY104" s="89"/>
      <c r="AZ104" s="89"/>
      <c r="BA104" s="89"/>
      <c r="BB104" s="89"/>
      <c r="BC104" s="89"/>
      <c r="BD104" s="89"/>
      <c r="BE104" s="89"/>
      <c r="BF104" s="89"/>
      <c r="BG104" s="89"/>
      <c r="BH104" s="89"/>
      <c r="BI104" s="89"/>
      <c r="BJ104" s="89"/>
      <c r="BK104" s="89"/>
      <c r="BL104" s="89"/>
      <c r="BM104" s="89"/>
      <c r="BN104" s="89"/>
      <c r="BO104" s="89"/>
      <c r="BP104" s="89"/>
      <c r="BQ104" s="89"/>
      <c r="BR104" s="89"/>
    </row>
    <row r="105" spans="4:70" ht="14.25" customHeight="1" x14ac:dyDescent="0.2">
      <c r="D105" s="8">
        <f t="shared" ref="D105:I105" si="97">ROUND(D69,1)</f>
        <v>22.4</v>
      </c>
      <c r="E105" s="8">
        <f t="shared" si="97"/>
        <v>18.600000000000001</v>
      </c>
      <c r="F105" s="8">
        <f t="shared" si="97"/>
        <v>19</v>
      </c>
      <c r="G105" s="8">
        <f t="shared" si="97"/>
        <v>15.8</v>
      </c>
      <c r="H105" s="8">
        <f t="shared" si="97"/>
        <v>12.6</v>
      </c>
      <c r="I105" s="8">
        <f t="shared" si="97"/>
        <v>88.4</v>
      </c>
      <c r="J105" s="15">
        <f t="shared" si="23"/>
        <v>5129</v>
      </c>
      <c r="K105" s="8">
        <f t="shared" ref="K105:P105" si="98">ROUND(K69,1)</f>
        <v>21</v>
      </c>
      <c r="L105" s="8">
        <f t="shared" si="98"/>
        <v>18</v>
      </c>
      <c r="M105" s="8">
        <f t="shared" si="98"/>
        <v>19.100000000000001</v>
      </c>
      <c r="N105" s="8">
        <f t="shared" si="98"/>
        <v>16.899999999999999</v>
      </c>
      <c r="O105" s="8">
        <f t="shared" si="98"/>
        <v>13.4</v>
      </c>
      <c r="P105" s="8">
        <f t="shared" si="98"/>
        <v>88.4</v>
      </c>
      <c r="Q105" s="15">
        <f t="shared" si="25"/>
        <v>11806</v>
      </c>
      <c r="R105" s="8">
        <f t="shared" ref="R105:W105" si="99">ROUND(R69,1)</f>
        <v>21.4</v>
      </c>
      <c r="S105" s="8">
        <f t="shared" si="99"/>
        <v>18.2</v>
      </c>
      <c r="T105" s="8">
        <f t="shared" si="99"/>
        <v>19</v>
      </c>
      <c r="U105" s="8">
        <f t="shared" si="99"/>
        <v>16.600000000000001</v>
      </c>
      <c r="V105" s="8">
        <f t="shared" si="99"/>
        <v>13.2</v>
      </c>
      <c r="W105" s="8">
        <f t="shared" si="99"/>
        <v>88.4</v>
      </c>
      <c r="X105" s="15">
        <f t="shared" si="27"/>
        <v>16935</v>
      </c>
      <c r="AX105" s="89"/>
      <c r="AY105" s="89"/>
      <c r="AZ105" s="89"/>
      <c r="BA105" s="89"/>
      <c r="BB105" s="89"/>
      <c r="BC105" s="89"/>
      <c r="BD105" s="89"/>
      <c r="BE105" s="89"/>
      <c r="BF105" s="89"/>
      <c r="BG105" s="89"/>
      <c r="BH105" s="89"/>
      <c r="BI105" s="89"/>
      <c r="BJ105" s="89"/>
      <c r="BK105" s="89"/>
      <c r="BL105" s="89"/>
      <c r="BM105" s="89"/>
      <c r="BN105" s="89"/>
      <c r="BO105" s="89"/>
      <c r="BP105" s="89"/>
      <c r="BQ105" s="89"/>
      <c r="BR105" s="89"/>
    </row>
    <row r="106" spans="4:70" ht="14.25" customHeight="1" x14ac:dyDescent="0.2">
      <c r="D106" s="8">
        <f t="shared" ref="D106:I106" si="100">ROUND(D70,1)</f>
        <v>20.399999999999999</v>
      </c>
      <c r="E106" s="8">
        <f t="shared" si="100"/>
        <v>17.2</v>
      </c>
      <c r="F106" s="8">
        <f t="shared" si="100"/>
        <v>20.2</v>
      </c>
      <c r="G106" s="8">
        <f t="shared" si="100"/>
        <v>16.2</v>
      </c>
      <c r="H106" s="8">
        <f t="shared" si="100"/>
        <v>14.6</v>
      </c>
      <c r="I106" s="8">
        <f t="shared" si="100"/>
        <v>88.7</v>
      </c>
      <c r="J106" s="15">
        <f t="shared" si="23"/>
        <v>2505</v>
      </c>
      <c r="K106" s="8">
        <f t="shared" ref="K106:P106" si="101">ROUND(K70,1)</f>
        <v>20.2</v>
      </c>
      <c r="L106" s="8">
        <f t="shared" si="101"/>
        <v>18.2</v>
      </c>
      <c r="M106" s="8">
        <f t="shared" si="101"/>
        <v>20.6</v>
      </c>
      <c r="N106" s="8">
        <f t="shared" si="101"/>
        <v>17.5</v>
      </c>
      <c r="O106" s="8">
        <f t="shared" si="101"/>
        <v>12.8</v>
      </c>
      <c r="P106" s="8">
        <f t="shared" si="101"/>
        <v>89.4</v>
      </c>
      <c r="Q106" s="15">
        <f t="shared" si="25"/>
        <v>5045</v>
      </c>
      <c r="R106" s="8">
        <f t="shared" ref="R106:W106" si="102">ROUND(R70,1)</f>
        <v>20.3</v>
      </c>
      <c r="S106" s="8">
        <f t="shared" si="102"/>
        <v>17.899999999999999</v>
      </c>
      <c r="T106" s="8">
        <f t="shared" si="102"/>
        <v>20.5</v>
      </c>
      <c r="U106" s="8">
        <f t="shared" si="102"/>
        <v>17.100000000000001</v>
      </c>
      <c r="V106" s="8">
        <f t="shared" si="102"/>
        <v>13.4</v>
      </c>
      <c r="W106" s="8">
        <f t="shared" si="102"/>
        <v>89.2</v>
      </c>
      <c r="X106" s="15">
        <f t="shared" si="27"/>
        <v>7550</v>
      </c>
      <c r="AX106" s="89"/>
      <c r="AY106" s="89"/>
      <c r="AZ106" s="89"/>
      <c r="BA106" s="89"/>
      <c r="BB106" s="89"/>
      <c r="BC106" s="89"/>
      <c r="BD106" s="89"/>
      <c r="BE106" s="89"/>
      <c r="BF106" s="89"/>
      <c r="BG106" s="89"/>
      <c r="BH106" s="89"/>
      <c r="BI106" s="89"/>
      <c r="BJ106" s="89"/>
      <c r="BK106" s="89"/>
      <c r="BL106" s="89"/>
      <c r="BM106" s="89"/>
      <c r="BN106" s="89"/>
      <c r="BO106" s="89"/>
      <c r="BP106" s="89"/>
      <c r="BQ106" s="89"/>
      <c r="BR106" s="89"/>
    </row>
    <row r="107" spans="4:70" ht="14.25" customHeight="1" x14ac:dyDescent="0.2">
      <c r="D107" s="8">
        <f t="shared" ref="D107:I107" si="103">ROUND(D71,1)</f>
        <v>22.7</v>
      </c>
      <c r="E107" s="8">
        <f t="shared" si="103"/>
        <v>20.6</v>
      </c>
      <c r="F107" s="8">
        <f t="shared" si="103"/>
        <v>18</v>
      </c>
      <c r="G107" s="8">
        <f t="shared" si="103"/>
        <v>14.8</v>
      </c>
      <c r="H107" s="8">
        <f t="shared" si="103"/>
        <v>12.3</v>
      </c>
      <c r="I107" s="8">
        <f t="shared" si="103"/>
        <v>88.4</v>
      </c>
      <c r="J107" s="15">
        <f t="shared" si="23"/>
        <v>1532</v>
      </c>
      <c r="K107" s="8">
        <f t="shared" ref="K107:P107" si="104">ROUND(K71,1)</f>
        <v>18.600000000000001</v>
      </c>
      <c r="L107" s="8">
        <f t="shared" si="104"/>
        <v>20</v>
      </c>
      <c r="M107" s="8">
        <f t="shared" si="104"/>
        <v>18.899999999999999</v>
      </c>
      <c r="N107" s="8">
        <f t="shared" si="104"/>
        <v>16.5</v>
      </c>
      <c r="O107" s="8">
        <f t="shared" si="104"/>
        <v>13.4</v>
      </c>
      <c r="P107" s="8">
        <f t="shared" si="104"/>
        <v>87.4</v>
      </c>
      <c r="Q107" s="15">
        <f t="shared" si="25"/>
        <v>3972</v>
      </c>
      <c r="R107" s="8">
        <f t="shared" ref="R107:W107" si="105">ROUND(R71,1)</f>
        <v>19.7</v>
      </c>
      <c r="S107" s="8">
        <f t="shared" si="105"/>
        <v>20.100000000000001</v>
      </c>
      <c r="T107" s="8">
        <f t="shared" si="105"/>
        <v>18.600000000000001</v>
      </c>
      <c r="U107" s="8">
        <f t="shared" si="105"/>
        <v>16</v>
      </c>
      <c r="V107" s="8">
        <f t="shared" si="105"/>
        <v>13.1</v>
      </c>
      <c r="W107" s="8">
        <f t="shared" si="105"/>
        <v>87.7</v>
      </c>
      <c r="X107" s="15">
        <f t="shared" si="27"/>
        <v>5504</v>
      </c>
      <c r="AX107" s="89"/>
      <c r="AY107" s="89"/>
      <c r="AZ107" s="89"/>
      <c r="BA107" s="89"/>
      <c r="BB107" s="89"/>
      <c r="BC107" s="89"/>
      <c r="BD107" s="89"/>
      <c r="BE107" s="89"/>
      <c r="BF107" s="89"/>
      <c r="BG107" s="89"/>
      <c r="BH107" s="89"/>
      <c r="BI107" s="89"/>
      <c r="BJ107" s="89"/>
      <c r="BK107" s="89"/>
      <c r="BL107" s="89"/>
      <c r="BM107" s="89"/>
      <c r="BN107" s="89"/>
      <c r="BO107" s="89"/>
      <c r="BP107" s="89"/>
      <c r="BQ107" s="89"/>
      <c r="BR107" s="89"/>
    </row>
    <row r="108" spans="4:70" ht="14.25" customHeight="1" x14ac:dyDescent="0.2">
      <c r="D108" s="8">
        <f t="shared" ref="D108:I108" si="106">ROUND(D72,1)</f>
        <v>43</v>
      </c>
      <c r="E108" s="8">
        <f t="shared" si="106"/>
        <v>24.8</v>
      </c>
      <c r="F108" s="8">
        <f t="shared" si="106"/>
        <v>10.199999999999999</v>
      </c>
      <c r="G108" s="8">
        <f t="shared" si="106"/>
        <v>7.4</v>
      </c>
      <c r="H108" s="8">
        <f t="shared" si="106"/>
        <v>5.2</v>
      </c>
      <c r="I108" s="8">
        <f t="shared" si="106"/>
        <v>90.6</v>
      </c>
      <c r="J108" s="15">
        <f t="shared" si="23"/>
        <v>1211</v>
      </c>
      <c r="K108" s="8">
        <f t="shared" ref="K108:P108" si="107">ROUND(K72,1)</f>
        <v>41.7</v>
      </c>
      <c r="L108" s="8">
        <f t="shared" si="107"/>
        <v>20.9</v>
      </c>
      <c r="M108" s="8">
        <f t="shared" si="107"/>
        <v>14.7</v>
      </c>
      <c r="N108" s="8">
        <f t="shared" si="107"/>
        <v>8.8000000000000007</v>
      </c>
      <c r="O108" s="8">
        <f t="shared" si="107"/>
        <v>5.5</v>
      </c>
      <c r="P108" s="8">
        <f t="shared" si="107"/>
        <v>91.5</v>
      </c>
      <c r="Q108" s="15">
        <f t="shared" si="25"/>
        <v>1678</v>
      </c>
      <c r="R108" s="8">
        <f t="shared" ref="R108:W108" si="108">ROUND(R72,1)</f>
        <v>42.3</v>
      </c>
      <c r="S108" s="8">
        <f t="shared" si="108"/>
        <v>22.5</v>
      </c>
      <c r="T108" s="8">
        <f t="shared" si="108"/>
        <v>12.8</v>
      </c>
      <c r="U108" s="8">
        <f t="shared" si="108"/>
        <v>8.1999999999999993</v>
      </c>
      <c r="V108" s="8">
        <f t="shared" si="108"/>
        <v>5.4</v>
      </c>
      <c r="W108" s="8">
        <f t="shared" si="108"/>
        <v>91.1</v>
      </c>
      <c r="X108" s="15">
        <f t="shared" si="27"/>
        <v>2889</v>
      </c>
    </row>
    <row r="109" spans="4:70" ht="14.25" customHeight="1" x14ac:dyDescent="0.2">
      <c r="D109" s="8">
        <f t="shared" ref="D109:I109" si="109">ROUND(D73,1)</f>
        <v>26.5</v>
      </c>
      <c r="E109" s="8">
        <f t="shared" si="109"/>
        <v>21.4</v>
      </c>
      <c r="F109" s="8">
        <f t="shared" si="109"/>
        <v>19.3</v>
      </c>
      <c r="G109" s="8">
        <f t="shared" si="109"/>
        <v>16.3</v>
      </c>
      <c r="H109" s="8">
        <f t="shared" si="109"/>
        <v>10</v>
      </c>
      <c r="I109" s="8">
        <f t="shared" si="109"/>
        <v>93.6</v>
      </c>
      <c r="J109" s="15">
        <f t="shared" si="23"/>
        <v>2264</v>
      </c>
      <c r="K109" s="8">
        <f t="shared" ref="K109:P109" si="110">ROUND(K73,1)</f>
        <v>31</v>
      </c>
      <c r="L109" s="8">
        <f t="shared" si="110"/>
        <v>22.9</v>
      </c>
      <c r="M109" s="8">
        <f t="shared" si="110"/>
        <v>19.399999999999999</v>
      </c>
      <c r="N109" s="8">
        <f t="shared" si="110"/>
        <v>14.2</v>
      </c>
      <c r="O109" s="8">
        <f t="shared" si="110"/>
        <v>7.3</v>
      </c>
      <c r="P109" s="8">
        <f t="shared" si="110"/>
        <v>94.8</v>
      </c>
      <c r="Q109" s="15">
        <f t="shared" si="25"/>
        <v>3204</v>
      </c>
      <c r="R109" s="8">
        <f t="shared" ref="R109:W109" si="111">ROUND(R73,1)</f>
        <v>29.2</v>
      </c>
      <c r="S109" s="8">
        <f t="shared" si="111"/>
        <v>22.3</v>
      </c>
      <c r="T109" s="8">
        <f t="shared" si="111"/>
        <v>19.3</v>
      </c>
      <c r="U109" s="8">
        <f t="shared" si="111"/>
        <v>15.1</v>
      </c>
      <c r="V109" s="8">
        <f t="shared" si="111"/>
        <v>8.4</v>
      </c>
      <c r="W109" s="8">
        <f t="shared" si="111"/>
        <v>94.3</v>
      </c>
      <c r="X109" s="15">
        <f t="shared" si="27"/>
        <v>5468</v>
      </c>
    </row>
    <row r="110" spans="4:70" ht="14.25" customHeight="1" x14ac:dyDescent="0.2">
      <c r="D110" s="8">
        <f t="shared" ref="D110:I110" si="112">ROUND(D74,1)</f>
        <v>17.8</v>
      </c>
      <c r="E110" s="8">
        <f t="shared" si="112"/>
        <v>19.3</v>
      </c>
      <c r="F110" s="8">
        <f t="shared" si="112"/>
        <v>21</v>
      </c>
      <c r="G110" s="8">
        <f t="shared" si="112"/>
        <v>17.3</v>
      </c>
      <c r="H110" s="8">
        <f t="shared" si="112"/>
        <v>12.2</v>
      </c>
      <c r="I110" s="8">
        <f t="shared" si="112"/>
        <v>87.7</v>
      </c>
      <c r="J110" s="15">
        <f t="shared" si="23"/>
        <v>4172</v>
      </c>
      <c r="K110" s="8">
        <f t="shared" ref="K110:P110" si="113">ROUND(K74,1)</f>
        <v>19.899999999999999</v>
      </c>
      <c r="L110" s="8">
        <f t="shared" si="113"/>
        <v>22.2</v>
      </c>
      <c r="M110" s="8">
        <f t="shared" si="113"/>
        <v>23.1</v>
      </c>
      <c r="N110" s="8">
        <f t="shared" si="113"/>
        <v>16.2</v>
      </c>
      <c r="O110" s="8">
        <f t="shared" si="113"/>
        <v>10</v>
      </c>
      <c r="P110" s="8">
        <f t="shared" si="113"/>
        <v>91.4</v>
      </c>
      <c r="Q110" s="15">
        <f t="shared" si="25"/>
        <v>9629</v>
      </c>
      <c r="R110" s="8">
        <f t="shared" ref="R110:W110" si="114">ROUND(R74,1)</f>
        <v>19.3</v>
      </c>
      <c r="S110" s="8">
        <f t="shared" si="114"/>
        <v>21.3</v>
      </c>
      <c r="T110" s="8">
        <f t="shared" si="114"/>
        <v>22.5</v>
      </c>
      <c r="U110" s="8">
        <f t="shared" si="114"/>
        <v>16.5</v>
      </c>
      <c r="V110" s="8">
        <f t="shared" si="114"/>
        <v>10.6</v>
      </c>
      <c r="W110" s="8">
        <f t="shared" si="114"/>
        <v>90.3</v>
      </c>
      <c r="X110" s="15">
        <f t="shared" si="27"/>
        <v>13801</v>
      </c>
    </row>
    <row r="111" spans="4:70" ht="14.25" customHeight="1" x14ac:dyDescent="0.2">
      <c r="D111" s="8">
        <f t="shared" ref="D111:I111" si="115">ROUND(D75,1)</f>
        <v>14.2</v>
      </c>
      <c r="E111" s="8">
        <f t="shared" si="115"/>
        <v>16.399999999999999</v>
      </c>
      <c r="F111" s="8">
        <f t="shared" si="115"/>
        <v>21.1</v>
      </c>
      <c r="G111" s="8">
        <f t="shared" si="115"/>
        <v>21.4</v>
      </c>
      <c r="H111" s="8">
        <f t="shared" si="115"/>
        <v>14</v>
      </c>
      <c r="I111" s="8">
        <f t="shared" si="115"/>
        <v>87.2</v>
      </c>
      <c r="J111" s="15">
        <f t="shared" si="23"/>
        <v>5508</v>
      </c>
      <c r="K111" s="8">
        <f t="shared" ref="K111:P111" si="116">ROUND(K75,1)</f>
        <v>20.5</v>
      </c>
      <c r="L111" s="8">
        <f t="shared" si="116"/>
        <v>20.100000000000001</v>
      </c>
      <c r="M111" s="8">
        <f t="shared" si="116"/>
        <v>22</v>
      </c>
      <c r="N111" s="8">
        <f t="shared" si="116"/>
        <v>18.7</v>
      </c>
      <c r="O111" s="8">
        <f t="shared" si="116"/>
        <v>10.9</v>
      </c>
      <c r="P111" s="8">
        <f t="shared" si="116"/>
        <v>92.1</v>
      </c>
      <c r="Q111" s="15">
        <f t="shared" si="25"/>
        <v>4664</v>
      </c>
      <c r="R111" s="8">
        <f t="shared" ref="R111:W111" si="117">ROUND(R75,1)</f>
        <v>17.100000000000001</v>
      </c>
      <c r="S111" s="8">
        <f t="shared" si="117"/>
        <v>18.100000000000001</v>
      </c>
      <c r="T111" s="8">
        <f t="shared" si="117"/>
        <v>21.5</v>
      </c>
      <c r="U111" s="8">
        <f t="shared" si="117"/>
        <v>20.2</v>
      </c>
      <c r="V111" s="8">
        <f t="shared" si="117"/>
        <v>12.6</v>
      </c>
      <c r="W111" s="8">
        <f t="shared" si="117"/>
        <v>89.4</v>
      </c>
      <c r="X111" s="15">
        <f t="shared" si="27"/>
        <v>10172</v>
      </c>
    </row>
    <row r="112" spans="4:70" ht="14.25" customHeight="1" x14ac:dyDescent="0.2">
      <c r="D112" s="8">
        <f t="shared" ref="D112:I112" si="118">ROUND(D76,1)</f>
        <v>6.8</v>
      </c>
      <c r="E112" s="8">
        <f t="shared" si="118"/>
        <v>13.1</v>
      </c>
      <c r="F112" s="8">
        <f t="shared" si="118"/>
        <v>20.399999999999999</v>
      </c>
      <c r="G112" s="8">
        <f t="shared" si="118"/>
        <v>23.3</v>
      </c>
      <c r="H112" s="8">
        <f t="shared" si="118"/>
        <v>20.7</v>
      </c>
      <c r="I112" s="8">
        <f t="shared" si="118"/>
        <v>84.3</v>
      </c>
      <c r="J112" s="15">
        <f t="shared" si="23"/>
        <v>14202</v>
      </c>
      <c r="K112" s="8">
        <f t="shared" ref="K112:P112" si="119">ROUND(K76,1)</f>
        <v>17.100000000000001</v>
      </c>
      <c r="L112" s="8">
        <f t="shared" si="119"/>
        <v>18.2</v>
      </c>
      <c r="M112" s="8">
        <f t="shared" si="119"/>
        <v>20.2</v>
      </c>
      <c r="N112" s="8">
        <f t="shared" si="119"/>
        <v>18.5</v>
      </c>
      <c r="O112" s="8">
        <f t="shared" si="119"/>
        <v>14.5</v>
      </c>
      <c r="P112" s="8">
        <f t="shared" si="119"/>
        <v>88.5</v>
      </c>
      <c r="Q112" s="15">
        <f t="shared" si="25"/>
        <v>9917</v>
      </c>
      <c r="R112" s="8">
        <f t="shared" ref="R112:W112" si="120">ROUND(R76,1)</f>
        <v>11.1</v>
      </c>
      <c r="S112" s="8">
        <f t="shared" si="120"/>
        <v>15.2</v>
      </c>
      <c r="T112" s="8">
        <f t="shared" si="120"/>
        <v>20.3</v>
      </c>
      <c r="U112" s="8">
        <f t="shared" si="120"/>
        <v>21.3</v>
      </c>
      <c r="V112" s="8">
        <f t="shared" si="120"/>
        <v>18.2</v>
      </c>
      <c r="W112" s="8">
        <f t="shared" si="120"/>
        <v>86.1</v>
      </c>
      <c r="X112" s="15">
        <f t="shared" si="27"/>
        <v>24119</v>
      </c>
    </row>
    <row r="113" spans="4:24" ht="14.25" customHeight="1" x14ac:dyDescent="0.2">
      <c r="D113" s="8">
        <f t="shared" ref="D113:I113" si="121">ROUND(D77,1)</f>
        <v>9</v>
      </c>
      <c r="E113" s="8">
        <f t="shared" si="121"/>
        <v>12.5</v>
      </c>
      <c r="F113" s="8">
        <f t="shared" si="121"/>
        <v>16.899999999999999</v>
      </c>
      <c r="G113" s="8">
        <f t="shared" si="121"/>
        <v>18.399999999999999</v>
      </c>
      <c r="H113" s="8">
        <f t="shared" si="121"/>
        <v>18.3</v>
      </c>
      <c r="I113" s="8">
        <f t="shared" si="121"/>
        <v>75</v>
      </c>
      <c r="J113" s="15">
        <f t="shared" si="23"/>
        <v>44826</v>
      </c>
      <c r="K113" s="8">
        <f t="shared" ref="K113:P113" si="122">ROUND(K77,1)</f>
        <v>10.4</v>
      </c>
      <c r="L113" s="8">
        <f t="shared" si="122"/>
        <v>13.5</v>
      </c>
      <c r="M113" s="8">
        <f t="shared" si="122"/>
        <v>18.2</v>
      </c>
      <c r="N113" s="8">
        <f t="shared" si="122"/>
        <v>19</v>
      </c>
      <c r="O113" s="8">
        <f t="shared" si="122"/>
        <v>17.8</v>
      </c>
      <c r="P113" s="8">
        <f t="shared" si="122"/>
        <v>78.900000000000006</v>
      </c>
      <c r="Q113" s="15">
        <f t="shared" si="25"/>
        <v>50020</v>
      </c>
      <c r="R113" s="8">
        <f t="shared" ref="R113:W113" si="123">ROUND(R77,1)</f>
        <v>9.6999999999999993</v>
      </c>
      <c r="S113" s="8">
        <f t="shared" si="123"/>
        <v>13</v>
      </c>
      <c r="T113" s="8">
        <f t="shared" si="123"/>
        <v>17.600000000000001</v>
      </c>
      <c r="U113" s="8">
        <f t="shared" si="123"/>
        <v>18.7</v>
      </c>
      <c r="V113" s="8">
        <f t="shared" si="123"/>
        <v>18</v>
      </c>
      <c r="W113" s="8">
        <f t="shared" si="123"/>
        <v>77.099999999999994</v>
      </c>
      <c r="X113" s="15">
        <f t="shared" si="27"/>
        <v>94846</v>
      </c>
    </row>
    <row r="114" spans="4:24" ht="14.25" customHeight="1" x14ac:dyDescent="0.2">
      <c r="D114" s="8">
        <f t="shared" ref="D114:I114" si="124">ROUND(D78,1)</f>
        <v>13.4</v>
      </c>
      <c r="E114" s="8">
        <f t="shared" si="124"/>
        <v>15.1</v>
      </c>
      <c r="F114" s="8">
        <f t="shared" si="124"/>
        <v>18.8</v>
      </c>
      <c r="G114" s="8">
        <f t="shared" si="124"/>
        <v>18.7</v>
      </c>
      <c r="H114" s="8">
        <f t="shared" si="124"/>
        <v>15.7</v>
      </c>
      <c r="I114" s="8">
        <f t="shared" si="124"/>
        <v>81.599999999999994</v>
      </c>
      <c r="J114" s="15">
        <f t="shared" si="23"/>
        <v>405772</v>
      </c>
      <c r="K114" s="8">
        <f t="shared" ref="K114:P114" si="125">ROUND(K78,1)</f>
        <v>16.600000000000001</v>
      </c>
      <c r="L114" s="8">
        <f t="shared" si="125"/>
        <v>18</v>
      </c>
      <c r="M114" s="8">
        <f t="shared" si="125"/>
        <v>20.399999999999999</v>
      </c>
      <c r="N114" s="8">
        <f t="shared" si="125"/>
        <v>18.100000000000001</v>
      </c>
      <c r="O114" s="8">
        <f t="shared" si="125"/>
        <v>13.4</v>
      </c>
      <c r="P114" s="8">
        <f t="shared" si="125"/>
        <v>86.6</v>
      </c>
      <c r="Q114" s="15">
        <f t="shared" si="25"/>
        <v>474086</v>
      </c>
      <c r="R114" s="8">
        <f t="shared" ref="R114:W114" si="126">ROUND(R78,1)</f>
        <v>15.1</v>
      </c>
      <c r="S114" s="8">
        <f t="shared" si="126"/>
        <v>16.7</v>
      </c>
      <c r="T114" s="8">
        <f t="shared" si="126"/>
        <v>19.7</v>
      </c>
      <c r="U114" s="8">
        <f t="shared" si="126"/>
        <v>18.399999999999999</v>
      </c>
      <c r="V114" s="8">
        <f t="shared" si="126"/>
        <v>14.5</v>
      </c>
      <c r="W114" s="8">
        <f t="shared" si="126"/>
        <v>84.3</v>
      </c>
      <c r="X114" s="15">
        <f t="shared" si="27"/>
        <v>879858</v>
      </c>
    </row>
    <row r="115" spans="4:24" ht="14.25" customHeight="1" x14ac:dyDescent="0.2">
      <c r="D115" s="8"/>
      <c r="E115" s="8"/>
      <c r="F115" s="8"/>
      <c r="G115" s="8"/>
      <c r="H115" s="8"/>
      <c r="I115" s="8"/>
      <c r="J115" s="8"/>
      <c r="K115" s="8"/>
      <c r="L115" s="8"/>
      <c r="M115" s="8"/>
      <c r="N115" s="8"/>
      <c r="O115" s="8"/>
      <c r="P115" s="8"/>
      <c r="Q115" s="8"/>
      <c r="R115" s="8"/>
      <c r="S115" s="8"/>
      <c r="T115" s="8"/>
      <c r="U115" s="8"/>
      <c r="V115" s="8"/>
    </row>
    <row r="116" spans="4:24" ht="14.25" customHeight="1" x14ac:dyDescent="0.2">
      <c r="D116" s="8"/>
      <c r="E116" s="8"/>
      <c r="F116" s="8"/>
      <c r="G116" s="8"/>
      <c r="H116" s="8"/>
      <c r="I116" s="8"/>
      <c r="J116" s="8"/>
      <c r="K116" s="8"/>
      <c r="L116" s="8"/>
      <c r="M116" s="8"/>
      <c r="N116" s="8"/>
      <c r="O116" s="8"/>
      <c r="P116" s="8"/>
      <c r="Q116" s="8"/>
      <c r="R116" s="8"/>
      <c r="S116" s="8"/>
      <c r="T116" s="8"/>
      <c r="U116" s="8"/>
      <c r="V116" s="8"/>
    </row>
    <row r="117" spans="4:24" ht="14.25" customHeight="1" x14ac:dyDescent="0.2">
      <c r="D117" s="8"/>
      <c r="E117" s="8"/>
      <c r="F117" s="8"/>
      <c r="G117" s="8"/>
      <c r="H117" s="8"/>
      <c r="I117" s="8"/>
      <c r="J117" s="8"/>
      <c r="K117" s="8"/>
      <c r="L117" s="8"/>
      <c r="M117" s="8"/>
      <c r="N117" s="8"/>
      <c r="O117" s="8"/>
      <c r="P117" s="8"/>
      <c r="Q117" s="8"/>
      <c r="R117" s="8"/>
      <c r="S117" s="8"/>
      <c r="T117" s="8"/>
      <c r="U117" s="8"/>
      <c r="V117" s="8"/>
    </row>
    <row r="118" spans="4:24" ht="14.25" customHeight="1" x14ac:dyDescent="0.2">
      <c r="D118" s="8"/>
      <c r="E118" s="8"/>
      <c r="F118" s="8"/>
      <c r="G118" s="8"/>
      <c r="H118" s="8"/>
      <c r="I118" s="8"/>
      <c r="J118" s="8"/>
      <c r="K118" s="8"/>
      <c r="L118" s="8"/>
      <c r="M118" s="8"/>
      <c r="N118" s="8"/>
      <c r="O118" s="8"/>
      <c r="P118" s="8"/>
      <c r="Q118" s="8"/>
      <c r="R118" s="8"/>
      <c r="S118" s="8"/>
      <c r="T118" s="8"/>
      <c r="U118" s="8"/>
      <c r="V118" s="8"/>
    </row>
    <row r="119" spans="4:24" ht="14.25" customHeight="1" x14ac:dyDescent="0.2">
      <c r="D119" s="8"/>
      <c r="E119" s="8"/>
      <c r="F119" s="8"/>
      <c r="G119" s="8"/>
      <c r="H119" s="8"/>
      <c r="I119" s="8"/>
      <c r="J119" s="8"/>
      <c r="K119" s="8"/>
      <c r="L119" s="8"/>
      <c r="M119" s="8"/>
      <c r="N119" s="8"/>
      <c r="O119" s="8"/>
      <c r="P119" s="8"/>
      <c r="Q119" s="8"/>
      <c r="R119" s="8"/>
      <c r="S119" s="8"/>
      <c r="T119" s="8"/>
      <c r="U119" s="8"/>
      <c r="V119" s="8"/>
    </row>
    <row r="120" spans="4:24" ht="14.25" customHeight="1" x14ac:dyDescent="0.2">
      <c r="D120" s="8"/>
      <c r="E120" s="8"/>
      <c r="F120" s="8"/>
      <c r="G120" s="8"/>
      <c r="H120" s="8"/>
      <c r="I120" s="8"/>
      <c r="J120" s="8"/>
      <c r="K120" s="8"/>
      <c r="L120" s="8"/>
      <c r="M120" s="8"/>
      <c r="N120" s="8"/>
      <c r="O120" s="8"/>
      <c r="P120" s="8"/>
      <c r="Q120" s="8"/>
      <c r="R120" s="8"/>
      <c r="S120" s="8"/>
      <c r="T120" s="8"/>
      <c r="U120" s="8"/>
      <c r="V120" s="8"/>
    </row>
    <row r="121" spans="4:24" ht="14.25" customHeight="1" x14ac:dyDescent="0.2">
      <c r="D121" s="8"/>
      <c r="E121" s="8"/>
      <c r="F121" s="8"/>
      <c r="G121" s="8"/>
      <c r="H121" s="8"/>
      <c r="I121" s="8"/>
      <c r="J121" s="8"/>
      <c r="K121" s="8"/>
      <c r="L121" s="8"/>
      <c r="M121" s="8"/>
      <c r="N121" s="8"/>
      <c r="O121" s="8"/>
      <c r="P121" s="8"/>
      <c r="Q121" s="8"/>
      <c r="R121" s="8"/>
      <c r="S121" s="8"/>
      <c r="T121" s="8"/>
      <c r="U121" s="8"/>
      <c r="V121" s="8"/>
    </row>
    <row r="122" spans="4:24" ht="14.25" customHeight="1" x14ac:dyDescent="0.2">
      <c r="D122" s="8"/>
      <c r="E122" s="8"/>
      <c r="F122" s="8"/>
      <c r="G122" s="8"/>
      <c r="H122" s="8"/>
      <c r="I122" s="8"/>
      <c r="J122" s="8"/>
      <c r="K122" s="8"/>
      <c r="L122" s="8"/>
      <c r="M122" s="8"/>
      <c r="N122" s="8"/>
      <c r="O122" s="8"/>
      <c r="P122" s="8"/>
      <c r="Q122" s="8"/>
      <c r="R122" s="8"/>
      <c r="S122" s="8"/>
      <c r="T122" s="8"/>
      <c r="U122" s="8"/>
      <c r="V122" s="8"/>
    </row>
    <row r="123" spans="4:24" ht="14.25" customHeight="1" x14ac:dyDescent="0.2">
      <c r="D123" s="8"/>
      <c r="E123" s="8"/>
      <c r="F123" s="8"/>
      <c r="G123" s="8"/>
      <c r="H123" s="8"/>
      <c r="I123" s="8"/>
      <c r="J123" s="8"/>
      <c r="K123" s="8"/>
      <c r="L123" s="8"/>
      <c r="M123" s="8"/>
      <c r="N123" s="8"/>
      <c r="O123" s="8"/>
      <c r="P123" s="8"/>
      <c r="Q123" s="8"/>
      <c r="R123" s="8"/>
      <c r="S123" s="8"/>
      <c r="T123" s="8"/>
      <c r="U123" s="8"/>
      <c r="V123" s="8"/>
    </row>
    <row r="124" spans="4:24" ht="14.25" customHeight="1" x14ac:dyDescent="0.2">
      <c r="D124" s="8"/>
      <c r="E124" s="8"/>
      <c r="F124" s="8"/>
      <c r="G124" s="8"/>
      <c r="H124" s="8"/>
      <c r="I124" s="8"/>
      <c r="J124" s="8"/>
      <c r="K124" s="8"/>
      <c r="L124" s="8"/>
      <c r="M124" s="8"/>
      <c r="N124" s="8"/>
      <c r="O124" s="8"/>
      <c r="P124" s="8"/>
      <c r="Q124" s="8"/>
      <c r="R124" s="8"/>
      <c r="S124" s="8"/>
      <c r="T124" s="8"/>
      <c r="U124" s="8"/>
      <c r="V124" s="8"/>
    </row>
    <row r="125" spans="4:24" ht="14.25" customHeight="1" x14ac:dyDescent="0.2">
      <c r="D125" s="8"/>
      <c r="E125" s="8"/>
      <c r="F125" s="8"/>
      <c r="G125" s="8"/>
      <c r="H125" s="8"/>
      <c r="I125" s="8"/>
      <c r="J125" s="8"/>
      <c r="K125" s="8"/>
      <c r="L125" s="8"/>
      <c r="M125" s="8"/>
      <c r="N125" s="8"/>
      <c r="O125" s="8"/>
      <c r="P125" s="8"/>
      <c r="Q125" s="8"/>
      <c r="R125" s="8"/>
      <c r="S125" s="8"/>
      <c r="T125" s="8"/>
      <c r="U125" s="8"/>
      <c r="V125" s="8"/>
    </row>
    <row r="126" spans="4:24" ht="14.25" customHeight="1" x14ac:dyDescent="0.2">
      <c r="D126" s="8"/>
      <c r="E126" s="8"/>
      <c r="F126" s="8"/>
      <c r="G126" s="8"/>
      <c r="H126" s="8"/>
      <c r="I126" s="8"/>
      <c r="J126" s="8"/>
      <c r="K126" s="8"/>
      <c r="L126" s="8"/>
      <c r="M126" s="8"/>
      <c r="N126" s="8"/>
      <c r="O126" s="8"/>
      <c r="P126" s="8"/>
      <c r="Q126" s="8"/>
      <c r="R126" s="8"/>
      <c r="S126" s="8"/>
      <c r="T126" s="8"/>
      <c r="U126" s="8"/>
      <c r="V126" s="8"/>
    </row>
    <row r="127" spans="4:24" ht="14.25" customHeight="1" x14ac:dyDescent="0.2">
      <c r="D127" s="8"/>
      <c r="E127" s="8"/>
      <c r="F127" s="8"/>
      <c r="G127" s="8"/>
      <c r="H127" s="8"/>
      <c r="I127" s="8"/>
      <c r="J127" s="8"/>
      <c r="K127" s="8"/>
      <c r="L127" s="8"/>
      <c r="M127" s="8"/>
      <c r="N127" s="8"/>
      <c r="O127" s="8"/>
      <c r="P127" s="8"/>
      <c r="Q127" s="8"/>
      <c r="R127" s="8"/>
      <c r="S127" s="8"/>
      <c r="T127" s="8"/>
      <c r="U127" s="8"/>
      <c r="V127" s="8"/>
    </row>
    <row r="128" spans="4:24" ht="14.25" customHeight="1" x14ac:dyDescent="0.2">
      <c r="D128" s="8"/>
      <c r="E128" s="8"/>
      <c r="F128" s="8"/>
      <c r="G128" s="8"/>
      <c r="H128" s="8"/>
      <c r="I128" s="8"/>
      <c r="J128" s="8"/>
      <c r="K128" s="8"/>
      <c r="L128" s="8"/>
      <c r="M128" s="8"/>
      <c r="N128" s="8"/>
      <c r="O128" s="8"/>
      <c r="P128" s="8"/>
      <c r="Q128" s="8"/>
      <c r="R128" s="8"/>
      <c r="S128" s="8"/>
      <c r="T128" s="8"/>
      <c r="U128" s="8"/>
      <c r="V128" s="8"/>
    </row>
    <row r="129" spans="4:22" ht="14.25" customHeight="1" x14ac:dyDescent="0.2">
      <c r="D129" s="8"/>
      <c r="E129" s="8"/>
      <c r="F129" s="8"/>
      <c r="G129" s="8"/>
      <c r="H129" s="8"/>
      <c r="I129" s="8"/>
      <c r="J129" s="8"/>
      <c r="K129" s="8"/>
      <c r="L129" s="8"/>
      <c r="M129" s="8"/>
      <c r="N129" s="8"/>
      <c r="O129" s="8"/>
      <c r="P129" s="8"/>
      <c r="Q129" s="8"/>
      <c r="R129" s="8"/>
      <c r="S129" s="8"/>
      <c r="T129" s="8"/>
      <c r="U129" s="8"/>
      <c r="V129" s="8"/>
    </row>
    <row r="130" spans="4:22" ht="14.25" customHeight="1" x14ac:dyDescent="0.2">
      <c r="D130" s="8"/>
      <c r="E130" s="8"/>
      <c r="F130" s="8"/>
      <c r="G130" s="8"/>
      <c r="H130" s="8"/>
      <c r="I130" s="8"/>
      <c r="J130" s="8"/>
      <c r="K130" s="8"/>
      <c r="L130" s="8"/>
      <c r="M130" s="8"/>
      <c r="N130" s="8"/>
      <c r="O130" s="8"/>
      <c r="P130" s="8"/>
      <c r="Q130" s="8"/>
      <c r="R130" s="8"/>
      <c r="S130" s="8"/>
      <c r="T130" s="8"/>
      <c r="U130" s="8"/>
      <c r="V130" s="8"/>
    </row>
    <row r="131" spans="4:22" ht="14.25" customHeight="1" x14ac:dyDescent="0.2">
      <c r="D131" s="8"/>
      <c r="E131" s="8"/>
      <c r="F131" s="8"/>
      <c r="G131" s="8"/>
      <c r="H131" s="8"/>
      <c r="I131" s="8"/>
      <c r="J131" s="8"/>
      <c r="K131" s="8"/>
      <c r="L131" s="8"/>
      <c r="M131" s="8"/>
      <c r="N131" s="8"/>
      <c r="O131" s="8"/>
      <c r="P131" s="8"/>
      <c r="Q131" s="8"/>
      <c r="R131" s="8"/>
      <c r="S131" s="8"/>
      <c r="T131" s="8"/>
      <c r="U131" s="8"/>
      <c r="V131" s="8"/>
    </row>
    <row r="132" spans="4:22" ht="14.25" customHeight="1" x14ac:dyDescent="0.2">
      <c r="D132" s="8"/>
      <c r="E132" s="8"/>
      <c r="F132" s="8"/>
      <c r="G132" s="8"/>
      <c r="H132" s="8"/>
      <c r="I132" s="8"/>
      <c r="J132" s="8"/>
      <c r="K132" s="8"/>
      <c r="L132" s="8"/>
      <c r="M132" s="8"/>
      <c r="N132" s="8"/>
      <c r="O132" s="8"/>
      <c r="P132" s="8"/>
      <c r="Q132" s="8"/>
      <c r="R132" s="8"/>
      <c r="S132" s="8"/>
      <c r="T132" s="8"/>
      <c r="U132" s="8"/>
      <c r="V132" s="8"/>
    </row>
    <row r="133" spans="4:22" ht="14.25" customHeight="1" x14ac:dyDescent="0.2">
      <c r="D133" s="8"/>
      <c r="E133" s="8"/>
      <c r="F133" s="8"/>
      <c r="G133" s="8"/>
      <c r="H133" s="8"/>
      <c r="I133" s="8"/>
      <c r="J133" s="8"/>
      <c r="K133" s="8"/>
      <c r="L133" s="8"/>
      <c r="M133" s="8"/>
      <c r="N133" s="8"/>
      <c r="O133" s="8"/>
      <c r="P133" s="8"/>
      <c r="Q133" s="8"/>
      <c r="R133" s="8"/>
      <c r="S133" s="8"/>
      <c r="T133" s="8"/>
      <c r="U133" s="8"/>
      <c r="V133" s="8"/>
    </row>
    <row r="134" spans="4:22" ht="14.25" customHeight="1" x14ac:dyDescent="0.2">
      <c r="D134" s="8"/>
      <c r="E134" s="8"/>
      <c r="F134" s="8"/>
      <c r="G134" s="8"/>
      <c r="H134" s="8"/>
      <c r="I134" s="8"/>
      <c r="J134" s="8"/>
      <c r="K134" s="8"/>
      <c r="L134" s="8"/>
      <c r="M134" s="8"/>
      <c r="N134" s="8"/>
      <c r="O134" s="8"/>
      <c r="P134" s="8"/>
      <c r="Q134" s="8"/>
      <c r="R134" s="8"/>
      <c r="S134" s="8"/>
      <c r="T134" s="8"/>
      <c r="U134" s="8"/>
      <c r="V134" s="8"/>
    </row>
    <row r="135" spans="4:22" ht="14.25" customHeight="1" x14ac:dyDescent="0.2">
      <c r="D135" s="8"/>
      <c r="E135" s="8"/>
      <c r="F135" s="8"/>
      <c r="G135" s="8"/>
      <c r="H135" s="8"/>
      <c r="I135" s="8"/>
      <c r="J135" s="8"/>
      <c r="K135" s="8"/>
      <c r="L135" s="8"/>
      <c r="M135" s="8"/>
      <c r="N135" s="8"/>
      <c r="O135" s="8"/>
      <c r="P135" s="8"/>
      <c r="Q135" s="8"/>
      <c r="R135" s="8"/>
      <c r="S135" s="8"/>
      <c r="T135" s="8"/>
      <c r="U135" s="8"/>
      <c r="V135" s="8"/>
    </row>
    <row r="136" spans="4:22" ht="14.25" customHeight="1" x14ac:dyDescent="0.2">
      <c r="D136" s="8"/>
      <c r="E136" s="8"/>
      <c r="F136" s="8"/>
      <c r="G136" s="8"/>
      <c r="H136" s="8"/>
      <c r="I136" s="8"/>
      <c r="J136" s="8"/>
      <c r="K136" s="8"/>
      <c r="L136" s="8"/>
      <c r="M136" s="8"/>
      <c r="N136" s="8"/>
      <c r="O136" s="8"/>
      <c r="P136" s="8"/>
      <c r="Q136" s="8"/>
      <c r="R136" s="8"/>
      <c r="S136" s="8"/>
      <c r="T136" s="8"/>
      <c r="U136" s="8"/>
      <c r="V136" s="8"/>
    </row>
    <row r="137" spans="4:22" ht="14.25" customHeight="1" x14ac:dyDescent="0.2">
      <c r="D137" s="8"/>
      <c r="E137" s="8"/>
      <c r="F137" s="8"/>
      <c r="G137" s="8"/>
      <c r="H137" s="8"/>
      <c r="I137" s="8"/>
      <c r="J137" s="8"/>
      <c r="K137" s="8"/>
      <c r="L137" s="8"/>
      <c r="M137" s="8"/>
      <c r="N137" s="8"/>
      <c r="O137" s="8"/>
      <c r="P137" s="8"/>
      <c r="Q137" s="8"/>
      <c r="R137" s="8"/>
      <c r="S137" s="8"/>
      <c r="T137" s="8"/>
      <c r="U137" s="8"/>
      <c r="V137" s="8"/>
    </row>
    <row r="138" spans="4:22" ht="14.25" customHeight="1" x14ac:dyDescent="0.2">
      <c r="D138" s="8"/>
      <c r="E138" s="8"/>
      <c r="F138" s="8"/>
      <c r="G138" s="8"/>
      <c r="H138" s="8"/>
      <c r="I138" s="8"/>
      <c r="J138" s="8"/>
      <c r="K138" s="8"/>
      <c r="L138" s="8"/>
      <c r="M138" s="8"/>
      <c r="N138" s="8"/>
      <c r="O138" s="8"/>
      <c r="P138" s="8"/>
      <c r="Q138" s="8"/>
      <c r="R138" s="8"/>
      <c r="S138" s="8"/>
      <c r="T138" s="8"/>
      <c r="U138" s="8"/>
      <c r="V138" s="8"/>
    </row>
    <row r="139" spans="4:22" ht="14.25" customHeight="1" x14ac:dyDescent="0.2">
      <c r="D139" s="8"/>
      <c r="E139" s="8"/>
      <c r="F139" s="8"/>
      <c r="G139" s="8"/>
      <c r="H139" s="8"/>
      <c r="I139" s="8"/>
      <c r="J139" s="8"/>
      <c r="K139" s="8"/>
      <c r="L139" s="8"/>
      <c r="M139" s="8"/>
      <c r="N139" s="8"/>
      <c r="O139" s="8"/>
      <c r="P139" s="8"/>
      <c r="Q139" s="8"/>
      <c r="R139" s="8"/>
      <c r="S139" s="8"/>
      <c r="T139" s="8"/>
      <c r="U139" s="8"/>
      <c r="V139" s="8"/>
    </row>
    <row r="140" spans="4:22" ht="14.25" customHeight="1" x14ac:dyDescent="0.2">
      <c r="D140" s="8"/>
      <c r="E140" s="8"/>
      <c r="F140" s="8"/>
      <c r="G140" s="8"/>
      <c r="H140" s="8"/>
      <c r="I140" s="8"/>
      <c r="J140" s="8"/>
      <c r="K140" s="8"/>
      <c r="L140" s="8"/>
      <c r="M140" s="8"/>
      <c r="N140" s="8"/>
      <c r="O140" s="8"/>
      <c r="P140" s="8"/>
      <c r="Q140" s="8"/>
      <c r="R140" s="8"/>
      <c r="S140" s="8"/>
      <c r="T140" s="8"/>
      <c r="U140" s="8"/>
      <c r="V140" s="8"/>
    </row>
    <row r="141" spans="4:22" ht="14.25" customHeight="1" x14ac:dyDescent="0.2">
      <c r="D141" s="8"/>
      <c r="E141" s="8"/>
      <c r="F141" s="8"/>
      <c r="G141" s="8"/>
      <c r="H141" s="8"/>
      <c r="I141" s="8"/>
      <c r="J141" s="8"/>
      <c r="K141" s="8"/>
      <c r="L141" s="8"/>
      <c r="M141" s="8"/>
      <c r="N141" s="8"/>
      <c r="O141" s="8"/>
      <c r="P141" s="8"/>
      <c r="Q141" s="8"/>
      <c r="R141" s="8"/>
      <c r="S141" s="8"/>
      <c r="T141" s="8"/>
      <c r="U141" s="8"/>
      <c r="V141" s="8"/>
    </row>
    <row r="142" spans="4:22" ht="14.25" customHeight="1" x14ac:dyDescent="0.2">
      <c r="D142" s="8"/>
      <c r="E142" s="8"/>
      <c r="F142" s="8"/>
      <c r="G142" s="8"/>
      <c r="H142" s="8"/>
      <c r="I142" s="8"/>
      <c r="J142" s="8"/>
      <c r="K142" s="8"/>
      <c r="L142" s="8"/>
      <c r="M142" s="8"/>
      <c r="N142" s="8"/>
      <c r="O142" s="8"/>
      <c r="P142" s="8"/>
      <c r="Q142" s="8"/>
      <c r="R142" s="8"/>
      <c r="S142" s="8"/>
      <c r="T142" s="8"/>
      <c r="U142" s="8"/>
      <c r="V142" s="8"/>
    </row>
    <row r="143" spans="4:22" ht="14.25" customHeight="1" x14ac:dyDescent="0.2">
      <c r="D143" s="8"/>
      <c r="E143" s="8"/>
      <c r="F143" s="8"/>
      <c r="G143" s="8"/>
      <c r="H143" s="8"/>
      <c r="I143" s="8"/>
      <c r="J143" s="8"/>
      <c r="K143" s="8"/>
      <c r="L143" s="8"/>
      <c r="M143" s="8"/>
      <c r="N143" s="8"/>
      <c r="O143" s="8"/>
      <c r="P143" s="8"/>
      <c r="Q143" s="8"/>
      <c r="R143" s="8"/>
      <c r="S143" s="8"/>
      <c r="T143" s="8"/>
      <c r="U143" s="8"/>
      <c r="V143" s="8"/>
    </row>
  </sheetData>
  <phoneticPr fontId="3" type="noConversion"/>
  <conditionalFormatting sqref="D6:U40">
    <cfRule type="cellIs" dxfId="1" priority="1" operator="between">
      <formula>1</formula>
      <formula>2</formula>
    </cfRule>
  </conditionalFormatting>
  <printOptions headings="1" gridLines="1"/>
  <pageMargins left="0.75" right="0.75" top="1" bottom="1" header="0" footer="0"/>
  <pageSetup paperSize="9" orientation="portrait" blackAndWhite="1" cellComments="asDisplayed"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R119"/>
  <sheetViews>
    <sheetView defaultGridColor="0" topLeftCell="A18" colorId="22" zoomScaleNormal="100" workbookViewId="0">
      <selection activeCell="C69" sqref="C69"/>
    </sheetView>
  </sheetViews>
  <sheetFormatPr defaultColWidth="10.28515625" defaultRowHeight="14.25" customHeight="1" x14ac:dyDescent="0.2"/>
  <cols>
    <col min="1" max="1" width="7.5703125" style="7" customWidth="1"/>
    <col min="2" max="25" width="10.28515625" style="7"/>
    <col min="26" max="47" width="10.28515625" style="73"/>
    <col min="48" max="16384" width="10.28515625" style="7"/>
  </cols>
  <sheetData>
    <row r="1" spans="1:21" ht="12" customHeight="1" x14ac:dyDescent="0.2">
      <c r="A1" s="2"/>
    </row>
    <row r="2" spans="1:21" ht="12" customHeight="1" x14ac:dyDescent="0.2">
      <c r="A2" s="2"/>
    </row>
    <row r="3" spans="1:21" ht="12" customHeight="1" x14ac:dyDescent="0.2">
      <c r="D3" s="2" t="s">
        <v>42</v>
      </c>
      <c r="J3" s="2" t="s">
        <v>43</v>
      </c>
      <c r="P3" s="2" t="s">
        <v>54</v>
      </c>
    </row>
    <row r="4" spans="1:21" ht="12" customHeight="1" x14ac:dyDescent="0.2">
      <c r="D4" s="2" t="s">
        <v>33</v>
      </c>
      <c r="E4" s="2" t="s">
        <v>34</v>
      </c>
      <c r="F4" s="2" t="s">
        <v>35</v>
      </c>
      <c r="G4" s="2" t="s">
        <v>36</v>
      </c>
      <c r="H4" s="2" t="s">
        <v>37</v>
      </c>
      <c r="I4" s="2" t="s">
        <v>38</v>
      </c>
      <c r="J4" s="2" t="s">
        <v>33</v>
      </c>
      <c r="K4" s="2" t="s">
        <v>34</v>
      </c>
      <c r="L4" s="2" t="s">
        <v>35</v>
      </c>
      <c r="M4" s="2" t="s">
        <v>36</v>
      </c>
      <c r="N4" s="2" t="s">
        <v>37</v>
      </c>
      <c r="O4" s="2" t="s">
        <v>38</v>
      </c>
      <c r="P4" s="2" t="s">
        <v>33</v>
      </c>
      <c r="Q4" s="2" t="s">
        <v>34</v>
      </c>
      <c r="R4" s="2" t="s">
        <v>35</v>
      </c>
      <c r="S4" s="2" t="s">
        <v>36</v>
      </c>
      <c r="T4" s="2" t="s">
        <v>37</v>
      </c>
      <c r="U4" s="2" t="s">
        <v>38</v>
      </c>
    </row>
    <row r="6" spans="1:21" ht="12" customHeight="1" x14ac:dyDescent="0.2">
      <c r="A6" s="2"/>
      <c r="C6" s="2" t="s">
        <v>0</v>
      </c>
      <c r="D6" s="20">
        <v>3075</v>
      </c>
      <c r="E6" s="20">
        <v>3348</v>
      </c>
      <c r="F6" s="20">
        <v>3691</v>
      </c>
      <c r="G6" s="20">
        <v>4002</v>
      </c>
      <c r="H6" s="20">
        <v>3790</v>
      </c>
      <c r="I6" s="20">
        <v>4954</v>
      </c>
      <c r="J6" s="20">
        <v>5317</v>
      </c>
      <c r="K6" s="20">
        <v>5349</v>
      </c>
      <c r="L6" s="20">
        <v>5632</v>
      </c>
      <c r="M6" s="20">
        <v>5616</v>
      </c>
      <c r="N6" s="20">
        <v>5178</v>
      </c>
      <c r="O6" s="20">
        <v>6232</v>
      </c>
      <c r="P6" s="20">
        <v>8392</v>
      </c>
      <c r="Q6" s="20">
        <v>8697</v>
      </c>
      <c r="R6" s="20">
        <v>9323</v>
      </c>
      <c r="S6" s="20">
        <v>9618</v>
      </c>
      <c r="T6" s="20">
        <v>8968</v>
      </c>
      <c r="U6" s="20">
        <v>11186</v>
      </c>
    </row>
    <row r="7" spans="1:21" ht="12" customHeight="1" x14ac:dyDescent="0.2">
      <c r="C7" s="2" t="s">
        <v>1</v>
      </c>
      <c r="D7" s="20">
        <v>3490</v>
      </c>
      <c r="E7" s="20">
        <v>3230</v>
      </c>
      <c r="F7" s="20">
        <v>3290</v>
      </c>
      <c r="G7" s="20">
        <v>3221</v>
      </c>
      <c r="H7" s="20">
        <v>2738</v>
      </c>
      <c r="I7" s="20">
        <v>3437</v>
      </c>
      <c r="J7" s="20">
        <v>3718</v>
      </c>
      <c r="K7" s="20">
        <v>3336</v>
      </c>
      <c r="L7" s="20">
        <v>3402</v>
      </c>
      <c r="M7" s="20">
        <v>3069</v>
      </c>
      <c r="N7" s="20">
        <v>2646</v>
      </c>
      <c r="O7" s="20">
        <v>3026</v>
      </c>
      <c r="P7" s="20">
        <v>7208</v>
      </c>
      <c r="Q7" s="20">
        <v>6566</v>
      </c>
      <c r="R7" s="20">
        <v>6692</v>
      </c>
      <c r="S7" s="20">
        <v>6290</v>
      </c>
      <c r="T7" s="20">
        <v>5384</v>
      </c>
      <c r="U7" s="20">
        <v>6463</v>
      </c>
    </row>
    <row r="8" spans="1:21" ht="12" customHeight="1" x14ac:dyDescent="0.2">
      <c r="C8" s="2" t="s">
        <v>2</v>
      </c>
      <c r="D8" s="20">
        <v>4209</v>
      </c>
      <c r="E8" s="20">
        <v>3455</v>
      </c>
      <c r="F8" s="20">
        <v>3712</v>
      </c>
      <c r="G8" s="20">
        <v>3579</v>
      </c>
      <c r="H8" s="20">
        <v>3247</v>
      </c>
      <c r="I8" s="20">
        <v>4438</v>
      </c>
      <c r="J8" s="20">
        <v>1737</v>
      </c>
      <c r="K8" s="20">
        <v>1368</v>
      </c>
      <c r="L8" s="20">
        <v>1295</v>
      </c>
      <c r="M8" s="20">
        <v>1072</v>
      </c>
      <c r="N8" s="20">
        <v>841</v>
      </c>
      <c r="O8" s="20">
        <v>932</v>
      </c>
      <c r="P8" s="20">
        <v>5946</v>
      </c>
      <c r="Q8" s="20">
        <v>4823</v>
      </c>
      <c r="R8" s="20">
        <v>5007</v>
      </c>
      <c r="S8" s="20">
        <v>4651</v>
      </c>
      <c r="T8" s="20">
        <v>4088</v>
      </c>
      <c r="U8" s="20">
        <v>5370</v>
      </c>
    </row>
    <row r="9" spans="1:21" ht="12" customHeight="1" x14ac:dyDescent="0.2">
      <c r="C9" s="2" t="s">
        <v>3</v>
      </c>
      <c r="D9" s="20">
        <v>736</v>
      </c>
      <c r="E9" s="20">
        <v>763</v>
      </c>
      <c r="F9" s="20">
        <v>942</v>
      </c>
      <c r="G9" s="20">
        <v>954</v>
      </c>
      <c r="H9" s="20">
        <v>788</v>
      </c>
      <c r="I9" s="20">
        <v>906</v>
      </c>
      <c r="J9" s="20">
        <v>267</v>
      </c>
      <c r="K9" s="20">
        <v>362</v>
      </c>
      <c r="L9" s="20">
        <v>487</v>
      </c>
      <c r="M9" s="20">
        <v>482</v>
      </c>
      <c r="N9" s="20">
        <v>399</v>
      </c>
      <c r="O9" s="20">
        <v>397</v>
      </c>
      <c r="P9" s="20">
        <v>1003</v>
      </c>
      <c r="Q9" s="20">
        <v>1125</v>
      </c>
      <c r="R9" s="20">
        <v>1429</v>
      </c>
      <c r="S9" s="20">
        <v>1436</v>
      </c>
      <c r="T9" s="20">
        <v>1187</v>
      </c>
      <c r="U9" s="20">
        <v>1303</v>
      </c>
    </row>
    <row r="10" spans="1:21" ht="12" customHeight="1" x14ac:dyDescent="0.2">
      <c r="C10" s="2" t="s">
        <v>4</v>
      </c>
      <c r="D10" s="20">
        <v>6148</v>
      </c>
      <c r="E10" s="20">
        <v>4027</v>
      </c>
      <c r="F10" s="20">
        <v>4232</v>
      </c>
      <c r="G10" s="20">
        <v>4390</v>
      </c>
      <c r="H10" s="20">
        <v>4222</v>
      </c>
      <c r="I10" s="20">
        <v>7612</v>
      </c>
      <c r="J10" s="20">
        <v>4555</v>
      </c>
      <c r="K10" s="20">
        <v>3189</v>
      </c>
      <c r="L10" s="20">
        <v>3171</v>
      </c>
      <c r="M10" s="20">
        <v>2954</v>
      </c>
      <c r="N10" s="20">
        <v>2619</v>
      </c>
      <c r="O10" s="20">
        <v>3918</v>
      </c>
      <c r="P10" s="20">
        <v>10703</v>
      </c>
      <c r="Q10" s="20">
        <v>7216</v>
      </c>
      <c r="R10" s="20">
        <v>7403</v>
      </c>
      <c r="S10" s="20">
        <v>7344</v>
      </c>
      <c r="T10" s="20">
        <v>6841</v>
      </c>
      <c r="U10" s="20">
        <v>11530</v>
      </c>
    </row>
    <row r="11" spans="1:21" ht="12" customHeight="1" x14ac:dyDescent="0.2">
      <c r="C11" s="2" t="s">
        <v>5</v>
      </c>
      <c r="D11" s="20">
        <v>513</v>
      </c>
      <c r="E11" s="20">
        <v>309</v>
      </c>
      <c r="F11" s="20">
        <v>301</v>
      </c>
      <c r="G11" s="20">
        <v>240</v>
      </c>
      <c r="H11" s="20">
        <v>156</v>
      </c>
      <c r="I11" s="20">
        <v>152</v>
      </c>
      <c r="J11" s="20">
        <v>329</v>
      </c>
      <c r="K11" s="20">
        <v>179</v>
      </c>
      <c r="L11" s="20">
        <v>158</v>
      </c>
      <c r="M11" s="20">
        <v>97</v>
      </c>
      <c r="N11" s="20">
        <v>53</v>
      </c>
      <c r="O11" s="20">
        <v>68</v>
      </c>
      <c r="P11" s="20">
        <v>842</v>
      </c>
      <c r="Q11" s="20">
        <v>488</v>
      </c>
      <c r="R11" s="20">
        <v>459</v>
      </c>
      <c r="S11" s="20">
        <v>337</v>
      </c>
      <c r="T11" s="20">
        <v>209</v>
      </c>
      <c r="U11" s="20">
        <v>220</v>
      </c>
    </row>
    <row r="12" spans="1:21" ht="12" customHeight="1" x14ac:dyDescent="0.2">
      <c r="C12" s="2" t="s">
        <v>6</v>
      </c>
      <c r="D12" s="20">
        <v>1026</v>
      </c>
      <c r="E12" s="20">
        <v>1660</v>
      </c>
      <c r="F12" s="20">
        <v>2368</v>
      </c>
      <c r="G12" s="20">
        <v>2606</v>
      </c>
      <c r="H12" s="20">
        <v>2086</v>
      </c>
      <c r="I12" s="20">
        <v>1855</v>
      </c>
      <c r="J12" s="20">
        <v>1228</v>
      </c>
      <c r="K12" s="20">
        <v>1484</v>
      </c>
      <c r="L12" s="20">
        <v>1769</v>
      </c>
      <c r="M12" s="20">
        <v>1529</v>
      </c>
      <c r="N12" s="20">
        <v>988</v>
      </c>
      <c r="O12" s="20">
        <v>732</v>
      </c>
      <c r="P12" s="20">
        <v>2254</v>
      </c>
      <c r="Q12" s="20">
        <v>3144</v>
      </c>
      <c r="R12" s="20">
        <v>4137</v>
      </c>
      <c r="S12" s="20">
        <v>4135</v>
      </c>
      <c r="T12" s="20">
        <v>3074</v>
      </c>
      <c r="U12" s="20">
        <v>2587</v>
      </c>
    </row>
    <row r="13" spans="1:21" ht="12" customHeight="1" x14ac:dyDescent="0.2">
      <c r="C13" s="2" t="s">
        <v>168</v>
      </c>
      <c r="D13" s="20">
        <v>894</v>
      </c>
      <c r="E13" s="20">
        <v>1208</v>
      </c>
      <c r="F13" s="20">
        <v>1515</v>
      </c>
      <c r="G13" s="20">
        <v>1579</v>
      </c>
      <c r="H13" s="20">
        <v>1402</v>
      </c>
      <c r="I13" s="20">
        <v>1850</v>
      </c>
      <c r="J13" s="20">
        <v>99</v>
      </c>
      <c r="K13" s="20">
        <v>120</v>
      </c>
      <c r="L13" s="20">
        <v>161</v>
      </c>
      <c r="M13" s="20">
        <v>149</v>
      </c>
      <c r="N13" s="20">
        <v>176</v>
      </c>
      <c r="O13" s="20">
        <v>271</v>
      </c>
      <c r="P13" s="20">
        <v>993</v>
      </c>
      <c r="Q13" s="20">
        <v>1328</v>
      </c>
      <c r="R13" s="20">
        <v>1676</v>
      </c>
      <c r="S13" s="20">
        <v>1728</v>
      </c>
      <c r="T13" s="20">
        <v>1578</v>
      </c>
      <c r="U13" s="20">
        <v>2121</v>
      </c>
    </row>
    <row r="14" spans="1:21" ht="12" customHeight="1" x14ac:dyDescent="0.2">
      <c r="C14" s="2" t="s">
        <v>8</v>
      </c>
      <c r="D14" s="20">
        <v>521</v>
      </c>
      <c r="E14" s="20">
        <v>1379</v>
      </c>
      <c r="F14" s="20">
        <v>2482</v>
      </c>
      <c r="G14" s="20">
        <v>3237</v>
      </c>
      <c r="H14" s="20">
        <v>3268</v>
      </c>
      <c r="I14" s="20">
        <v>3322</v>
      </c>
      <c r="J14" s="20">
        <v>380</v>
      </c>
      <c r="K14" s="20">
        <v>952</v>
      </c>
      <c r="L14" s="20">
        <v>1542</v>
      </c>
      <c r="M14" s="20">
        <v>1916</v>
      </c>
      <c r="N14" s="20">
        <v>1733</v>
      </c>
      <c r="O14" s="20">
        <v>1630</v>
      </c>
      <c r="P14" s="20">
        <v>901</v>
      </c>
      <c r="Q14" s="20">
        <v>2331</v>
      </c>
      <c r="R14" s="20">
        <v>4024</v>
      </c>
      <c r="S14" s="20">
        <v>5153</v>
      </c>
      <c r="T14" s="20">
        <v>5001</v>
      </c>
      <c r="U14" s="20">
        <v>4952</v>
      </c>
    </row>
    <row r="15" spans="1:21" ht="12" customHeight="1" x14ac:dyDescent="0.2">
      <c r="C15" s="2" t="s">
        <v>9</v>
      </c>
      <c r="D15" s="20">
        <v>0</v>
      </c>
      <c r="E15" s="20">
        <v>7</v>
      </c>
      <c r="F15" s="20">
        <v>13</v>
      </c>
      <c r="G15" s="20">
        <v>10</v>
      </c>
      <c r="H15" s="20">
        <v>24</v>
      </c>
      <c r="I15" s="20">
        <v>21</v>
      </c>
      <c r="J15" s="20">
        <v>84</v>
      </c>
      <c r="K15" s="20">
        <v>90</v>
      </c>
      <c r="L15" s="20">
        <v>107</v>
      </c>
      <c r="M15" s="20">
        <v>111</v>
      </c>
      <c r="N15" s="20">
        <v>87</v>
      </c>
      <c r="O15" s="20">
        <v>47</v>
      </c>
      <c r="P15" s="20">
        <v>84</v>
      </c>
      <c r="Q15" s="20">
        <v>97</v>
      </c>
      <c r="R15" s="20">
        <v>120</v>
      </c>
      <c r="S15" s="20">
        <v>121</v>
      </c>
      <c r="T15" s="20">
        <v>111</v>
      </c>
      <c r="U15" s="20">
        <v>68</v>
      </c>
    </row>
    <row r="16" spans="1:21" ht="12" customHeight="1" x14ac:dyDescent="0.2">
      <c r="C16" s="2" t="s">
        <v>10</v>
      </c>
      <c r="D16" s="20">
        <v>231</v>
      </c>
      <c r="E16" s="20">
        <v>420</v>
      </c>
      <c r="F16" s="20">
        <v>567</v>
      </c>
      <c r="G16" s="20">
        <v>634</v>
      </c>
      <c r="H16" s="20">
        <v>720</v>
      </c>
      <c r="I16" s="20">
        <v>1440</v>
      </c>
      <c r="J16" s="20">
        <v>208</v>
      </c>
      <c r="K16" s="20">
        <v>270</v>
      </c>
      <c r="L16" s="20">
        <v>348</v>
      </c>
      <c r="M16" s="20">
        <v>412</v>
      </c>
      <c r="N16" s="20">
        <v>448</v>
      </c>
      <c r="O16" s="20">
        <v>801</v>
      </c>
      <c r="P16" s="20">
        <v>439</v>
      </c>
      <c r="Q16" s="20">
        <v>690</v>
      </c>
      <c r="R16" s="20">
        <v>915</v>
      </c>
      <c r="S16" s="20">
        <v>1046</v>
      </c>
      <c r="T16" s="20">
        <v>1168</v>
      </c>
      <c r="U16" s="20">
        <v>2241</v>
      </c>
    </row>
    <row r="17" spans="3:21" ht="12" customHeight="1" x14ac:dyDescent="0.2">
      <c r="C17" s="2" t="s">
        <v>11</v>
      </c>
      <c r="D17" s="20">
        <v>2240</v>
      </c>
      <c r="E17" s="20">
        <v>3607</v>
      </c>
      <c r="F17" s="20">
        <v>4657</v>
      </c>
      <c r="G17" s="20">
        <v>4503</v>
      </c>
      <c r="H17" s="20">
        <v>3254</v>
      </c>
      <c r="I17" s="20">
        <v>3215</v>
      </c>
      <c r="J17" s="20">
        <v>1962</v>
      </c>
      <c r="K17" s="20">
        <v>2596</v>
      </c>
      <c r="L17" s="20">
        <v>3403</v>
      </c>
      <c r="M17" s="20">
        <v>3138</v>
      </c>
      <c r="N17" s="20">
        <v>2316</v>
      </c>
      <c r="O17" s="20">
        <v>2389</v>
      </c>
      <c r="P17" s="20">
        <v>4202</v>
      </c>
      <c r="Q17" s="20">
        <v>6203</v>
      </c>
      <c r="R17" s="20">
        <v>8060</v>
      </c>
      <c r="S17" s="20">
        <v>7641</v>
      </c>
      <c r="T17" s="20">
        <v>5570</v>
      </c>
      <c r="U17" s="20">
        <v>5604</v>
      </c>
    </row>
    <row r="18" spans="3:21" ht="12" customHeight="1" x14ac:dyDescent="0.2">
      <c r="C18" s="2" t="s">
        <v>12</v>
      </c>
      <c r="D18" s="20">
        <v>2180</v>
      </c>
      <c r="E18" s="20">
        <v>1930</v>
      </c>
      <c r="F18" s="20">
        <v>1947</v>
      </c>
      <c r="G18" s="20">
        <v>1620</v>
      </c>
      <c r="H18" s="20">
        <v>1243</v>
      </c>
      <c r="I18" s="20">
        <v>1551</v>
      </c>
      <c r="J18" s="20">
        <v>1207</v>
      </c>
      <c r="K18" s="20">
        <v>869</v>
      </c>
      <c r="L18" s="20">
        <v>843</v>
      </c>
      <c r="M18" s="20">
        <v>630</v>
      </c>
      <c r="N18" s="20">
        <v>480</v>
      </c>
      <c r="O18" s="20">
        <v>632</v>
      </c>
      <c r="P18" s="20">
        <v>3387</v>
      </c>
      <c r="Q18" s="20">
        <v>2799</v>
      </c>
      <c r="R18" s="20">
        <v>2790</v>
      </c>
      <c r="S18" s="20">
        <v>2250</v>
      </c>
      <c r="T18" s="20">
        <v>1723</v>
      </c>
      <c r="U18" s="20">
        <v>2183</v>
      </c>
    </row>
    <row r="19" spans="3:21" ht="12" customHeight="1" x14ac:dyDescent="0.2">
      <c r="C19" s="2" t="s">
        <v>13</v>
      </c>
      <c r="D19" s="20">
        <v>2679</v>
      </c>
      <c r="E19" s="20">
        <v>2830</v>
      </c>
      <c r="F19" s="20">
        <v>3408</v>
      </c>
      <c r="G19" s="20">
        <v>3273</v>
      </c>
      <c r="H19" s="20">
        <v>2402</v>
      </c>
      <c r="I19" s="20">
        <v>2250</v>
      </c>
      <c r="J19" s="20">
        <v>3377</v>
      </c>
      <c r="K19" s="20">
        <v>2821</v>
      </c>
      <c r="L19" s="20">
        <v>2728</v>
      </c>
      <c r="M19" s="20">
        <v>2262</v>
      </c>
      <c r="N19" s="20">
        <v>1572</v>
      </c>
      <c r="O19" s="20">
        <v>1290</v>
      </c>
      <c r="P19" s="20">
        <v>6056</v>
      </c>
      <c r="Q19" s="20">
        <v>5651</v>
      </c>
      <c r="R19" s="20">
        <v>6136</v>
      </c>
      <c r="S19" s="20">
        <v>5535</v>
      </c>
      <c r="T19" s="20">
        <v>3974</v>
      </c>
      <c r="U19" s="20">
        <v>3540</v>
      </c>
    </row>
    <row r="20" spans="3:21" ht="12" customHeight="1" x14ac:dyDescent="0.2">
      <c r="C20" s="2" t="s">
        <v>14</v>
      </c>
      <c r="D20" s="20">
        <v>1083</v>
      </c>
      <c r="E20" s="20">
        <v>1194</v>
      </c>
      <c r="F20" s="20">
        <v>1350</v>
      </c>
      <c r="G20" s="20">
        <v>1087</v>
      </c>
      <c r="H20" s="20">
        <v>740</v>
      </c>
      <c r="I20" s="20">
        <v>735</v>
      </c>
      <c r="J20" s="20">
        <v>1014</v>
      </c>
      <c r="K20" s="20">
        <v>864</v>
      </c>
      <c r="L20" s="20">
        <v>845</v>
      </c>
      <c r="M20" s="20">
        <v>718</v>
      </c>
      <c r="N20" s="20">
        <v>522</v>
      </c>
      <c r="O20" s="20">
        <v>550</v>
      </c>
      <c r="P20" s="20">
        <v>2097</v>
      </c>
      <c r="Q20" s="20">
        <v>2058</v>
      </c>
      <c r="R20" s="20">
        <v>2195</v>
      </c>
      <c r="S20" s="20">
        <v>1805</v>
      </c>
      <c r="T20" s="20">
        <v>1262</v>
      </c>
      <c r="U20" s="20">
        <v>1285</v>
      </c>
    </row>
    <row r="21" spans="3:21" ht="12" customHeight="1" x14ac:dyDescent="0.2">
      <c r="C21" s="2" t="s">
        <v>15</v>
      </c>
      <c r="D21" s="20">
        <v>3020</v>
      </c>
      <c r="E21" s="20">
        <v>3955</v>
      </c>
      <c r="F21" s="20">
        <v>4603</v>
      </c>
      <c r="G21" s="20">
        <v>3810</v>
      </c>
      <c r="H21" s="20">
        <v>2517</v>
      </c>
      <c r="I21" s="20">
        <v>1735</v>
      </c>
      <c r="J21" s="20">
        <v>3825</v>
      </c>
      <c r="K21" s="20">
        <v>4673</v>
      </c>
      <c r="L21" s="20">
        <v>5111</v>
      </c>
      <c r="M21" s="20">
        <v>4009</v>
      </c>
      <c r="N21" s="20">
        <v>2562</v>
      </c>
      <c r="O21" s="20">
        <v>1679</v>
      </c>
      <c r="P21" s="20">
        <v>6845</v>
      </c>
      <c r="Q21" s="20">
        <v>8628</v>
      </c>
      <c r="R21" s="20">
        <v>9714</v>
      </c>
      <c r="S21" s="20">
        <v>7819</v>
      </c>
      <c r="T21" s="20">
        <v>5079</v>
      </c>
      <c r="U21" s="20">
        <v>3414</v>
      </c>
    </row>
    <row r="22" spans="3:21" ht="12" customHeight="1" x14ac:dyDescent="0.2">
      <c r="C22" s="2" t="s">
        <v>16</v>
      </c>
      <c r="D22" s="20">
        <v>868</v>
      </c>
      <c r="E22" s="20">
        <v>1102</v>
      </c>
      <c r="F22" s="20">
        <v>1480</v>
      </c>
      <c r="G22" s="20">
        <v>1512</v>
      </c>
      <c r="H22" s="20">
        <v>1310</v>
      </c>
      <c r="I22" s="20">
        <v>1889</v>
      </c>
      <c r="J22" s="20">
        <v>1627</v>
      </c>
      <c r="K22" s="20">
        <v>1957</v>
      </c>
      <c r="L22" s="20">
        <v>2133</v>
      </c>
      <c r="M22" s="20">
        <v>1900</v>
      </c>
      <c r="N22" s="20">
        <v>1576</v>
      </c>
      <c r="O22" s="20">
        <v>2215</v>
      </c>
      <c r="P22" s="20">
        <v>2495</v>
      </c>
      <c r="Q22" s="20">
        <v>3059</v>
      </c>
      <c r="R22" s="20">
        <v>3613</v>
      </c>
      <c r="S22" s="20">
        <v>3412</v>
      </c>
      <c r="T22" s="20">
        <v>2886</v>
      </c>
      <c r="U22" s="20">
        <v>4104</v>
      </c>
    </row>
    <row r="23" spans="3:21" ht="12" customHeight="1" x14ac:dyDescent="0.2">
      <c r="C23" s="2" t="s">
        <v>17</v>
      </c>
      <c r="D23" s="20">
        <v>1493</v>
      </c>
      <c r="E23" s="20">
        <v>2344</v>
      </c>
      <c r="F23" s="20">
        <v>3346</v>
      </c>
      <c r="G23" s="20">
        <v>3733</v>
      </c>
      <c r="H23" s="20">
        <v>3608</v>
      </c>
      <c r="I23" s="20">
        <v>4665</v>
      </c>
      <c r="J23" s="20">
        <v>6839</v>
      </c>
      <c r="K23" s="20">
        <v>7890</v>
      </c>
      <c r="L23" s="20">
        <v>8840</v>
      </c>
      <c r="M23" s="20">
        <v>8023</v>
      </c>
      <c r="N23" s="20">
        <v>6480</v>
      </c>
      <c r="O23" s="20">
        <v>7516</v>
      </c>
      <c r="P23" s="20">
        <v>8332</v>
      </c>
      <c r="Q23" s="20">
        <v>10234</v>
      </c>
      <c r="R23" s="20">
        <v>12186</v>
      </c>
      <c r="S23" s="20">
        <v>11756</v>
      </c>
      <c r="T23" s="20">
        <v>10088</v>
      </c>
      <c r="U23" s="20">
        <v>12181</v>
      </c>
    </row>
    <row r="24" spans="3:21" ht="12" customHeight="1" x14ac:dyDescent="0.2">
      <c r="C24" s="2" t="s">
        <v>18</v>
      </c>
      <c r="D24" s="20">
        <v>905</v>
      </c>
      <c r="E24" s="20">
        <v>1262</v>
      </c>
      <c r="F24" s="20">
        <v>1662</v>
      </c>
      <c r="G24" s="20">
        <v>1707</v>
      </c>
      <c r="H24" s="20">
        <v>1425</v>
      </c>
      <c r="I24" s="20">
        <v>1575</v>
      </c>
      <c r="J24" s="20">
        <v>4028</v>
      </c>
      <c r="K24" s="20">
        <v>4383</v>
      </c>
      <c r="L24" s="20">
        <v>4749</v>
      </c>
      <c r="M24" s="20">
        <v>4042</v>
      </c>
      <c r="N24" s="20">
        <v>3121</v>
      </c>
      <c r="O24" s="20">
        <v>3122</v>
      </c>
      <c r="P24" s="20">
        <v>4933</v>
      </c>
      <c r="Q24" s="20">
        <v>5645</v>
      </c>
      <c r="R24" s="20">
        <v>6411</v>
      </c>
      <c r="S24" s="20">
        <v>5749</v>
      </c>
      <c r="T24" s="20">
        <v>4546</v>
      </c>
      <c r="U24" s="20">
        <v>4697</v>
      </c>
    </row>
    <row r="25" spans="3:21" ht="12" customHeight="1" x14ac:dyDescent="0.2">
      <c r="C25" s="2" t="s">
        <v>19</v>
      </c>
      <c r="D25" s="20">
        <v>362</v>
      </c>
      <c r="E25" s="20">
        <v>428</v>
      </c>
      <c r="F25" s="20">
        <v>552</v>
      </c>
      <c r="G25" s="20">
        <v>623</v>
      </c>
      <c r="H25" s="20">
        <v>540</v>
      </c>
      <c r="I25" s="20">
        <v>889</v>
      </c>
      <c r="J25" s="20">
        <v>481</v>
      </c>
      <c r="K25" s="20">
        <v>597</v>
      </c>
      <c r="L25" s="20">
        <v>719</v>
      </c>
      <c r="M25" s="20">
        <v>661</v>
      </c>
      <c r="N25" s="20">
        <v>571</v>
      </c>
      <c r="O25" s="20">
        <v>758</v>
      </c>
      <c r="P25" s="20">
        <v>843</v>
      </c>
      <c r="Q25" s="20">
        <v>1025</v>
      </c>
      <c r="R25" s="20">
        <v>1271</v>
      </c>
      <c r="S25" s="20">
        <v>1284</v>
      </c>
      <c r="T25" s="20">
        <v>1111</v>
      </c>
      <c r="U25" s="20">
        <v>1647</v>
      </c>
    </row>
    <row r="26" spans="3:21" ht="12" customHeight="1" x14ac:dyDescent="0.2">
      <c r="C26" s="2" t="s">
        <v>20</v>
      </c>
      <c r="D26" s="20">
        <v>2218</v>
      </c>
      <c r="E26" s="20">
        <v>2540</v>
      </c>
      <c r="F26" s="20">
        <v>3145</v>
      </c>
      <c r="G26" s="20">
        <v>3225</v>
      </c>
      <c r="H26" s="20">
        <v>2435</v>
      </c>
      <c r="I26" s="20">
        <v>2811</v>
      </c>
      <c r="J26" s="20">
        <v>7022</v>
      </c>
      <c r="K26" s="20">
        <v>6682</v>
      </c>
      <c r="L26" s="20">
        <v>7172</v>
      </c>
      <c r="M26" s="20">
        <v>5625</v>
      </c>
      <c r="N26" s="20">
        <v>3223</v>
      </c>
      <c r="O26" s="20">
        <v>3147</v>
      </c>
      <c r="P26" s="20">
        <v>9240</v>
      </c>
      <c r="Q26" s="20">
        <v>9222</v>
      </c>
      <c r="R26" s="20">
        <v>10317</v>
      </c>
      <c r="S26" s="20">
        <v>8850</v>
      </c>
      <c r="T26" s="20">
        <v>5658</v>
      </c>
      <c r="U26" s="20">
        <v>5958</v>
      </c>
    </row>
    <row r="27" spans="3:21" ht="12" customHeight="1" x14ac:dyDescent="0.2">
      <c r="C27" s="2" t="s">
        <v>21</v>
      </c>
      <c r="D27" s="20">
        <v>496</v>
      </c>
      <c r="E27" s="20">
        <v>941</v>
      </c>
      <c r="F27" s="20">
        <v>1190</v>
      </c>
      <c r="G27" s="20">
        <v>986</v>
      </c>
      <c r="H27" s="20">
        <v>578</v>
      </c>
      <c r="I27" s="20">
        <v>290</v>
      </c>
      <c r="J27" s="20">
        <v>1797</v>
      </c>
      <c r="K27" s="20">
        <v>2830</v>
      </c>
      <c r="L27" s="20">
        <v>3199</v>
      </c>
      <c r="M27" s="20">
        <v>2030</v>
      </c>
      <c r="N27" s="20">
        <v>774</v>
      </c>
      <c r="O27" s="20">
        <v>408</v>
      </c>
      <c r="P27" s="20">
        <v>2293</v>
      </c>
      <c r="Q27" s="20">
        <v>3771</v>
      </c>
      <c r="R27" s="20">
        <v>4389</v>
      </c>
      <c r="S27" s="20">
        <v>3016</v>
      </c>
      <c r="T27" s="20">
        <v>1352</v>
      </c>
      <c r="U27" s="20">
        <v>698</v>
      </c>
    </row>
    <row r="28" spans="3:21" ht="12" customHeight="1" x14ac:dyDescent="0.2">
      <c r="C28" s="2" t="s">
        <v>22</v>
      </c>
      <c r="D28" s="20">
        <v>3377</v>
      </c>
      <c r="E28" s="20">
        <v>4715</v>
      </c>
      <c r="F28" s="20">
        <v>6364</v>
      </c>
      <c r="G28" s="20">
        <v>6047</v>
      </c>
      <c r="H28" s="20">
        <v>3713</v>
      </c>
      <c r="I28" s="20">
        <v>1995</v>
      </c>
      <c r="J28" s="20">
        <v>8332</v>
      </c>
      <c r="K28" s="20">
        <v>11552</v>
      </c>
      <c r="L28" s="20">
        <v>15003</v>
      </c>
      <c r="M28" s="20">
        <v>13160</v>
      </c>
      <c r="N28" s="20">
        <v>7183</v>
      </c>
      <c r="O28" s="20">
        <v>3357</v>
      </c>
      <c r="P28" s="20">
        <v>11709</v>
      </c>
      <c r="Q28" s="20">
        <v>16267</v>
      </c>
      <c r="R28" s="20">
        <v>21367</v>
      </c>
      <c r="S28" s="20">
        <v>19207</v>
      </c>
      <c r="T28" s="20">
        <v>10896</v>
      </c>
      <c r="U28" s="20">
        <v>5352</v>
      </c>
    </row>
    <row r="29" spans="3:21" ht="12" customHeight="1" x14ac:dyDescent="0.2">
      <c r="C29" s="2" t="s">
        <v>61</v>
      </c>
      <c r="D29" s="20">
        <v>1261</v>
      </c>
      <c r="E29" s="20">
        <v>2446</v>
      </c>
      <c r="F29" s="20">
        <v>3257</v>
      </c>
      <c r="G29" s="20">
        <v>2726</v>
      </c>
      <c r="H29" s="20">
        <v>1379</v>
      </c>
      <c r="I29" s="20">
        <v>1048</v>
      </c>
      <c r="J29" s="20">
        <v>2253</v>
      </c>
      <c r="K29" s="20">
        <v>3730</v>
      </c>
      <c r="L29" s="20">
        <v>4296</v>
      </c>
      <c r="M29" s="20">
        <v>2803</v>
      </c>
      <c r="N29" s="20">
        <v>1340</v>
      </c>
      <c r="O29" s="20">
        <v>875</v>
      </c>
      <c r="P29" s="20">
        <v>3514</v>
      </c>
      <c r="Q29" s="20">
        <v>6176</v>
      </c>
      <c r="R29" s="20">
        <v>7553</v>
      </c>
      <c r="S29" s="20">
        <v>5529</v>
      </c>
      <c r="T29" s="20">
        <v>2719</v>
      </c>
      <c r="U29" s="20">
        <v>1923</v>
      </c>
    </row>
    <row r="30" spans="3:21" ht="12" customHeight="1" x14ac:dyDescent="0.2">
      <c r="C30" s="2" t="s">
        <v>23</v>
      </c>
      <c r="D30" s="20">
        <v>585</v>
      </c>
      <c r="E30" s="20">
        <v>1470</v>
      </c>
      <c r="F30" s="20">
        <v>1714</v>
      </c>
      <c r="G30" s="20">
        <v>1015</v>
      </c>
      <c r="H30" s="20">
        <v>425</v>
      </c>
      <c r="I30" s="20">
        <v>381</v>
      </c>
      <c r="J30" s="20">
        <v>1155</v>
      </c>
      <c r="K30" s="20">
        <v>2132</v>
      </c>
      <c r="L30" s="20">
        <v>2398</v>
      </c>
      <c r="M30" s="20">
        <v>1379</v>
      </c>
      <c r="N30" s="20">
        <v>562</v>
      </c>
      <c r="O30" s="20">
        <v>397</v>
      </c>
      <c r="P30" s="20">
        <v>1740</v>
      </c>
      <c r="Q30" s="20">
        <v>3602</v>
      </c>
      <c r="R30" s="20">
        <v>4112</v>
      </c>
      <c r="S30" s="20">
        <v>2394</v>
      </c>
      <c r="T30" s="20">
        <v>987</v>
      </c>
      <c r="U30" s="20">
        <v>778</v>
      </c>
    </row>
    <row r="31" spans="3:21" ht="12" customHeight="1" x14ac:dyDescent="0.2">
      <c r="C31" s="2" t="s">
        <v>24</v>
      </c>
      <c r="D31" s="20">
        <v>1086</v>
      </c>
      <c r="E31" s="20">
        <v>843</v>
      </c>
      <c r="F31" s="20">
        <v>934</v>
      </c>
      <c r="G31" s="20">
        <v>725</v>
      </c>
      <c r="H31" s="20">
        <v>546</v>
      </c>
      <c r="I31" s="20">
        <v>507</v>
      </c>
      <c r="J31" s="20">
        <v>2389</v>
      </c>
      <c r="K31" s="20">
        <v>2157</v>
      </c>
      <c r="L31" s="20">
        <v>2024</v>
      </c>
      <c r="M31" s="20">
        <v>1764</v>
      </c>
      <c r="N31" s="20">
        <v>1369</v>
      </c>
      <c r="O31" s="20">
        <v>1329</v>
      </c>
      <c r="P31" s="20">
        <v>3475</v>
      </c>
      <c r="Q31" s="20">
        <v>3000</v>
      </c>
      <c r="R31" s="20">
        <v>2958</v>
      </c>
      <c r="S31" s="20">
        <v>2489</v>
      </c>
      <c r="T31" s="20">
        <v>1915</v>
      </c>
      <c r="U31" s="20">
        <v>1836</v>
      </c>
    </row>
    <row r="32" spans="3:21" ht="12" customHeight="1" x14ac:dyDescent="0.2">
      <c r="C32" s="2" t="s">
        <v>25</v>
      </c>
      <c r="D32" s="20">
        <v>499</v>
      </c>
      <c r="E32" s="20">
        <v>453</v>
      </c>
      <c r="F32" s="20">
        <v>514</v>
      </c>
      <c r="G32" s="20">
        <v>416</v>
      </c>
      <c r="H32" s="20">
        <v>297</v>
      </c>
      <c r="I32" s="20">
        <v>218</v>
      </c>
      <c r="J32" s="20">
        <v>883</v>
      </c>
      <c r="K32" s="20">
        <v>815</v>
      </c>
      <c r="L32" s="20">
        <v>970</v>
      </c>
      <c r="M32" s="20">
        <v>826</v>
      </c>
      <c r="N32" s="20">
        <v>544</v>
      </c>
      <c r="O32" s="20">
        <v>381</v>
      </c>
      <c r="P32" s="20">
        <v>1382</v>
      </c>
      <c r="Q32" s="20">
        <v>1268</v>
      </c>
      <c r="R32" s="20">
        <v>1484</v>
      </c>
      <c r="S32" s="20">
        <v>1242</v>
      </c>
      <c r="T32" s="20">
        <v>841</v>
      </c>
      <c r="U32" s="20">
        <v>599</v>
      </c>
    </row>
    <row r="33" spans="2:70" ht="12" customHeight="1" x14ac:dyDescent="0.2">
      <c r="C33" s="2" t="s">
        <v>26</v>
      </c>
      <c r="D33" s="20">
        <v>400</v>
      </c>
      <c r="E33" s="20">
        <v>327</v>
      </c>
      <c r="F33" s="20">
        <v>299</v>
      </c>
      <c r="G33" s="20">
        <v>248</v>
      </c>
      <c r="H33" s="20">
        <v>173</v>
      </c>
      <c r="I33" s="20">
        <v>127</v>
      </c>
      <c r="J33" s="20">
        <v>814</v>
      </c>
      <c r="K33" s="20">
        <v>822</v>
      </c>
      <c r="L33" s="20">
        <v>824</v>
      </c>
      <c r="M33" s="20">
        <v>696</v>
      </c>
      <c r="N33" s="20">
        <v>494</v>
      </c>
      <c r="O33" s="20">
        <v>482</v>
      </c>
      <c r="P33" s="20">
        <v>1214</v>
      </c>
      <c r="Q33" s="20">
        <v>1149</v>
      </c>
      <c r="R33" s="20">
        <v>1123</v>
      </c>
      <c r="S33" s="20">
        <v>944</v>
      </c>
      <c r="T33" s="20">
        <v>667</v>
      </c>
      <c r="U33" s="20">
        <v>609</v>
      </c>
    </row>
    <row r="34" spans="2:70" ht="12" customHeight="1" x14ac:dyDescent="0.2">
      <c r="C34" s="2" t="s">
        <v>27</v>
      </c>
      <c r="D34" s="20">
        <v>537</v>
      </c>
      <c r="E34" s="20">
        <v>318</v>
      </c>
      <c r="F34" s="20">
        <v>140</v>
      </c>
      <c r="G34" s="20">
        <v>75</v>
      </c>
      <c r="H34" s="20">
        <v>67</v>
      </c>
      <c r="I34" s="20">
        <v>95</v>
      </c>
      <c r="J34" s="20">
        <v>805</v>
      </c>
      <c r="K34" s="20">
        <v>380</v>
      </c>
      <c r="L34" s="20">
        <v>216</v>
      </c>
      <c r="M34" s="20">
        <v>140</v>
      </c>
      <c r="N34" s="20">
        <v>95</v>
      </c>
      <c r="O34" s="20">
        <v>124</v>
      </c>
      <c r="P34" s="20">
        <v>1342</v>
      </c>
      <c r="Q34" s="20">
        <v>698</v>
      </c>
      <c r="R34" s="20">
        <v>356</v>
      </c>
      <c r="S34" s="20">
        <v>215</v>
      </c>
      <c r="T34" s="20">
        <v>162</v>
      </c>
      <c r="U34" s="20">
        <v>219</v>
      </c>
    </row>
    <row r="35" spans="2:70" ht="12" customHeight="1" x14ac:dyDescent="0.2">
      <c r="C35" s="2" t="s">
        <v>28</v>
      </c>
      <c r="D35" s="20">
        <v>680</v>
      </c>
      <c r="E35" s="20">
        <v>503</v>
      </c>
      <c r="F35" s="20">
        <v>483</v>
      </c>
      <c r="G35" s="20">
        <v>365</v>
      </c>
      <c r="H35" s="20">
        <v>209</v>
      </c>
      <c r="I35" s="20">
        <v>158</v>
      </c>
      <c r="J35" s="20">
        <v>1098</v>
      </c>
      <c r="K35" s="20">
        <v>811</v>
      </c>
      <c r="L35" s="20">
        <v>616</v>
      </c>
      <c r="M35" s="20">
        <v>383</v>
      </c>
      <c r="N35" s="20">
        <v>208</v>
      </c>
      <c r="O35" s="20">
        <v>126</v>
      </c>
      <c r="P35" s="20">
        <v>1778</v>
      </c>
      <c r="Q35" s="20">
        <v>1314</v>
      </c>
      <c r="R35" s="20">
        <v>1099</v>
      </c>
      <c r="S35" s="20">
        <v>748</v>
      </c>
      <c r="T35" s="20">
        <v>417</v>
      </c>
      <c r="U35" s="20">
        <v>284</v>
      </c>
    </row>
    <row r="36" spans="2:70" ht="12" customHeight="1" x14ac:dyDescent="0.2">
      <c r="C36" s="2" t="s">
        <v>29</v>
      </c>
      <c r="D36" s="20">
        <v>940</v>
      </c>
      <c r="E36" s="20">
        <v>1070</v>
      </c>
      <c r="F36" s="20">
        <v>1029</v>
      </c>
      <c r="G36" s="20">
        <v>752</v>
      </c>
      <c r="H36" s="20">
        <v>543</v>
      </c>
      <c r="I36" s="20">
        <v>510</v>
      </c>
      <c r="J36" s="20">
        <v>2418</v>
      </c>
      <c r="K36" s="20">
        <v>2614</v>
      </c>
      <c r="L36" s="20">
        <v>2409</v>
      </c>
      <c r="M36" s="20">
        <v>1760</v>
      </c>
      <c r="N36" s="20">
        <v>1014</v>
      </c>
      <c r="O36" s="20">
        <v>808</v>
      </c>
      <c r="P36" s="20">
        <v>3358</v>
      </c>
      <c r="Q36" s="20">
        <v>3684</v>
      </c>
      <c r="R36" s="20">
        <v>3438</v>
      </c>
      <c r="S36" s="20">
        <v>2512</v>
      </c>
      <c r="T36" s="20">
        <v>1557</v>
      </c>
      <c r="U36" s="20">
        <v>1318</v>
      </c>
    </row>
    <row r="37" spans="2:70" ht="12" customHeight="1" x14ac:dyDescent="0.2">
      <c r="C37" s="2" t="s">
        <v>30</v>
      </c>
      <c r="D37" s="20">
        <v>837</v>
      </c>
      <c r="E37" s="20">
        <v>959</v>
      </c>
      <c r="F37" s="20">
        <v>1269</v>
      </c>
      <c r="G37" s="20">
        <v>1195</v>
      </c>
      <c r="H37" s="20">
        <v>850</v>
      </c>
      <c r="I37" s="20">
        <v>808</v>
      </c>
      <c r="J37" s="20">
        <v>925</v>
      </c>
      <c r="K37" s="20">
        <v>927</v>
      </c>
      <c r="L37" s="20">
        <v>1014</v>
      </c>
      <c r="M37" s="20">
        <v>853</v>
      </c>
      <c r="N37" s="20">
        <v>516</v>
      </c>
      <c r="O37" s="20">
        <v>320</v>
      </c>
      <c r="P37" s="20">
        <v>1762</v>
      </c>
      <c r="Q37" s="20">
        <v>1886</v>
      </c>
      <c r="R37" s="20">
        <v>2283</v>
      </c>
      <c r="S37" s="20">
        <v>2048</v>
      </c>
      <c r="T37" s="20">
        <v>1366</v>
      </c>
      <c r="U37" s="20">
        <v>1128</v>
      </c>
    </row>
    <row r="38" spans="2:70" ht="12" customHeight="1" x14ac:dyDescent="0.2">
      <c r="C38" s="2" t="s">
        <v>31</v>
      </c>
      <c r="D38" s="20">
        <v>1006</v>
      </c>
      <c r="E38" s="20">
        <v>1868</v>
      </c>
      <c r="F38" s="20">
        <v>2712</v>
      </c>
      <c r="G38" s="20">
        <v>3117</v>
      </c>
      <c r="H38" s="20">
        <v>2886</v>
      </c>
      <c r="I38" s="20">
        <v>2170</v>
      </c>
      <c r="J38" s="20">
        <v>1625</v>
      </c>
      <c r="K38" s="20">
        <v>1802</v>
      </c>
      <c r="L38" s="20">
        <v>2138</v>
      </c>
      <c r="M38" s="20">
        <v>1931</v>
      </c>
      <c r="N38" s="20">
        <v>1494</v>
      </c>
      <c r="O38" s="20">
        <v>1115</v>
      </c>
      <c r="P38" s="20">
        <v>2631</v>
      </c>
      <c r="Q38" s="20">
        <v>3670</v>
      </c>
      <c r="R38" s="20">
        <v>4850</v>
      </c>
      <c r="S38" s="20">
        <v>5048</v>
      </c>
      <c r="T38" s="20">
        <v>4380</v>
      </c>
      <c r="U38" s="20">
        <v>3285</v>
      </c>
    </row>
    <row r="39" spans="2:70" ht="12" customHeight="1" x14ac:dyDescent="0.2">
      <c r="C39" s="2" t="s">
        <v>32</v>
      </c>
      <c r="D39" s="20">
        <v>3678</v>
      </c>
      <c r="E39" s="20">
        <v>5205</v>
      </c>
      <c r="F39" s="20">
        <v>7750</v>
      </c>
      <c r="G39" s="20">
        <v>8936</v>
      </c>
      <c r="H39" s="20">
        <v>8848</v>
      </c>
      <c r="I39" s="20">
        <v>11653</v>
      </c>
      <c r="J39" s="20">
        <v>5001</v>
      </c>
      <c r="K39" s="20">
        <v>6889</v>
      </c>
      <c r="L39" s="20">
        <v>9327</v>
      </c>
      <c r="M39" s="20">
        <v>10125</v>
      </c>
      <c r="N39" s="20">
        <v>9546</v>
      </c>
      <c r="O39" s="20">
        <v>11239</v>
      </c>
      <c r="P39" s="20">
        <v>8679</v>
      </c>
      <c r="Q39" s="20">
        <v>12094</v>
      </c>
      <c r="R39" s="20">
        <v>17077</v>
      </c>
      <c r="S39" s="20">
        <v>19061</v>
      </c>
      <c r="T39" s="20">
        <v>18394</v>
      </c>
      <c r="U39" s="20">
        <v>22892</v>
      </c>
    </row>
    <row r="40" spans="2:70" ht="12" customHeight="1" x14ac:dyDescent="0.2">
      <c r="C40" s="2" t="s">
        <v>62</v>
      </c>
      <c r="D40" s="20">
        <v>53273</v>
      </c>
      <c r="E40" s="20">
        <v>62116</v>
      </c>
      <c r="F40" s="20">
        <v>76918</v>
      </c>
      <c r="G40" s="20">
        <v>76148</v>
      </c>
      <c r="H40" s="20">
        <v>62429</v>
      </c>
      <c r="I40" s="20">
        <v>71262</v>
      </c>
      <c r="J40" s="20">
        <v>78799</v>
      </c>
      <c r="K40" s="20">
        <v>87492</v>
      </c>
      <c r="L40" s="20">
        <v>99049</v>
      </c>
      <c r="M40" s="20">
        <v>86265</v>
      </c>
      <c r="N40" s="20">
        <v>62730</v>
      </c>
      <c r="O40" s="20">
        <v>62313</v>
      </c>
      <c r="P40" s="20">
        <v>132072</v>
      </c>
      <c r="Q40" s="20">
        <v>149608</v>
      </c>
      <c r="R40" s="20">
        <v>175967</v>
      </c>
      <c r="S40" s="20">
        <v>162413</v>
      </c>
      <c r="T40" s="20">
        <v>125159</v>
      </c>
      <c r="U40" s="20">
        <v>133575</v>
      </c>
    </row>
    <row r="41" spans="2:70" ht="12" customHeight="1" x14ac:dyDescent="0.2">
      <c r="B41" s="2"/>
      <c r="C41" s="2"/>
      <c r="D41" s="16"/>
      <c r="E41" s="16"/>
      <c r="F41" s="16"/>
      <c r="G41" s="16"/>
      <c r="H41" s="16"/>
      <c r="I41" s="16"/>
      <c r="J41" s="16"/>
      <c r="K41" s="16"/>
      <c r="L41" s="16"/>
      <c r="M41" s="16"/>
      <c r="N41" s="16"/>
      <c r="O41" s="16"/>
      <c r="P41" s="16"/>
      <c r="Q41" s="16"/>
      <c r="R41" s="16"/>
      <c r="S41" s="16"/>
      <c r="T41" s="16"/>
      <c r="U41" s="16"/>
    </row>
    <row r="42" spans="2:70" ht="14.25" customHeight="1" x14ac:dyDescent="0.2">
      <c r="D42" s="2" t="s">
        <v>59</v>
      </c>
      <c r="K42" s="2" t="s">
        <v>59</v>
      </c>
      <c r="R42" s="2" t="s">
        <v>59</v>
      </c>
      <c r="AW42" s="78"/>
      <c r="AX42" s="78"/>
      <c r="AY42" s="78"/>
      <c r="AZ42" s="78"/>
      <c r="BA42" s="78"/>
      <c r="BB42" s="78"/>
      <c r="BC42" s="78"/>
      <c r="BD42" s="78"/>
      <c r="BE42" s="78"/>
      <c r="BF42" s="78"/>
      <c r="BG42" s="78"/>
      <c r="BH42" s="78"/>
      <c r="BI42" s="78"/>
      <c r="BJ42" s="78"/>
      <c r="BK42" s="78"/>
      <c r="BL42" s="78"/>
      <c r="BM42" s="78"/>
      <c r="BN42" s="78"/>
      <c r="BO42" s="78"/>
      <c r="BP42" s="78"/>
      <c r="BQ42" s="78"/>
      <c r="BR42" s="78"/>
    </row>
    <row r="43" spans="2:70" ht="14.25" customHeight="1" x14ac:dyDescent="0.2">
      <c r="D43" s="2" t="s">
        <v>33</v>
      </c>
      <c r="E43" s="2" t="s">
        <v>34</v>
      </c>
      <c r="F43" s="2" t="s">
        <v>35</v>
      </c>
      <c r="G43" s="2" t="s">
        <v>36</v>
      </c>
      <c r="H43" s="2" t="s">
        <v>37</v>
      </c>
      <c r="I43" s="2" t="s">
        <v>47</v>
      </c>
      <c r="J43" s="2" t="s">
        <v>58</v>
      </c>
      <c r="K43" s="2" t="s">
        <v>33</v>
      </c>
      <c r="L43" s="2" t="s">
        <v>34</v>
      </c>
      <c r="M43" s="2" t="s">
        <v>35</v>
      </c>
      <c r="N43" s="2" t="s">
        <v>36</v>
      </c>
      <c r="O43" s="2" t="s">
        <v>37</v>
      </c>
      <c r="P43" s="2" t="s">
        <v>47</v>
      </c>
      <c r="Q43" s="2" t="s">
        <v>58</v>
      </c>
      <c r="R43" s="2" t="s">
        <v>33</v>
      </c>
      <c r="S43" s="2" t="s">
        <v>34</v>
      </c>
      <c r="T43" s="2" t="s">
        <v>35</v>
      </c>
      <c r="U43" s="2" t="s">
        <v>36</v>
      </c>
      <c r="V43" s="2" t="s">
        <v>37</v>
      </c>
      <c r="W43" s="2" t="s">
        <v>47</v>
      </c>
      <c r="X43" s="2" t="s">
        <v>58</v>
      </c>
      <c r="AW43" s="78"/>
      <c r="AX43" s="78"/>
      <c r="AY43" s="78"/>
      <c r="AZ43" s="78"/>
      <c r="BA43" s="78"/>
      <c r="BB43" s="78"/>
      <c r="BC43" s="78"/>
      <c r="BD43" s="78"/>
      <c r="BE43" s="78"/>
      <c r="BF43" s="78"/>
      <c r="BG43" s="78"/>
      <c r="BH43" s="78"/>
      <c r="BI43" s="78"/>
      <c r="BJ43" s="78"/>
      <c r="BK43" s="78"/>
      <c r="BL43" s="78"/>
      <c r="BM43" s="78"/>
      <c r="BN43" s="78"/>
      <c r="BO43" s="78"/>
      <c r="BP43" s="78"/>
      <c r="BQ43" s="78"/>
      <c r="BR43" s="78"/>
    </row>
    <row r="44" spans="2:70" ht="14.25" customHeight="1" x14ac:dyDescent="0.2">
      <c r="C44" s="2" t="s">
        <v>0</v>
      </c>
      <c r="D44" s="8">
        <v>13.5</v>
      </c>
      <c r="E44" s="8">
        <v>14.6</v>
      </c>
      <c r="F44" s="8">
        <v>16.100000000000001</v>
      </c>
      <c r="G44" s="8">
        <v>17.5</v>
      </c>
      <c r="H44" s="8">
        <v>16.600000000000001</v>
      </c>
      <c r="I44" s="8">
        <v>78.3</v>
      </c>
      <c r="J44" s="15">
        <v>22860</v>
      </c>
      <c r="K44" s="8">
        <v>16</v>
      </c>
      <c r="L44" s="8">
        <v>16.100000000000001</v>
      </c>
      <c r="M44" s="8">
        <v>16.899999999999999</v>
      </c>
      <c r="N44" s="8">
        <v>16.899999999999999</v>
      </c>
      <c r="O44" s="8">
        <v>15.5</v>
      </c>
      <c r="P44" s="8">
        <v>81.3</v>
      </c>
      <c r="Q44" s="15">
        <v>33324</v>
      </c>
      <c r="R44" s="8">
        <v>14.9</v>
      </c>
      <c r="S44" s="8">
        <v>15.5</v>
      </c>
      <c r="T44" s="8">
        <v>16.600000000000001</v>
      </c>
      <c r="U44" s="8">
        <v>17.100000000000001</v>
      </c>
      <c r="V44" s="8">
        <v>16</v>
      </c>
      <c r="W44" s="8">
        <v>80.099999999999994</v>
      </c>
      <c r="X44" s="15">
        <v>56184</v>
      </c>
      <c r="AW44" s="78"/>
      <c r="AX44" s="89"/>
      <c r="AY44" s="89"/>
      <c r="AZ44" s="89"/>
      <c r="BA44" s="89"/>
      <c r="BB44" s="89"/>
      <c r="BC44" s="89"/>
      <c r="BD44" s="89"/>
      <c r="BE44" s="89"/>
      <c r="BF44" s="89"/>
      <c r="BG44" s="89"/>
      <c r="BH44" s="89"/>
      <c r="BI44" s="89"/>
      <c r="BJ44" s="89"/>
      <c r="BK44" s="89"/>
      <c r="BL44" s="89"/>
      <c r="BM44" s="89"/>
      <c r="BN44" s="89"/>
      <c r="BO44" s="89"/>
      <c r="BP44" s="89"/>
      <c r="BQ44" s="89"/>
      <c r="BR44" s="89"/>
    </row>
    <row r="45" spans="2:70" ht="14.25" customHeight="1" x14ac:dyDescent="0.2">
      <c r="C45" s="2" t="s">
        <v>1</v>
      </c>
      <c r="D45" s="8">
        <v>18</v>
      </c>
      <c r="E45" s="8">
        <v>16.600000000000001</v>
      </c>
      <c r="F45" s="8">
        <v>17</v>
      </c>
      <c r="G45" s="8">
        <v>16.600000000000001</v>
      </c>
      <c r="H45" s="8">
        <v>14.1</v>
      </c>
      <c r="I45" s="8">
        <v>82.3</v>
      </c>
      <c r="J45" s="15">
        <v>19406</v>
      </c>
      <c r="K45" s="8">
        <v>19.399999999999999</v>
      </c>
      <c r="L45" s="8">
        <v>17.399999999999999</v>
      </c>
      <c r="M45" s="8">
        <v>17.7</v>
      </c>
      <c r="N45" s="8">
        <v>16</v>
      </c>
      <c r="O45" s="8">
        <v>13.8</v>
      </c>
      <c r="P45" s="8">
        <v>84.2</v>
      </c>
      <c r="Q45" s="15">
        <v>19197</v>
      </c>
      <c r="R45" s="8">
        <v>18.7</v>
      </c>
      <c r="S45" s="8">
        <v>17</v>
      </c>
      <c r="T45" s="8">
        <v>17.3</v>
      </c>
      <c r="U45" s="8">
        <v>16.3</v>
      </c>
      <c r="V45" s="8">
        <v>13.9</v>
      </c>
      <c r="W45" s="8">
        <v>83.3</v>
      </c>
      <c r="X45" s="15">
        <v>38603</v>
      </c>
      <c r="AW45" s="78"/>
      <c r="AX45" s="89"/>
      <c r="AY45" s="89"/>
      <c r="AZ45" s="89"/>
      <c r="BA45" s="89"/>
      <c r="BB45" s="89"/>
      <c r="BC45" s="89"/>
      <c r="BD45" s="89"/>
      <c r="BE45" s="89"/>
      <c r="BF45" s="89"/>
      <c r="BG45" s="89"/>
      <c r="BH45" s="89"/>
      <c r="BI45" s="89"/>
      <c r="BJ45" s="89"/>
      <c r="BK45" s="89"/>
      <c r="BL45" s="89"/>
      <c r="BM45" s="89"/>
      <c r="BN45" s="89"/>
      <c r="BO45" s="89"/>
      <c r="BP45" s="89"/>
      <c r="BQ45" s="89"/>
      <c r="BR45" s="89"/>
    </row>
    <row r="46" spans="2:70" ht="14.25" customHeight="1" x14ac:dyDescent="0.2">
      <c r="C46" s="2" t="s">
        <v>2</v>
      </c>
      <c r="D46" s="8">
        <v>18.600000000000001</v>
      </c>
      <c r="E46" s="8">
        <v>15.3</v>
      </c>
      <c r="F46" s="8">
        <v>16.399999999999999</v>
      </c>
      <c r="G46" s="8">
        <v>15.8</v>
      </c>
      <c r="H46" s="8">
        <v>14.3</v>
      </c>
      <c r="I46" s="8">
        <v>80.400000000000006</v>
      </c>
      <c r="J46" s="15">
        <v>22640</v>
      </c>
      <c r="K46" s="8">
        <v>24</v>
      </c>
      <c r="L46" s="8">
        <v>18.899999999999999</v>
      </c>
      <c r="M46" s="8">
        <v>17.899999999999999</v>
      </c>
      <c r="N46" s="8">
        <v>14.8</v>
      </c>
      <c r="O46" s="8">
        <v>11.6</v>
      </c>
      <c r="P46" s="8">
        <v>87.1</v>
      </c>
      <c r="Q46" s="15">
        <v>7245</v>
      </c>
      <c r="R46" s="8">
        <v>19.899999999999999</v>
      </c>
      <c r="S46" s="8">
        <v>16.100000000000001</v>
      </c>
      <c r="T46" s="8">
        <v>16.8</v>
      </c>
      <c r="U46" s="8">
        <v>15.6</v>
      </c>
      <c r="V46" s="8">
        <v>13.7</v>
      </c>
      <c r="W46" s="8">
        <v>82</v>
      </c>
      <c r="X46" s="15">
        <v>29885</v>
      </c>
      <c r="AW46" s="78"/>
      <c r="AX46" s="89"/>
      <c r="AY46" s="89"/>
      <c r="AZ46" s="89"/>
      <c r="BA46" s="89"/>
      <c r="BB46" s="89"/>
      <c r="BC46" s="89"/>
      <c r="BD46" s="89"/>
      <c r="BE46" s="89"/>
      <c r="BF46" s="89"/>
      <c r="BG46" s="89"/>
      <c r="BH46" s="89"/>
      <c r="BI46" s="89"/>
      <c r="BJ46" s="89"/>
      <c r="BK46" s="89"/>
      <c r="BL46" s="89"/>
      <c r="BM46" s="89"/>
      <c r="BN46" s="89"/>
      <c r="BO46" s="89"/>
      <c r="BP46" s="89"/>
      <c r="BQ46" s="89"/>
      <c r="BR46" s="89"/>
    </row>
    <row r="47" spans="2:70" ht="14.25" customHeight="1" x14ac:dyDescent="0.2">
      <c r="C47" s="2" t="s">
        <v>3</v>
      </c>
      <c r="D47" s="8">
        <v>14.5</v>
      </c>
      <c r="E47" s="8">
        <v>15</v>
      </c>
      <c r="F47" s="8">
        <v>18.5</v>
      </c>
      <c r="G47" s="8">
        <v>18.7</v>
      </c>
      <c r="H47" s="8">
        <v>15.5</v>
      </c>
      <c r="I47" s="8">
        <v>82.2</v>
      </c>
      <c r="J47" s="15">
        <v>5089</v>
      </c>
      <c r="K47" s="8">
        <v>11.2</v>
      </c>
      <c r="L47" s="8">
        <v>15.1</v>
      </c>
      <c r="M47" s="8">
        <v>20.3</v>
      </c>
      <c r="N47" s="8">
        <v>20.100000000000001</v>
      </c>
      <c r="O47" s="8">
        <v>16.7</v>
      </c>
      <c r="P47" s="8">
        <v>83.4</v>
      </c>
      <c r="Q47" s="15">
        <v>2394</v>
      </c>
      <c r="R47" s="8">
        <v>13.4</v>
      </c>
      <c r="S47" s="8">
        <v>15</v>
      </c>
      <c r="T47" s="8">
        <v>19.100000000000001</v>
      </c>
      <c r="U47" s="8">
        <v>19.2</v>
      </c>
      <c r="V47" s="8">
        <v>15.9</v>
      </c>
      <c r="W47" s="8">
        <v>82.6</v>
      </c>
      <c r="X47" s="15">
        <v>7483</v>
      </c>
      <c r="AW47" s="78"/>
      <c r="AX47" s="89"/>
      <c r="AY47" s="89"/>
      <c r="AZ47" s="89"/>
      <c r="BA47" s="89"/>
      <c r="BB47" s="89"/>
      <c r="BC47" s="89"/>
      <c r="BD47" s="89"/>
      <c r="BE47" s="89"/>
      <c r="BF47" s="89"/>
      <c r="BG47" s="89"/>
      <c r="BH47" s="89"/>
      <c r="BI47" s="89"/>
      <c r="BJ47" s="89"/>
      <c r="BK47" s="89"/>
      <c r="BL47" s="89"/>
      <c r="BM47" s="89"/>
      <c r="BN47" s="89"/>
      <c r="BO47" s="89"/>
      <c r="BP47" s="89"/>
      <c r="BQ47" s="89"/>
      <c r="BR47" s="89"/>
    </row>
    <row r="48" spans="2:70" ht="14.25" customHeight="1" x14ac:dyDescent="0.2">
      <c r="C48" s="2" t="s">
        <v>4</v>
      </c>
      <c r="D48" s="8">
        <v>20.100000000000001</v>
      </c>
      <c r="E48" s="8">
        <v>13.1</v>
      </c>
      <c r="F48" s="8">
        <v>13.8</v>
      </c>
      <c r="G48" s="8">
        <v>14.3</v>
      </c>
      <c r="H48" s="8">
        <v>13.8</v>
      </c>
      <c r="I48" s="8">
        <v>75.099999999999994</v>
      </c>
      <c r="J48" s="15">
        <v>30631</v>
      </c>
      <c r="K48" s="8">
        <v>22.3</v>
      </c>
      <c r="L48" s="8">
        <v>15.6</v>
      </c>
      <c r="M48" s="8">
        <v>15.5</v>
      </c>
      <c r="N48" s="8">
        <v>14.5</v>
      </c>
      <c r="O48" s="8">
        <v>12.8</v>
      </c>
      <c r="P48" s="8">
        <v>80.8</v>
      </c>
      <c r="Q48" s="15">
        <v>20406</v>
      </c>
      <c r="R48" s="8">
        <v>21</v>
      </c>
      <c r="S48" s="8">
        <v>14.1</v>
      </c>
      <c r="T48" s="8">
        <v>14.5</v>
      </c>
      <c r="U48" s="8">
        <v>14.4</v>
      </c>
      <c r="V48" s="8">
        <v>13.4</v>
      </c>
      <c r="W48" s="8">
        <v>77.400000000000006</v>
      </c>
      <c r="X48" s="15">
        <v>51037</v>
      </c>
      <c r="AW48" s="78"/>
      <c r="AX48" s="89"/>
      <c r="AY48" s="89"/>
      <c r="AZ48" s="89"/>
      <c r="BA48" s="89"/>
      <c r="BB48" s="89"/>
      <c r="BC48" s="89"/>
      <c r="BD48" s="89"/>
      <c r="BE48" s="89"/>
      <c r="BF48" s="89"/>
      <c r="BG48" s="89"/>
      <c r="BH48" s="89"/>
      <c r="BI48" s="89"/>
      <c r="BJ48" s="89"/>
      <c r="BK48" s="89"/>
      <c r="BL48" s="89"/>
      <c r="BM48" s="89"/>
      <c r="BN48" s="89"/>
      <c r="BO48" s="89"/>
      <c r="BP48" s="89"/>
      <c r="BQ48" s="89"/>
      <c r="BR48" s="89"/>
    </row>
    <row r="49" spans="3:70" ht="14.25" customHeight="1" x14ac:dyDescent="0.2">
      <c r="C49" s="2" t="s">
        <v>5</v>
      </c>
      <c r="D49" s="8">
        <v>30.7</v>
      </c>
      <c r="E49" s="8">
        <v>18.5</v>
      </c>
      <c r="F49" s="8">
        <v>18</v>
      </c>
      <c r="G49" s="8">
        <v>14.4</v>
      </c>
      <c r="H49" s="8">
        <v>9.3000000000000007</v>
      </c>
      <c r="I49" s="8">
        <v>90.9</v>
      </c>
      <c r="J49" s="15">
        <v>1671</v>
      </c>
      <c r="K49" s="8">
        <v>37.200000000000003</v>
      </c>
      <c r="L49" s="8">
        <v>20.2</v>
      </c>
      <c r="M49" s="8">
        <v>17.899999999999999</v>
      </c>
      <c r="N49" s="8">
        <v>11</v>
      </c>
      <c r="O49" s="8">
        <v>6</v>
      </c>
      <c r="P49" s="8">
        <v>92.3</v>
      </c>
      <c r="Q49" s="15">
        <v>884</v>
      </c>
      <c r="R49" s="8">
        <v>33</v>
      </c>
      <c r="S49" s="8">
        <v>19.100000000000001</v>
      </c>
      <c r="T49" s="8">
        <v>18</v>
      </c>
      <c r="U49" s="8">
        <v>13.2</v>
      </c>
      <c r="V49" s="8">
        <v>8.1999999999999993</v>
      </c>
      <c r="W49" s="8">
        <v>91.4</v>
      </c>
      <c r="X49" s="15">
        <v>2555</v>
      </c>
      <c r="AW49" s="78"/>
      <c r="AX49" s="89"/>
      <c r="AY49" s="89"/>
      <c r="AZ49" s="89"/>
      <c r="BA49" s="89"/>
      <c r="BB49" s="89"/>
      <c r="BC49" s="89"/>
      <c r="BD49" s="89"/>
      <c r="BE49" s="89"/>
      <c r="BF49" s="89"/>
      <c r="BG49" s="89"/>
      <c r="BH49" s="89"/>
      <c r="BI49" s="89"/>
      <c r="BJ49" s="89"/>
      <c r="BK49" s="89"/>
      <c r="BL49" s="89"/>
      <c r="BM49" s="89"/>
      <c r="BN49" s="89"/>
      <c r="BO49" s="89"/>
      <c r="BP49" s="89"/>
      <c r="BQ49" s="89"/>
      <c r="BR49" s="89"/>
    </row>
    <row r="50" spans="3:70" ht="14.25" customHeight="1" x14ac:dyDescent="0.2">
      <c r="C50" s="2" t="s">
        <v>6</v>
      </c>
      <c r="D50" s="8">
        <v>8.8000000000000007</v>
      </c>
      <c r="E50" s="8">
        <v>14.3</v>
      </c>
      <c r="F50" s="8">
        <v>20.399999999999999</v>
      </c>
      <c r="G50" s="8">
        <v>22.5</v>
      </c>
      <c r="H50" s="8">
        <v>18</v>
      </c>
      <c r="I50" s="8">
        <v>84</v>
      </c>
      <c r="J50" s="15">
        <v>11601</v>
      </c>
      <c r="K50" s="8">
        <v>15.9</v>
      </c>
      <c r="L50" s="8">
        <v>19.2</v>
      </c>
      <c r="M50" s="8">
        <v>22.9</v>
      </c>
      <c r="N50" s="8">
        <v>19.8</v>
      </c>
      <c r="O50" s="8">
        <v>12.8</v>
      </c>
      <c r="P50" s="8">
        <v>90.5</v>
      </c>
      <c r="Q50" s="15">
        <v>7730</v>
      </c>
      <c r="R50" s="8">
        <v>11.7</v>
      </c>
      <c r="S50" s="8">
        <v>16.3</v>
      </c>
      <c r="T50" s="8">
        <v>21.4</v>
      </c>
      <c r="U50" s="8">
        <v>21.4</v>
      </c>
      <c r="V50" s="8">
        <v>15.9</v>
      </c>
      <c r="W50" s="8">
        <v>86.6</v>
      </c>
      <c r="X50" s="15">
        <v>19331</v>
      </c>
      <c r="AW50" s="78"/>
      <c r="AX50" s="89"/>
      <c r="AY50" s="89"/>
      <c r="AZ50" s="89"/>
      <c r="BA50" s="89"/>
      <c r="BB50" s="89"/>
      <c r="BC50" s="89"/>
      <c r="BD50" s="89"/>
      <c r="BE50" s="89"/>
      <c r="BF50" s="89"/>
      <c r="BG50" s="89"/>
      <c r="BH50" s="89"/>
      <c r="BI50" s="89"/>
      <c r="BJ50" s="89"/>
      <c r="BK50" s="89"/>
      <c r="BL50" s="89"/>
      <c r="BM50" s="89"/>
      <c r="BN50" s="89"/>
      <c r="BO50" s="89"/>
      <c r="BP50" s="89"/>
      <c r="BQ50" s="89"/>
      <c r="BR50" s="89"/>
    </row>
    <row r="51" spans="3:70" ht="14.25" customHeight="1" x14ac:dyDescent="0.2">
      <c r="C51" s="2" t="s">
        <v>168</v>
      </c>
      <c r="D51" s="8">
        <v>10.6</v>
      </c>
      <c r="E51" s="8">
        <v>14.3</v>
      </c>
      <c r="F51" s="8">
        <v>17.899999999999999</v>
      </c>
      <c r="G51" s="8">
        <v>18.7</v>
      </c>
      <c r="H51" s="8">
        <v>16.600000000000001</v>
      </c>
      <c r="I51" s="8">
        <v>78.099999999999994</v>
      </c>
      <c r="J51" s="15">
        <v>8448</v>
      </c>
      <c r="K51" s="8">
        <v>10.1</v>
      </c>
      <c r="L51" s="8">
        <v>12.3</v>
      </c>
      <c r="M51" s="8">
        <v>16.5</v>
      </c>
      <c r="N51" s="8">
        <v>15.3</v>
      </c>
      <c r="O51" s="8">
        <v>18</v>
      </c>
      <c r="P51" s="8">
        <v>72.2</v>
      </c>
      <c r="Q51" s="15">
        <v>976</v>
      </c>
      <c r="R51" s="8">
        <v>10.5</v>
      </c>
      <c r="S51" s="8">
        <v>14.1</v>
      </c>
      <c r="T51" s="8">
        <v>17.8</v>
      </c>
      <c r="U51" s="8">
        <v>18.3</v>
      </c>
      <c r="V51" s="8">
        <v>16.7</v>
      </c>
      <c r="W51" s="8">
        <v>77.5</v>
      </c>
      <c r="X51" s="15">
        <v>9424</v>
      </c>
      <c r="AW51" s="78"/>
      <c r="AX51" s="89"/>
      <c r="AY51" s="89"/>
      <c r="AZ51" s="89"/>
      <c r="BA51" s="89"/>
      <c r="BB51" s="89"/>
      <c r="BC51" s="89"/>
      <c r="BD51" s="89"/>
      <c r="BE51" s="89"/>
      <c r="BF51" s="89"/>
      <c r="BG51" s="89"/>
      <c r="BH51" s="89"/>
      <c r="BI51" s="89"/>
      <c r="BJ51" s="89"/>
      <c r="BK51" s="89"/>
      <c r="BL51" s="89"/>
      <c r="BM51" s="89"/>
      <c r="BN51" s="89"/>
      <c r="BO51" s="89"/>
      <c r="BP51" s="89"/>
      <c r="BQ51" s="89"/>
      <c r="BR51" s="89"/>
    </row>
    <row r="52" spans="3:70" ht="14.25" customHeight="1" x14ac:dyDescent="0.2">
      <c r="C52" s="2" t="s">
        <v>8</v>
      </c>
      <c r="D52" s="8">
        <v>3.7</v>
      </c>
      <c r="E52" s="8">
        <v>9.6999999999999993</v>
      </c>
      <c r="F52" s="8">
        <v>17.5</v>
      </c>
      <c r="G52" s="8">
        <v>22.8</v>
      </c>
      <c r="H52" s="8">
        <v>23</v>
      </c>
      <c r="I52" s="8">
        <v>76.599999999999994</v>
      </c>
      <c r="J52" s="15">
        <v>14209</v>
      </c>
      <c r="K52" s="8">
        <v>4.7</v>
      </c>
      <c r="L52" s="8">
        <v>11.7</v>
      </c>
      <c r="M52" s="8">
        <v>18.899999999999999</v>
      </c>
      <c r="N52" s="8">
        <v>23.5</v>
      </c>
      <c r="O52" s="8">
        <v>21.3</v>
      </c>
      <c r="P52" s="8">
        <v>80</v>
      </c>
      <c r="Q52" s="15">
        <v>8153</v>
      </c>
      <c r="R52" s="8">
        <v>4</v>
      </c>
      <c r="S52" s="8">
        <v>10.4</v>
      </c>
      <c r="T52" s="8">
        <v>18</v>
      </c>
      <c r="U52" s="8">
        <v>23</v>
      </c>
      <c r="V52" s="8">
        <v>22.4</v>
      </c>
      <c r="W52" s="8">
        <v>77.900000000000006</v>
      </c>
      <c r="X52" s="15">
        <v>22362</v>
      </c>
      <c r="AW52" s="78"/>
      <c r="AX52" s="89"/>
      <c r="AY52" s="89"/>
      <c r="AZ52" s="89"/>
      <c r="BA52" s="89"/>
      <c r="BB52" s="89"/>
      <c r="BC52" s="89"/>
      <c r="BD52" s="89"/>
      <c r="BE52" s="89"/>
      <c r="BF52" s="89"/>
      <c r="BG52" s="89"/>
      <c r="BH52" s="89"/>
      <c r="BI52" s="89"/>
      <c r="BJ52" s="89"/>
      <c r="BK52" s="89"/>
      <c r="BL52" s="89"/>
      <c r="BM52" s="89"/>
      <c r="BN52" s="89"/>
      <c r="BO52" s="89"/>
      <c r="BP52" s="89"/>
      <c r="BQ52" s="89"/>
      <c r="BR52" s="89"/>
    </row>
    <row r="53" spans="3:70" ht="14.25" customHeight="1" x14ac:dyDescent="0.2">
      <c r="C53" s="2" t="s">
        <v>9</v>
      </c>
      <c r="D53" s="8">
        <v>0</v>
      </c>
      <c r="E53" s="8">
        <v>9.3000000000000007</v>
      </c>
      <c r="F53" s="8">
        <v>17.3</v>
      </c>
      <c r="G53" s="8">
        <v>13.3</v>
      </c>
      <c r="H53" s="8">
        <v>32</v>
      </c>
      <c r="I53" s="8">
        <v>72</v>
      </c>
      <c r="J53" s="15">
        <v>75</v>
      </c>
      <c r="K53" s="8">
        <v>16</v>
      </c>
      <c r="L53" s="8">
        <v>17.100000000000001</v>
      </c>
      <c r="M53" s="8">
        <v>20.3</v>
      </c>
      <c r="N53" s="8">
        <v>21.1</v>
      </c>
      <c r="O53" s="8">
        <v>16.5</v>
      </c>
      <c r="P53" s="8">
        <v>91.1</v>
      </c>
      <c r="Q53" s="15">
        <v>526</v>
      </c>
      <c r="R53" s="8">
        <v>14</v>
      </c>
      <c r="S53" s="8">
        <v>16.100000000000001</v>
      </c>
      <c r="T53" s="8">
        <v>20</v>
      </c>
      <c r="U53" s="8">
        <v>20.100000000000001</v>
      </c>
      <c r="V53" s="8">
        <v>18.5</v>
      </c>
      <c r="W53" s="8">
        <v>88.7</v>
      </c>
      <c r="X53" s="15">
        <v>601</v>
      </c>
      <c r="AW53" s="78"/>
      <c r="AX53" s="89"/>
      <c r="AY53" s="89"/>
      <c r="AZ53" s="89"/>
      <c r="BA53" s="89"/>
      <c r="BB53" s="89"/>
      <c r="BC53" s="89"/>
      <c r="BD53" s="89"/>
      <c r="BE53" s="89"/>
      <c r="BF53" s="89"/>
      <c r="BG53" s="89"/>
      <c r="BH53" s="89"/>
      <c r="BI53" s="89"/>
      <c r="BJ53" s="89"/>
      <c r="BK53" s="89"/>
      <c r="BL53" s="89"/>
      <c r="BM53" s="89"/>
      <c r="BN53" s="89"/>
      <c r="BO53" s="89"/>
      <c r="BP53" s="89"/>
      <c r="BQ53" s="89"/>
      <c r="BR53" s="89"/>
    </row>
    <row r="54" spans="3:70" ht="14.25" customHeight="1" x14ac:dyDescent="0.2">
      <c r="C54" s="2" t="s">
        <v>10</v>
      </c>
      <c r="D54" s="8">
        <v>5.8</v>
      </c>
      <c r="E54" s="8">
        <v>10.5</v>
      </c>
      <c r="F54" s="8">
        <v>14.1</v>
      </c>
      <c r="G54" s="8">
        <v>15.8</v>
      </c>
      <c r="H54" s="8">
        <v>17.899999999999999</v>
      </c>
      <c r="I54" s="8">
        <v>64.099999999999994</v>
      </c>
      <c r="J54" s="15">
        <v>4012</v>
      </c>
      <c r="K54" s="8">
        <v>8.4</v>
      </c>
      <c r="L54" s="8">
        <v>10.9</v>
      </c>
      <c r="M54" s="8">
        <v>14</v>
      </c>
      <c r="N54" s="8">
        <v>16.600000000000001</v>
      </c>
      <c r="O54" s="8">
        <v>18</v>
      </c>
      <c r="P54" s="8">
        <v>67.8</v>
      </c>
      <c r="Q54" s="15">
        <v>2487</v>
      </c>
      <c r="R54" s="8">
        <v>6.8</v>
      </c>
      <c r="S54" s="8">
        <v>10.6</v>
      </c>
      <c r="T54" s="8">
        <v>14.1</v>
      </c>
      <c r="U54" s="8">
        <v>16.100000000000001</v>
      </c>
      <c r="V54" s="8">
        <v>18</v>
      </c>
      <c r="W54" s="8">
        <v>65.5</v>
      </c>
      <c r="X54" s="15">
        <v>6499</v>
      </c>
      <c r="AW54" s="78"/>
      <c r="AX54" s="89"/>
      <c r="AY54" s="89"/>
      <c r="AZ54" s="89"/>
      <c r="BA54" s="89"/>
      <c r="BB54" s="89"/>
      <c r="BC54" s="89"/>
      <c r="BD54" s="89"/>
      <c r="BE54" s="89"/>
      <c r="BF54" s="89"/>
      <c r="BG54" s="89"/>
      <c r="BH54" s="89"/>
      <c r="BI54" s="89"/>
      <c r="BJ54" s="89"/>
      <c r="BK54" s="89"/>
      <c r="BL54" s="89"/>
      <c r="BM54" s="89"/>
      <c r="BN54" s="89"/>
      <c r="BO54" s="89"/>
      <c r="BP54" s="89"/>
      <c r="BQ54" s="89"/>
      <c r="BR54" s="89"/>
    </row>
    <row r="55" spans="3:70" ht="14.25" customHeight="1" x14ac:dyDescent="0.2">
      <c r="C55" s="2" t="s">
        <v>11</v>
      </c>
      <c r="D55" s="8">
        <v>10.4</v>
      </c>
      <c r="E55" s="8">
        <v>16.8</v>
      </c>
      <c r="F55" s="8">
        <v>21.7</v>
      </c>
      <c r="G55" s="8">
        <v>21</v>
      </c>
      <c r="H55" s="8">
        <v>15.2</v>
      </c>
      <c r="I55" s="8">
        <v>85</v>
      </c>
      <c r="J55" s="15">
        <v>21476</v>
      </c>
      <c r="K55" s="8">
        <v>12.4</v>
      </c>
      <c r="L55" s="8">
        <v>16.399999999999999</v>
      </c>
      <c r="M55" s="8">
        <v>21.5</v>
      </c>
      <c r="N55" s="8">
        <v>19.899999999999999</v>
      </c>
      <c r="O55" s="8">
        <v>14.7</v>
      </c>
      <c r="P55" s="8">
        <v>84.9</v>
      </c>
      <c r="Q55" s="15">
        <v>15804</v>
      </c>
      <c r="R55" s="8">
        <v>11.3</v>
      </c>
      <c r="S55" s="8">
        <v>16.600000000000001</v>
      </c>
      <c r="T55" s="8">
        <v>21.6</v>
      </c>
      <c r="U55" s="8">
        <v>20.5</v>
      </c>
      <c r="V55" s="8">
        <v>14.9</v>
      </c>
      <c r="W55" s="8">
        <v>85</v>
      </c>
      <c r="X55" s="15">
        <v>37280</v>
      </c>
      <c r="AW55" s="78"/>
      <c r="AX55" s="89"/>
      <c r="AY55" s="89"/>
      <c r="AZ55" s="89"/>
      <c r="BA55" s="89"/>
      <c r="BB55" s="89"/>
      <c r="BC55" s="89"/>
      <c r="BD55" s="89"/>
      <c r="BE55" s="89"/>
      <c r="BF55" s="89"/>
      <c r="BG55" s="89"/>
      <c r="BH55" s="89"/>
      <c r="BI55" s="89"/>
      <c r="BJ55" s="89"/>
      <c r="BK55" s="89"/>
      <c r="BL55" s="89"/>
      <c r="BM55" s="89"/>
      <c r="BN55" s="89"/>
      <c r="BO55" s="89"/>
      <c r="BP55" s="89"/>
      <c r="BQ55" s="89"/>
      <c r="BR55" s="89"/>
    </row>
    <row r="56" spans="3:70" ht="14.25" customHeight="1" x14ac:dyDescent="0.2">
      <c r="C56" s="2" t="s">
        <v>12</v>
      </c>
      <c r="D56" s="8">
        <v>20.8</v>
      </c>
      <c r="E56" s="8">
        <v>18.399999999999999</v>
      </c>
      <c r="F56" s="8">
        <v>18.600000000000001</v>
      </c>
      <c r="G56" s="8">
        <v>15.5</v>
      </c>
      <c r="H56" s="8">
        <v>11.9</v>
      </c>
      <c r="I56" s="8">
        <v>85.2</v>
      </c>
      <c r="J56" s="15">
        <v>10471</v>
      </c>
      <c r="K56" s="8">
        <v>25.9</v>
      </c>
      <c r="L56" s="8">
        <v>18.600000000000001</v>
      </c>
      <c r="M56" s="8">
        <v>18.100000000000001</v>
      </c>
      <c r="N56" s="8">
        <v>13.5</v>
      </c>
      <c r="O56" s="8">
        <v>10.3</v>
      </c>
      <c r="P56" s="8">
        <v>86.4</v>
      </c>
      <c r="Q56" s="15">
        <v>4661</v>
      </c>
      <c r="R56" s="8">
        <v>22.4</v>
      </c>
      <c r="S56" s="8">
        <v>18.5</v>
      </c>
      <c r="T56" s="8">
        <v>18.399999999999999</v>
      </c>
      <c r="U56" s="8">
        <v>14.9</v>
      </c>
      <c r="V56" s="8">
        <v>11.4</v>
      </c>
      <c r="W56" s="8">
        <v>85.6</v>
      </c>
      <c r="X56" s="15">
        <v>15132</v>
      </c>
      <c r="AW56" s="78"/>
      <c r="AX56" s="89"/>
      <c r="AY56" s="89"/>
      <c r="AZ56" s="89"/>
      <c r="BA56" s="89"/>
      <c r="BB56" s="89"/>
      <c r="BC56" s="89"/>
      <c r="BD56" s="89"/>
      <c r="BE56" s="89"/>
      <c r="BF56" s="89"/>
      <c r="BG56" s="89"/>
      <c r="BH56" s="89"/>
      <c r="BI56" s="89"/>
      <c r="BJ56" s="89"/>
      <c r="BK56" s="89"/>
      <c r="BL56" s="89"/>
      <c r="BM56" s="89"/>
      <c r="BN56" s="89"/>
      <c r="BO56" s="89"/>
      <c r="BP56" s="89"/>
      <c r="BQ56" s="89"/>
      <c r="BR56" s="89"/>
    </row>
    <row r="57" spans="3:70" ht="14.25" customHeight="1" x14ac:dyDescent="0.2">
      <c r="C57" s="2" t="s">
        <v>13</v>
      </c>
      <c r="D57" s="8">
        <v>15.9</v>
      </c>
      <c r="E57" s="8">
        <v>16.8</v>
      </c>
      <c r="F57" s="8">
        <v>20.2</v>
      </c>
      <c r="G57" s="8">
        <v>19.399999999999999</v>
      </c>
      <c r="H57" s="8">
        <v>14.3</v>
      </c>
      <c r="I57" s="8">
        <v>86.6</v>
      </c>
      <c r="J57" s="15">
        <v>16842</v>
      </c>
      <c r="K57" s="8">
        <v>24</v>
      </c>
      <c r="L57" s="8">
        <v>20.100000000000001</v>
      </c>
      <c r="M57" s="8">
        <v>19.399999999999999</v>
      </c>
      <c r="N57" s="8">
        <v>16.100000000000001</v>
      </c>
      <c r="O57" s="8">
        <v>11.2</v>
      </c>
      <c r="P57" s="8">
        <v>90.8</v>
      </c>
      <c r="Q57" s="15">
        <v>14050</v>
      </c>
      <c r="R57" s="8">
        <v>19.600000000000001</v>
      </c>
      <c r="S57" s="8">
        <v>18.3</v>
      </c>
      <c r="T57" s="8">
        <v>19.899999999999999</v>
      </c>
      <c r="U57" s="8">
        <v>17.899999999999999</v>
      </c>
      <c r="V57" s="8">
        <v>12.9</v>
      </c>
      <c r="W57" s="8">
        <v>88.5</v>
      </c>
      <c r="X57" s="15">
        <v>30892</v>
      </c>
      <c r="AW57" s="78"/>
      <c r="AX57" s="89"/>
      <c r="AY57" s="89"/>
      <c r="AZ57" s="89"/>
      <c r="BA57" s="89"/>
      <c r="BB57" s="89"/>
      <c r="BC57" s="89"/>
      <c r="BD57" s="89"/>
      <c r="BE57" s="89"/>
      <c r="BF57" s="89"/>
      <c r="BG57" s="89"/>
      <c r="BH57" s="89"/>
      <c r="BI57" s="89"/>
      <c r="BJ57" s="89"/>
      <c r="BK57" s="89"/>
      <c r="BL57" s="89"/>
      <c r="BM57" s="89"/>
      <c r="BN57" s="89"/>
      <c r="BO57" s="89"/>
      <c r="BP57" s="89"/>
      <c r="BQ57" s="89"/>
      <c r="BR57" s="89"/>
    </row>
    <row r="58" spans="3:70" ht="14.25" customHeight="1" x14ac:dyDescent="0.2">
      <c r="C58" s="2" t="s">
        <v>14</v>
      </c>
      <c r="D58" s="8">
        <v>17.5</v>
      </c>
      <c r="E58" s="8">
        <v>19.3</v>
      </c>
      <c r="F58" s="8">
        <v>21.8</v>
      </c>
      <c r="G58" s="8">
        <v>17.600000000000001</v>
      </c>
      <c r="H58" s="8">
        <v>12</v>
      </c>
      <c r="I58" s="8">
        <v>88.1</v>
      </c>
      <c r="J58" s="15">
        <v>6189</v>
      </c>
      <c r="K58" s="8">
        <v>22.5</v>
      </c>
      <c r="L58" s="8">
        <v>19.100000000000001</v>
      </c>
      <c r="M58" s="8">
        <v>18.7</v>
      </c>
      <c r="N58" s="8">
        <v>15.9</v>
      </c>
      <c r="O58" s="8">
        <v>11.6</v>
      </c>
      <c r="P58" s="8">
        <v>87.8</v>
      </c>
      <c r="Q58" s="15">
        <v>4513</v>
      </c>
      <c r="R58" s="8">
        <v>19.600000000000001</v>
      </c>
      <c r="S58" s="8">
        <v>19.2</v>
      </c>
      <c r="T58" s="8">
        <v>20.5</v>
      </c>
      <c r="U58" s="8">
        <v>16.899999999999999</v>
      </c>
      <c r="V58" s="8">
        <v>11.8</v>
      </c>
      <c r="W58" s="8">
        <v>88</v>
      </c>
      <c r="X58" s="15">
        <v>10702</v>
      </c>
      <c r="AW58" s="78"/>
      <c r="AX58" s="89"/>
      <c r="AY58" s="89"/>
      <c r="AZ58" s="89"/>
      <c r="BA58" s="89"/>
      <c r="BB58" s="89"/>
      <c r="BC58" s="89"/>
      <c r="BD58" s="89"/>
      <c r="BE58" s="89"/>
      <c r="BF58" s="89"/>
      <c r="BG58" s="89"/>
      <c r="BH58" s="89"/>
      <c r="BI58" s="89"/>
      <c r="BJ58" s="89"/>
      <c r="BK58" s="89"/>
      <c r="BL58" s="89"/>
      <c r="BM58" s="89"/>
      <c r="BN58" s="89"/>
      <c r="BO58" s="89"/>
      <c r="BP58" s="89"/>
      <c r="BQ58" s="89"/>
      <c r="BR58" s="89"/>
    </row>
    <row r="59" spans="3:70" ht="14.25" customHeight="1" x14ac:dyDescent="0.2">
      <c r="C59" s="2" t="s">
        <v>15</v>
      </c>
      <c r="D59" s="8">
        <v>15.4</v>
      </c>
      <c r="E59" s="8">
        <v>20.100000000000001</v>
      </c>
      <c r="F59" s="8">
        <v>23.4</v>
      </c>
      <c r="G59" s="8">
        <v>19.399999999999999</v>
      </c>
      <c r="H59" s="8">
        <v>12.8</v>
      </c>
      <c r="I59" s="8">
        <v>91.2</v>
      </c>
      <c r="J59" s="15">
        <v>19640</v>
      </c>
      <c r="K59" s="8">
        <v>17.5</v>
      </c>
      <c r="L59" s="8">
        <v>21.4</v>
      </c>
      <c r="M59" s="8">
        <v>23.4</v>
      </c>
      <c r="N59" s="8">
        <v>18.3</v>
      </c>
      <c r="O59" s="8">
        <v>11.7</v>
      </c>
      <c r="P59" s="8">
        <v>92.3</v>
      </c>
      <c r="Q59" s="15">
        <v>21859</v>
      </c>
      <c r="R59" s="8">
        <v>16.5</v>
      </c>
      <c r="S59" s="8">
        <v>20.8</v>
      </c>
      <c r="T59" s="8">
        <v>23.4</v>
      </c>
      <c r="U59" s="8">
        <v>18.8</v>
      </c>
      <c r="V59" s="8">
        <v>12.2</v>
      </c>
      <c r="W59" s="8">
        <v>91.8</v>
      </c>
      <c r="X59" s="15">
        <v>41499</v>
      </c>
      <c r="AW59" s="78"/>
      <c r="AX59" s="89"/>
      <c r="AY59" s="89"/>
      <c r="AZ59" s="89"/>
      <c r="BA59" s="89"/>
      <c r="BB59" s="89"/>
      <c r="BC59" s="89"/>
      <c r="BD59" s="89"/>
      <c r="BE59" s="89"/>
      <c r="BF59" s="89"/>
      <c r="BG59" s="89"/>
      <c r="BH59" s="89"/>
      <c r="BI59" s="89"/>
      <c r="BJ59" s="89"/>
      <c r="BK59" s="89"/>
      <c r="BL59" s="89"/>
      <c r="BM59" s="89"/>
      <c r="BN59" s="89"/>
      <c r="BO59" s="89"/>
      <c r="BP59" s="89"/>
      <c r="BQ59" s="89"/>
      <c r="BR59" s="89"/>
    </row>
    <row r="60" spans="3:70" ht="14.25" customHeight="1" x14ac:dyDescent="0.2">
      <c r="C60" s="2" t="s">
        <v>16</v>
      </c>
      <c r="D60" s="8">
        <v>10.6</v>
      </c>
      <c r="E60" s="8">
        <v>13.5</v>
      </c>
      <c r="F60" s="8">
        <v>18.100000000000001</v>
      </c>
      <c r="G60" s="8">
        <v>18.5</v>
      </c>
      <c r="H60" s="8">
        <v>16.100000000000001</v>
      </c>
      <c r="I60" s="8">
        <v>76.900000000000006</v>
      </c>
      <c r="J60" s="15">
        <v>8161</v>
      </c>
      <c r="K60" s="8">
        <v>14.3</v>
      </c>
      <c r="L60" s="8">
        <v>17.2</v>
      </c>
      <c r="M60" s="8">
        <v>18.7</v>
      </c>
      <c r="N60" s="8">
        <v>16.7</v>
      </c>
      <c r="O60" s="8">
        <v>13.8</v>
      </c>
      <c r="P60" s="8">
        <v>80.599999999999994</v>
      </c>
      <c r="Q60" s="15">
        <v>11408</v>
      </c>
      <c r="R60" s="8">
        <v>12.7</v>
      </c>
      <c r="S60" s="8">
        <v>15.6</v>
      </c>
      <c r="T60" s="8">
        <v>18.5</v>
      </c>
      <c r="U60" s="8">
        <v>17.399999999999999</v>
      </c>
      <c r="V60" s="8">
        <v>14.7</v>
      </c>
      <c r="W60" s="8">
        <v>79</v>
      </c>
      <c r="X60" s="15">
        <v>19569</v>
      </c>
      <c r="AW60" s="78"/>
      <c r="AX60" s="89"/>
      <c r="AY60" s="89"/>
      <c r="AZ60" s="89"/>
      <c r="BA60" s="89"/>
      <c r="BB60" s="89"/>
      <c r="BC60" s="89"/>
      <c r="BD60" s="89"/>
      <c r="BE60" s="89"/>
      <c r="BF60" s="89"/>
      <c r="BG60" s="89"/>
      <c r="BH60" s="89"/>
      <c r="BI60" s="89"/>
      <c r="BJ60" s="89"/>
      <c r="BK60" s="89"/>
      <c r="BL60" s="89"/>
      <c r="BM60" s="89"/>
      <c r="BN60" s="89"/>
      <c r="BO60" s="89"/>
      <c r="BP60" s="89"/>
      <c r="BQ60" s="89"/>
      <c r="BR60" s="89"/>
    </row>
    <row r="61" spans="3:70" ht="14.25" customHeight="1" x14ac:dyDescent="0.2">
      <c r="C61" s="2" t="s">
        <v>17</v>
      </c>
      <c r="D61" s="8">
        <v>7.8</v>
      </c>
      <c r="E61" s="8">
        <v>12.2</v>
      </c>
      <c r="F61" s="8">
        <v>17.399999999999999</v>
      </c>
      <c r="G61" s="8">
        <v>19.5</v>
      </c>
      <c r="H61" s="8">
        <v>18.8</v>
      </c>
      <c r="I61" s="8">
        <v>75.7</v>
      </c>
      <c r="J61" s="15">
        <v>19189</v>
      </c>
      <c r="K61" s="8">
        <v>15</v>
      </c>
      <c r="L61" s="8">
        <v>17.3</v>
      </c>
      <c r="M61" s="8">
        <v>19.399999999999999</v>
      </c>
      <c r="N61" s="8">
        <v>17.600000000000001</v>
      </c>
      <c r="O61" s="8">
        <v>14.2</v>
      </c>
      <c r="P61" s="8">
        <v>83.5</v>
      </c>
      <c r="Q61" s="15">
        <v>45588</v>
      </c>
      <c r="R61" s="8">
        <v>12.9</v>
      </c>
      <c r="S61" s="8">
        <v>15.8</v>
      </c>
      <c r="T61" s="8">
        <v>18.8</v>
      </c>
      <c r="U61" s="8">
        <v>18.100000000000001</v>
      </c>
      <c r="V61" s="8">
        <v>15.6</v>
      </c>
      <c r="W61" s="8">
        <v>81.2</v>
      </c>
      <c r="X61" s="15">
        <v>64777</v>
      </c>
      <c r="AW61" s="78"/>
      <c r="AX61" s="89"/>
      <c r="AY61" s="89"/>
      <c r="AZ61" s="89"/>
      <c r="BA61" s="89"/>
      <c r="BB61" s="89"/>
      <c r="BC61" s="89"/>
      <c r="BD61" s="89"/>
      <c r="BE61" s="89"/>
      <c r="BF61" s="89"/>
      <c r="BG61" s="89"/>
      <c r="BH61" s="89"/>
      <c r="BI61" s="89"/>
      <c r="BJ61" s="89"/>
      <c r="BK61" s="89"/>
      <c r="BL61" s="89"/>
      <c r="BM61" s="89"/>
      <c r="BN61" s="89"/>
      <c r="BO61" s="89"/>
      <c r="BP61" s="89"/>
      <c r="BQ61" s="89"/>
      <c r="BR61" s="89"/>
    </row>
    <row r="62" spans="3:70" ht="14.25" customHeight="1" x14ac:dyDescent="0.2">
      <c r="C62" s="2" t="s">
        <v>18</v>
      </c>
      <c r="D62" s="8">
        <v>10.6</v>
      </c>
      <c r="E62" s="8">
        <v>14.8</v>
      </c>
      <c r="F62" s="8">
        <v>19.5</v>
      </c>
      <c r="G62" s="8">
        <v>20</v>
      </c>
      <c r="H62" s="8">
        <v>16.7</v>
      </c>
      <c r="I62" s="8">
        <v>81.5</v>
      </c>
      <c r="J62" s="15">
        <v>8536</v>
      </c>
      <c r="K62" s="8">
        <v>17.2</v>
      </c>
      <c r="L62" s="8">
        <v>18.7</v>
      </c>
      <c r="M62" s="8">
        <v>20.3</v>
      </c>
      <c r="N62" s="8">
        <v>17.2</v>
      </c>
      <c r="O62" s="8">
        <v>13.3</v>
      </c>
      <c r="P62" s="8">
        <v>86.7</v>
      </c>
      <c r="Q62" s="15">
        <v>23445</v>
      </c>
      <c r="R62" s="8">
        <v>15.4</v>
      </c>
      <c r="S62" s="8">
        <v>17.7</v>
      </c>
      <c r="T62" s="8">
        <v>20</v>
      </c>
      <c r="U62" s="8">
        <v>18</v>
      </c>
      <c r="V62" s="8">
        <v>14.2</v>
      </c>
      <c r="W62" s="8">
        <v>85.3</v>
      </c>
      <c r="X62" s="15">
        <v>31981</v>
      </c>
      <c r="AW62" s="78"/>
      <c r="AX62" s="89"/>
      <c r="AY62" s="89"/>
      <c r="AZ62" s="89"/>
      <c r="BA62" s="89"/>
      <c r="BB62" s="89"/>
      <c r="BC62" s="89"/>
      <c r="BD62" s="89"/>
      <c r="BE62" s="89"/>
      <c r="BF62" s="89"/>
      <c r="BG62" s="89"/>
      <c r="BH62" s="89"/>
      <c r="BI62" s="89"/>
      <c r="BJ62" s="89"/>
      <c r="BK62" s="89"/>
      <c r="BL62" s="89"/>
      <c r="BM62" s="89"/>
      <c r="BN62" s="89"/>
      <c r="BO62" s="89"/>
      <c r="BP62" s="89"/>
      <c r="BQ62" s="89"/>
      <c r="BR62" s="89"/>
    </row>
    <row r="63" spans="3:70" ht="14.25" customHeight="1" x14ac:dyDescent="0.2">
      <c r="C63" s="2" t="s">
        <v>19</v>
      </c>
      <c r="D63" s="8">
        <v>10.7</v>
      </c>
      <c r="E63" s="8">
        <v>12.6</v>
      </c>
      <c r="F63" s="8">
        <v>16.3</v>
      </c>
      <c r="G63" s="8">
        <v>18.399999999999999</v>
      </c>
      <c r="H63" s="8">
        <v>15.9</v>
      </c>
      <c r="I63" s="8">
        <v>73.8</v>
      </c>
      <c r="J63" s="15">
        <v>3394</v>
      </c>
      <c r="K63" s="8">
        <v>12.7</v>
      </c>
      <c r="L63" s="8">
        <v>15.8</v>
      </c>
      <c r="M63" s="8">
        <v>19</v>
      </c>
      <c r="N63" s="8">
        <v>17.5</v>
      </c>
      <c r="O63" s="8">
        <v>15.1</v>
      </c>
      <c r="P63" s="8">
        <v>80</v>
      </c>
      <c r="Q63" s="15">
        <v>3787</v>
      </c>
      <c r="R63" s="8">
        <v>11.7</v>
      </c>
      <c r="S63" s="8">
        <v>14.3</v>
      </c>
      <c r="T63" s="8">
        <v>17.7</v>
      </c>
      <c r="U63" s="8">
        <v>17.899999999999999</v>
      </c>
      <c r="V63" s="8">
        <v>15.5</v>
      </c>
      <c r="W63" s="8">
        <v>77.099999999999994</v>
      </c>
      <c r="X63" s="15">
        <v>7181</v>
      </c>
      <c r="AW63" s="78"/>
      <c r="AX63" s="89"/>
      <c r="AY63" s="89"/>
      <c r="AZ63" s="89"/>
      <c r="BA63" s="89"/>
      <c r="BB63" s="89"/>
      <c r="BC63" s="89"/>
      <c r="BD63" s="89"/>
      <c r="BE63" s="89"/>
      <c r="BF63" s="89"/>
      <c r="BG63" s="89"/>
      <c r="BH63" s="89"/>
      <c r="BI63" s="89"/>
      <c r="BJ63" s="89"/>
      <c r="BK63" s="89"/>
      <c r="BL63" s="89"/>
      <c r="BM63" s="89"/>
      <c r="BN63" s="89"/>
      <c r="BO63" s="89"/>
      <c r="BP63" s="89"/>
      <c r="BQ63" s="89"/>
      <c r="BR63" s="89"/>
    </row>
    <row r="64" spans="3:70" ht="14.25" customHeight="1" x14ac:dyDescent="0.2">
      <c r="C64" s="2" t="s">
        <v>20</v>
      </c>
      <c r="D64" s="8">
        <v>13.5</v>
      </c>
      <c r="E64" s="8">
        <v>15.5</v>
      </c>
      <c r="F64" s="8">
        <v>19.2</v>
      </c>
      <c r="G64" s="8">
        <v>19.7</v>
      </c>
      <c r="H64" s="8">
        <v>14.9</v>
      </c>
      <c r="I64" s="8">
        <v>82.8</v>
      </c>
      <c r="J64" s="15">
        <v>16374</v>
      </c>
      <c r="K64" s="8">
        <v>21.4</v>
      </c>
      <c r="L64" s="8">
        <v>20.3</v>
      </c>
      <c r="M64" s="8">
        <v>21.8</v>
      </c>
      <c r="N64" s="8">
        <v>17.100000000000001</v>
      </c>
      <c r="O64" s="8">
        <v>9.8000000000000007</v>
      </c>
      <c r="P64" s="8">
        <v>90.4</v>
      </c>
      <c r="Q64" s="15">
        <v>32871</v>
      </c>
      <c r="R64" s="8">
        <v>18.8</v>
      </c>
      <c r="S64" s="8">
        <v>18.7</v>
      </c>
      <c r="T64" s="8">
        <v>21</v>
      </c>
      <c r="U64" s="8">
        <v>18</v>
      </c>
      <c r="V64" s="8">
        <v>11.5</v>
      </c>
      <c r="W64" s="8">
        <v>87.9</v>
      </c>
      <c r="X64" s="15">
        <v>49245</v>
      </c>
      <c r="AW64" s="78"/>
      <c r="AX64" s="89"/>
      <c r="AY64" s="89"/>
      <c r="AZ64" s="89"/>
      <c r="BA64" s="89"/>
      <c r="BB64" s="89"/>
      <c r="BC64" s="89"/>
      <c r="BD64" s="89"/>
      <c r="BE64" s="89"/>
      <c r="BF64" s="89"/>
      <c r="BG64" s="89"/>
      <c r="BH64" s="89"/>
      <c r="BI64" s="89"/>
      <c r="BJ64" s="89"/>
      <c r="BK64" s="89"/>
      <c r="BL64" s="89"/>
      <c r="BM64" s="89"/>
      <c r="BN64" s="89"/>
      <c r="BO64" s="89"/>
      <c r="BP64" s="89"/>
      <c r="BQ64" s="89"/>
      <c r="BR64" s="89"/>
    </row>
    <row r="65" spans="3:70" ht="14.25" customHeight="1" x14ac:dyDescent="0.2">
      <c r="C65" s="2" t="s">
        <v>21</v>
      </c>
      <c r="D65" s="8">
        <v>11.1</v>
      </c>
      <c r="E65" s="8">
        <v>21</v>
      </c>
      <c r="F65" s="8">
        <v>26.6</v>
      </c>
      <c r="G65" s="8">
        <v>22</v>
      </c>
      <c r="H65" s="8">
        <v>12.9</v>
      </c>
      <c r="I65" s="8">
        <v>93.5</v>
      </c>
      <c r="J65" s="15">
        <v>4481</v>
      </c>
      <c r="K65" s="8">
        <v>16.3</v>
      </c>
      <c r="L65" s="8">
        <v>25.6</v>
      </c>
      <c r="M65" s="8">
        <v>29</v>
      </c>
      <c r="N65" s="8">
        <v>18.399999999999999</v>
      </c>
      <c r="O65" s="8">
        <v>7</v>
      </c>
      <c r="P65" s="8">
        <v>96.3</v>
      </c>
      <c r="Q65" s="15">
        <v>11038</v>
      </c>
      <c r="R65" s="8">
        <v>14.8</v>
      </c>
      <c r="S65" s="8">
        <v>24.3</v>
      </c>
      <c r="T65" s="8">
        <v>28.3</v>
      </c>
      <c r="U65" s="8">
        <v>19.399999999999999</v>
      </c>
      <c r="V65" s="8">
        <v>8.6999999999999993</v>
      </c>
      <c r="W65" s="8">
        <v>95.5</v>
      </c>
      <c r="X65" s="15">
        <v>15519</v>
      </c>
      <c r="AW65" s="78"/>
      <c r="AX65" s="89"/>
      <c r="AY65" s="89"/>
      <c r="AZ65" s="89"/>
      <c r="BA65" s="89"/>
      <c r="BB65" s="89"/>
      <c r="BC65" s="89"/>
      <c r="BD65" s="89"/>
      <c r="BE65" s="89"/>
      <c r="BF65" s="89"/>
      <c r="BG65" s="89"/>
      <c r="BH65" s="89"/>
      <c r="BI65" s="89"/>
      <c r="BJ65" s="89"/>
      <c r="BK65" s="89"/>
      <c r="BL65" s="89"/>
      <c r="BM65" s="89"/>
      <c r="BN65" s="89"/>
      <c r="BO65" s="89"/>
      <c r="BP65" s="89"/>
      <c r="BQ65" s="89"/>
      <c r="BR65" s="89"/>
    </row>
    <row r="66" spans="3:70" ht="14.25" customHeight="1" x14ac:dyDescent="0.2">
      <c r="C66" s="2" t="s">
        <v>22</v>
      </c>
      <c r="D66" s="8">
        <v>12.9</v>
      </c>
      <c r="E66" s="8">
        <v>18</v>
      </c>
      <c r="F66" s="8">
        <v>24.3</v>
      </c>
      <c r="G66" s="8">
        <v>23.1</v>
      </c>
      <c r="H66" s="8">
        <v>14.2</v>
      </c>
      <c r="I66" s="8">
        <v>92.4</v>
      </c>
      <c r="J66" s="15">
        <v>26211</v>
      </c>
      <c r="K66" s="8">
        <v>14.2</v>
      </c>
      <c r="L66" s="8">
        <v>19.7</v>
      </c>
      <c r="M66" s="8">
        <v>25.6</v>
      </c>
      <c r="N66" s="8">
        <v>22.5</v>
      </c>
      <c r="O66" s="8">
        <v>12.3</v>
      </c>
      <c r="P66" s="8">
        <v>94.3</v>
      </c>
      <c r="Q66" s="15">
        <v>58587</v>
      </c>
      <c r="R66" s="8">
        <v>13.8</v>
      </c>
      <c r="S66" s="8">
        <v>19.2</v>
      </c>
      <c r="T66" s="8">
        <v>25.2</v>
      </c>
      <c r="U66" s="8">
        <v>22.7</v>
      </c>
      <c r="V66" s="8">
        <v>12.8</v>
      </c>
      <c r="W66" s="8">
        <v>93.7</v>
      </c>
      <c r="X66" s="15">
        <v>84798</v>
      </c>
      <c r="AW66" s="78"/>
      <c r="AX66" s="89"/>
      <c r="AY66" s="89"/>
      <c r="AZ66" s="89"/>
      <c r="BA66" s="89"/>
      <c r="BB66" s="89"/>
      <c r="BC66" s="89"/>
      <c r="BD66" s="89"/>
      <c r="BE66" s="89"/>
      <c r="BF66" s="89"/>
      <c r="BG66" s="89"/>
      <c r="BH66" s="89"/>
      <c r="BI66" s="89"/>
      <c r="BJ66" s="89"/>
      <c r="BK66" s="89"/>
      <c r="BL66" s="89"/>
      <c r="BM66" s="89"/>
      <c r="BN66" s="89"/>
      <c r="BO66" s="89"/>
      <c r="BP66" s="89"/>
      <c r="BQ66" s="89"/>
      <c r="BR66" s="89"/>
    </row>
    <row r="67" spans="3:70" ht="14.25" customHeight="1" x14ac:dyDescent="0.2">
      <c r="C67" s="2" t="s">
        <v>51</v>
      </c>
      <c r="D67" s="8">
        <v>10.4</v>
      </c>
      <c r="E67" s="8">
        <v>20.2</v>
      </c>
      <c r="F67" s="8">
        <v>26.9</v>
      </c>
      <c r="G67" s="8">
        <v>22.5</v>
      </c>
      <c r="H67" s="8">
        <v>11.4</v>
      </c>
      <c r="I67" s="8">
        <v>91.4</v>
      </c>
      <c r="J67" s="15">
        <v>12117</v>
      </c>
      <c r="K67" s="8">
        <v>14.7</v>
      </c>
      <c r="L67" s="8">
        <v>24.4</v>
      </c>
      <c r="M67" s="8">
        <v>28.1</v>
      </c>
      <c r="N67" s="8">
        <v>18.3</v>
      </c>
      <c r="O67" s="8">
        <v>8.8000000000000007</v>
      </c>
      <c r="P67" s="8">
        <v>94.3</v>
      </c>
      <c r="Q67" s="15">
        <v>15297</v>
      </c>
      <c r="R67" s="8">
        <v>12.8</v>
      </c>
      <c r="S67" s="8">
        <v>22.5</v>
      </c>
      <c r="T67" s="8">
        <v>27.6</v>
      </c>
      <c r="U67" s="8">
        <v>20.2</v>
      </c>
      <c r="V67" s="8">
        <v>9.9</v>
      </c>
      <c r="W67" s="8">
        <v>93</v>
      </c>
      <c r="X67" s="15">
        <v>27414</v>
      </c>
      <c r="AW67" s="78"/>
      <c r="AX67" s="89"/>
      <c r="AY67" s="89"/>
      <c r="AZ67" s="89"/>
      <c r="BA67" s="89"/>
      <c r="BB67" s="89"/>
      <c r="BC67" s="89"/>
      <c r="BD67" s="89"/>
      <c r="BE67" s="89"/>
      <c r="BF67" s="89"/>
      <c r="BG67" s="89"/>
      <c r="BH67" s="89"/>
      <c r="BI67" s="89"/>
      <c r="BJ67" s="89"/>
      <c r="BK67" s="89"/>
      <c r="BL67" s="89"/>
      <c r="BM67" s="89"/>
      <c r="BN67" s="89"/>
      <c r="BO67" s="89"/>
      <c r="BP67" s="89"/>
      <c r="BQ67" s="89"/>
      <c r="BR67" s="89"/>
    </row>
    <row r="68" spans="3:70" ht="14.25" customHeight="1" x14ac:dyDescent="0.2">
      <c r="C68" s="2" t="s">
        <v>23</v>
      </c>
      <c r="D68" s="8">
        <v>10.5</v>
      </c>
      <c r="E68" s="8">
        <v>26.3</v>
      </c>
      <c r="F68" s="8">
        <v>30.7</v>
      </c>
      <c r="G68" s="8">
        <v>18.2</v>
      </c>
      <c r="H68" s="8">
        <v>7.6</v>
      </c>
      <c r="I68" s="8">
        <v>93.2</v>
      </c>
      <c r="J68" s="15">
        <v>5590</v>
      </c>
      <c r="K68" s="8">
        <v>14.4</v>
      </c>
      <c r="L68" s="8">
        <v>26.6</v>
      </c>
      <c r="M68" s="8">
        <v>29.9</v>
      </c>
      <c r="N68" s="8">
        <v>17.2</v>
      </c>
      <c r="O68" s="8">
        <v>7</v>
      </c>
      <c r="P68" s="8">
        <v>95.1</v>
      </c>
      <c r="Q68" s="15">
        <v>8023</v>
      </c>
      <c r="R68" s="8">
        <v>12.8</v>
      </c>
      <c r="S68" s="8">
        <v>26.5</v>
      </c>
      <c r="T68" s="8">
        <v>30.2</v>
      </c>
      <c r="U68" s="8">
        <v>17.600000000000001</v>
      </c>
      <c r="V68" s="8">
        <v>7.3</v>
      </c>
      <c r="W68" s="8">
        <v>94.3</v>
      </c>
      <c r="X68" s="15">
        <v>13613</v>
      </c>
      <c r="AW68" s="78"/>
      <c r="AX68" s="89"/>
      <c r="AY68" s="89"/>
      <c r="AZ68" s="89"/>
      <c r="BA68" s="89"/>
      <c r="BB68" s="89"/>
      <c r="BC68" s="89"/>
      <c r="BD68" s="89"/>
      <c r="BE68" s="89"/>
      <c r="BF68" s="89"/>
      <c r="BG68" s="89"/>
      <c r="BH68" s="89"/>
      <c r="BI68" s="89"/>
      <c r="BJ68" s="89"/>
      <c r="BK68" s="89"/>
      <c r="BL68" s="89"/>
      <c r="BM68" s="89"/>
      <c r="BN68" s="89"/>
      <c r="BO68" s="89"/>
      <c r="BP68" s="89"/>
      <c r="BQ68" s="89"/>
      <c r="BR68" s="89"/>
    </row>
    <row r="69" spans="3:70" ht="14.25" customHeight="1" x14ac:dyDescent="0.2">
      <c r="C69" s="2" t="s">
        <v>24</v>
      </c>
      <c r="D69" s="8">
        <v>23.4</v>
      </c>
      <c r="E69" s="8">
        <v>18.2</v>
      </c>
      <c r="F69" s="8">
        <v>20.100000000000001</v>
      </c>
      <c r="G69" s="8">
        <v>15.6</v>
      </c>
      <c r="H69" s="8">
        <v>11.8</v>
      </c>
      <c r="I69" s="8">
        <v>89.1</v>
      </c>
      <c r="J69" s="15">
        <v>4641</v>
      </c>
      <c r="K69" s="8">
        <v>21.7</v>
      </c>
      <c r="L69" s="8">
        <v>19.600000000000001</v>
      </c>
      <c r="M69" s="8">
        <v>18.3</v>
      </c>
      <c r="N69" s="8">
        <v>16</v>
      </c>
      <c r="O69" s="8">
        <v>12.4</v>
      </c>
      <c r="P69" s="8">
        <v>88</v>
      </c>
      <c r="Q69" s="15">
        <v>11032</v>
      </c>
      <c r="R69" s="8">
        <v>22.2</v>
      </c>
      <c r="S69" s="8">
        <v>19.100000000000001</v>
      </c>
      <c r="T69" s="8">
        <v>18.899999999999999</v>
      </c>
      <c r="U69" s="8">
        <v>15.9</v>
      </c>
      <c r="V69" s="8">
        <v>12.2</v>
      </c>
      <c r="W69" s="8">
        <v>88.3</v>
      </c>
      <c r="X69" s="15">
        <v>15673</v>
      </c>
      <c r="AW69" s="78"/>
      <c r="AX69" s="89"/>
      <c r="AY69" s="89"/>
      <c r="AZ69" s="89"/>
      <c r="BA69" s="89"/>
      <c r="BB69" s="89"/>
      <c r="BC69" s="89"/>
      <c r="BD69" s="89"/>
      <c r="BE69" s="89"/>
      <c r="BF69" s="89"/>
      <c r="BG69" s="89"/>
      <c r="BH69" s="89"/>
      <c r="BI69" s="89"/>
      <c r="BJ69" s="89"/>
      <c r="BK69" s="89"/>
      <c r="BL69" s="89"/>
      <c r="BM69" s="89"/>
      <c r="BN69" s="89"/>
      <c r="BO69" s="89"/>
      <c r="BP69" s="89"/>
      <c r="BQ69" s="89"/>
      <c r="BR69" s="89"/>
    </row>
    <row r="70" spans="3:70" ht="14.25" customHeight="1" x14ac:dyDescent="0.2">
      <c r="C70" s="2" t="s">
        <v>25</v>
      </c>
      <c r="D70" s="8">
        <v>20.8</v>
      </c>
      <c r="E70" s="8">
        <v>18.899999999999999</v>
      </c>
      <c r="F70" s="8">
        <v>21.4</v>
      </c>
      <c r="G70" s="8">
        <v>17.399999999999999</v>
      </c>
      <c r="H70" s="8">
        <v>12.4</v>
      </c>
      <c r="I70" s="8">
        <v>90.9</v>
      </c>
      <c r="J70" s="15">
        <v>2397</v>
      </c>
      <c r="K70" s="8">
        <v>20</v>
      </c>
      <c r="L70" s="8">
        <v>18.399999999999999</v>
      </c>
      <c r="M70" s="8">
        <v>22</v>
      </c>
      <c r="N70" s="8">
        <v>18.7</v>
      </c>
      <c r="O70" s="8">
        <v>12.3</v>
      </c>
      <c r="P70" s="8">
        <v>91.4</v>
      </c>
      <c r="Q70" s="15">
        <v>4419</v>
      </c>
      <c r="R70" s="8">
        <v>20.3</v>
      </c>
      <c r="S70" s="8">
        <v>18.600000000000001</v>
      </c>
      <c r="T70" s="8">
        <v>21.8</v>
      </c>
      <c r="U70" s="8">
        <v>18.2</v>
      </c>
      <c r="V70" s="8">
        <v>12.3</v>
      </c>
      <c r="W70" s="8">
        <v>91.2</v>
      </c>
      <c r="X70" s="15">
        <v>6816</v>
      </c>
      <c r="AW70" s="78"/>
      <c r="AX70" s="89"/>
      <c r="AY70" s="89"/>
      <c r="AZ70" s="89"/>
      <c r="BA70" s="89"/>
      <c r="BB70" s="89"/>
      <c r="BC70" s="89"/>
      <c r="BD70" s="89"/>
      <c r="BE70" s="89"/>
      <c r="BF70" s="89"/>
      <c r="BG70" s="89"/>
      <c r="BH70" s="89"/>
      <c r="BI70" s="89"/>
      <c r="BJ70" s="89"/>
      <c r="BK70" s="89"/>
      <c r="BL70" s="89"/>
      <c r="BM70" s="89"/>
      <c r="BN70" s="89"/>
      <c r="BO70" s="89"/>
      <c r="BP70" s="89"/>
      <c r="BQ70" s="89"/>
      <c r="BR70" s="89"/>
    </row>
    <row r="71" spans="3:70" ht="14.25" customHeight="1" x14ac:dyDescent="0.2">
      <c r="C71" s="2" t="s">
        <v>26</v>
      </c>
      <c r="D71" s="8">
        <v>25.4</v>
      </c>
      <c r="E71" s="8">
        <v>20.8</v>
      </c>
      <c r="F71" s="8">
        <v>19</v>
      </c>
      <c r="G71" s="8">
        <v>15.8</v>
      </c>
      <c r="H71" s="8">
        <v>11</v>
      </c>
      <c r="I71" s="8">
        <v>91.9</v>
      </c>
      <c r="J71" s="15">
        <v>1574</v>
      </c>
      <c r="K71" s="8">
        <v>19.7</v>
      </c>
      <c r="L71" s="8">
        <v>19.899999999999999</v>
      </c>
      <c r="M71" s="8">
        <v>19.899999999999999</v>
      </c>
      <c r="N71" s="8">
        <v>16.8</v>
      </c>
      <c r="O71" s="8">
        <v>12</v>
      </c>
      <c r="P71" s="8">
        <v>88.3</v>
      </c>
      <c r="Q71" s="15">
        <v>4132</v>
      </c>
      <c r="R71" s="8">
        <v>21.3</v>
      </c>
      <c r="S71" s="8">
        <v>20.100000000000001</v>
      </c>
      <c r="T71" s="8">
        <v>19.7</v>
      </c>
      <c r="U71" s="8">
        <v>16.5</v>
      </c>
      <c r="V71" s="8">
        <v>11.7</v>
      </c>
      <c r="W71" s="8">
        <v>89.3</v>
      </c>
      <c r="X71" s="15">
        <v>5706</v>
      </c>
      <c r="AW71" s="78"/>
      <c r="AX71" s="89"/>
      <c r="AY71" s="89"/>
      <c r="AZ71" s="89"/>
      <c r="BA71" s="89"/>
      <c r="BB71" s="89"/>
      <c r="BC71" s="89"/>
      <c r="BD71" s="89"/>
      <c r="BE71" s="89"/>
      <c r="BF71" s="89"/>
      <c r="BG71" s="89"/>
      <c r="BH71" s="89"/>
      <c r="BI71" s="89"/>
      <c r="BJ71" s="89"/>
      <c r="BK71" s="89"/>
      <c r="BL71" s="89"/>
      <c r="BM71" s="89"/>
      <c r="BN71" s="89"/>
      <c r="BO71" s="89"/>
      <c r="BP71" s="89"/>
      <c r="BQ71" s="89"/>
      <c r="BR71" s="89"/>
    </row>
    <row r="72" spans="3:70" ht="14.25" customHeight="1" x14ac:dyDescent="0.2">
      <c r="C72" s="2" t="s">
        <v>27</v>
      </c>
      <c r="D72" s="8">
        <v>43.6</v>
      </c>
      <c r="E72" s="8">
        <v>25.8</v>
      </c>
      <c r="F72" s="8">
        <v>11.4</v>
      </c>
      <c r="G72" s="8">
        <v>6.1</v>
      </c>
      <c r="H72" s="8">
        <v>5.4</v>
      </c>
      <c r="I72" s="8">
        <v>92.3</v>
      </c>
      <c r="J72" s="15">
        <v>1232</v>
      </c>
      <c r="K72" s="8">
        <v>45.7</v>
      </c>
      <c r="L72" s="8">
        <v>21.6</v>
      </c>
      <c r="M72" s="8">
        <v>12.3</v>
      </c>
      <c r="N72" s="8">
        <v>8</v>
      </c>
      <c r="O72" s="8">
        <v>5.4</v>
      </c>
      <c r="P72" s="8">
        <v>93</v>
      </c>
      <c r="Q72" s="15">
        <v>1760</v>
      </c>
      <c r="R72" s="8">
        <v>44.9</v>
      </c>
      <c r="S72" s="8">
        <v>23.3</v>
      </c>
      <c r="T72" s="8">
        <v>11.9</v>
      </c>
      <c r="U72" s="8">
        <v>7.2</v>
      </c>
      <c r="V72" s="8">
        <v>5.4</v>
      </c>
      <c r="W72" s="8">
        <v>92.7</v>
      </c>
      <c r="X72" s="15">
        <v>2992</v>
      </c>
      <c r="AW72" s="78"/>
      <c r="AX72" s="89"/>
      <c r="AY72" s="89"/>
      <c r="AZ72" s="89"/>
      <c r="BA72" s="89"/>
      <c r="BB72" s="89"/>
      <c r="BC72" s="89"/>
      <c r="BD72" s="89"/>
      <c r="BE72" s="89"/>
      <c r="BF72" s="89"/>
      <c r="BG72" s="89"/>
      <c r="BH72" s="89"/>
      <c r="BI72" s="89"/>
      <c r="BJ72" s="89"/>
      <c r="BK72" s="89"/>
      <c r="BL72" s="89"/>
      <c r="BM72" s="89"/>
      <c r="BN72" s="89"/>
      <c r="BO72" s="89"/>
      <c r="BP72" s="89"/>
      <c r="BQ72" s="89"/>
      <c r="BR72" s="89"/>
    </row>
    <row r="73" spans="3:70" ht="14.25" customHeight="1" x14ac:dyDescent="0.2">
      <c r="C73" s="2" t="s">
        <v>28</v>
      </c>
      <c r="D73" s="8">
        <v>28.4</v>
      </c>
      <c r="E73" s="8">
        <v>21</v>
      </c>
      <c r="F73" s="8">
        <v>20.100000000000001</v>
      </c>
      <c r="G73" s="8">
        <v>15.2</v>
      </c>
      <c r="H73" s="8">
        <v>8.6999999999999993</v>
      </c>
      <c r="I73" s="8">
        <v>93.4</v>
      </c>
      <c r="J73" s="15">
        <v>2398</v>
      </c>
      <c r="K73" s="8">
        <v>33.9</v>
      </c>
      <c r="L73" s="8">
        <v>25</v>
      </c>
      <c r="M73" s="8">
        <v>19</v>
      </c>
      <c r="N73" s="8">
        <v>11.8</v>
      </c>
      <c r="O73" s="8">
        <v>6.4</v>
      </c>
      <c r="P73" s="8">
        <v>96.1</v>
      </c>
      <c r="Q73" s="15">
        <v>3242</v>
      </c>
      <c r="R73" s="8">
        <v>31.5</v>
      </c>
      <c r="S73" s="8">
        <v>23.3</v>
      </c>
      <c r="T73" s="8">
        <v>19.5</v>
      </c>
      <c r="U73" s="8">
        <v>13.3</v>
      </c>
      <c r="V73" s="8">
        <v>7.4</v>
      </c>
      <c r="W73" s="8">
        <v>95</v>
      </c>
      <c r="X73" s="15">
        <v>5640</v>
      </c>
      <c r="AW73" s="78"/>
      <c r="AX73" s="89"/>
      <c r="AY73" s="89"/>
      <c r="AZ73" s="89"/>
      <c r="BA73" s="89"/>
      <c r="BB73" s="89"/>
      <c r="BC73" s="89"/>
      <c r="BD73" s="89"/>
      <c r="BE73" s="89"/>
      <c r="BF73" s="89"/>
      <c r="BG73" s="89"/>
      <c r="BH73" s="89"/>
      <c r="BI73" s="89"/>
      <c r="BJ73" s="89"/>
      <c r="BK73" s="89"/>
      <c r="BL73" s="89"/>
      <c r="BM73" s="89"/>
      <c r="BN73" s="89"/>
      <c r="BO73" s="89"/>
      <c r="BP73" s="89"/>
      <c r="BQ73" s="89"/>
      <c r="BR73" s="89"/>
    </row>
    <row r="74" spans="3:70" ht="14.25" customHeight="1" x14ac:dyDescent="0.2">
      <c r="C74" s="2" t="s">
        <v>29</v>
      </c>
      <c r="D74" s="8">
        <v>19.399999999999999</v>
      </c>
      <c r="E74" s="8">
        <v>22.1</v>
      </c>
      <c r="F74" s="8">
        <v>21.2</v>
      </c>
      <c r="G74" s="8">
        <v>15.5</v>
      </c>
      <c r="H74" s="8">
        <v>11.2</v>
      </c>
      <c r="I74" s="8">
        <v>89.5</v>
      </c>
      <c r="J74" s="15">
        <v>4844</v>
      </c>
      <c r="K74" s="8">
        <v>21.9</v>
      </c>
      <c r="L74" s="8">
        <v>23.7</v>
      </c>
      <c r="M74" s="8">
        <v>21.9</v>
      </c>
      <c r="N74" s="8">
        <v>16</v>
      </c>
      <c r="O74" s="8">
        <v>9.1999999999999993</v>
      </c>
      <c r="P74" s="8">
        <v>92.7</v>
      </c>
      <c r="Q74" s="15">
        <v>11023</v>
      </c>
      <c r="R74" s="8">
        <v>21.2</v>
      </c>
      <c r="S74" s="8">
        <v>23.2</v>
      </c>
      <c r="T74" s="8">
        <v>21.7</v>
      </c>
      <c r="U74" s="8">
        <v>15.8</v>
      </c>
      <c r="V74" s="8">
        <v>9.8000000000000007</v>
      </c>
      <c r="W74" s="8">
        <v>91.7</v>
      </c>
      <c r="X74" s="15">
        <v>15867</v>
      </c>
      <c r="AW74" s="78"/>
      <c r="AX74" s="89"/>
      <c r="AY74" s="89"/>
      <c r="AZ74" s="89"/>
      <c r="BA74" s="89"/>
      <c r="BB74" s="89"/>
      <c r="BC74" s="89"/>
      <c r="BD74" s="89"/>
      <c r="BE74" s="89"/>
      <c r="BF74" s="89"/>
      <c r="BG74" s="89"/>
      <c r="BH74" s="89"/>
      <c r="BI74" s="89"/>
      <c r="BJ74" s="89"/>
      <c r="BK74" s="89"/>
      <c r="BL74" s="89"/>
      <c r="BM74" s="89"/>
      <c r="BN74" s="89"/>
      <c r="BO74" s="89"/>
      <c r="BP74" s="89"/>
      <c r="BQ74" s="89"/>
      <c r="BR74" s="89"/>
    </row>
    <row r="75" spans="3:70" ht="14.25" customHeight="1" x14ac:dyDescent="0.2">
      <c r="C75" s="2" t="s">
        <v>30</v>
      </c>
      <c r="D75" s="8">
        <v>14.1</v>
      </c>
      <c r="E75" s="8">
        <v>16.2</v>
      </c>
      <c r="F75" s="8">
        <v>21.4</v>
      </c>
      <c r="G75" s="8">
        <v>20.2</v>
      </c>
      <c r="H75" s="8">
        <v>14.4</v>
      </c>
      <c r="I75" s="8">
        <v>86.3</v>
      </c>
      <c r="J75" s="15">
        <v>5918</v>
      </c>
      <c r="K75" s="8">
        <v>20.3</v>
      </c>
      <c r="L75" s="8">
        <v>20.399999999999999</v>
      </c>
      <c r="M75" s="8">
        <v>22.3</v>
      </c>
      <c r="N75" s="8">
        <v>18.7</v>
      </c>
      <c r="O75" s="8">
        <v>11.3</v>
      </c>
      <c r="P75" s="8">
        <v>93</v>
      </c>
      <c r="Q75" s="15">
        <v>4555</v>
      </c>
      <c r="R75" s="8">
        <v>16.8</v>
      </c>
      <c r="S75" s="8">
        <v>18</v>
      </c>
      <c r="T75" s="8">
        <v>21.8</v>
      </c>
      <c r="U75" s="8">
        <v>19.600000000000001</v>
      </c>
      <c r="V75" s="8">
        <v>13</v>
      </c>
      <c r="W75" s="8">
        <v>89.2</v>
      </c>
      <c r="X75" s="15">
        <v>10473</v>
      </c>
      <c r="AW75" s="78"/>
      <c r="AX75" s="89"/>
      <c r="AY75" s="89"/>
      <c r="AZ75" s="89"/>
      <c r="BA75" s="89"/>
      <c r="BB75" s="89"/>
      <c r="BC75" s="89"/>
      <c r="BD75" s="89"/>
      <c r="BE75" s="89"/>
      <c r="BF75" s="89"/>
      <c r="BG75" s="89"/>
      <c r="BH75" s="89"/>
      <c r="BI75" s="89"/>
      <c r="BJ75" s="89"/>
      <c r="BK75" s="89"/>
      <c r="BL75" s="89"/>
      <c r="BM75" s="89"/>
      <c r="BN75" s="89"/>
      <c r="BO75" s="89"/>
      <c r="BP75" s="89"/>
      <c r="BQ75" s="89"/>
      <c r="BR75" s="89"/>
    </row>
    <row r="76" spans="3:70" ht="14.25" customHeight="1" x14ac:dyDescent="0.2">
      <c r="C76" s="2" t="s">
        <v>31</v>
      </c>
      <c r="D76" s="8">
        <v>7.3</v>
      </c>
      <c r="E76" s="8">
        <v>13.6</v>
      </c>
      <c r="F76" s="8">
        <v>19.7</v>
      </c>
      <c r="G76" s="8">
        <v>22.7</v>
      </c>
      <c r="H76" s="8">
        <v>21</v>
      </c>
      <c r="I76" s="8">
        <v>84.2</v>
      </c>
      <c r="J76" s="15">
        <v>13759</v>
      </c>
      <c r="K76" s="8">
        <v>16.100000000000001</v>
      </c>
      <c r="L76" s="8">
        <v>17.8</v>
      </c>
      <c r="M76" s="8">
        <v>21.2</v>
      </c>
      <c r="N76" s="8">
        <v>19.100000000000001</v>
      </c>
      <c r="O76" s="8">
        <v>14.8</v>
      </c>
      <c r="P76" s="8">
        <v>89</v>
      </c>
      <c r="Q76" s="15">
        <v>10105</v>
      </c>
      <c r="R76" s="8">
        <v>11</v>
      </c>
      <c r="S76" s="8">
        <v>15.4</v>
      </c>
      <c r="T76" s="8">
        <v>20.3</v>
      </c>
      <c r="U76" s="8">
        <v>21.2</v>
      </c>
      <c r="V76" s="8">
        <v>18.399999999999999</v>
      </c>
      <c r="W76" s="8">
        <v>86.2</v>
      </c>
      <c r="X76" s="15">
        <v>23864</v>
      </c>
      <c r="AW76" s="78"/>
      <c r="AX76" s="89"/>
      <c r="AY76" s="89"/>
      <c r="AZ76" s="89"/>
      <c r="BA76" s="89"/>
      <c r="BB76" s="89"/>
      <c r="BC76" s="89"/>
      <c r="BD76" s="89"/>
      <c r="BE76" s="89"/>
      <c r="BF76" s="89"/>
      <c r="BG76" s="89"/>
      <c r="BH76" s="89"/>
      <c r="BI76" s="89"/>
      <c r="BJ76" s="89"/>
      <c r="BK76" s="89"/>
      <c r="BL76" s="89"/>
      <c r="BM76" s="89"/>
      <c r="BN76" s="89"/>
      <c r="BO76" s="89"/>
      <c r="BP76" s="89"/>
      <c r="BQ76" s="89"/>
      <c r="BR76" s="89"/>
    </row>
    <row r="77" spans="3:70" ht="14.25" customHeight="1" x14ac:dyDescent="0.2">
      <c r="C77" s="2" t="s">
        <v>32</v>
      </c>
      <c r="D77" s="8">
        <v>8</v>
      </c>
      <c r="E77" s="8">
        <v>11.3</v>
      </c>
      <c r="F77" s="8">
        <v>16.8</v>
      </c>
      <c r="G77" s="8">
        <v>19.399999999999999</v>
      </c>
      <c r="H77" s="8">
        <v>19.2</v>
      </c>
      <c r="I77" s="8">
        <v>74.7</v>
      </c>
      <c r="J77" s="15">
        <v>46070</v>
      </c>
      <c r="K77" s="8">
        <v>9.6</v>
      </c>
      <c r="L77" s="8">
        <v>13.2</v>
      </c>
      <c r="M77" s="8">
        <v>17.899999999999999</v>
      </c>
      <c r="N77" s="8">
        <v>19.399999999999999</v>
      </c>
      <c r="O77" s="8">
        <v>18.3</v>
      </c>
      <c r="P77" s="8">
        <v>78.400000000000006</v>
      </c>
      <c r="Q77" s="15">
        <v>52127</v>
      </c>
      <c r="R77" s="8">
        <v>8.8000000000000007</v>
      </c>
      <c r="S77" s="8">
        <v>12.3</v>
      </c>
      <c r="T77" s="8">
        <v>17.399999999999999</v>
      </c>
      <c r="U77" s="8">
        <v>19.399999999999999</v>
      </c>
      <c r="V77" s="8">
        <v>18.7</v>
      </c>
      <c r="W77" s="8">
        <v>76.7</v>
      </c>
      <c r="X77" s="15">
        <v>98197</v>
      </c>
      <c r="AW77" s="78"/>
      <c r="AX77" s="89"/>
      <c r="AY77" s="89"/>
      <c r="AZ77" s="89"/>
      <c r="BA77" s="89"/>
      <c r="BB77" s="89"/>
      <c r="BC77" s="89"/>
      <c r="BD77" s="89"/>
      <c r="BE77" s="89"/>
      <c r="BF77" s="89"/>
      <c r="BG77" s="89"/>
      <c r="BH77" s="89"/>
      <c r="BI77" s="89"/>
      <c r="BJ77" s="89"/>
      <c r="BK77" s="89"/>
      <c r="BL77" s="89"/>
      <c r="BM77" s="89"/>
      <c r="BN77" s="89"/>
      <c r="BO77" s="89"/>
      <c r="BP77" s="89"/>
      <c r="BQ77" s="89"/>
      <c r="BR77" s="89"/>
    </row>
    <row r="78" spans="3:70" ht="14.25" customHeight="1" x14ac:dyDescent="0.2">
      <c r="C78" s="2" t="s">
        <v>46</v>
      </c>
      <c r="D78" s="8">
        <v>13.2</v>
      </c>
      <c r="E78" s="8">
        <v>15.4</v>
      </c>
      <c r="F78" s="8">
        <v>19.100000000000001</v>
      </c>
      <c r="G78" s="8">
        <v>18.899999999999999</v>
      </c>
      <c r="H78" s="8">
        <v>15.5</v>
      </c>
      <c r="I78" s="8">
        <v>82.3</v>
      </c>
      <c r="J78" s="15">
        <v>402146</v>
      </c>
      <c r="K78" s="8">
        <v>16.5</v>
      </c>
      <c r="L78" s="8">
        <v>18.399999999999999</v>
      </c>
      <c r="M78" s="8">
        <v>20.8</v>
      </c>
      <c r="N78" s="8">
        <v>18.100000000000001</v>
      </c>
      <c r="O78" s="8">
        <v>13.2</v>
      </c>
      <c r="P78" s="8">
        <v>86.9</v>
      </c>
      <c r="Q78" s="15">
        <v>476648</v>
      </c>
      <c r="R78" s="8">
        <v>15</v>
      </c>
      <c r="S78" s="8">
        <v>17</v>
      </c>
      <c r="T78" s="8">
        <v>20</v>
      </c>
      <c r="U78" s="8">
        <v>18.5</v>
      </c>
      <c r="V78" s="8">
        <v>14.2</v>
      </c>
      <c r="W78" s="8">
        <v>84.8</v>
      </c>
      <c r="X78" s="15">
        <v>878794</v>
      </c>
      <c r="AW78" s="78"/>
      <c r="AX78" s="89"/>
      <c r="AY78" s="89"/>
      <c r="AZ78" s="89"/>
      <c r="BA78" s="89"/>
      <c r="BB78" s="89"/>
      <c r="BC78" s="89"/>
      <c r="BD78" s="89"/>
      <c r="BE78" s="89"/>
      <c r="BF78" s="89"/>
      <c r="BG78" s="89"/>
      <c r="BH78" s="89"/>
      <c r="BI78" s="89"/>
      <c r="BJ78" s="89"/>
      <c r="BK78" s="89"/>
      <c r="BL78" s="89"/>
      <c r="BM78" s="89"/>
      <c r="BN78" s="89"/>
      <c r="BO78" s="89"/>
      <c r="BP78" s="89"/>
      <c r="BQ78" s="89"/>
      <c r="BR78" s="89"/>
    </row>
    <row r="79" spans="3:70" ht="14.25" customHeight="1" x14ac:dyDescent="0.2">
      <c r="J79" s="9"/>
      <c r="Q79" s="15"/>
      <c r="X79" s="9"/>
      <c r="AX79" s="89"/>
      <c r="AY79" s="89"/>
      <c r="AZ79" s="89"/>
      <c r="BA79" s="89"/>
      <c r="BB79" s="89"/>
      <c r="BC79" s="89"/>
      <c r="BD79" s="89"/>
      <c r="BE79" s="89"/>
      <c r="BF79" s="89"/>
      <c r="BG79" s="89"/>
      <c r="BH79" s="89"/>
      <c r="BI79" s="89"/>
      <c r="BJ79" s="89"/>
      <c r="BK79" s="89"/>
      <c r="BL79" s="89"/>
      <c r="BM79" s="89"/>
      <c r="BN79" s="89"/>
      <c r="BO79" s="89"/>
      <c r="BP79" s="89"/>
      <c r="BQ79" s="89"/>
      <c r="BR79" s="89"/>
    </row>
    <row r="80" spans="3:70" ht="14.25" customHeight="1" x14ac:dyDescent="0.2">
      <c r="D80" s="2" t="s">
        <v>59</v>
      </c>
      <c r="K80" s="2" t="s">
        <v>59</v>
      </c>
      <c r="R80" s="2" t="s">
        <v>59</v>
      </c>
      <c r="AX80" s="89"/>
      <c r="AY80" s="89"/>
      <c r="AZ80" s="89"/>
      <c r="BA80" s="89"/>
      <c r="BB80" s="89"/>
      <c r="BC80" s="89"/>
      <c r="BD80" s="89"/>
      <c r="BE80" s="89"/>
      <c r="BF80" s="89"/>
      <c r="BG80" s="89"/>
      <c r="BH80" s="89"/>
      <c r="BI80" s="89"/>
      <c r="BJ80" s="89"/>
      <c r="BK80" s="89"/>
      <c r="BL80" s="89"/>
      <c r="BM80" s="89"/>
      <c r="BN80" s="89"/>
      <c r="BO80" s="89"/>
      <c r="BP80" s="89"/>
      <c r="BQ80" s="89"/>
      <c r="BR80" s="89"/>
    </row>
    <row r="81" spans="3:70" ht="14.25" customHeight="1" x14ac:dyDescent="0.2">
      <c r="D81" s="2" t="s">
        <v>33</v>
      </c>
      <c r="E81" s="2" t="s">
        <v>34</v>
      </c>
      <c r="F81" s="2" t="s">
        <v>35</v>
      </c>
      <c r="G81" s="2" t="s">
        <v>36</v>
      </c>
      <c r="H81" s="2" t="s">
        <v>37</v>
      </c>
      <c r="I81" s="2" t="s">
        <v>47</v>
      </c>
      <c r="J81" s="2" t="s">
        <v>58</v>
      </c>
      <c r="K81" s="2" t="s">
        <v>33</v>
      </c>
      <c r="L81" s="2" t="s">
        <v>34</v>
      </c>
      <c r="M81" s="2" t="s">
        <v>35</v>
      </c>
      <c r="N81" s="2" t="s">
        <v>36</v>
      </c>
      <c r="O81" s="2" t="s">
        <v>37</v>
      </c>
      <c r="P81" s="2" t="s">
        <v>47</v>
      </c>
      <c r="Q81" s="2" t="s">
        <v>58</v>
      </c>
      <c r="R81" s="2" t="s">
        <v>33</v>
      </c>
      <c r="S81" s="2" t="s">
        <v>34</v>
      </c>
      <c r="T81" s="2" t="s">
        <v>35</v>
      </c>
      <c r="U81" s="2" t="s">
        <v>36</v>
      </c>
      <c r="V81" s="2" t="s">
        <v>37</v>
      </c>
      <c r="W81" s="2" t="s">
        <v>47</v>
      </c>
      <c r="X81" s="2" t="s">
        <v>58</v>
      </c>
      <c r="AX81" s="89"/>
      <c r="AY81" s="89"/>
      <c r="AZ81" s="89"/>
      <c r="BA81" s="89"/>
      <c r="BB81" s="89"/>
      <c r="BC81" s="89"/>
      <c r="BD81" s="89"/>
      <c r="BE81" s="89"/>
      <c r="BF81" s="89"/>
      <c r="BG81" s="89"/>
      <c r="BH81" s="89"/>
      <c r="BI81" s="89"/>
      <c r="BJ81" s="89"/>
      <c r="BK81" s="89"/>
      <c r="BL81" s="89"/>
      <c r="BM81" s="89"/>
      <c r="BN81" s="89"/>
      <c r="BO81" s="89"/>
      <c r="BP81" s="89"/>
      <c r="BQ81" s="89"/>
      <c r="BR81" s="89"/>
    </row>
    <row r="82" spans="3:70" ht="14.25" customHeight="1" x14ac:dyDescent="0.2">
      <c r="C82" s="2" t="s">
        <v>0</v>
      </c>
      <c r="D82" s="8">
        <f>ROUND(D44,1)</f>
        <v>13.5</v>
      </c>
      <c r="E82" s="8">
        <f t="shared" ref="E82:W82" si="0">ROUND(E44,1)</f>
        <v>14.6</v>
      </c>
      <c r="F82" s="8">
        <f t="shared" si="0"/>
        <v>16.100000000000001</v>
      </c>
      <c r="G82" s="8">
        <f t="shared" si="0"/>
        <v>17.5</v>
      </c>
      <c r="H82" s="8">
        <f t="shared" si="0"/>
        <v>16.600000000000001</v>
      </c>
      <c r="I82" s="8">
        <f t="shared" si="0"/>
        <v>78.3</v>
      </c>
      <c r="J82" s="15">
        <f>ROUND(J44,0)</f>
        <v>22860</v>
      </c>
      <c r="K82" s="8">
        <f t="shared" si="0"/>
        <v>16</v>
      </c>
      <c r="L82" s="8">
        <f t="shared" si="0"/>
        <v>16.100000000000001</v>
      </c>
      <c r="M82" s="8">
        <f t="shared" si="0"/>
        <v>16.899999999999999</v>
      </c>
      <c r="N82" s="8">
        <f t="shared" si="0"/>
        <v>16.899999999999999</v>
      </c>
      <c r="O82" s="8">
        <f t="shared" si="0"/>
        <v>15.5</v>
      </c>
      <c r="P82" s="8">
        <f t="shared" si="0"/>
        <v>81.3</v>
      </c>
      <c r="Q82" s="15">
        <f>ROUND(Q44,0)</f>
        <v>33324</v>
      </c>
      <c r="R82" s="8">
        <f t="shared" si="0"/>
        <v>14.9</v>
      </c>
      <c r="S82" s="8">
        <f t="shared" si="0"/>
        <v>15.5</v>
      </c>
      <c r="T82" s="8">
        <f t="shared" si="0"/>
        <v>16.600000000000001</v>
      </c>
      <c r="U82" s="8">
        <f t="shared" si="0"/>
        <v>17.100000000000001</v>
      </c>
      <c r="V82" s="8">
        <f t="shared" si="0"/>
        <v>16</v>
      </c>
      <c r="W82" s="8">
        <f t="shared" si="0"/>
        <v>80.099999999999994</v>
      </c>
      <c r="X82" s="15">
        <f>ROUND(X44,0)</f>
        <v>56184</v>
      </c>
      <c r="AX82" s="89"/>
      <c r="AY82" s="89"/>
      <c r="AZ82" s="89"/>
      <c r="BA82" s="89"/>
      <c r="BB82" s="89"/>
      <c r="BC82" s="89"/>
      <c r="BD82" s="89"/>
      <c r="BE82" s="89"/>
      <c r="BF82" s="89"/>
      <c r="BG82" s="89"/>
      <c r="BH82" s="89"/>
      <c r="BI82" s="89"/>
      <c r="BJ82" s="89"/>
      <c r="BK82" s="89"/>
      <c r="BL82" s="89"/>
      <c r="BM82" s="89"/>
      <c r="BN82" s="89"/>
      <c r="BO82" s="89"/>
      <c r="BP82" s="89"/>
      <c r="BQ82" s="89"/>
      <c r="BR82" s="89"/>
    </row>
    <row r="83" spans="3:70" ht="14.25" customHeight="1" x14ac:dyDescent="0.2">
      <c r="C83" s="2" t="s">
        <v>1</v>
      </c>
      <c r="D83" s="8">
        <f t="shared" ref="D83:I83" si="1">ROUND(D45,1)</f>
        <v>18</v>
      </c>
      <c r="E83" s="8">
        <f t="shared" si="1"/>
        <v>16.600000000000001</v>
      </c>
      <c r="F83" s="8">
        <f t="shared" si="1"/>
        <v>17</v>
      </c>
      <c r="G83" s="8">
        <f t="shared" si="1"/>
        <v>16.600000000000001</v>
      </c>
      <c r="H83" s="8">
        <f t="shared" si="1"/>
        <v>14.1</v>
      </c>
      <c r="I83" s="8">
        <f t="shared" si="1"/>
        <v>82.3</v>
      </c>
      <c r="J83" s="15">
        <f t="shared" ref="J83:J116" si="2">ROUND(J45,0)</f>
        <v>19406</v>
      </c>
      <c r="K83" s="8">
        <f t="shared" ref="K83:P83" si="3">ROUND(K45,1)</f>
        <v>19.399999999999999</v>
      </c>
      <c r="L83" s="8">
        <f t="shared" si="3"/>
        <v>17.399999999999999</v>
      </c>
      <c r="M83" s="8">
        <f t="shared" si="3"/>
        <v>17.7</v>
      </c>
      <c r="N83" s="8">
        <f t="shared" si="3"/>
        <v>16</v>
      </c>
      <c r="O83" s="8">
        <f t="shared" si="3"/>
        <v>13.8</v>
      </c>
      <c r="P83" s="8">
        <f t="shared" si="3"/>
        <v>84.2</v>
      </c>
      <c r="Q83" s="15">
        <f t="shared" ref="Q83:Q116" si="4">ROUND(Q45,0)</f>
        <v>19197</v>
      </c>
      <c r="R83" s="8">
        <f t="shared" ref="R83:W83" si="5">ROUND(R45,1)</f>
        <v>18.7</v>
      </c>
      <c r="S83" s="8">
        <f t="shared" si="5"/>
        <v>17</v>
      </c>
      <c r="T83" s="8">
        <f t="shared" si="5"/>
        <v>17.3</v>
      </c>
      <c r="U83" s="8">
        <f t="shared" si="5"/>
        <v>16.3</v>
      </c>
      <c r="V83" s="8">
        <f t="shared" si="5"/>
        <v>13.9</v>
      </c>
      <c r="W83" s="8">
        <f t="shared" si="5"/>
        <v>83.3</v>
      </c>
      <c r="X83" s="15">
        <f t="shared" ref="X83:X116" si="6">ROUND(X45,0)</f>
        <v>38603</v>
      </c>
      <c r="AX83" s="89"/>
      <c r="AY83" s="89"/>
      <c r="AZ83" s="89"/>
      <c r="BA83" s="89"/>
      <c r="BB83" s="89"/>
      <c r="BC83" s="89"/>
      <c r="BD83" s="89"/>
      <c r="BE83" s="89"/>
      <c r="BF83" s="89"/>
      <c r="BG83" s="89"/>
      <c r="BH83" s="89"/>
      <c r="BI83" s="89"/>
      <c r="BJ83" s="89"/>
      <c r="BK83" s="89"/>
      <c r="BL83" s="89"/>
      <c r="BM83" s="89"/>
      <c r="BN83" s="89"/>
      <c r="BO83" s="89"/>
      <c r="BP83" s="89"/>
      <c r="BQ83" s="89"/>
      <c r="BR83" s="89"/>
    </row>
    <row r="84" spans="3:70" ht="14.25" customHeight="1" x14ac:dyDescent="0.2">
      <c r="C84" s="2" t="s">
        <v>2</v>
      </c>
      <c r="D84" s="8">
        <f t="shared" ref="D84:I84" si="7">ROUND(D46,1)</f>
        <v>18.600000000000001</v>
      </c>
      <c r="E84" s="8">
        <f t="shared" si="7"/>
        <v>15.3</v>
      </c>
      <c r="F84" s="8">
        <f t="shared" si="7"/>
        <v>16.399999999999999</v>
      </c>
      <c r="G84" s="8">
        <f t="shared" si="7"/>
        <v>15.8</v>
      </c>
      <c r="H84" s="8">
        <f t="shared" si="7"/>
        <v>14.3</v>
      </c>
      <c r="I84" s="8">
        <f t="shared" si="7"/>
        <v>80.400000000000006</v>
      </c>
      <c r="J84" s="15">
        <f t="shared" si="2"/>
        <v>22640</v>
      </c>
      <c r="K84" s="8">
        <f t="shared" ref="K84:P84" si="8">ROUND(K46,1)</f>
        <v>24</v>
      </c>
      <c r="L84" s="8">
        <f t="shared" si="8"/>
        <v>18.899999999999999</v>
      </c>
      <c r="M84" s="8">
        <f t="shared" si="8"/>
        <v>17.899999999999999</v>
      </c>
      <c r="N84" s="8">
        <f t="shared" si="8"/>
        <v>14.8</v>
      </c>
      <c r="O84" s="8">
        <f t="shared" si="8"/>
        <v>11.6</v>
      </c>
      <c r="P84" s="8">
        <f t="shared" si="8"/>
        <v>87.1</v>
      </c>
      <c r="Q84" s="15">
        <f t="shared" si="4"/>
        <v>7245</v>
      </c>
      <c r="R84" s="8">
        <f t="shared" ref="R84:W84" si="9">ROUND(R46,1)</f>
        <v>19.899999999999999</v>
      </c>
      <c r="S84" s="8">
        <f t="shared" si="9"/>
        <v>16.100000000000001</v>
      </c>
      <c r="T84" s="8">
        <f t="shared" si="9"/>
        <v>16.8</v>
      </c>
      <c r="U84" s="8">
        <f t="shared" si="9"/>
        <v>15.6</v>
      </c>
      <c r="V84" s="8">
        <f t="shared" si="9"/>
        <v>13.7</v>
      </c>
      <c r="W84" s="8">
        <f t="shared" si="9"/>
        <v>82</v>
      </c>
      <c r="X84" s="15">
        <f t="shared" si="6"/>
        <v>29885</v>
      </c>
      <c r="AX84" s="89"/>
      <c r="AY84" s="89"/>
      <c r="AZ84" s="89"/>
      <c r="BA84" s="89"/>
      <c r="BB84" s="89"/>
      <c r="BC84" s="89"/>
      <c r="BD84" s="89"/>
      <c r="BE84" s="89"/>
      <c r="BF84" s="89"/>
      <c r="BG84" s="89"/>
      <c r="BH84" s="89"/>
      <c r="BI84" s="89"/>
      <c r="BJ84" s="89"/>
      <c r="BK84" s="89"/>
      <c r="BL84" s="89"/>
      <c r="BM84" s="89"/>
      <c r="BN84" s="89"/>
      <c r="BO84" s="89"/>
      <c r="BP84" s="89"/>
      <c r="BQ84" s="89"/>
      <c r="BR84" s="89"/>
    </row>
    <row r="85" spans="3:70" ht="14.25" customHeight="1" x14ac:dyDescent="0.2">
      <c r="C85" s="2" t="s">
        <v>3</v>
      </c>
      <c r="D85" s="8">
        <f t="shared" ref="D85:I85" si="10">ROUND(D47,1)</f>
        <v>14.5</v>
      </c>
      <c r="E85" s="8">
        <f t="shared" si="10"/>
        <v>15</v>
      </c>
      <c r="F85" s="8">
        <f t="shared" si="10"/>
        <v>18.5</v>
      </c>
      <c r="G85" s="8">
        <f t="shared" si="10"/>
        <v>18.7</v>
      </c>
      <c r="H85" s="8">
        <f t="shared" si="10"/>
        <v>15.5</v>
      </c>
      <c r="I85" s="8">
        <f t="shared" si="10"/>
        <v>82.2</v>
      </c>
      <c r="J85" s="15">
        <f t="shared" si="2"/>
        <v>5089</v>
      </c>
      <c r="K85" s="8">
        <f t="shared" ref="K85:P85" si="11">ROUND(K47,1)</f>
        <v>11.2</v>
      </c>
      <c r="L85" s="8">
        <f t="shared" si="11"/>
        <v>15.1</v>
      </c>
      <c r="M85" s="8">
        <f t="shared" si="11"/>
        <v>20.3</v>
      </c>
      <c r="N85" s="8">
        <f t="shared" si="11"/>
        <v>20.100000000000001</v>
      </c>
      <c r="O85" s="8">
        <f t="shared" si="11"/>
        <v>16.7</v>
      </c>
      <c r="P85" s="8">
        <f t="shared" si="11"/>
        <v>83.4</v>
      </c>
      <c r="Q85" s="15">
        <f t="shared" si="4"/>
        <v>2394</v>
      </c>
      <c r="R85" s="8">
        <f t="shared" ref="R85:W85" si="12">ROUND(R47,1)</f>
        <v>13.4</v>
      </c>
      <c r="S85" s="8">
        <f t="shared" si="12"/>
        <v>15</v>
      </c>
      <c r="T85" s="8">
        <f t="shared" si="12"/>
        <v>19.100000000000001</v>
      </c>
      <c r="U85" s="8">
        <f t="shared" si="12"/>
        <v>19.2</v>
      </c>
      <c r="V85" s="8">
        <f t="shared" si="12"/>
        <v>15.9</v>
      </c>
      <c r="W85" s="8">
        <f t="shared" si="12"/>
        <v>82.6</v>
      </c>
      <c r="X85" s="15">
        <f t="shared" si="6"/>
        <v>7483</v>
      </c>
      <c r="AX85" s="89"/>
      <c r="AY85" s="89"/>
      <c r="AZ85" s="89"/>
      <c r="BA85" s="89"/>
      <c r="BB85" s="89"/>
      <c r="BC85" s="89"/>
      <c r="BD85" s="89"/>
      <c r="BE85" s="89"/>
      <c r="BF85" s="89"/>
      <c r="BG85" s="89"/>
      <c r="BH85" s="89"/>
      <c r="BI85" s="89"/>
      <c r="BJ85" s="89"/>
      <c r="BK85" s="89"/>
      <c r="BL85" s="89"/>
      <c r="BM85" s="89"/>
      <c r="BN85" s="89"/>
      <c r="BO85" s="89"/>
      <c r="BP85" s="89"/>
      <c r="BQ85" s="89"/>
      <c r="BR85" s="89"/>
    </row>
    <row r="86" spans="3:70" ht="14.25" customHeight="1" x14ac:dyDescent="0.2">
      <c r="C86" s="2" t="s">
        <v>4</v>
      </c>
      <c r="D86" s="8">
        <f t="shared" ref="D86:I86" si="13">ROUND(D48,1)</f>
        <v>20.100000000000001</v>
      </c>
      <c r="E86" s="8">
        <f t="shared" si="13"/>
        <v>13.1</v>
      </c>
      <c r="F86" s="8">
        <f t="shared" si="13"/>
        <v>13.8</v>
      </c>
      <c r="G86" s="8">
        <f t="shared" si="13"/>
        <v>14.3</v>
      </c>
      <c r="H86" s="8">
        <f t="shared" si="13"/>
        <v>13.8</v>
      </c>
      <c r="I86" s="8">
        <f t="shared" si="13"/>
        <v>75.099999999999994</v>
      </c>
      <c r="J86" s="15">
        <f t="shared" si="2"/>
        <v>30631</v>
      </c>
      <c r="K86" s="8">
        <f t="shared" ref="K86:P86" si="14">ROUND(K48,1)</f>
        <v>22.3</v>
      </c>
      <c r="L86" s="8">
        <f t="shared" si="14"/>
        <v>15.6</v>
      </c>
      <c r="M86" s="8">
        <f t="shared" si="14"/>
        <v>15.5</v>
      </c>
      <c r="N86" s="8">
        <f t="shared" si="14"/>
        <v>14.5</v>
      </c>
      <c r="O86" s="8">
        <f t="shared" si="14"/>
        <v>12.8</v>
      </c>
      <c r="P86" s="8">
        <f t="shared" si="14"/>
        <v>80.8</v>
      </c>
      <c r="Q86" s="15">
        <f t="shared" si="4"/>
        <v>20406</v>
      </c>
      <c r="R86" s="8">
        <f t="shared" ref="R86:W86" si="15">ROUND(R48,1)</f>
        <v>21</v>
      </c>
      <c r="S86" s="8">
        <f t="shared" si="15"/>
        <v>14.1</v>
      </c>
      <c r="T86" s="8">
        <f t="shared" si="15"/>
        <v>14.5</v>
      </c>
      <c r="U86" s="8">
        <f t="shared" si="15"/>
        <v>14.4</v>
      </c>
      <c r="V86" s="8">
        <f t="shared" si="15"/>
        <v>13.4</v>
      </c>
      <c r="W86" s="8">
        <f t="shared" si="15"/>
        <v>77.400000000000006</v>
      </c>
      <c r="X86" s="15">
        <f t="shared" si="6"/>
        <v>51037</v>
      </c>
    </row>
    <row r="87" spans="3:70" ht="14.25" customHeight="1" x14ac:dyDescent="0.2">
      <c r="C87" s="2" t="s">
        <v>5</v>
      </c>
      <c r="D87" s="8">
        <f t="shared" ref="D87:I87" si="16">ROUND(D49,1)</f>
        <v>30.7</v>
      </c>
      <c r="E87" s="8">
        <f t="shared" si="16"/>
        <v>18.5</v>
      </c>
      <c r="F87" s="8">
        <f t="shared" si="16"/>
        <v>18</v>
      </c>
      <c r="G87" s="8">
        <f t="shared" si="16"/>
        <v>14.4</v>
      </c>
      <c r="H87" s="8">
        <f t="shared" si="16"/>
        <v>9.3000000000000007</v>
      </c>
      <c r="I87" s="8">
        <f t="shared" si="16"/>
        <v>90.9</v>
      </c>
      <c r="J87" s="15">
        <f t="shared" si="2"/>
        <v>1671</v>
      </c>
      <c r="K87" s="8">
        <f t="shared" ref="K87:P87" si="17">ROUND(K49,1)</f>
        <v>37.200000000000003</v>
      </c>
      <c r="L87" s="8">
        <f t="shared" si="17"/>
        <v>20.2</v>
      </c>
      <c r="M87" s="8">
        <f t="shared" si="17"/>
        <v>17.899999999999999</v>
      </c>
      <c r="N87" s="8">
        <f t="shared" si="17"/>
        <v>11</v>
      </c>
      <c r="O87" s="8">
        <f t="shared" si="17"/>
        <v>6</v>
      </c>
      <c r="P87" s="8">
        <f t="shared" si="17"/>
        <v>92.3</v>
      </c>
      <c r="Q87" s="15">
        <f t="shared" si="4"/>
        <v>884</v>
      </c>
      <c r="R87" s="8">
        <f t="shared" ref="R87:W87" si="18">ROUND(R49,1)</f>
        <v>33</v>
      </c>
      <c r="S87" s="8">
        <f t="shared" si="18"/>
        <v>19.100000000000001</v>
      </c>
      <c r="T87" s="8">
        <f t="shared" si="18"/>
        <v>18</v>
      </c>
      <c r="U87" s="8">
        <f t="shared" si="18"/>
        <v>13.2</v>
      </c>
      <c r="V87" s="8">
        <f t="shared" si="18"/>
        <v>8.1999999999999993</v>
      </c>
      <c r="W87" s="8">
        <f t="shared" si="18"/>
        <v>91.4</v>
      </c>
      <c r="X87" s="15">
        <f t="shared" si="6"/>
        <v>2555</v>
      </c>
    </row>
    <row r="88" spans="3:70" ht="14.25" customHeight="1" x14ac:dyDescent="0.2">
      <c r="C88" s="2" t="s">
        <v>6</v>
      </c>
      <c r="D88" s="8">
        <f t="shared" ref="D88:I88" si="19">ROUND(D50,1)</f>
        <v>8.8000000000000007</v>
      </c>
      <c r="E88" s="8">
        <f t="shared" si="19"/>
        <v>14.3</v>
      </c>
      <c r="F88" s="8">
        <f t="shared" si="19"/>
        <v>20.399999999999999</v>
      </c>
      <c r="G88" s="8">
        <f t="shared" si="19"/>
        <v>22.5</v>
      </c>
      <c r="H88" s="8">
        <f t="shared" si="19"/>
        <v>18</v>
      </c>
      <c r="I88" s="8">
        <f t="shared" si="19"/>
        <v>84</v>
      </c>
      <c r="J88" s="15">
        <f t="shared" si="2"/>
        <v>11601</v>
      </c>
      <c r="K88" s="8">
        <f t="shared" ref="K88:P88" si="20">ROUND(K50,1)</f>
        <v>15.9</v>
      </c>
      <c r="L88" s="8">
        <f t="shared" si="20"/>
        <v>19.2</v>
      </c>
      <c r="M88" s="8">
        <f t="shared" si="20"/>
        <v>22.9</v>
      </c>
      <c r="N88" s="8">
        <f t="shared" si="20"/>
        <v>19.8</v>
      </c>
      <c r="O88" s="8">
        <f t="shared" si="20"/>
        <v>12.8</v>
      </c>
      <c r="P88" s="8">
        <f t="shared" si="20"/>
        <v>90.5</v>
      </c>
      <c r="Q88" s="15">
        <f t="shared" si="4"/>
        <v>7730</v>
      </c>
      <c r="R88" s="8">
        <f t="shared" ref="R88:W88" si="21">ROUND(R50,1)</f>
        <v>11.7</v>
      </c>
      <c r="S88" s="8">
        <f t="shared" si="21"/>
        <v>16.3</v>
      </c>
      <c r="T88" s="8">
        <f t="shared" si="21"/>
        <v>21.4</v>
      </c>
      <c r="U88" s="8">
        <f t="shared" si="21"/>
        <v>21.4</v>
      </c>
      <c r="V88" s="8">
        <f t="shared" si="21"/>
        <v>15.9</v>
      </c>
      <c r="W88" s="8">
        <f t="shared" si="21"/>
        <v>86.6</v>
      </c>
      <c r="X88" s="15">
        <f t="shared" si="6"/>
        <v>19331</v>
      </c>
    </row>
    <row r="89" spans="3:70" ht="14.25" customHeight="1" x14ac:dyDescent="0.2">
      <c r="C89" s="2" t="s">
        <v>7</v>
      </c>
      <c r="D89" s="8">
        <f t="shared" ref="D89:I89" si="22">ROUND(D51,1)</f>
        <v>10.6</v>
      </c>
      <c r="E89" s="8">
        <f t="shared" si="22"/>
        <v>14.3</v>
      </c>
      <c r="F89" s="8">
        <f t="shared" si="22"/>
        <v>17.899999999999999</v>
      </c>
      <c r="G89" s="8">
        <f t="shared" si="22"/>
        <v>18.7</v>
      </c>
      <c r="H89" s="8">
        <f t="shared" si="22"/>
        <v>16.600000000000001</v>
      </c>
      <c r="I89" s="8">
        <f t="shared" si="22"/>
        <v>78.099999999999994</v>
      </c>
      <c r="J89" s="15">
        <f t="shared" si="2"/>
        <v>8448</v>
      </c>
      <c r="K89" s="8">
        <f t="shared" ref="K89:P89" si="23">ROUND(K51,1)</f>
        <v>10.1</v>
      </c>
      <c r="L89" s="8">
        <f t="shared" si="23"/>
        <v>12.3</v>
      </c>
      <c r="M89" s="8">
        <f t="shared" si="23"/>
        <v>16.5</v>
      </c>
      <c r="N89" s="8">
        <f t="shared" si="23"/>
        <v>15.3</v>
      </c>
      <c r="O89" s="8">
        <f t="shared" si="23"/>
        <v>18</v>
      </c>
      <c r="P89" s="8">
        <f t="shared" si="23"/>
        <v>72.2</v>
      </c>
      <c r="Q89" s="15">
        <f t="shared" si="4"/>
        <v>976</v>
      </c>
      <c r="R89" s="8">
        <f t="shared" ref="R89:W89" si="24">ROUND(R51,1)</f>
        <v>10.5</v>
      </c>
      <c r="S89" s="8">
        <f t="shared" si="24"/>
        <v>14.1</v>
      </c>
      <c r="T89" s="8">
        <f t="shared" si="24"/>
        <v>17.8</v>
      </c>
      <c r="U89" s="8">
        <f t="shared" si="24"/>
        <v>18.3</v>
      </c>
      <c r="V89" s="8">
        <f t="shared" si="24"/>
        <v>16.7</v>
      </c>
      <c r="W89" s="8">
        <f t="shared" si="24"/>
        <v>77.5</v>
      </c>
      <c r="X89" s="15">
        <f t="shared" si="6"/>
        <v>9424</v>
      </c>
    </row>
    <row r="90" spans="3:70" ht="14.25" customHeight="1" x14ac:dyDescent="0.2">
      <c r="C90" s="2" t="s">
        <v>8</v>
      </c>
      <c r="D90" s="8">
        <f t="shared" ref="D90:I90" si="25">ROUND(D52,1)</f>
        <v>3.7</v>
      </c>
      <c r="E90" s="8">
        <f t="shared" si="25"/>
        <v>9.6999999999999993</v>
      </c>
      <c r="F90" s="8">
        <f t="shared" si="25"/>
        <v>17.5</v>
      </c>
      <c r="G90" s="8">
        <f t="shared" si="25"/>
        <v>22.8</v>
      </c>
      <c r="H90" s="8">
        <f t="shared" si="25"/>
        <v>23</v>
      </c>
      <c r="I90" s="8">
        <f t="shared" si="25"/>
        <v>76.599999999999994</v>
      </c>
      <c r="J90" s="15">
        <f t="shared" si="2"/>
        <v>14209</v>
      </c>
      <c r="K90" s="8">
        <f t="shared" ref="K90:P90" si="26">ROUND(K52,1)</f>
        <v>4.7</v>
      </c>
      <c r="L90" s="8">
        <f t="shared" si="26"/>
        <v>11.7</v>
      </c>
      <c r="M90" s="8">
        <f t="shared" si="26"/>
        <v>18.899999999999999</v>
      </c>
      <c r="N90" s="8">
        <f t="shared" si="26"/>
        <v>23.5</v>
      </c>
      <c r="O90" s="8">
        <f t="shared" si="26"/>
        <v>21.3</v>
      </c>
      <c r="P90" s="8">
        <f t="shared" si="26"/>
        <v>80</v>
      </c>
      <c r="Q90" s="15">
        <f t="shared" si="4"/>
        <v>8153</v>
      </c>
      <c r="R90" s="8">
        <f t="shared" ref="R90:W90" si="27">ROUND(R52,1)</f>
        <v>4</v>
      </c>
      <c r="S90" s="8">
        <f t="shared" si="27"/>
        <v>10.4</v>
      </c>
      <c r="T90" s="8">
        <f t="shared" si="27"/>
        <v>18</v>
      </c>
      <c r="U90" s="8">
        <f t="shared" si="27"/>
        <v>23</v>
      </c>
      <c r="V90" s="8">
        <f t="shared" si="27"/>
        <v>22.4</v>
      </c>
      <c r="W90" s="8">
        <f t="shared" si="27"/>
        <v>77.900000000000006</v>
      </c>
      <c r="X90" s="15">
        <f t="shared" si="6"/>
        <v>22362</v>
      </c>
    </row>
    <row r="91" spans="3:70" ht="14.25" customHeight="1" x14ac:dyDescent="0.2">
      <c r="C91" s="2" t="s">
        <v>9</v>
      </c>
      <c r="D91" s="8">
        <f t="shared" ref="D91:I91" si="28">ROUND(D53,1)</f>
        <v>0</v>
      </c>
      <c r="E91" s="8">
        <f t="shared" si="28"/>
        <v>9.3000000000000007</v>
      </c>
      <c r="F91" s="8">
        <f t="shared" si="28"/>
        <v>17.3</v>
      </c>
      <c r="G91" s="8">
        <f t="shared" si="28"/>
        <v>13.3</v>
      </c>
      <c r="H91" s="8">
        <f t="shared" si="28"/>
        <v>32</v>
      </c>
      <c r="I91" s="8">
        <f t="shared" si="28"/>
        <v>72</v>
      </c>
      <c r="J91" s="15">
        <f t="shared" si="2"/>
        <v>75</v>
      </c>
      <c r="K91" s="8">
        <f t="shared" ref="K91:P91" si="29">ROUND(K53,1)</f>
        <v>16</v>
      </c>
      <c r="L91" s="8">
        <f t="shared" si="29"/>
        <v>17.100000000000001</v>
      </c>
      <c r="M91" s="8">
        <f t="shared" si="29"/>
        <v>20.3</v>
      </c>
      <c r="N91" s="8">
        <f t="shared" si="29"/>
        <v>21.1</v>
      </c>
      <c r="O91" s="8">
        <f t="shared" si="29"/>
        <v>16.5</v>
      </c>
      <c r="P91" s="8">
        <f t="shared" si="29"/>
        <v>91.1</v>
      </c>
      <c r="Q91" s="15">
        <f t="shared" si="4"/>
        <v>526</v>
      </c>
      <c r="R91" s="8">
        <f t="shared" ref="R91:W91" si="30">ROUND(R53,1)</f>
        <v>14</v>
      </c>
      <c r="S91" s="8">
        <f t="shared" si="30"/>
        <v>16.100000000000001</v>
      </c>
      <c r="T91" s="8">
        <f t="shared" si="30"/>
        <v>20</v>
      </c>
      <c r="U91" s="8">
        <f t="shared" si="30"/>
        <v>20.100000000000001</v>
      </c>
      <c r="V91" s="8">
        <f t="shared" si="30"/>
        <v>18.5</v>
      </c>
      <c r="W91" s="8">
        <f t="shared" si="30"/>
        <v>88.7</v>
      </c>
      <c r="X91" s="15">
        <f t="shared" si="6"/>
        <v>601</v>
      </c>
    </row>
    <row r="92" spans="3:70" ht="14.25" customHeight="1" x14ac:dyDescent="0.2">
      <c r="C92" s="2" t="s">
        <v>10</v>
      </c>
      <c r="D92" s="8">
        <f t="shared" ref="D92:I92" si="31">ROUND(D54,1)</f>
        <v>5.8</v>
      </c>
      <c r="E92" s="8">
        <f t="shared" si="31"/>
        <v>10.5</v>
      </c>
      <c r="F92" s="8">
        <f t="shared" si="31"/>
        <v>14.1</v>
      </c>
      <c r="G92" s="8">
        <f t="shared" si="31"/>
        <v>15.8</v>
      </c>
      <c r="H92" s="8">
        <f t="shared" si="31"/>
        <v>17.899999999999999</v>
      </c>
      <c r="I92" s="8">
        <f t="shared" si="31"/>
        <v>64.099999999999994</v>
      </c>
      <c r="J92" s="15">
        <f t="shared" si="2"/>
        <v>4012</v>
      </c>
      <c r="K92" s="8">
        <f t="shared" ref="K92:P92" si="32">ROUND(K54,1)</f>
        <v>8.4</v>
      </c>
      <c r="L92" s="8">
        <f t="shared" si="32"/>
        <v>10.9</v>
      </c>
      <c r="M92" s="8">
        <f t="shared" si="32"/>
        <v>14</v>
      </c>
      <c r="N92" s="8">
        <f t="shared" si="32"/>
        <v>16.600000000000001</v>
      </c>
      <c r="O92" s="8">
        <f t="shared" si="32"/>
        <v>18</v>
      </c>
      <c r="P92" s="8">
        <f t="shared" si="32"/>
        <v>67.8</v>
      </c>
      <c r="Q92" s="15">
        <f t="shared" si="4"/>
        <v>2487</v>
      </c>
      <c r="R92" s="8">
        <f t="shared" ref="R92:W92" si="33">ROUND(R54,1)</f>
        <v>6.8</v>
      </c>
      <c r="S92" s="8">
        <f t="shared" si="33"/>
        <v>10.6</v>
      </c>
      <c r="T92" s="8">
        <f t="shared" si="33"/>
        <v>14.1</v>
      </c>
      <c r="U92" s="8">
        <f t="shared" si="33"/>
        <v>16.100000000000001</v>
      </c>
      <c r="V92" s="8">
        <f t="shared" si="33"/>
        <v>18</v>
      </c>
      <c r="W92" s="8">
        <f t="shared" si="33"/>
        <v>65.5</v>
      </c>
      <c r="X92" s="15">
        <f t="shared" si="6"/>
        <v>6499</v>
      </c>
    </row>
    <row r="93" spans="3:70" ht="14.25" customHeight="1" x14ac:dyDescent="0.2">
      <c r="C93" s="2" t="s">
        <v>11</v>
      </c>
      <c r="D93" s="8">
        <f t="shared" ref="D93:I93" si="34">ROUND(D55,1)</f>
        <v>10.4</v>
      </c>
      <c r="E93" s="8">
        <f t="shared" si="34"/>
        <v>16.8</v>
      </c>
      <c r="F93" s="8">
        <f t="shared" si="34"/>
        <v>21.7</v>
      </c>
      <c r="G93" s="8">
        <f t="shared" si="34"/>
        <v>21</v>
      </c>
      <c r="H93" s="8">
        <f t="shared" si="34"/>
        <v>15.2</v>
      </c>
      <c r="I93" s="8">
        <f t="shared" si="34"/>
        <v>85</v>
      </c>
      <c r="J93" s="15">
        <f t="shared" si="2"/>
        <v>21476</v>
      </c>
      <c r="K93" s="8">
        <f t="shared" ref="K93:P93" si="35">ROUND(K55,1)</f>
        <v>12.4</v>
      </c>
      <c r="L93" s="8">
        <f t="shared" si="35"/>
        <v>16.399999999999999</v>
      </c>
      <c r="M93" s="8">
        <f t="shared" si="35"/>
        <v>21.5</v>
      </c>
      <c r="N93" s="8">
        <f t="shared" si="35"/>
        <v>19.899999999999999</v>
      </c>
      <c r="O93" s="8">
        <f t="shared" si="35"/>
        <v>14.7</v>
      </c>
      <c r="P93" s="8">
        <f t="shared" si="35"/>
        <v>84.9</v>
      </c>
      <c r="Q93" s="15">
        <f t="shared" si="4"/>
        <v>15804</v>
      </c>
      <c r="R93" s="8">
        <f t="shared" ref="R93:W93" si="36">ROUND(R55,1)</f>
        <v>11.3</v>
      </c>
      <c r="S93" s="8">
        <f t="shared" si="36"/>
        <v>16.600000000000001</v>
      </c>
      <c r="T93" s="8">
        <f t="shared" si="36"/>
        <v>21.6</v>
      </c>
      <c r="U93" s="8">
        <f t="shared" si="36"/>
        <v>20.5</v>
      </c>
      <c r="V93" s="8">
        <f t="shared" si="36"/>
        <v>14.9</v>
      </c>
      <c r="W93" s="8">
        <f t="shared" si="36"/>
        <v>85</v>
      </c>
      <c r="X93" s="15">
        <f t="shared" si="6"/>
        <v>37280</v>
      </c>
    </row>
    <row r="94" spans="3:70" ht="14.25" customHeight="1" x14ac:dyDescent="0.2">
      <c r="C94" s="2" t="s">
        <v>12</v>
      </c>
      <c r="D94" s="8">
        <f t="shared" ref="D94:I94" si="37">ROUND(D56,1)</f>
        <v>20.8</v>
      </c>
      <c r="E94" s="8">
        <f t="shared" si="37"/>
        <v>18.399999999999999</v>
      </c>
      <c r="F94" s="8">
        <f t="shared" si="37"/>
        <v>18.600000000000001</v>
      </c>
      <c r="G94" s="8">
        <f t="shared" si="37"/>
        <v>15.5</v>
      </c>
      <c r="H94" s="8">
        <f t="shared" si="37"/>
        <v>11.9</v>
      </c>
      <c r="I94" s="8">
        <f t="shared" si="37"/>
        <v>85.2</v>
      </c>
      <c r="J94" s="15">
        <f t="shared" si="2"/>
        <v>10471</v>
      </c>
      <c r="K94" s="8">
        <f t="shared" ref="K94:P94" si="38">ROUND(K56,1)</f>
        <v>25.9</v>
      </c>
      <c r="L94" s="8">
        <f t="shared" si="38"/>
        <v>18.600000000000001</v>
      </c>
      <c r="M94" s="8">
        <f t="shared" si="38"/>
        <v>18.100000000000001</v>
      </c>
      <c r="N94" s="8">
        <f t="shared" si="38"/>
        <v>13.5</v>
      </c>
      <c r="O94" s="8">
        <f t="shared" si="38"/>
        <v>10.3</v>
      </c>
      <c r="P94" s="8">
        <f t="shared" si="38"/>
        <v>86.4</v>
      </c>
      <c r="Q94" s="15">
        <f t="shared" si="4"/>
        <v>4661</v>
      </c>
      <c r="R94" s="8">
        <f t="shared" ref="R94:W94" si="39">ROUND(R56,1)</f>
        <v>22.4</v>
      </c>
      <c r="S94" s="8">
        <f t="shared" si="39"/>
        <v>18.5</v>
      </c>
      <c r="T94" s="8">
        <f t="shared" si="39"/>
        <v>18.399999999999999</v>
      </c>
      <c r="U94" s="8">
        <f t="shared" si="39"/>
        <v>14.9</v>
      </c>
      <c r="V94" s="8">
        <f t="shared" si="39"/>
        <v>11.4</v>
      </c>
      <c r="W94" s="8">
        <f t="shared" si="39"/>
        <v>85.6</v>
      </c>
      <c r="X94" s="15">
        <f t="shared" si="6"/>
        <v>15132</v>
      </c>
    </row>
    <row r="95" spans="3:70" ht="14.25" customHeight="1" x14ac:dyDescent="0.2">
      <c r="C95" s="2" t="s">
        <v>13</v>
      </c>
      <c r="D95" s="8">
        <f t="shared" ref="D95:I95" si="40">ROUND(D57,1)</f>
        <v>15.9</v>
      </c>
      <c r="E95" s="8">
        <f t="shared" si="40"/>
        <v>16.8</v>
      </c>
      <c r="F95" s="8">
        <f t="shared" si="40"/>
        <v>20.2</v>
      </c>
      <c r="G95" s="8">
        <f t="shared" si="40"/>
        <v>19.399999999999999</v>
      </c>
      <c r="H95" s="8">
        <f t="shared" si="40"/>
        <v>14.3</v>
      </c>
      <c r="I95" s="8">
        <f t="shared" si="40"/>
        <v>86.6</v>
      </c>
      <c r="J95" s="15">
        <f t="shared" si="2"/>
        <v>16842</v>
      </c>
      <c r="K95" s="8">
        <f t="shared" ref="K95:P95" si="41">ROUND(K57,1)</f>
        <v>24</v>
      </c>
      <c r="L95" s="8">
        <f t="shared" si="41"/>
        <v>20.100000000000001</v>
      </c>
      <c r="M95" s="8">
        <f t="shared" si="41"/>
        <v>19.399999999999999</v>
      </c>
      <c r="N95" s="8">
        <f t="shared" si="41"/>
        <v>16.100000000000001</v>
      </c>
      <c r="O95" s="8">
        <f t="shared" si="41"/>
        <v>11.2</v>
      </c>
      <c r="P95" s="8">
        <f t="shared" si="41"/>
        <v>90.8</v>
      </c>
      <c r="Q95" s="15">
        <f t="shared" si="4"/>
        <v>14050</v>
      </c>
      <c r="R95" s="8">
        <f t="shared" ref="R95:W95" si="42">ROUND(R57,1)</f>
        <v>19.600000000000001</v>
      </c>
      <c r="S95" s="8">
        <f t="shared" si="42"/>
        <v>18.3</v>
      </c>
      <c r="T95" s="8">
        <f t="shared" si="42"/>
        <v>19.899999999999999</v>
      </c>
      <c r="U95" s="8">
        <f t="shared" si="42"/>
        <v>17.899999999999999</v>
      </c>
      <c r="V95" s="8">
        <f t="shared" si="42"/>
        <v>12.9</v>
      </c>
      <c r="W95" s="8">
        <f t="shared" si="42"/>
        <v>88.5</v>
      </c>
      <c r="X95" s="15">
        <f t="shared" si="6"/>
        <v>30892</v>
      </c>
    </row>
    <row r="96" spans="3:70" ht="14.25" customHeight="1" x14ac:dyDescent="0.2">
      <c r="C96" s="2" t="s">
        <v>14</v>
      </c>
      <c r="D96" s="8">
        <f t="shared" ref="D96:I96" si="43">ROUND(D58,1)</f>
        <v>17.5</v>
      </c>
      <c r="E96" s="8">
        <f t="shared" si="43"/>
        <v>19.3</v>
      </c>
      <c r="F96" s="8">
        <f t="shared" si="43"/>
        <v>21.8</v>
      </c>
      <c r="G96" s="8">
        <f t="shared" si="43"/>
        <v>17.600000000000001</v>
      </c>
      <c r="H96" s="8">
        <f t="shared" si="43"/>
        <v>12</v>
      </c>
      <c r="I96" s="8">
        <f t="shared" si="43"/>
        <v>88.1</v>
      </c>
      <c r="J96" s="15">
        <f t="shared" si="2"/>
        <v>6189</v>
      </c>
      <c r="K96" s="8">
        <f t="shared" ref="K96:P96" si="44">ROUND(K58,1)</f>
        <v>22.5</v>
      </c>
      <c r="L96" s="8">
        <f t="shared" si="44"/>
        <v>19.100000000000001</v>
      </c>
      <c r="M96" s="8">
        <f t="shared" si="44"/>
        <v>18.7</v>
      </c>
      <c r="N96" s="8">
        <f t="shared" si="44"/>
        <v>15.9</v>
      </c>
      <c r="O96" s="8">
        <f t="shared" si="44"/>
        <v>11.6</v>
      </c>
      <c r="P96" s="8">
        <f t="shared" si="44"/>
        <v>87.8</v>
      </c>
      <c r="Q96" s="15">
        <f t="shared" si="4"/>
        <v>4513</v>
      </c>
      <c r="R96" s="8">
        <f t="shared" ref="R96:W96" si="45">ROUND(R58,1)</f>
        <v>19.600000000000001</v>
      </c>
      <c r="S96" s="8">
        <f t="shared" si="45"/>
        <v>19.2</v>
      </c>
      <c r="T96" s="8">
        <f t="shared" si="45"/>
        <v>20.5</v>
      </c>
      <c r="U96" s="8">
        <f t="shared" si="45"/>
        <v>16.899999999999999</v>
      </c>
      <c r="V96" s="8">
        <f t="shared" si="45"/>
        <v>11.8</v>
      </c>
      <c r="W96" s="8">
        <f t="shared" si="45"/>
        <v>88</v>
      </c>
      <c r="X96" s="15">
        <f t="shared" si="6"/>
        <v>10702</v>
      </c>
    </row>
    <row r="97" spans="3:24" ht="14.25" customHeight="1" x14ac:dyDescent="0.2">
      <c r="C97" s="2" t="s">
        <v>15</v>
      </c>
      <c r="D97" s="8">
        <f t="shared" ref="D97:I97" si="46">ROUND(D59,1)</f>
        <v>15.4</v>
      </c>
      <c r="E97" s="8">
        <f t="shared" si="46"/>
        <v>20.100000000000001</v>
      </c>
      <c r="F97" s="8">
        <f t="shared" si="46"/>
        <v>23.4</v>
      </c>
      <c r="G97" s="8">
        <f t="shared" si="46"/>
        <v>19.399999999999999</v>
      </c>
      <c r="H97" s="8">
        <f t="shared" si="46"/>
        <v>12.8</v>
      </c>
      <c r="I97" s="8">
        <f t="shared" si="46"/>
        <v>91.2</v>
      </c>
      <c r="J97" s="15">
        <f t="shared" si="2"/>
        <v>19640</v>
      </c>
      <c r="K97" s="8">
        <f t="shared" ref="K97:P97" si="47">ROUND(K59,1)</f>
        <v>17.5</v>
      </c>
      <c r="L97" s="8">
        <f t="shared" si="47"/>
        <v>21.4</v>
      </c>
      <c r="M97" s="8">
        <f t="shared" si="47"/>
        <v>23.4</v>
      </c>
      <c r="N97" s="8">
        <f t="shared" si="47"/>
        <v>18.3</v>
      </c>
      <c r="O97" s="8">
        <f t="shared" si="47"/>
        <v>11.7</v>
      </c>
      <c r="P97" s="8">
        <f t="shared" si="47"/>
        <v>92.3</v>
      </c>
      <c r="Q97" s="15">
        <f t="shared" si="4"/>
        <v>21859</v>
      </c>
      <c r="R97" s="8">
        <f t="shared" ref="R97:W97" si="48">ROUND(R59,1)</f>
        <v>16.5</v>
      </c>
      <c r="S97" s="8">
        <f t="shared" si="48"/>
        <v>20.8</v>
      </c>
      <c r="T97" s="8">
        <f t="shared" si="48"/>
        <v>23.4</v>
      </c>
      <c r="U97" s="8">
        <f t="shared" si="48"/>
        <v>18.8</v>
      </c>
      <c r="V97" s="8">
        <f t="shared" si="48"/>
        <v>12.2</v>
      </c>
      <c r="W97" s="8">
        <f t="shared" si="48"/>
        <v>91.8</v>
      </c>
      <c r="X97" s="15">
        <f t="shared" si="6"/>
        <v>41499</v>
      </c>
    </row>
    <row r="98" spans="3:24" ht="14.25" customHeight="1" x14ac:dyDescent="0.2">
      <c r="C98" s="2" t="s">
        <v>16</v>
      </c>
      <c r="D98" s="8">
        <f t="shared" ref="D98:I98" si="49">ROUND(D60,1)</f>
        <v>10.6</v>
      </c>
      <c r="E98" s="8">
        <f t="shared" si="49"/>
        <v>13.5</v>
      </c>
      <c r="F98" s="8">
        <f t="shared" si="49"/>
        <v>18.100000000000001</v>
      </c>
      <c r="G98" s="8">
        <f t="shared" si="49"/>
        <v>18.5</v>
      </c>
      <c r="H98" s="8">
        <f t="shared" si="49"/>
        <v>16.100000000000001</v>
      </c>
      <c r="I98" s="8">
        <f t="shared" si="49"/>
        <v>76.900000000000006</v>
      </c>
      <c r="J98" s="15">
        <f t="shared" si="2"/>
        <v>8161</v>
      </c>
      <c r="K98" s="8">
        <f t="shared" ref="K98:P98" si="50">ROUND(K60,1)</f>
        <v>14.3</v>
      </c>
      <c r="L98" s="8">
        <f t="shared" si="50"/>
        <v>17.2</v>
      </c>
      <c r="M98" s="8">
        <f t="shared" si="50"/>
        <v>18.7</v>
      </c>
      <c r="N98" s="8">
        <f t="shared" si="50"/>
        <v>16.7</v>
      </c>
      <c r="O98" s="8">
        <f t="shared" si="50"/>
        <v>13.8</v>
      </c>
      <c r="P98" s="8">
        <f t="shared" si="50"/>
        <v>80.599999999999994</v>
      </c>
      <c r="Q98" s="15">
        <f t="shared" si="4"/>
        <v>11408</v>
      </c>
      <c r="R98" s="8">
        <f t="shared" ref="R98:W98" si="51">ROUND(R60,1)</f>
        <v>12.7</v>
      </c>
      <c r="S98" s="8">
        <f t="shared" si="51"/>
        <v>15.6</v>
      </c>
      <c r="T98" s="8">
        <f t="shared" si="51"/>
        <v>18.5</v>
      </c>
      <c r="U98" s="8">
        <f t="shared" si="51"/>
        <v>17.399999999999999</v>
      </c>
      <c r="V98" s="8">
        <f t="shared" si="51"/>
        <v>14.7</v>
      </c>
      <c r="W98" s="8">
        <f t="shared" si="51"/>
        <v>79</v>
      </c>
      <c r="X98" s="15">
        <f t="shared" si="6"/>
        <v>19569</v>
      </c>
    </row>
    <row r="99" spans="3:24" ht="14.25" customHeight="1" x14ac:dyDescent="0.2">
      <c r="C99" s="2" t="s">
        <v>17</v>
      </c>
      <c r="D99" s="8">
        <f t="shared" ref="D99:I99" si="52">ROUND(D61,1)</f>
        <v>7.8</v>
      </c>
      <c r="E99" s="8">
        <f t="shared" si="52"/>
        <v>12.2</v>
      </c>
      <c r="F99" s="8">
        <f t="shared" si="52"/>
        <v>17.399999999999999</v>
      </c>
      <c r="G99" s="8">
        <f t="shared" si="52"/>
        <v>19.5</v>
      </c>
      <c r="H99" s="8">
        <f t="shared" si="52"/>
        <v>18.8</v>
      </c>
      <c r="I99" s="8">
        <f t="shared" si="52"/>
        <v>75.7</v>
      </c>
      <c r="J99" s="15">
        <f t="shared" si="2"/>
        <v>19189</v>
      </c>
      <c r="K99" s="8">
        <f t="shared" ref="K99:P99" si="53">ROUND(K61,1)</f>
        <v>15</v>
      </c>
      <c r="L99" s="8">
        <f t="shared" si="53"/>
        <v>17.3</v>
      </c>
      <c r="M99" s="8">
        <f t="shared" si="53"/>
        <v>19.399999999999999</v>
      </c>
      <c r="N99" s="8">
        <f t="shared" si="53"/>
        <v>17.600000000000001</v>
      </c>
      <c r="O99" s="8">
        <f t="shared" si="53"/>
        <v>14.2</v>
      </c>
      <c r="P99" s="8">
        <f t="shared" si="53"/>
        <v>83.5</v>
      </c>
      <c r="Q99" s="15">
        <f t="shared" si="4"/>
        <v>45588</v>
      </c>
      <c r="R99" s="8">
        <f t="shared" ref="R99:W99" si="54">ROUND(R61,1)</f>
        <v>12.9</v>
      </c>
      <c r="S99" s="8">
        <f t="shared" si="54"/>
        <v>15.8</v>
      </c>
      <c r="T99" s="8">
        <f t="shared" si="54"/>
        <v>18.8</v>
      </c>
      <c r="U99" s="8">
        <f t="shared" si="54"/>
        <v>18.100000000000001</v>
      </c>
      <c r="V99" s="8">
        <f t="shared" si="54"/>
        <v>15.6</v>
      </c>
      <c r="W99" s="8">
        <f t="shared" si="54"/>
        <v>81.2</v>
      </c>
      <c r="X99" s="15">
        <f t="shared" si="6"/>
        <v>64777</v>
      </c>
    </row>
    <row r="100" spans="3:24" ht="14.25" customHeight="1" x14ac:dyDescent="0.2">
      <c r="C100" s="2" t="s">
        <v>18</v>
      </c>
      <c r="D100" s="8">
        <f t="shared" ref="D100:I100" si="55">ROUND(D62,1)</f>
        <v>10.6</v>
      </c>
      <c r="E100" s="8">
        <f t="shared" si="55"/>
        <v>14.8</v>
      </c>
      <c r="F100" s="8">
        <f t="shared" si="55"/>
        <v>19.5</v>
      </c>
      <c r="G100" s="8">
        <f t="shared" si="55"/>
        <v>20</v>
      </c>
      <c r="H100" s="8">
        <f t="shared" si="55"/>
        <v>16.7</v>
      </c>
      <c r="I100" s="8">
        <f t="shared" si="55"/>
        <v>81.5</v>
      </c>
      <c r="J100" s="15">
        <f t="shared" si="2"/>
        <v>8536</v>
      </c>
      <c r="K100" s="8">
        <f t="shared" ref="K100:P100" si="56">ROUND(K62,1)</f>
        <v>17.2</v>
      </c>
      <c r="L100" s="8">
        <f t="shared" si="56"/>
        <v>18.7</v>
      </c>
      <c r="M100" s="8">
        <f t="shared" si="56"/>
        <v>20.3</v>
      </c>
      <c r="N100" s="8">
        <f t="shared" si="56"/>
        <v>17.2</v>
      </c>
      <c r="O100" s="8">
        <f t="shared" si="56"/>
        <v>13.3</v>
      </c>
      <c r="P100" s="8">
        <f t="shared" si="56"/>
        <v>86.7</v>
      </c>
      <c r="Q100" s="15">
        <f t="shared" si="4"/>
        <v>23445</v>
      </c>
      <c r="R100" s="8">
        <f t="shared" ref="R100:W100" si="57">ROUND(R62,1)</f>
        <v>15.4</v>
      </c>
      <c r="S100" s="8">
        <f t="shared" si="57"/>
        <v>17.7</v>
      </c>
      <c r="T100" s="8">
        <f t="shared" si="57"/>
        <v>20</v>
      </c>
      <c r="U100" s="8">
        <f t="shared" si="57"/>
        <v>18</v>
      </c>
      <c r="V100" s="8">
        <f t="shared" si="57"/>
        <v>14.2</v>
      </c>
      <c r="W100" s="8">
        <f t="shared" si="57"/>
        <v>85.3</v>
      </c>
      <c r="X100" s="15">
        <f t="shared" si="6"/>
        <v>31981</v>
      </c>
    </row>
    <row r="101" spans="3:24" ht="14.25" customHeight="1" x14ac:dyDescent="0.2">
      <c r="C101" s="2" t="s">
        <v>19</v>
      </c>
      <c r="D101" s="8">
        <f t="shared" ref="D101:I101" si="58">ROUND(D63,1)</f>
        <v>10.7</v>
      </c>
      <c r="E101" s="8">
        <f t="shared" si="58"/>
        <v>12.6</v>
      </c>
      <c r="F101" s="8">
        <f t="shared" si="58"/>
        <v>16.3</v>
      </c>
      <c r="G101" s="8">
        <f t="shared" si="58"/>
        <v>18.399999999999999</v>
      </c>
      <c r="H101" s="8">
        <f t="shared" si="58"/>
        <v>15.9</v>
      </c>
      <c r="I101" s="8">
        <f t="shared" si="58"/>
        <v>73.8</v>
      </c>
      <c r="J101" s="15">
        <f t="shared" si="2"/>
        <v>3394</v>
      </c>
      <c r="K101" s="8">
        <f t="shared" ref="K101:P101" si="59">ROUND(K63,1)</f>
        <v>12.7</v>
      </c>
      <c r="L101" s="8">
        <f t="shared" si="59"/>
        <v>15.8</v>
      </c>
      <c r="M101" s="8">
        <f t="shared" si="59"/>
        <v>19</v>
      </c>
      <c r="N101" s="8">
        <f t="shared" si="59"/>
        <v>17.5</v>
      </c>
      <c r="O101" s="8">
        <f t="shared" si="59"/>
        <v>15.1</v>
      </c>
      <c r="P101" s="8">
        <f t="shared" si="59"/>
        <v>80</v>
      </c>
      <c r="Q101" s="15">
        <f t="shared" si="4"/>
        <v>3787</v>
      </c>
      <c r="R101" s="8">
        <f t="shared" ref="R101:W101" si="60">ROUND(R63,1)</f>
        <v>11.7</v>
      </c>
      <c r="S101" s="8">
        <f t="shared" si="60"/>
        <v>14.3</v>
      </c>
      <c r="T101" s="8">
        <f t="shared" si="60"/>
        <v>17.7</v>
      </c>
      <c r="U101" s="8">
        <f t="shared" si="60"/>
        <v>17.899999999999999</v>
      </c>
      <c r="V101" s="8">
        <f t="shared" si="60"/>
        <v>15.5</v>
      </c>
      <c r="W101" s="8">
        <f t="shared" si="60"/>
        <v>77.099999999999994</v>
      </c>
      <c r="X101" s="15">
        <f t="shared" si="6"/>
        <v>7181</v>
      </c>
    </row>
    <row r="102" spans="3:24" ht="14.25" customHeight="1" x14ac:dyDescent="0.2">
      <c r="C102" s="2" t="s">
        <v>20</v>
      </c>
      <c r="D102" s="8">
        <f t="shared" ref="D102:I102" si="61">ROUND(D64,1)</f>
        <v>13.5</v>
      </c>
      <c r="E102" s="8">
        <f t="shared" si="61"/>
        <v>15.5</v>
      </c>
      <c r="F102" s="8">
        <f t="shared" si="61"/>
        <v>19.2</v>
      </c>
      <c r="G102" s="8">
        <f t="shared" si="61"/>
        <v>19.7</v>
      </c>
      <c r="H102" s="8">
        <f t="shared" si="61"/>
        <v>14.9</v>
      </c>
      <c r="I102" s="8">
        <f t="shared" si="61"/>
        <v>82.8</v>
      </c>
      <c r="J102" s="15">
        <f t="shared" si="2"/>
        <v>16374</v>
      </c>
      <c r="K102" s="8">
        <f t="shared" ref="K102:P102" si="62">ROUND(K64,1)</f>
        <v>21.4</v>
      </c>
      <c r="L102" s="8">
        <f t="shared" si="62"/>
        <v>20.3</v>
      </c>
      <c r="M102" s="8">
        <f t="shared" si="62"/>
        <v>21.8</v>
      </c>
      <c r="N102" s="8">
        <f t="shared" si="62"/>
        <v>17.100000000000001</v>
      </c>
      <c r="O102" s="8">
        <f t="shared" si="62"/>
        <v>9.8000000000000007</v>
      </c>
      <c r="P102" s="8">
        <f t="shared" si="62"/>
        <v>90.4</v>
      </c>
      <c r="Q102" s="15">
        <f t="shared" si="4"/>
        <v>32871</v>
      </c>
      <c r="R102" s="8">
        <f t="shared" ref="R102:W102" si="63">ROUND(R64,1)</f>
        <v>18.8</v>
      </c>
      <c r="S102" s="8">
        <f t="shared" si="63"/>
        <v>18.7</v>
      </c>
      <c r="T102" s="8">
        <f t="shared" si="63"/>
        <v>21</v>
      </c>
      <c r="U102" s="8">
        <f t="shared" si="63"/>
        <v>18</v>
      </c>
      <c r="V102" s="8">
        <f t="shared" si="63"/>
        <v>11.5</v>
      </c>
      <c r="W102" s="8">
        <f t="shared" si="63"/>
        <v>87.9</v>
      </c>
      <c r="X102" s="15">
        <f t="shared" si="6"/>
        <v>49245</v>
      </c>
    </row>
    <row r="103" spans="3:24" ht="14.25" customHeight="1" x14ac:dyDescent="0.2">
      <c r="C103" s="2" t="s">
        <v>21</v>
      </c>
      <c r="D103" s="8">
        <f t="shared" ref="D103:I103" si="64">ROUND(D65,1)</f>
        <v>11.1</v>
      </c>
      <c r="E103" s="8">
        <f t="shared" si="64"/>
        <v>21</v>
      </c>
      <c r="F103" s="8">
        <f t="shared" si="64"/>
        <v>26.6</v>
      </c>
      <c r="G103" s="8">
        <f t="shared" si="64"/>
        <v>22</v>
      </c>
      <c r="H103" s="8">
        <f t="shared" si="64"/>
        <v>12.9</v>
      </c>
      <c r="I103" s="8">
        <f t="shared" si="64"/>
        <v>93.5</v>
      </c>
      <c r="J103" s="15">
        <f t="shared" si="2"/>
        <v>4481</v>
      </c>
      <c r="K103" s="8">
        <f t="shared" ref="K103:P103" si="65">ROUND(K65,1)</f>
        <v>16.3</v>
      </c>
      <c r="L103" s="8">
        <f t="shared" si="65"/>
        <v>25.6</v>
      </c>
      <c r="M103" s="8">
        <f t="shared" si="65"/>
        <v>29</v>
      </c>
      <c r="N103" s="8">
        <f t="shared" si="65"/>
        <v>18.399999999999999</v>
      </c>
      <c r="O103" s="8">
        <f t="shared" si="65"/>
        <v>7</v>
      </c>
      <c r="P103" s="8">
        <f t="shared" si="65"/>
        <v>96.3</v>
      </c>
      <c r="Q103" s="15">
        <f t="shared" si="4"/>
        <v>11038</v>
      </c>
      <c r="R103" s="8">
        <f t="shared" ref="R103:W103" si="66">ROUND(R65,1)</f>
        <v>14.8</v>
      </c>
      <c r="S103" s="8">
        <f t="shared" si="66"/>
        <v>24.3</v>
      </c>
      <c r="T103" s="8">
        <f t="shared" si="66"/>
        <v>28.3</v>
      </c>
      <c r="U103" s="8">
        <f t="shared" si="66"/>
        <v>19.399999999999999</v>
      </c>
      <c r="V103" s="8">
        <f t="shared" si="66"/>
        <v>8.6999999999999993</v>
      </c>
      <c r="W103" s="8">
        <f t="shared" si="66"/>
        <v>95.5</v>
      </c>
      <c r="X103" s="15">
        <f t="shared" si="6"/>
        <v>15519</v>
      </c>
    </row>
    <row r="104" spans="3:24" ht="14.25" customHeight="1" x14ac:dyDescent="0.2">
      <c r="C104" s="2" t="s">
        <v>22</v>
      </c>
      <c r="D104" s="8">
        <f t="shared" ref="D104:I104" si="67">ROUND(D66,1)</f>
        <v>12.9</v>
      </c>
      <c r="E104" s="8">
        <f t="shared" si="67"/>
        <v>18</v>
      </c>
      <c r="F104" s="8">
        <f t="shared" si="67"/>
        <v>24.3</v>
      </c>
      <c r="G104" s="8">
        <f t="shared" si="67"/>
        <v>23.1</v>
      </c>
      <c r="H104" s="8">
        <f t="shared" si="67"/>
        <v>14.2</v>
      </c>
      <c r="I104" s="8">
        <f t="shared" si="67"/>
        <v>92.4</v>
      </c>
      <c r="J104" s="15">
        <f t="shared" si="2"/>
        <v>26211</v>
      </c>
      <c r="K104" s="8">
        <f t="shared" ref="K104:P104" si="68">ROUND(K66,1)</f>
        <v>14.2</v>
      </c>
      <c r="L104" s="8">
        <f t="shared" si="68"/>
        <v>19.7</v>
      </c>
      <c r="M104" s="8">
        <f t="shared" si="68"/>
        <v>25.6</v>
      </c>
      <c r="N104" s="8">
        <f t="shared" si="68"/>
        <v>22.5</v>
      </c>
      <c r="O104" s="8">
        <f t="shared" si="68"/>
        <v>12.3</v>
      </c>
      <c r="P104" s="8">
        <f t="shared" si="68"/>
        <v>94.3</v>
      </c>
      <c r="Q104" s="15">
        <f t="shared" si="4"/>
        <v>58587</v>
      </c>
      <c r="R104" s="8">
        <f t="shared" ref="R104:W104" si="69">ROUND(R66,1)</f>
        <v>13.8</v>
      </c>
      <c r="S104" s="8">
        <f t="shared" si="69"/>
        <v>19.2</v>
      </c>
      <c r="T104" s="8">
        <f t="shared" si="69"/>
        <v>25.2</v>
      </c>
      <c r="U104" s="8">
        <f t="shared" si="69"/>
        <v>22.7</v>
      </c>
      <c r="V104" s="8">
        <f t="shared" si="69"/>
        <v>12.8</v>
      </c>
      <c r="W104" s="8">
        <f t="shared" si="69"/>
        <v>93.7</v>
      </c>
      <c r="X104" s="15">
        <f t="shared" si="6"/>
        <v>84798</v>
      </c>
    </row>
    <row r="105" spans="3:24" ht="14.25" customHeight="1" x14ac:dyDescent="0.2">
      <c r="C105" s="2" t="s">
        <v>51</v>
      </c>
      <c r="D105" s="8">
        <f t="shared" ref="D105:I105" si="70">ROUND(D67,1)</f>
        <v>10.4</v>
      </c>
      <c r="E105" s="8">
        <f t="shared" si="70"/>
        <v>20.2</v>
      </c>
      <c r="F105" s="8">
        <f t="shared" si="70"/>
        <v>26.9</v>
      </c>
      <c r="G105" s="8">
        <f t="shared" si="70"/>
        <v>22.5</v>
      </c>
      <c r="H105" s="8">
        <f t="shared" si="70"/>
        <v>11.4</v>
      </c>
      <c r="I105" s="8">
        <f t="shared" si="70"/>
        <v>91.4</v>
      </c>
      <c r="J105" s="15">
        <f t="shared" si="2"/>
        <v>12117</v>
      </c>
      <c r="K105" s="8">
        <f t="shared" ref="K105:P105" si="71">ROUND(K67,1)</f>
        <v>14.7</v>
      </c>
      <c r="L105" s="8">
        <f t="shared" si="71"/>
        <v>24.4</v>
      </c>
      <c r="M105" s="8">
        <f t="shared" si="71"/>
        <v>28.1</v>
      </c>
      <c r="N105" s="8">
        <f t="shared" si="71"/>
        <v>18.3</v>
      </c>
      <c r="O105" s="8">
        <f t="shared" si="71"/>
        <v>8.8000000000000007</v>
      </c>
      <c r="P105" s="8">
        <f t="shared" si="71"/>
        <v>94.3</v>
      </c>
      <c r="Q105" s="15">
        <f t="shared" si="4"/>
        <v>15297</v>
      </c>
      <c r="R105" s="8">
        <f t="shared" ref="R105:W105" si="72">ROUND(R67,1)</f>
        <v>12.8</v>
      </c>
      <c r="S105" s="8">
        <f t="shared" si="72"/>
        <v>22.5</v>
      </c>
      <c r="T105" s="8">
        <f t="shared" si="72"/>
        <v>27.6</v>
      </c>
      <c r="U105" s="8">
        <f t="shared" si="72"/>
        <v>20.2</v>
      </c>
      <c r="V105" s="8">
        <f t="shared" si="72"/>
        <v>9.9</v>
      </c>
      <c r="W105" s="8">
        <f t="shared" si="72"/>
        <v>93</v>
      </c>
      <c r="X105" s="15">
        <f t="shared" si="6"/>
        <v>27414</v>
      </c>
    </row>
    <row r="106" spans="3:24" ht="14.25" customHeight="1" x14ac:dyDescent="0.2">
      <c r="C106" s="2" t="s">
        <v>23</v>
      </c>
      <c r="D106" s="8">
        <f t="shared" ref="D106:I106" si="73">ROUND(D68,1)</f>
        <v>10.5</v>
      </c>
      <c r="E106" s="8">
        <f t="shared" si="73"/>
        <v>26.3</v>
      </c>
      <c r="F106" s="8">
        <f t="shared" si="73"/>
        <v>30.7</v>
      </c>
      <c r="G106" s="8">
        <f t="shared" si="73"/>
        <v>18.2</v>
      </c>
      <c r="H106" s="8">
        <f t="shared" si="73"/>
        <v>7.6</v>
      </c>
      <c r="I106" s="8">
        <f t="shared" si="73"/>
        <v>93.2</v>
      </c>
      <c r="J106" s="15">
        <f t="shared" si="2"/>
        <v>5590</v>
      </c>
      <c r="K106" s="8">
        <f t="shared" ref="K106:P106" si="74">ROUND(K68,1)</f>
        <v>14.4</v>
      </c>
      <c r="L106" s="8">
        <f t="shared" si="74"/>
        <v>26.6</v>
      </c>
      <c r="M106" s="8">
        <f t="shared" si="74"/>
        <v>29.9</v>
      </c>
      <c r="N106" s="8">
        <f t="shared" si="74"/>
        <v>17.2</v>
      </c>
      <c r="O106" s="8">
        <f t="shared" si="74"/>
        <v>7</v>
      </c>
      <c r="P106" s="8">
        <f t="shared" si="74"/>
        <v>95.1</v>
      </c>
      <c r="Q106" s="15">
        <f t="shared" si="4"/>
        <v>8023</v>
      </c>
      <c r="R106" s="8">
        <f t="shared" ref="R106:W106" si="75">ROUND(R68,1)</f>
        <v>12.8</v>
      </c>
      <c r="S106" s="8">
        <f t="shared" si="75"/>
        <v>26.5</v>
      </c>
      <c r="T106" s="8">
        <f t="shared" si="75"/>
        <v>30.2</v>
      </c>
      <c r="U106" s="8">
        <f t="shared" si="75"/>
        <v>17.600000000000001</v>
      </c>
      <c r="V106" s="8">
        <f t="shared" si="75"/>
        <v>7.3</v>
      </c>
      <c r="W106" s="8">
        <f t="shared" si="75"/>
        <v>94.3</v>
      </c>
      <c r="X106" s="15">
        <f t="shared" si="6"/>
        <v>13613</v>
      </c>
    </row>
    <row r="107" spans="3:24" ht="14.25" customHeight="1" x14ac:dyDescent="0.2">
      <c r="C107" s="2" t="s">
        <v>24</v>
      </c>
      <c r="D107" s="8">
        <f t="shared" ref="D107:I107" si="76">ROUND(D69,1)</f>
        <v>23.4</v>
      </c>
      <c r="E107" s="8">
        <f t="shared" si="76"/>
        <v>18.2</v>
      </c>
      <c r="F107" s="8">
        <f t="shared" si="76"/>
        <v>20.100000000000001</v>
      </c>
      <c r="G107" s="8">
        <f t="shared" si="76"/>
        <v>15.6</v>
      </c>
      <c r="H107" s="8">
        <f t="shared" si="76"/>
        <v>11.8</v>
      </c>
      <c r="I107" s="8">
        <f t="shared" si="76"/>
        <v>89.1</v>
      </c>
      <c r="J107" s="15">
        <f t="shared" si="2"/>
        <v>4641</v>
      </c>
      <c r="K107" s="8">
        <f t="shared" ref="K107:P107" si="77">ROUND(K69,1)</f>
        <v>21.7</v>
      </c>
      <c r="L107" s="8">
        <f t="shared" si="77"/>
        <v>19.600000000000001</v>
      </c>
      <c r="M107" s="8">
        <f t="shared" si="77"/>
        <v>18.3</v>
      </c>
      <c r="N107" s="8">
        <f t="shared" si="77"/>
        <v>16</v>
      </c>
      <c r="O107" s="8">
        <f t="shared" si="77"/>
        <v>12.4</v>
      </c>
      <c r="P107" s="8">
        <f t="shared" si="77"/>
        <v>88</v>
      </c>
      <c r="Q107" s="15">
        <f t="shared" si="4"/>
        <v>11032</v>
      </c>
      <c r="R107" s="8">
        <f t="shared" ref="R107:W107" si="78">ROUND(R69,1)</f>
        <v>22.2</v>
      </c>
      <c r="S107" s="8">
        <f t="shared" si="78"/>
        <v>19.100000000000001</v>
      </c>
      <c r="T107" s="8">
        <f t="shared" si="78"/>
        <v>18.899999999999999</v>
      </c>
      <c r="U107" s="8">
        <f t="shared" si="78"/>
        <v>15.9</v>
      </c>
      <c r="V107" s="8">
        <f t="shared" si="78"/>
        <v>12.2</v>
      </c>
      <c r="W107" s="8">
        <f t="shared" si="78"/>
        <v>88.3</v>
      </c>
      <c r="X107" s="15">
        <f t="shared" si="6"/>
        <v>15673</v>
      </c>
    </row>
    <row r="108" spans="3:24" ht="14.25" customHeight="1" x14ac:dyDescent="0.2">
      <c r="C108" s="2" t="s">
        <v>25</v>
      </c>
      <c r="D108" s="8">
        <f t="shared" ref="D108:I108" si="79">ROUND(D70,1)</f>
        <v>20.8</v>
      </c>
      <c r="E108" s="8">
        <f t="shared" si="79"/>
        <v>18.899999999999999</v>
      </c>
      <c r="F108" s="8">
        <f t="shared" si="79"/>
        <v>21.4</v>
      </c>
      <c r="G108" s="8">
        <f t="shared" si="79"/>
        <v>17.399999999999999</v>
      </c>
      <c r="H108" s="8">
        <f t="shared" si="79"/>
        <v>12.4</v>
      </c>
      <c r="I108" s="8">
        <f t="shared" si="79"/>
        <v>90.9</v>
      </c>
      <c r="J108" s="15">
        <f t="shared" si="2"/>
        <v>2397</v>
      </c>
      <c r="K108" s="8">
        <f t="shared" ref="K108:P108" si="80">ROUND(K70,1)</f>
        <v>20</v>
      </c>
      <c r="L108" s="8">
        <f t="shared" si="80"/>
        <v>18.399999999999999</v>
      </c>
      <c r="M108" s="8">
        <f t="shared" si="80"/>
        <v>22</v>
      </c>
      <c r="N108" s="8">
        <f t="shared" si="80"/>
        <v>18.7</v>
      </c>
      <c r="O108" s="8">
        <f t="shared" si="80"/>
        <v>12.3</v>
      </c>
      <c r="P108" s="8">
        <f t="shared" si="80"/>
        <v>91.4</v>
      </c>
      <c r="Q108" s="15">
        <f t="shared" si="4"/>
        <v>4419</v>
      </c>
      <c r="R108" s="8">
        <f t="shared" ref="R108:W108" si="81">ROUND(R70,1)</f>
        <v>20.3</v>
      </c>
      <c r="S108" s="8">
        <f t="shared" si="81"/>
        <v>18.600000000000001</v>
      </c>
      <c r="T108" s="8">
        <f t="shared" si="81"/>
        <v>21.8</v>
      </c>
      <c r="U108" s="8">
        <f t="shared" si="81"/>
        <v>18.2</v>
      </c>
      <c r="V108" s="8">
        <f t="shared" si="81"/>
        <v>12.3</v>
      </c>
      <c r="W108" s="8">
        <f t="shared" si="81"/>
        <v>91.2</v>
      </c>
      <c r="X108" s="15">
        <f t="shared" si="6"/>
        <v>6816</v>
      </c>
    </row>
    <row r="109" spans="3:24" ht="14.25" customHeight="1" x14ac:dyDescent="0.2">
      <c r="C109" s="2" t="s">
        <v>26</v>
      </c>
      <c r="D109" s="8">
        <f t="shared" ref="D109:I109" si="82">ROUND(D71,1)</f>
        <v>25.4</v>
      </c>
      <c r="E109" s="8">
        <f t="shared" si="82"/>
        <v>20.8</v>
      </c>
      <c r="F109" s="8">
        <f t="shared" si="82"/>
        <v>19</v>
      </c>
      <c r="G109" s="8">
        <f t="shared" si="82"/>
        <v>15.8</v>
      </c>
      <c r="H109" s="8">
        <f t="shared" si="82"/>
        <v>11</v>
      </c>
      <c r="I109" s="8">
        <f t="shared" si="82"/>
        <v>91.9</v>
      </c>
      <c r="J109" s="15">
        <f t="shared" si="2"/>
        <v>1574</v>
      </c>
      <c r="K109" s="8">
        <f t="shared" ref="K109:P109" si="83">ROUND(K71,1)</f>
        <v>19.7</v>
      </c>
      <c r="L109" s="8">
        <f t="shared" si="83"/>
        <v>19.899999999999999</v>
      </c>
      <c r="M109" s="8">
        <f t="shared" si="83"/>
        <v>19.899999999999999</v>
      </c>
      <c r="N109" s="8">
        <f t="shared" si="83"/>
        <v>16.8</v>
      </c>
      <c r="O109" s="8">
        <f t="shared" si="83"/>
        <v>12</v>
      </c>
      <c r="P109" s="8">
        <f t="shared" si="83"/>
        <v>88.3</v>
      </c>
      <c r="Q109" s="15">
        <f t="shared" si="4"/>
        <v>4132</v>
      </c>
      <c r="R109" s="8">
        <f t="shared" ref="R109:W109" si="84">ROUND(R71,1)</f>
        <v>21.3</v>
      </c>
      <c r="S109" s="8">
        <f t="shared" si="84"/>
        <v>20.100000000000001</v>
      </c>
      <c r="T109" s="8">
        <f t="shared" si="84"/>
        <v>19.7</v>
      </c>
      <c r="U109" s="8">
        <f t="shared" si="84"/>
        <v>16.5</v>
      </c>
      <c r="V109" s="8">
        <f t="shared" si="84"/>
        <v>11.7</v>
      </c>
      <c r="W109" s="8">
        <f t="shared" si="84"/>
        <v>89.3</v>
      </c>
      <c r="X109" s="15">
        <f t="shared" si="6"/>
        <v>5706</v>
      </c>
    </row>
    <row r="110" spans="3:24" ht="14.25" customHeight="1" x14ac:dyDescent="0.2">
      <c r="C110" s="2" t="s">
        <v>27</v>
      </c>
      <c r="D110" s="8">
        <f t="shared" ref="D110:I110" si="85">ROUND(D72,1)</f>
        <v>43.6</v>
      </c>
      <c r="E110" s="8">
        <f t="shared" si="85"/>
        <v>25.8</v>
      </c>
      <c r="F110" s="8">
        <f t="shared" si="85"/>
        <v>11.4</v>
      </c>
      <c r="G110" s="8">
        <f t="shared" si="85"/>
        <v>6.1</v>
      </c>
      <c r="H110" s="8">
        <f t="shared" si="85"/>
        <v>5.4</v>
      </c>
      <c r="I110" s="8">
        <f t="shared" si="85"/>
        <v>92.3</v>
      </c>
      <c r="J110" s="15">
        <f t="shared" si="2"/>
        <v>1232</v>
      </c>
      <c r="K110" s="8">
        <f t="shared" ref="K110:P110" si="86">ROUND(K72,1)</f>
        <v>45.7</v>
      </c>
      <c r="L110" s="8">
        <f t="shared" si="86"/>
        <v>21.6</v>
      </c>
      <c r="M110" s="8">
        <f t="shared" si="86"/>
        <v>12.3</v>
      </c>
      <c r="N110" s="8">
        <f t="shared" si="86"/>
        <v>8</v>
      </c>
      <c r="O110" s="8">
        <f t="shared" si="86"/>
        <v>5.4</v>
      </c>
      <c r="P110" s="8">
        <f t="shared" si="86"/>
        <v>93</v>
      </c>
      <c r="Q110" s="15">
        <f t="shared" si="4"/>
        <v>1760</v>
      </c>
      <c r="R110" s="8">
        <f t="shared" ref="R110:W110" si="87">ROUND(R72,1)</f>
        <v>44.9</v>
      </c>
      <c r="S110" s="8">
        <f t="shared" si="87"/>
        <v>23.3</v>
      </c>
      <c r="T110" s="8">
        <f t="shared" si="87"/>
        <v>11.9</v>
      </c>
      <c r="U110" s="8">
        <f t="shared" si="87"/>
        <v>7.2</v>
      </c>
      <c r="V110" s="8">
        <f t="shared" si="87"/>
        <v>5.4</v>
      </c>
      <c r="W110" s="8">
        <f t="shared" si="87"/>
        <v>92.7</v>
      </c>
      <c r="X110" s="15">
        <f t="shared" si="6"/>
        <v>2992</v>
      </c>
    </row>
    <row r="111" spans="3:24" ht="14.25" customHeight="1" x14ac:dyDescent="0.2">
      <c r="C111" s="2" t="s">
        <v>28</v>
      </c>
      <c r="D111" s="8">
        <f t="shared" ref="D111:I111" si="88">ROUND(D73,1)</f>
        <v>28.4</v>
      </c>
      <c r="E111" s="8">
        <f t="shared" si="88"/>
        <v>21</v>
      </c>
      <c r="F111" s="8">
        <f t="shared" si="88"/>
        <v>20.100000000000001</v>
      </c>
      <c r="G111" s="8">
        <f t="shared" si="88"/>
        <v>15.2</v>
      </c>
      <c r="H111" s="8">
        <f t="shared" si="88"/>
        <v>8.6999999999999993</v>
      </c>
      <c r="I111" s="8">
        <f t="shared" si="88"/>
        <v>93.4</v>
      </c>
      <c r="J111" s="15">
        <f t="shared" si="2"/>
        <v>2398</v>
      </c>
      <c r="K111" s="8">
        <f t="shared" ref="K111:P111" si="89">ROUND(K73,1)</f>
        <v>33.9</v>
      </c>
      <c r="L111" s="8">
        <f t="shared" si="89"/>
        <v>25</v>
      </c>
      <c r="M111" s="8">
        <f t="shared" si="89"/>
        <v>19</v>
      </c>
      <c r="N111" s="8">
        <f t="shared" si="89"/>
        <v>11.8</v>
      </c>
      <c r="O111" s="8">
        <f t="shared" si="89"/>
        <v>6.4</v>
      </c>
      <c r="P111" s="8">
        <f t="shared" si="89"/>
        <v>96.1</v>
      </c>
      <c r="Q111" s="15">
        <f t="shared" si="4"/>
        <v>3242</v>
      </c>
      <c r="R111" s="8">
        <f t="shared" ref="R111:W111" si="90">ROUND(R73,1)</f>
        <v>31.5</v>
      </c>
      <c r="S111" s="8">
        <f t="shared" si="90"/>
        <v>23.3</v>
      </c>
      <c r="T111" s="8">
        <f t="shared" si="90"/>
        <v>19.5</v>
      </c>
      <c r="U111" s="8">
        <f t="shared" si="90"/>
        <v>13.3</v>
      </c>
      <c r="V111" s="8">
        <f t="shared" si="90"/>
        <v>7.4</v>
      </c>
      <c r="W111" s="8">
        <f t="shared" si="90"/>
        <v>95</v>
      </c>
      <c r="X111" s="15">
        <f t="shared" si="6"/>
        <v>5640</v>
      </c>
    </row>
    <row r="112" spans="3:24" ht="14.25" customHeight="1" x14ac:dyDescent="0.2">
      <c r="C112" s="2" t="s">
        <v>29</v>
      </c>
      <c r="D112" s="8">
        <f t="shared" ref="D112:I112" si="91">ROUND(D74,1)</f>
        <v>19.399999999999999</v>
      </c>
      <c r="E112" s="8">
        <f t="shared" si="91"/>
        <v>22.1</v>
      </c>
      <c r="F112" s="8">
        <f t="shared" si="91"/>
        <v>21.2</v>
      </c>
      <c r="G112" s="8">
        <f t="shared" si="91"/>
        <v>15.5</v>
      </c>
      <c r="H112" s="8">
        <f t="shared" si="91"/>
        <v>11.2</v>
      </c>
      <c r="I112" s="8">
        <f t="shared" si="91"/>
        <v>89.5</v>
      </c>
      <c r="J112" s="15">
        <f t="shared" si="2"/>
        <v>4844</v>
      </c>
      <c r="K112" s="8">
        <f t="shared" ref="K112:P112" si="92">ROUND(K74,1)</f>
        <v>21.9</v>
      </c>
      <c r="L112" s="8">
        <f t="shared" si="92"/>
        <v>23.7</v>
      </c>
      <c r="M112" s="8">
        <f t="shared" si="92"/>
        <v>21.9</v>
      </c>
      <c r="N112" s="8">
        <f t="shared" si="92"/>
        <v>16</v>
      </c>
      <c r="O112" s="8">
        <f t="shared" si="92"/>
        <v>9.1999999999999993</v>
      </c>
      <c r="P112" s="8">
        <f t="shared" si="92"/>
        <v>92.7</v>
      </c>
      <c r="Q112" s="15">
        <f t="shared" si="4"/>
        <v>11023</v>
      </c>
      <c r="R112" s="8">
        <f t="shared" ref="R112:W112" si="93">ROUND(R74,1)</f>
        <v>21.2</v>
      </c>
      <c r="S112" s="8">
        <f t="shared" si="93"/>
        <v>23.2</v>
      </c>
      <c r="T112" s="8">
        <f t="shared" si="93"/>
        <v>21.7</v>
      </c>
      <c r="U112" s="8">
        <f t="shared" si="93"/>
        <v>15.8</v>
      </c>
      <c r="V112" s="8">
        <f t="shared" si="93"/>
        <v>9.8000000000000007</v>
      </c>
      <c r="W112" s="8">
        <f t="shared" si="93"/>
        <v>91.7</v>
      </c>
      <c r="X112" s="15">
        <f t="shared" si="6"/>
        <v>15867</v>
      </c>
    </row>
    <row r="113" spans="3:24" ht="14.25" customHeight="1" x14ac:dyDescent="0.2">
      <c r="C113" s="2" t="s">
        <v>30</v>
      </c>
      <c r="D113" s="8">
        <f t="shared" ref="D113:I113" si="94">ROUND(D75,1)</f>
        <v>14.1</v>
      </c>
      <c r="E113" s="8">
        <f t="shared" si="94"/>
        <v>16.2</v>
      </c>
      <c r="F113" s="8">
        <f t="shared" si="94"/>
        <v>21.4</v>
      </c>
      <c r="G113" s="8">
        <f t="shared" si="94"/>
        <v>20.2</v>
      </c>
      <c r="H113" s="8">
        <f t="shared" si="94"/>
        <v>14.4</v>
      </c>
      <c r="I113" s="8">
        <f t="shared" si="94"/>
        <v>86.3</v>
      </c>
      <c r="J113" s="15">
        <f t="shared" si="2"/>
        <v>5918</v>
      </c>
      <c r="K113" s="8">
        <f t="shared" ref="K113:P113" si="95">ROUND(K75,1)</f>
        <v>20.3</v>
      </c>
      <c r="L113" s="8">
        <f t="shared" si="95"/>
        <v>20.399999999999999</v>
      </c>
      <c r="M113" s="8">
        <f t="shared" si="95"/>
        <v>22.3</v>
      </c>
      <c r="N113" s="8">
        <f t="shared" si="95"/>
        <v>18.7</v>
      </c>
      <c r="O113" s="8">
        <f t="shared" si="95"/>
        <v>11.3</v>
      </c>
      <c r="P113" s="8">
        <f t="shared" si="95"/>
        <v>93</v>
      </c>
      <c r="Q113" s="15">
        <f t="shared" si="4"/>
        <v>4555</v>
      </c>
      <c r="R113" s="8">
        <f t="shared" ref="R113:W113" si="96">ROUND(R75,1)</f>
        <v>16.8</v>
      </c>
      <c r="S113" s="8">
        <f t="shared" si="96"/>
        <v>18</v>
      </c>
      <c r="T113" s="8">
        <f t="shared" si="96"/>
        <v>21.8</v>
      </c>
      <c r="U113" s="8">
        <f t="shared" si="96"/>
        <v>19.600000000000001</v>
      </c>
      <c r="V113" s="8">
        <f t="shared" si="96"/>
        <v>13</v>
      </c>
      <c r="W113" s="8">
        <f t="shared" si="96"/>
        <v>89.2</v>
      </c>
      <c r="X113" s="15">
        <f t="shared" si="6"/>
        <v>10473</v>
      </c>
    </row>
    <row r="114" spans="3:24" ht="14.25" customHeight="1" x14ac:dyDescent="0.2">
      <c r="C114" s="2" t="s">
        <v>31</v>
      </c>
      <c r="D114" s="8">
        <f t="shared" ref="D114:I114" si="97">ROUND(D76,1)</f>
        <v>7.3</v>
      </c>
      <c r="E114" s="8">
        <f t="shared" si="97"/>
        <v>13.6</v>
      </c>
      <c r="F114" s="8">
        <f t="shared" si="97"/>
        <v>19.7</v>
      </c>
      <c r="G114" s="8">
        <f t="shared" si="97"/>
        <v>22.7</v>
      </c>
      <c r="H114" s="8">
        <f t="shared" si="97"/>
        <v>21</v>
      </c>
      <c r="I114" s="8">
        <f t="shared" si="97"/>
        <v>84.2</v>
      </c>
      <c r="J114" s="15">
        <f t="shared" si="2"/>
        <v>13759</v>
      </c>
      <c r="K114" s="8">
        <f t="shared" ref="K114:P114" si="98">ROUND(K76,1)</f>
        <v>16.100000000000001</v>
      </c>
      <c r="L114" s="8">
        <f t="shared" si="98"/>
        <v>17.8</v>
      </c>
      <c r="M114" s="8">
        <f t="shared" si="98"/>
        <v>21.2</v>
      </c>
      <c r="N114" s="8">
        <f t="shared" si="98"/>
        <v>19.100000000000001</v>
      </c>
      <c r="O114" s="8">
        <f t="shared" si="98"/>
        <v>14.8</v>
      </c>
      <c r="P114" s="8">
        <f t="shared" si="98"/>
        <v>89</v>
      </c>
      <c r="Q114" s="15">
        <f t="shared" si="4"/>
        <v>10105</v>
      </c>
      <c r="R114" s="8">
        <f t="shared" ref="R114:W114" si="99">ROUND(R76,1)</f>
        <v>11</v>
      </c>
      <c r="S114" s="8">
        <f t="shared" si="99"/>
        <v>15.4</v>
      </c>
      <c r="T114" s="8">
        <f t="shared" si="99"/>
        <v>20.3</v>
      </c>
      <c r="U114" s="8">
        <f t="shared" si="99"/>
        <v>21.2</v>
      </c>
      <c r="V114" s="8">
        <f t="shared" si="99"/>
        <v>18.399999999999999</v>
      </c>
      <c r="W114" s="8">
        <f t="shared" si="99"/>
        <v>86.2</v>
      </c>
      <c r="X114" s="15">
        <f t="shared" si="6"/>
        <v>23864</v>
      </c>
    </row>
    <row r="115" spans="3:24" ht="14.25" customHeight="1" x14ac:dyDescent="0.2">
      <c r="C115" s="2" t="s">
        <v>32</v>
      </c>
      <c r="D115" s="8">
        <f t="shared" ref="D115:I115" si="100">ROUND(D77,1)</f>
        <v>8</v>
      </c>
      <c r="E115" s="8">
        <f t="shared" si="100"/>
        <v>11.3</v>
      </c>
      <c r="F115" s="8">
        <f t="shared" si="100"/>
        <v>16.8</v>
      </c>
      <c r="G115" s="8">
        <f t="shared" si="100"/>
        <v>19.399999999999999</v>
      </c>
      <c r="H115" s="8">
        <f t="shared" si="100"/>
        <v>19.2</v>
      </c>
      <c r="I115" s="8">
        <f t="shared" si="100"/>
        <v>74.7</v>
      </c>
      <c r="J115" s="15">
        <f t="shared" si="2"/>
        <v>46070</v>
      </c>
      <c r="K115" s="8">
        <f t="shared" ref="K115:P115" si="101">ROUND(K77,1)</f>
        <v>9.6</v>
      </c>
      <c r="L115" s="8">
        <f t="shared" si="101"/>
        <v>13.2</v>
      </c>
      <c r="M115" s="8">
        <f t="shared" si="101"/>
        <v>17.899999999999999</v>
      </c>
      <c r="N115" s="8">
        <f t="shared" si="101"/>
        <v>19.399999999999999</v>
      </c>
      <c r="O115" s="8">
        <f t="shared" si="101"/>
        <v>18.3</v>
      </c>
      <c r="P115" s="8">
        <f t="shared" si="101"/>
        <v>78.400000000000006</v>
      </c>
      <c r="Q115" s="15">
        <f t="shared" si="4"/>
        <v>52127</v>
      </c>
      <c r="R115" s="8">
        <f t="shared" ref="R115:W115" si="102">ROUND(R77,1)</f>
        <v>8.8000000000000007</v>
      </c>
      <c r="S115" s="8">
        <f t="shared" si="102"/>
        <v>12.3</v>
      </c>
      <c r="T115" s="8">
        <f t="shared" si="102"/>
        <v>17.399999999999999</v>
      </c>
      <c r="U115" s="8">
        <f t="shared" si="102"/>
        <v>19.399999999999999</v>
      </c>
      <c r="V115" s="8">
        <f t="shared" si="102"/>
        <v>18.7</v>
      </c>
      <c r="W115" s="8">
        <f t="shared" si="102"/>
        <v>76.7</v>
      </c>
      <c r="X115" s="15">
        <f t="shared" si="6"/>
        <v>98197</v>
      </c>
    </row>
    <row r="116" spans="3:24" ht="14.25" customHeight="1" x14ac:dyDescent="0.2">
      <c r="C116" s="2" t="s">
        <v>46</v>
      </c>
      <c r="D116" s="8">
        <f t="shared" ref="D116:I116" si="103">ROUND(D78,1)</f>
        <v>13.2</v>
      </c>
      <c r="E116" s="8">
        <f t="shared" si="103"/>
        <v>15.4</v>
      </c>
      <c r="F116" s="8">
        <f t="shared" si="103"/>
        <v>19.100000000000001</v>
      </c>
      <c r="G116" s="8">
        <f t="shared" si="103"/>
        <v>18.899999999999999</v>
      </c>
      <c r="H116" s="8">
        <f t="shared" si="103"/>
        <v>15.5</v>
      </c>
      <c r="I116" s="8">
        <f t="shared" si="103"/>
        <v>82.3</v>
      </c>
      <c r="J116" s="15">
        <f t="shared" si="2"/>
        <v>402146</v>
      </c>
      <c r="K116" s="8">
        <f t="shared" ref="K116:P116" si="104">ROUND(K78,1)</f>
        <v>16.5</v>
      </c>
      <c r="L116" s="8">
        <f t="shared" si="104"/>
        <v>18.399999999999999</v>
      </c>
      <c r="M116" s="8">
        <f t="shared" si="104"/>
        <v>20.8</v>
      </c>
      <c r="N116" s="8">
        <f t="shared" si="104"/>
        <v>18.100000000000001</v>
      </c>
      <c r="O116" s="8">
        <f t="shared" si="104"/>
        <v>13.2</v>
      </c>
      <c r="P116" s="8">
        <f t="shared" si="104"/>
        <v>86.9</v>
      </c>
      <c r="Q116" s="15">
        <f t="shared" si="4"/>
        <v>476648</v>
      </c>
      <c r="R116" s="8">
        <f t="shared" ref="R116:W116" si="105">ROUND(R78,1)</f>
        <v>15</v>
      </c>
      <c r="S116" s="8">
        <f t="shared" si="105"/>
        <v>17</v>
      </c>
      <c r="T116" s="8">
        <f t="shared" si="105"/>
        <v>20</v>
      </c>
      <c r="U116" s="8">
        <f t="shared" si="105"/>
        <v>18.5</v>
      </c>
      <c r="V116" s="8">
        <f t="shared" si="105"/>
        <v>14.2</v>
      </c>
      <c r="W116" s="8">
        <f t="shared" si="105"/>
        <v>84.8</v>
      </c>
      <c r="X116" s="15">
        <f t="shared" si="6"/>
        <v>878794</v>
      </c>
    </row>
    <row r="117" spans="3:24" ht="14.25" customHeight="1" x14ac:dyDescent="0.2">
      <c r="D117" s="8"/>
      <c r="E117" s="8"/>
      <c r="F117" s="8"/>
      <c r="G117" s="8"/>
      <c r="H117" s="8"/>
      <c r="I117" s="8"/>
      <c r="J117" s="8"/>
      <c r="K117" s="8"/>
      <c r="L117" s="8"/>
      <c r="M117" s="8"/>
      <c r="N117" s="8"/>
      <c r="O117" s="8"/>
      <c r="P117" s="8"/>
      <c r="Q117" s="8"/>
      <c r="R117" s="8"/>
      <c r="S117" s="8"/>
      <c r="T117" s="8"/>
      <c r="U117" s="8"/>
      <c r="V117" s="8"/>
      <c r="W117" s="8"/>
      <c r="X117" s="8"/>
    </row>
    <row r="118" spans="3:24" ht="14.25" customHeight="1" x14ac:dyDescent="0.2">
      <c r="D118" s="8"/>
      <c r="E118" s="8"/>
      <c r="F118" s="8"/>
      <c r="G118" s="8"/>
      <c r="H118" s="8"/>
      <c r="I118" s="8"/>
      <c r="J118" s="8"/>
      <c r="K118" s="8"/>
      <c r="L118" s="8"/>
      <c r="M118" s="8"/>
      <c r="N118" s="8"/>
      <c r="O118" s="8"/>
      <c r="P118" s="8"/>
      <c r="Q118" s="8"/>
      <c r="R118" s="8"/>
      <c r="S118" s="8"/>
      <c r="T118" s="8"/>
      <c r="U118" s="8"/>
      <c r="V118" s="8"/>
      <c r="W118" s="8"/>
      <c r="X118" s="8"/>
    </row>
    <row r="119" spans="3:24" ht="14.25" customHeight="1" x14ac:dyDescent="0.2">
      <c r="D119" s="8"/>
      <c r="E119" s="8"/>
      <c r="F119" s="8"/>
      <c r="G119" s="8"/>
      <c r="H119" s="8"/>
      <c r="I119" s="8"/>
      <c r="J119" s="8"/>
      <c r="K119" s="8"/>
      <c r="L119" s="8"/>
      <c r="M119" s="8"/>
      <c r="N119" s="8"/>
      <c r="O119" s="8"/>
      <c r="P119" s="8"/>
      <c r="Q119" s="8"/>
      <c r="R119" s="8"/>
      <c r="S119" s="8"/>
      <c r="T119" s="8"/>
      <c r="U119" s="8"/>
      <c r="V119" s="8"/>
      <c r="W119" s="8"/>
      <c r="X119" s="8"/>
    </row>
  </sheetData>
  <phoneticPr fontId="3" type="noConversion"/>
  <conditionalFormatting sqref="D6:U40">
    <cfRule type="cellIs" dxfId="0" priority="1" operator="between">
      <formula>1</formula>
      <formula>2</formula>
    </cfRule>
  </conditionalFormatting>
  <printOptions headings="1" gridLines="1"/>
  <pageMargins left="0.75" right="0.75" top="1" bottom="1" header="0" footer="0"/>
  <pageSetup paperSize="0" scale="0" orientation="portrait" usePrinterDefaults="0" blackAndWhite="1" cellComments="asDisplayed" horizontalDpi="0" verticalDpi="0" copies="0"/>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Q198"/>
  <sheetViews>
    <sheetView showGridLines="0" defaultGridColor="0" topLeftCell="A28" colorId="22" workbookViewId="0">
      <selection activeCell="C69" sqref="C69"/>
    </sheetView>
  </sheetViews>
  <sheetFormatPr defaultColWidth="10.28515625" defaultRowHeight="14.25" customHeight="1" x14ac:dyDescent="0.2"/>
  <cols>
    <col min="1" max="1" width="10.28515625" style="3" customWidth="1"/>
    <col min="2" max="2" width="21.5703125" style="3" bestFit="1" customWidth="1"/>
    <col min="3" max="16384" width="10.28515625" style="3"/>
  </cols>
  <sheetData>
    <row r="1" spans="1:69" ht="12" customHeight="1" x14ac:dyDescent="0.2">
      <c r="A1" s="2"/>
    </row>
    <row r="2" spans="1:69" ht="12" customHeight="1" x14ac:dyDescent="0.2">
      <c r="A2" s="2"/>
    </row>
    <row r="3" spans="1:69" ht="12" customHeight="1" x14ac:dyDescent="0.2">
      <c r="C3" s="2" t="s">
        <v>42</v>
      </c>
      <c r="J3" s="2" t="s">
        <v>43</v>
      </c>
      <c r="Q3" s="2" t="s">
        <v>54</v>
      </c>
      <c r="Y3" s="106"/>
      <c r="Z3" s="105"/>
      <c r="AA3" s="106"/>
      <c r="AB3" s="106"/>
      <c r="AC3" s="106"/>
      <c r="AD3" s="106"/>
      <c r="AE3" s="106"/>
      <c r="AF3" s="106"/>
      <c r="AG3" s="105"/>
      <c r="AH3" s="106"/>
      <c r="AI3" s="106"/>
      <c r="AJ3" s="106"/>
      <c r="AK3" s="106"/>
      <c r="AL3" s="106"/>
      <c r="AM3" s="106"/>
      <c r="AN3" s="105"/>
      <c r="AO3" s="106"/>
      <c r="AP3" s="106"/>
      <c r="AQ3" s="106"/>
      <c r="AR3" s="106"/>
      <c r="AS3" s="106"/>
      <c r="AT3" s="106"/>
      <c r="AV3" s="110"/>
      <c r="AW3" s="109"/>
      <c r="AX3" s="110"/>
      <c r="AY3" s="110"/>
      <c r="AZ3" s="110"/>
      <c r="BA3" s="110"/>
      <c r="BB3" s="110"/>
      <c r="BC3" s="110"/>
      <c r="BD3" s="109"/>
      <c r="BE3" s="110"/>
      <c r="BF3" s="110"/>
      <c r="BG3" s="110"/>
      <c r="BH3" s="110"/>
      <c r="BI3" s="110"/>
      <c r="BJ3" s="110"/>
      <c r="BK3" s="109"/>
      <c r="BL3" s="110"/>
      <c r="BM3" s="110"/>
      <c r="BN3" s="110"/>
      <c r="BO3" s="110"/>
      <c r="BP3" s="110"/>
      <c r="BQ3" s="110"/>
    </row>
    <row r="4" spans="1:69" ht="12" customHeight="1" x14ac:dyDescent="0.2">
      <c r="C4" s="2" t="s">
        <v>33</v>
      </c>
      <c r="D4" s="2" t="s">
        <v>34</v>
      </c>
      <c r="E4" s="2" t="s">
        <v>35</v>
      </c>
      <c r="F4" s="2" t="s">
        <v>36</v>
      </c>
      <c r="G4" s="2" t="s">
        <v>37</v>
      </c>
      <c r="H4" s="2" t="s">
        <v>47</v>
      </c>
      <c r="I4" s="2" t="s">
        <v>58</v>
      </c>
      <c r="J4" s="2" t="s">
        <v>33</v>
      </c>
      <c r="K4" s="2" t="s">
        <v>34</v>
      </c>
      <c r="L4" s="2" t="s">
        <v>35</v>
      </c>
      <c r="M4" s="2" t="s">
        <v>36</v>
      </c>
      <c r="N4" s="2" t="s">
        <v>37</v>
      </c>
      <c r="O4" s="2" t="s">
        <v>47</v>
      </c>
      <c r="P4" s="2" t="s">
        <v>58</v>
      </c>
      <c r="Q4" s="2" t="s">
        <v>33</v>
      </c>
      <c r="R4" s="2" t="s">
        <v>34</v>
      </c>
      <c r="S4" s="2" t="s">
        <v>35</v>
      </c>
      <c r="T4" s="2" t="s">
        <v>36</v>
      </c>
      <c r="U4" s="2" t="s">
        <v>37</v>
      </c>
      <c r="V4" s="3" t="s">
        <v>47</v>
      </c>
      <c r="W4" s="3" t="s">
        <v>58</v>
      </c>
      <c r="Y4" s="106"/>
      <c r="Z4" s="105"/>
      <c r="AA4" s="105"/>
      <c r="AB4" s="105"/>
      <c r="AC4" s="105"/>
      <c r="AD4" s="105"/>
      <c r="AE4" s="105"/>
      <c r="AF4" s="105"/>
      <c r="AG4" s="105"/>
      <c r="AH4" s="105"/>
      <c r="AI4" s="105"/>
      <c r="AJ4" s="105"/>
      <c r="AK4" s="105"/>
      <c r="AL4" s="105"/>
      <c r="AM4" s="105"/>
      <c r="AN4" s="105"/>
      <c r="AO4" s="105"/>
      <c r="AP4" s="105"/>
      <c r="AQ4" s="105"/>
      <c r="AR4" s="105"/>
      <c r="AS4" s="106"/>
      <c r="AT4" s="106"/>
      <c r="AV4" s="110"/>
      <c r="AW4" s="109"/>
      <c r="AX4" s="109"/>
      <c r="AY4" s="109"/>
      <c r="AZ4" s="109"/>
      <c r="BA4" s="109"/>
      <c r="BB4" s="109"/>
      <c r="BC4" s="109"/>
      <c r="BD4" s="109"/>
      <c r="BE4" s="109"/>
      <c r="BF4" s="109"/>
      <c r="BG4" s="109"/>
      <c r="BH4" s="109"/>
      <c r="BI4" s="109"/>
      <c r="BJ4" s="109"/>
      <c r="BK4" s="109"/>
      <c r="BL4" s="109"/>
      <c r="BM4" s="109"/>
      <c r="BN4" s="109"/>
      <c r="BO4" s="109"/>
      <c r="BP4" s="110"/>
      <c r="BQ4" s="110"/>
    </row>
    <row r="5" spans="1:69" ht="14.25" customHeight="1" x14ac:dyDescent="0.2">
      <c r="Y5" s="106"/>
      <c r="Z5" s="106"/>
      <c r="AA5" s="106"/>
      <c r="AB5" s="106"/>
      <c r="AC5" s="106"/>
      <c r="AD5" s="106"/>
      <c r="AE5" s="106"/>
      <c r="AF5" s="106"/>
      <c r="AG5" s="106"/>
      <c r="AH5" s="106"/>
      <c r="AI5" s="106"/>
      <c r="AJ5" s="106"/>
      <c r="AK5" s="106"/>
      <c r="AL5" s="106"/>
      <c r="AM5" s="106"/>
      <c r="AN5" s="106"/>
      <c r="AO5" s="106"/>
      <c r="AP5" s="106"/>
      <c r="AQ5" s="106"/>
      <c r="AR5" s="106"/>
      <c r="AS5" s="106"/>
      <c r="AT5" s="106"/>
      <c r="AV5" s="110"/>
      <c r="AW5" s="110"/>
      <c r="AX5" s="110"/>
      <c r="AY5" s="110"/>
      <c r="AZ5" s="110"/>
      <c r="BA5" s="110"/>
      <c r="BB5" s="110"/>
      <c r="BC5" s="110"/>
      <c r="BD5" s="110"/>
      <c r="BE5" s="110"/>
      <c r="BF5" s="110"/>
      <c r="BG5" s="110"/>
      <c r="BH5" s="110"/>
      <c r="BI5" s="110"/>
      <c r="BJ5" s="110"/>
      <c r="BK5" s="110"/>
      <c r="BL5" s="110"/>
      <c r="BM5" s="110"/>
      <c r="BN5" s="110"/>
      <c r="BO5" s="110"/>
      <c r="BP5" s="110"/>
      <c r="BQ5" s="110"/>
    </row>
    <row r="6" spans="1:69" ht="12" customHeight="1" x14ac:dyDescent="0.2">
      <c r="A6" s="2"/>
      <c r="B6" s="2" t="s">
        <v>0</v>
      </c>
      <c r="C6" s="87">
        <f>IF(OR(C48=1,C48=2),"x",ROUND(C48/$I48*100,1))</f>
        <v>13.1</v>
      </c>
      <c r="D6" s="87">
        <f t="shared" ref="D6:H6" si="0">IF(OR(D48=1,D48=2),"x",ROUND(D48/$I48*100,1))</f>
        <v>14.3</v>
      </c>
      <c r="E6" s="87">
        <f t="shared" si="0"/>
        <v>16.899999999999999</v>
      </c>
      <c r="F6" s="87">
        <f t="shared" si="0"/>
        <v>17.3</v>
      </c>
      <c r="G6" s="87">
        <f t="shared" si="0"/>
        <v>16.899999999999999</v>
      </c>
      <c r="H6" s="87">
        <f t="shared" si="0"/>
        <v>78.5</v>
      </c>
      <c r="I6" s="66">
        <f>ROUND(I48,0)</f>
        <v>23633</v>
      </c>
      <c r="J6" s="87">
        <f>IF(OR(J48=1,J48=2),"x",ROUND(J48/$P48*100,1))</f>
        <v>15.4</v>
      </c>
      <c r="K6" s="87">
        <f t="shared" ref="K6:O6" si="1">IF(OR(K48=1,K48=2),"x",ROUND(K48/$P48*100,1))</f>
        <v>16.2</v>
      </c>
      <c r="L6" s="87">
        <f t="shared" si="1"/>
        <v>17.5</v>
      </c>
      <c r="M6" s="87">
        <f t="shared" si="1"/>
        <v>16.600000000000001</v>
      </c>
      <c r="N6" s="87">
        <f t="shared" si="1"/>
        <v>15.7</v>
      </c>
      <c r="O6" s="87">
        <f t="shared" si="1"/>
        <v>81.400000000000006</v>
      </c>
      <c r="P6" s="66">
        <f>ROUND(P48,0)</f>
        <v>33354</v>
      </c>
      <c r="Q6" s="87">
        <f>IF(OR(Q48=1,Q48=2),"x",ROUND(Q48/$W48*100,1))</f>
        <v>14.5</v>
      </c>
      <c r="R6" s="87">
        <f t="shared" ref="R6:V6" si="2">IF(OR(R48=1,R48=2),"x",ROUND(R48/$W48*100,1))</f>
        <v>15.4</v>
      </c>
      <c r="S6" s="87">
        <f t="shared" si="2"/>
        <v>17.2</v>
      </c>
      <c r="T6" s="87">
        <f t="shared" si="2"/>
        <v>16.899999999999999</v>
      </c>
      <c r="U6" s="87">
        <f t="shared" si="2"/>
        <v>16.2</v>
      </c>
      <c r="V6" s="87">
        <f t="shared" si="2"/>
        <v>80.2</v>
      </c>
      <c r="W6" s="66">
        <f>ROUND(W48,0)</f>
        <v>56987</v>
      </c>
      <c r="Y6" s="105"/>
      <c r="Z6" s="113"/>
      <c r="AA6" s="113"/>
      <c r="AB6" s="113"/>
      <c r="AC6" s="113"/>
      <c r="AD6" s="113"/>
      <c r="AE6" s="113"/>
      <c r="AF6" s="114"/>
      <c r="AG6" s="113"/>
      <c r="AH6" s="113"/>
      <c r="AI6" s="113"/>
      <c r="AJ6" s="113"/>
      <c r="AK6" s="113"/>
      <c r="AL6" s="113"/>
      <c r="AM6" s="114"/>
      <c r="AN6" s="113"/>
      <c r="AO6" s="113"/>
      <c r="AP6" s="113"/>
      <c r="AQ6" s="113"/>
      <c r="AR6" s="113"/>
      <c r="AS6" s="113"/>
      <c r="AT6" s="115"/>
      <c r="AV6" s="109"/>
      <c r="AW6" s="116"/>
      <c r="AX6" s="116"/>
      <c r="AY6" s="116"/>
      <c r="AZ6" s="116"/>
      <c r="BA6" s="116"/>
      <c r="BB6" s="116"/>
      <c r="BC6" s="116"/>
      <c r="BD6" s="116"/>
      <c r="BE6" s="116"/>
      <c r="BF6" s="116"/>
      <c r="BG6" s="116"/>
      <c r="BH6" s="116"/>
      <c r="BI6" s="116"/>
      <c r="BJ6" s="116"/>
      <c r="BK6" s="116"/>
      <c r="BL6" s="116"/>
      <c r="BM6" s="116"/>
      <c r="BN6" s="116"/>
      <c r="BO6" s="116"/>
      <c r="BP6" s="116"/>
      <c r="BQ6" s="116"/>
    </row>
    <row r="7" spans="1:69" ht="12" customHeight="1" x14ac:dyDescent="0.2">
      <c r="B7" s="2" t="s">
        <v>1</v>
      </c>
      <c r="C7" s="87">
        <f t="shared" ref="C7:H22" si="3">IF(OR(C49=1,C49=2),"x",ROUND(C49/$I49*100,1))</f>
        <v>17.600000000000001</v>
      </c>
      <c r="D7" s="87">
        <f t="shared" si="3"/>
        <v>16.7</v>
      </c>
      <c r="E7" s="87">
        <f t="shared" si="3"/>
        <v>17.2</v>
      </c>
      <c r="F7" s="87">
        <f t="shared" si="3"/>
        <v>16.100000000000001</v>
      </c>
      <c r="G7" s="87">
        <f t="shared" si="3"/>
        <v>14.8</v>
      </c>
      <c r="H7" s="87">
        <f t="shared" si="3"/>
        <v>82.4</v>
      </c>
      <c r="I7" s="66">
        <f t="shared" ref="I7:I40" si="4">ROUND(I49,0)</f>
        <v>20322</v>
      </c>
      <c r="J7" s="87">
        <f t="shared" ref="J7:O22" si="5">IF(OR(J49=1,J49=2),"x",ROUND(J49/$P49*100,1))</f>
        <v>18.7</v>
      </c>
      <c r="K7" s="87">
        <f t="shared" si="5"/>
        <v>18.600000000000001</v>
      </c>
      <c r="L7" s="87">
        <f t="shared" si="5"/>
        <v>18</v>
      </c>
      <c r="M7" s="87">
        <f t="shared" si="5"/>
        <v>15.9</v>
      </c>
      <c r="N7" s="87">
        <f t="shared" si="5"/>
        <v>13.1</v>
      </c>
      <c r="O7" s="87">
        <f t="shared" si="5"/>
        <v>84.3</v>
      </c>
      <c r="P7" s="66">
        <f t="shared" ref="P7:P40" si="6">ROUND(P49,0)</f>
        <v>19766</v>
      </c>
      <c r="Q7" s="87">
        <f t="shared" ref="Q7:V22" si="7">IF(OR(Q49=1,Q49=2),"x",ROUND(Q49/$W49*100,1))</f>
        <v>18.100000000000001</v>
      </c>
      <c r="R7" s="87">
        <f t="shared" si="7"/>
        <v>17.7</v>
      </c>
      <c r="S7" s="87">
        <f t="shared" si="7"/>
        <v>17.600000000000001</v>
      </c>
      <c r="T7" s="87">
        <f t="shared" si="7"/>
        <v>16</v>
      </c>
      <c r="U7" s="87">
        <f t="shared" si="7"/>
        <v>14</v>
      </c>
      <c r="V7" s="87">
        <f t="shared" si="7"/>
        <v>83.3</v>
      </c>
      <c r="W7" s="66">
        <f t="shared" ref="W7:W40" si="8">ROUND(W49,0)</f>
        <v>40088</v>
      </c>
      <c r="Y7" s="105"/>
      <c r="Z7" s="113"/>
      <c r="AA7" s="113"/>
      <c r="AB7" s="113"/>
      <c r="AC7" s="113"/>
      <c r="AD7" s="113"/>
      <c r="AE7" s="113"/>
      <c r="AF7" s="114"/>
      <c r="AG7" s="113"/>
      <c r="AH7" s="113"/>
      <c r="AI7" s="113"/>
      <c r="AJ7" s="113"/>
      <c r="AK7" s="113"/>
      <c r="AL7" s="113"/>
      <c r="AM7" s="114"/>
      <c r="AN7" s="113"/>
      <c r="AO7" s="113"/>
      <c r="AP7" s="113"/>
      <c r="AQ7" s="113"/>
      <c r="AR7" s="113"/>
      <c r="AS7" s="113"/>
      <c r="AT7" s="115"/>
      <c r="AV7" s="109"/>
      <c r="AW7" s="116"/>
      <c r="AX7" s="116"/>
      <c r="AY7" s="116"/>
      <c r="AZ7" s="116"/>
      <c r="BA7" s="116"/>
      <c r="BB7" s="116"/>
      <c r="BC7" s="116"/>
      <c r="BD7" s="116"/>
      <c r="BE7" s="116"/>
      <c r="BF7" s="116"/>
      <c r="BG7" s="116"/>
      <c r="BH7" s="116"/>
      <c r="BI7" s="116"/>
      <c r="BJ7" s="116"/>
      <c r="BK7" s="116"/>
      <c r="BL7" s="116"/>
      <c r="BM7" s="116"/>
      <c r="BN7" s="116"/>
      <c r="BO7" s="116"/>
      <c r="BP7" s="116"/>
      <c r="BQ7" s="116"/>
    </row>
    <row r="8" spans="1:69" ht="12" customHeight="1" x14ac:dyDescent="0.2">
      <c r="B8" s="2" t="s">
        <v>2</v>
      </c>
      <c r="C8" s="87">
        <f t="shared" si="3"/>
        <v>18.2</v>
      </c>
      <c r="D8" s="87">
        <f t="shared" si="3"/>
        <v>15.8</v>
      </c>
      <c r="E8" s="87">
        <f t="shared" si="3"/>
        <v>16.5</v>
      </c>
      <c r="F8" s="87">
        <f t="shared" si="3"/>
        <v>16.2</v>
      </c>
      <c r="G8" s="87">
        <f t="shared" si="3"/>
        <v>14</v>
      </c>
      <c r="H8" s="87">
        <f t="shared" si="3"/>
        <v>80.7</v>
      </c>
      <c r="I8" s="66">
        <f t="shared" si="4"/>
        <v>22154</v>
      </c>
      <c r="J8" s="87">
        <f t="shared" si="5"/>
        <v>22.9</v>
      </c>
      <c r="K8" s="87">
        <f t="shared" si="5"/>
        <v>18.2</v>
      </c>
      <c r="L8" s="87">
        <f t="shared" si="5"/>
        <v>17.8</v>
      </c>
      <c r="M8" s="87">
        <f t="shared" si="5"/>
        <v>14.8</v>
      </c>
      <c r="N8" s="87">
        <f t="shared" si="5"/>
        <v>12.5</v>
      </c>
      <c r="O8" s="87">
        <f t="shared" si="5"/>
        <v>86.2</v>
      </c>
      <c r="P8" s="66">
        <f t="shared" si="6"/>
        <v>7048</v>
      </c>
      <c r="Q8" s="87">
        <f t="shared" si="7"/>
        <v>19.3</v>
      </c>
      <c r="R8" s="87">
        <f t="shared" si="7"/>
        <v>16.399999999999999</v>
      </c>
      <c r="S8" s="87">
        <f t="shared" si="7"/>
        <v>16.8</v>
      </c>
      <c r="T8" s="87">
        <f t="shared" si="7"/>
        <v>15.9</v>
      </c>
      <c r="U8" s="87">
        <f t="shared" si="7"/>
        <v>13.7</v>
      </c>
      <c r="V8" s="87">
        <f t="shared" si="7"/>
        <v>82.1</v>
      </c>
      <c r="W8" s="66">
        <f t="shared" si="8"/>
        <v>29202</v>
      </c>
      <c r="Y8" s="105"/>
      <c r="Z8" s="113"/>
      <c r="AA8" s="113"/>
      <c r="AB8" s="113"/>
      <c r="AC8" s="113"/>
      <c r="AD8" s="113"/>
      <c r="AE8" s="113"/>
      <c r="AF8" s="114"/>
      <c r="AG8" s="113"/>
      <c r="AH8" s="113"/>
      <c r="AI8" s="113"/>
      <c r="AJ8" s="113"/>
      <c r="AK8" s="113"/>
      <c r="AL8" s="113"/>
      <c r="AM8" s="114"/>
      <c r="AN8" s="113"/>
      <c r="AO8" s="113"/>
      <c r="AP8" s="113"/>
      <c r="AQ8" s="113"/>
      <c r="AR8" s="113"/>
      <c r="AS8" s="113"/>
      <c r="AT8" s="115"/>
      <c r="AV8" s="109"/>
      <c r="AW8" s="116"/>
      <c r="AX8" s="116"/>
      <c r="AY8" s="116"/>
      <c r="AZ8" s="116"/>
      <c r="BA8" s="116"/>
      <c r="BB8" s="116"/>
      <c r="BC8" s="116"/>
      <c r="BD8" s="116"/>
      <c r="BE8" s="116"/>
      <c r="BF8" s="116"/>
      <c r="BG8" s="116"/>
      <c r="BH8" s="116"/>
      <c r="BI8" s="116"/>
      <c r="BJ8" s="116"/>
      <c r="BK8" s="116"/>
      <c r="BL8" s="116"/>
      <c r="BM8" s="116"/>
      <c r="BN8" s="116"/>
      <c r="BO8" s="116"/>
      <c r="BP8" s="116"/>
      <c r="BQ8" s="116"/>
    </row>
    <row r="9" spans="1:69" ht="12" customHeight="1" x14ac:dyDescent="0.2">
      <c r="B9" s="2" t="s">
        <v>3</v>
      </c>
      <c r="C9" s="87">
        <f t="shared" si="3"/>
        <v>15.3</v>
      </c>
      <c r="D9" s="87">
        <f t="shared" si="3"/>
        <v>14.1</v>
      </c>
      <c r="E9" s="87">
        <f t="shared" si="3"/>
        <v>17.5</v>
      </c>
      <c r="F9" s="87">
        <f t="shared" si="3"/>
        <v>18</v>
      </c>
      <c r="G9" s="87">
        <f t="shared" si="3"/>
        <v>16.600000000000001</v>
      </c>
      <c r="H9" s="87">
        <f t="shared" si="3"/>
        <v>81.400000000000006</v>
      </c>
      <c r="I9" s="66">
        <f t="shared" si="4"/>
        <v>5153</v>
      </c>
      <c r="J9" s="87">
        <f t="shared" si="5"/>
        <v>13.5</v>
      </c>
      <c r="K9" s="87">
        <f t="shared" si="5"/>
        <v>17</v>
      </c>
      <c r="L9" s="87">
        <f t="shared" si="5"/>
        <v>18.8</v>
      </c>
      <c r="M9" s="87">
        <f t="shared" si="5"/>
        <v>18.2</v>
      </c>
      <c r="N9" s="87">
        <f t="shared" si="5"/>
        <v>15.1</v>
      </c>
      <c r="O9" s="87">
        <f t="shared" si="5"/>
        <v>82.7</v>
      </c>
      <c r="P9" s="66">
        <f t="shared" si="6"/>
        <v>2418</v>
      </c>
      <c r="Q9" s="87">
        <f t="shared" si="7"/>
        <v>14.7</v>
      </c>
      <c r="R9" s="87">
        <f t="shared" si="7"/>
        <v>15</v>
      </c>
      <c r="S9" s="87">
        <f t="shared" si="7"/>
        <v>17.899999999999999</v>
      </c>
      <c r="T9" s="87">
        <f t="shared" si="7"/>
        <v>18.100000000000001</v>
      </c>
      <c r="U9" s="87">
        <f t="shared" si="7"/>
        <v>16.100000000000001</v>
      </c>
      <c r="V9" s="87">
        <f t="shared" si="7"/>
        <v>81.900000000000006</v>
      </c>
      <c r="W9" s="66">
        <f t="shared" si="8"/>
        <v>7571</v>
      </c>
      <c r="Y9" s="105"/>
      <c r="Z9" s="113"/>
      <c r="AA9" s="113"/>
      <c r="AB9" s="113"/>
      <c r="AC9" s="113"/>
      <c r="AD9" s="113"/>
      <c r="AE9" s="113"/>
      <c r="AF9" s="114"/>
      <c r="AG9" s="113"/>
      <c r="AH9" s="113"/>
      <c r="AI9" s="113"/>
      <c r="AJ9" s="113"/>
      <c r="AK9" s="113"/>
      <c r="AL9" s="113"/>
      <c r="AM9" s="114"/>
      <c r="AN9" s="113"/>
      <c r="AO9" s="113"/>
      <c r="AP9" s="113"/>
      <c r="AQ9" s="113"/>
      <c r="AR9" s="113"/>
      <c r="AS9" s="113"/>
      <c r="AT9" s="115"/>
      <c r="AV9" s="109"/>
      <c r="AW9" s="116"/>
      <c r="AX9" s="116"/>
      <c r="AY9" s="116"/>
      <c r="AZ9" s="116"/>
      <c r="BA9" s="116"/>
      <c r="BB9" s="116"/>
      <c r="BC9" s="116"/>
      <c r="BD9" s="116"/>
      <c r="BE9" s="116"/>
      <c r="BF9" s="116"/>
      <c r="BG9" s="116"/>
      <c r="BH9" s="116"/>
      <c r="BI9" s="116"/>
      <c r="BJ9" s="116"/>
      <c r="BK9" s="116"/>
      <c r="BL9" s="116"/>
      <c r="BM9" s="116"/>
      <c r="BN9" s="116"/>
      <c r="BO9" s="116"/>
      <c r="BP9" s="116"/>
      <c r="BQ9" s="116"/>
    </row>
    <row r="10" spans="1:69" ht="12" customHeight="1" x14ac:dyDescent="0.2">
      <c r="B10" s="2" t="s">
        <v>4</v>
      </c>
      <c r="C10" s="87">
        <f t="shared" si="3"/>
        <v>22.6</v>
      </c>
      <c r="D10" s="87">
        <f t="shared" si="3"/>
        <v>13.7</v>
      </c>
      <c r="E10" s="87">
        <f t="shared" si="3"/>
        <v>13.8</v>
      </c>
      <c r="F10" s="87">
        <f t="shared" si="3"/>
        <v>14.1</v>
      </c>
      <c r="G10" s="87">
        <f t="shared" si="3"/>
        <v>13.3</v>
      </c>
      <c r="H10" s="87">
        <f t="shared" si="3"/>
        <v>77.5</v>
      </c>
      <c r="I10" s="66">
        <f t="shared" si="4"/>
        <v>32921</v>
      </c>
      <c r="J10" s="87">
        <f t="shared" si="5"/>
        <v>26.9</v>
      </c>
      <c r="K10" s="87">
        <f t="shared" si="5"/>
        <v>16.600000000000001</v>
      </c>
      <c r="L10" s="87">
        <f t="shared" si="5"/>
        <v>15.2</v>
      </c>
      <c r="M10" s="87">
        <f t="shared" si="5"/>
        <v>13.1</v>
      </c>
      <c r="N10" s="87">
        <f t="shared" si="5"/>
        <v>11.8</v>
      </c>
      <c r="O10" s="87">
        <f t="shared" si="5"/>
        <v>83.6</v>
      </c>
      <c r="P10" s="66">
        <f t="shared" si="6"/>
        <v>22051</v>
      </c>
      <c r="Q10" s="87">
        <f t="shared" si="7"/>
        <v>24.3</v>
      </c>
      <c r="R10" s="87">
        <f t="shared" si="7"/>
        <v>14.9</v>
      </c>
      <c r="S10" s="87">
        <f t="shared" si="7"/>
        <v>14.4</v>
      </c>
      <c r="T10" s="87">
        <f t="shared" si="7"/>
        <v>13.7</v>
      </c>
      <c r="U10" s="87">
        <f t="shared" si="7"/>
        <v>12.7</v>
      </c>
      <c r="V10" s="87">
        <f t="shared" si="7"/>
        <v>79.900000000000006</v>
      </c>
      <c r="W10" s="66">
        <f t="shared" si="8"/>
        <v>54972</v>
      </c>
      <c r="Y10" s="105"/>
      <c r="Z10" s="113"/>
      <c r="AA10" s="113"/>
      <c r="AB10" s="113"/>
      <c r="AC10" s="113"/>
      <c r="AD10" s="113"/>
      <c r="AE10" s="113"/>
      <c r="AF10" s="114"/>
      <c r="AG10" s="113"/>
      <c r="AH10" s="113"/>
      <c r="AI10" s="113"/>
      <c r="AJ10" s="113"/>
      <c r="AK10" s="113"/>
      <c r="AL10" s="113"/>
      <c r="AM10" s="114"/>
      <c r="AN10" s="113"/>
      <c r="AO10" s="113"/>
      <c r="AP10" s="113"/>
      <c r="AQ10" s="113"/>
      <c r="AR10" s="113"/>
      <c r="AS10" s="113"/>
      <c r="AT10" s="115"/>
      <c r="AV10" s="109"/>
      <c r="AW10" s="116"/>
      <c r="AX10" s="116"/>
      <c r="AY10" s="116"/>
      <c r="AZ10" s="116"/>
      <c r="BA10" s="116"/>
      <c r="BB10" s="116"/>
      <c r="BC10" s="116"/>
      <c r="BD10" s="116"/>
      <c r="BE10" s="116"/>
      <c r="BF10" s="116"/>
      <c r="BG10" s="116"/>
      <c r="BH10" s="116"/>
      <c r="BI10" s="116"/>
      <c r="BJ10" s="116"/>
      <c r="BK10" s="116"/>
      <c r="BL10" s="116"/>
      <c r="BM10" s="116"/>
      <c r="BN10" s="116"/>
      <c r="BO10" s="116"/>
      <c r="BP10" s="116"/>
      <c r="BQ10" s="116"/>
    </row>
    <row r="11" spans="1:69" ht="12" customHeight="1" x14ac:dyDescent="0.2">
      <c r="B11" s="2" t="s">
        <v>5</v>
      </c>
      <c r="C11" s="87">
        <f t="shared" si="3"/>
        <v>38.6</v>
      </c>
      <c r="D11" s="87">
        <f t="shared" si="3"/>
        <v>17.100000000000001</v>
      </c>
      <c r="E11" s="87">
        <f t="shared" si="3"/>
        <v>14.7</v>
      </c>
      <c r="F11" s="87">
        <f t="shared" si="3"/>
        <v>13.2</v>
      </c>
      <c r="G11" s="87">
        <f t="shared" si="3"/>
        <v>7.8</v>
      </c>
      <c r="H11" s="87">
        <f t="shared" si="3"/>
        <v>91.3</v>
      </c>
      <c r="I11" s="66">
        <f t="shared" si="4"/>
        <v>2193</v>
      </c>
      <c r="J11" s="87">
        <f t="shared" si="5"/>
        <v>40.299999999999997</v>
      </c>
      <c r="K11" s="87">
        <f t="shared" si="5"/>
        <v>21.3</v>
      </c>
      <c r="L11" s="87">
        <f t="shared" si="5"/>
        <v>14.4</v>
      </c>
      <c r="M11" s="87">
        <f t="shared" si="5"/>
        <v>10</v>
      </c>
      <c r="N11" s="87">
        <f t="shared" si="5"/>
        <v>7.1</v>
      </c>
      <c r="O11" s="87">
        <f t="shared" si="5"/>
        <v>93.1</v>
      </c>
      <c r="P11" s="66">
        <f t="shared" si="6"/>
        <v>1195</v>
      </c>
      <c r="Q11" s="87">
        <f t="shared" si="7"/>
        <v>39.200000000000003</v>
      </c>
      <c r="R11" s="87">
        <f t="shared" si="7"/>
        <v>18.600000000000001</v>
      </c>
      <c r="S11" s="87">
        <f t="shared" si="7"/>
        <v>14.6</v>
      </c>
      <c r="T11" s="87">
        <f t="shared" si="7"/>
        <v>12.1</v>
      </c>
      <c r="U11" s="87">
        <f t="shared" si="7"/>
        <v>7.5</v>
      </c>
      <c r="V11" s="87">
        <f t="shared" si="7"/>
        <v>92</v>
      </c>
      <c r="W11" s="66">
        <f t="shared" si="8"/>
        <v>3388</v>
      </c>
      <c r="Y11" s="105"/>
      <c r="Z11" s="113"/>
      <c r="AA11" s="113"/>
      <c r="AB11" s="113"/>
      <c r="AC11" s="113"/>
      <c r="AD11" s="113"/>
      <c r="AE11" s="113"/>
      <c r="AF11" s="114"/>
      <c r="AG11" s="113"/>
      <c r="AH11" s="113"/>
      <c r="AI11" s="113"/>
      <c r="AJ11" s="113"/>
      <c r="AK11" s="113"/>
      <c r="AL11" s="113"/>
      <c r="AM11" s="114"/>
      <c r="AN11" s="113"/>
      <c r="AO11" s="113"/>
      <c r="AP11" s="113"/>
      <c r="AQ11" s="113"/>
      <c r="AR11" s="113"/>
      <c r="AS11" s="113"/>
      <c r="AT11" s="115"/>
      <c r="AV11" s="109"/>
      <c r="AW11" s="116"/>
      <c r="AX11" s="116"/>
      <c r="AY11" s="116"/>
      <c r="AZ11" s="116"/>
      <c r="BA11" s="116"/>
      <c r="BB11" s="116"/>
      <c r="BC11" s="116"/>
      <c r="BD11" s="116"/>
      <c r="BE11" s="116"/>
      <c r="BF11" s="116"/>
      <c r="BG11" s="116"/>
      <c r="BH11" s="116"/>
      <c r="BI11" s="116"/>
      <c r="BJ11" s="116"/>
      <c r="BK11" s="116"/>
      <c r="BL11" s="116"/>
      <c r="BM11" s="116"/>
      <c r="BN11" s="116"/>
      <c r="BO11" s="116"/>
      <c r="BP11" s="116"/>
      <c r="BQ11" s="116"/>
    </row>
    <row r="12" spans="1:69" ht="12" customHeight="1" x14ac:dyDescent="0.2">
      <c r="B12" s="2" t="s">
        <v>6</v>
      </c>
      <c r="C12" s="87">
        <f t="shared" si="3"/>
        <v>8.1999999999999993</v>
      </c>
      <c r="D12" s="87">
        <f t="shared" si="3"/>
        <v>13.7</v>
      </c>
      <c r="E12" s="87">
        <f t="shared" si="3"/>
        <v>20.2</v>
      </c>
      <c r="F12" s="87">
        <f t="shared" si="3"/>
        <v>21.7</v>
      </c>
      <c r="G12" s="87">
        <f t="shared" si="3"/>
        <v>19</v>
      </c>
      <c r="H12" s="87">
        <f t="shared" si="3"/>
        <v>82.8</v>
      </c>
      <c r="I12" s="66">
        <f t="shared" si="4"/>
        <v>11651</v>
      </c>
      <c r="J12" s="87">
        <f t="shared" si="5"/>
        <v>14.3</v>
      </c>
      <c r="K12" s="87">
        <f t="shared" si="5"/>
        <v>18.2</v>
      </c>
      <c r="L12" s="87">
        <f t="shared" si="5"/>
        <v>23.5</v>
      </c>
      <c r="M12" s="87">
        <f t="shared" si="5"/>
        <v>20.9</v>
      </c>
      <c r="N12" s="87">
        <f t="shared" si="5"/>
        <v>13.2</v>
      </c>
      <c r="O12" s="87">
        <f t="shared" si="5"/>
        <v>90.1</v>
      </c>
      <c r="P12" s="66">
        <f t="shared" si="6"/>
        <v>8333</v>
      </c>
      <c r="Q12" s="87">
        <f t="shared" si="7"/>
        <v>10.8</v>
      </c>
      <c r="R12" s="87">
        <f t="shared" si="7"/>
        <v>15.6</v>
      </c>
      <c r="S12" s="87">
        <f t="shared" si="7"/>
        <v>21.6</v>
      </c>
      <c r="T12" s="87">
        <f t="shared" si="7"/>
        <v>21.3</v>
      </c>
      <c r="U12" s="87">
        <f t="shared" si="7"/>
        <v>16.600000000000001</v>
      </c>
      <c r="V12" s="87">
        <f t="shared" si="7"/>
        <v>85.8</v>
      </c>
      <c r="W12" s="66">
        <f t="shared" si="8"/>
        <v>19984</v>
      </c>
      <c r="Y12" s="105"/>
      <c r="Z12" s="113"/>
      <c r="AA12" s="113"/>
      <c r="AB12" s="113"/>
      <c r="AC12" s="113"/>
      <c r="AD12" s="113"/>
      <c r="AE12" s="113"/>
      <c r="AF12" s="114"/>
      <c r="AG12" s="113"/>
      <c r="AH12" s="113"/>
      <c r="AI12" s="113"/>
      <c r="AJ12" s="113"/>
      <c r="AK12" s="113"/>
      <c r="AL12" s="113"/>
      <c r="AM12" s="114"/>
      <c r="AN12" s="113"/>
      <c r="AO12" s="113"/>
      <c r="AP12" s="113"/>
      <c r="AQ12" s="113"/>
      <c r="AR12" s="113"/>
      <c r="AS12" s="113"/>
      <c r="AT12" s="115"/>
      <c r="AV12" s="109"/>
      <c r="AW12" s="116"/>
      <c r="AX12" s="116"/>
      <c r="AY12" s="116"/>
      <c r="AZ12" s="116"/>
      <c r="BA12" s="116"/>
      <c r="BB12" s="116"/>
      <c r="BC12" s="116"/>
      <c r="BD12" s="116"/>
      <c r="BE12" s="116"/>
      <c r="BF12" s="116"/>
      <c r="BG12" s="116"/>
      <c r="BH12" s="116"/>
      <c r="BI12" s="116"/>
      <c r="BJ12" s="116"/>
      <c r="BK12" s="116"/>
      <c r="BL12" s="116"/>
      <c r="BM12" s="116"/>
      <c r="BN12" s="116"/>
      <c r="BO12" s="116"/>
      <c r="BP12" s="116"/>
      <c r="BQ12" s="116"/>
    </row>
    <row r="13" spans="1:69" ht="12" customHeight="1" x14ac:dyDescent="0.2">
      <c r="B13" s="2" t="s">
        <v>168</v>
      </c>
      <c r="C13" s="87">
        <f t="shared" si="3"/>
        <v>10.1</v>
      </c>
      <c r="D13" s="87">
        <f t="shared" si="3"/>
        <v>13.9</v>
      </c>
      <c r="E13" s="87">
        <f t="shared" si="3"/>
        <v>17.899999999999999</v>
      </c>
      <c r="F13" s="87">
        <f t="shared" si="3"/>
        <v>18.5</v>
      </c>
      <c r="G13" s="87">
        <f t="shared" si="3"/>
        <v>16.600000000000001</v>
      </c>
      <c r="H13" s="87">
        <f t="shared" si="3"/>
        <v>77</v>
      </c>
      <c r="I13" s="66">
        <f t="shared" si="4"/>
        <v>7585</v>
      </c>
      <c r="J13" s="87">
        <f t="shared" si="5"/>
        <v>9.5</v>
      </c>
      <c r="K13" s="87">
        <f t="shared" si="5"/>
        <v>13</v>
      </c>
      <c r="L13" s="87">
        <f t="shared" si="5"/>
        <v>14.4</v>
      </c>
      <c r="M13" s="87">
        <f t="shared" si="5"/>
        <v>18.600000000000001</v>
      </c>
      <c r="N13" s="87">
        <f t="shared" si="5"/>
        <v>17.899999999999999</v>
      </c>
      <c r="O13" s="87">
        <f t="shared" si="5"/>
        <v>73.5</v>
      </c>
      <c r="P13" s="66">
        <f t="shared" si="6"/>
        <v>769</v>
      </c>
      <c r="Q13" s="87">
        <f t="shared" si="7"/>
        <v>10</v>
      </c>
      <c r="R13" s="87">
        <f t="shared" si="7"/>
        <v>13.8</v>
      </c>
      <c r="S13" s="87">
        <f t="shared" si="7"/>
        <v>17.600000000000001</v>
      </c>
      <c r="T13" s="87">
        <f t="shared" si="7"/>
        <v>18.5</v>
      </c>
      <c r="U13" s="87">
        <f t="shared" si="7"/>
        <v>16.7</v>
      </c>
      <c r="V13" s="87">
        <f t="shared" si="7"/>
        <v>76.599999999999994</v>
      </c>
      <c r="W13" s="66">
        <f t="shared" si="8"/>
        <v>8354</v>
      </c>
      <c r="Y13" s="105"/>
      <c r="Z13" s="113"/>
      <c r="AA13" s="113"/>
      <c r="AB13" s="113"/>
      <c r="AC13" s="113"/>
      <c r="AD13" s="113"/>
      <c r="AE13" s="113"/>
      <c r="AF13" s="114"/>
      <c r="AG13" s="113"/>
      <c r="AH13" s="113"/>
      <c r="AI13" s="113"/>
      <c r="AJ13" s="113"/>
      <c r="AK13" s="113"/>
      <c r="AL13" s="113"/>
      <c r="AM13" s="114"/>
      <c r="AN13" s="113"/>
      <c r="AO13" s="113"/>
      <c r="AP13" s="113"/>
      <c r="AQ13" s="113"/>
      <c r="AR13" s="113"/>
      <c r="AS13" s="113"/>
      <c r="AT13" s="115"/>
      <c r="AV13" s="109"/>
      <c r="AW13" s="116"/>
      <c r="AX13" s="116"/>
      <c r="AY13" s="116"/>
      <c r="AZ13" s="116"/>
      <c r="BA13" s="116"/>
      <c r="BB13" s="116"/>
      <c r="BC13" s="116"/>
      <c r="BD13" s="116"/>
      <c r="BE13" s="116"/>
      <c r="BF13" s="116"/>
      <c r="BG13" s="116"/>
      <c r="BH13" s="116"/>
      <c r="BI13" s="116"/>
      <c r="BJ13" s="116"/>
      <c r="BK13" s="116"/>
      <c r="BL13" s="116"/>
      <c r="BM13" s="116"/>
      <c r="BN13" s="116"/>
      <c r="BO13" s="116"/>
      <c r="BP13" s="116"/>
      <c r="BQ13" s="116"/>
    </row>
    <row r="14" spans="1:69" ht="12" customHeight="1" x14ac:dyDescent="0.2">
      <c r="B14" s="2" t="s">
        <v>8</v>
      </c>
      <c r="C14" s="87">
        <f t="shared" si="3"/>
        <v>3.9</v>
      </c>
      <c r="D14" s="87">
        <f t="shared" si="3"/>
        <v>9.5</v>
      </c>
      <c r="E14" s="87">
        <f t="shared" si="3"/>
        <v>17</v>
      </c>
      <c r="F14" s="87">
        <f t="shared" si="3"/>
        <v>22.9</v>
      </c>
      <c r="G14" s="87">
        <f t="shared" si="3"/>
        <v>23.1</v>
      </c>
      <c r="H14" s="87">
        <f t="shared" si="3"/>
        <v>76.5</v>
      </c>
      <c r="I14" s="66">
        <f t="shared" si="4"/>
        <v>12595</v>
      </c>
      <c r="J14" s="87">
        <f t="shared" si="5"/>
        <v>5.4</v>
      </c>
      <c r="K14" s="87">
        <f t="shared" si="5"/>
        <v>12.5</v>
      </c>
      <c r="L14" s="87">
        <f t="shared" si="5"/>
        <v>18.7</v>
      </c>
      <c r="M14" s="87">
        <f t="shared" si="5"/>
        <v>23.3</v>
      </c>
      <c r="N14" s="87">
        <f t="shared" si="5"/>
        <v>20.6</v>
      </c>
      <c r="O14" s="87">
        <f t="shared" si="5"/>
        <v>80.5</v>
      </c>
      <c r="P14" s="66">
        <f t="shared" si="6"/>
        <v>7231</v>
      </c>
      <c r="Q14" s="87">
        <f t="shared" si="7"/>
        <v>4.5</v>
      </c>
      <c r="R14" s="87">
        <f t="shared" si="7"/>
        <v>10.6</v>
      </c>
      <c r="S14" s="87">
        <f t="shared" si="7"/>
        <v>17.600000000000001</v>
      </c>
      <c r="T14" s="87">
        <f t="shared" si="7"/>
        <v>23</v>
      </c>
      <c r="U14" s="87">
        <f t="shared" si="7"/>
        <v>22.2</v>
      </c>
      <c r="V14" s="87">
        <f t="shared" si="7"/>
        <v>77.900000000000006</v>
      </c>
      <c r="W14" s="66">
        <f t="shared" si="8"/>
        <v>19826</v>
      </c>
      <c r="Y14" s="105"/>
      <c r="Z14" s="113"/>
      <c r="AA14" s="113"/>
      <c r="AB14" s="113"/>
      <c r="AC14" s="113"/>
      <c r="AD14" s="113"/>
      <c r="AE14" s="113"/>
      <c r="AF14" s="114"/>
      <c r="AG14" s="113"/>
      <c r="AH14" s="113"/>
      <c r="AI14" s="113"/>
      <c r="AJ14" s="113"/>
      <c r="AK14" s="113"/>
      <c r="AL14" s="113"/>
      <c r="AM14" s="114"/>
      <c r="AN14" s="113"/>
      <c r="AO14" s="113"/>
      <c r="AP14" s="113"/>
      <c r="AQ14" s="113"/>
      <c r="AR14" s="113"/>
      <c r="AS14" s="113"/>
      <c r="AT14" s="115"/>
      <c r="AV14" s="109"/>
      <c r="AW14" s="116"/>
      <c r="AX14" s="116"/>
      <c r="AY14" s="116"/>
      <c r="AZ14" s="116"/>
      <c r="BA14" s="116"/>
      <c r="BB14" s="116"/>
      <c r="BC14" s="116"/>
      <c r="BD14" s="116"/>
      <c r="BE14" s="116"/>
      <c r="BF14" s="116"/>
      <c r="BG14" s="116"/>
      <c r="BH14" s="116"/>
      <c r="BI14" s="116"/>
      <c r="BJ14" s="116"/>
      <c r="BK14" s="116"/>
      <c r="BL14" s="116"/>
      <c r="BM14" s="116"/>
      <c r="BN14" s="116"/>
      <c r="BO14" s="116"/>
      <c r="BP14" s="116"/>
      <c r="BQ14" s="116"/>
    </row>
    <row r="15" spans="1:69" ht="12" customHeight="1" x14ac:dyDescent="0.2">
      <c r="B15" s="2" t="s">
        <v>9</v>
      </c>
      <c r="C15" s="87" t="s">
        <v>78</v>
      </c>
      <c r="D15" s="87" t="s">
        <v>78</v>
      </c>
      <c r="E15" s="87">
        <f t="shared" si="3"/>
        <v>21.5</v>
      </c>
      <c r="F15" s="87">
        <f t="shared" si="3"/>
        <v>24.1</v>
      </c>
      <c r="G15" s="87">
        <f t="shared" si="3"/>
        <v>24.1</v>
      </c>
      <c r="H15" s="87">
        <f t="shared" si="3"/>
        <v>83.5</v>
      </c>
      <c r="I15" s="66">
        <f t="shared" si="4"/>
        <v>79</v>
      </c>
      <c r="J15" s="87" t="s">
        <v>78</v>
      </c>
      <c r="K15" s="87" t="s">
        <v>78</v>
      </c>
      <c r="L15" s="87">
        <f t="shared" si="5"/>
        <v>24.7</v>
      </c>
      <c r="M15" s="87">
        <f t="shared" si="5"/>
        <v>19.7</v>
      </c>
      <c r="N15" s="87">
        <f t="shared" si="5"/>
        <v>15.6</v>
      </c>
      <c r="O15" s="87">
        <f t="shared" si="5"/>
        <v>91.4</v>
      </c>
      <c r="P15" s="66">
        <f t="shared" si="6"/>
        <v>442</v>
      </c>
      <c r="Q15" s="87">
        <f t="shared" si="7"/>
        <v>12.1</v>
      </c>
      <c r="R15" s="87">
        <f t="shared" si="7"/>
        <v>16.7</v>
      </c>
      <c r="S15" s="87">
        <f t="shared" si="7"/>
        <v>24.2</v>
      </c>
      <c r="T15" s="87">
        <f t="shared" si="7"/>
        <v>20.3</v>
      </c>
      <c r="U15" s="87">
        <f t="shared" si="7"/>
        <v>16.899999999999999</v>
      </c>
      <c r="V15" s="87">
        <f t="shared" si="7"/>
        <v>90.2</v>
      </c>
      <c r="W15" s="66">
        <f t="shared" si="8"/>
        <v>521</v>
      </c>
      <c r="Y15" s="105"/>
      <c r="Z15" s="113"/>
      <c r="AA15" s="113"/>
      <c r="AB15" s="113"/>
      <c r="AC15" s="113"/>
      <c r="AD15" s="113"/>
      <c r="AE15" s="113"/>
      <c r="AF15" s="114"/>
      <c r="AG15" s="113"/>
      <c r="AH15" s="113"/>
      <c r="AI15" s="113"/>
      <c r="AJ15" s="113"/>
      <c r="AK15" s="113"/>
      <c r="AL15" s="113"/>
      <c r="AM15" s="114"/>
      <c r="AN15" s="113"/>
      <c r="AO15" s="113"/>
      <c r="AP15" s="113"/>
      <c r="AQ15" s="113"/>
      <c r="AR15" s="113"/>
      <c r="AS15" s="113"/>
      <c r="AT15" s="115"/>
      <c r="AV15" s="109"/>
      <c r="AW15" s="116"/>
      <c r="AX15" s="116"/>
      <c r="AY15" s="116"/>
      <c r="AZ15" s="116"/>
      <c r="BA15" s="116"/>
      <c r="BB15" s="116"/>
      <c r="BC15" s="116"/>
      <c r="BD15" s="116"/>
      <c r="BE15" s="116"/>
      <c r="BF15" s="116"/>
      <c r="BG15" s="116"/>
      <c r="BH15" s="116"/>
      <c r="BI15" s="116"/>
      <c r="BJ15" s="116"/>
      <c r="BK15" s="116"/>
      <c r="BL15" s="116"/>
      <c r="BM15" s="116"/>
      <c r="BN15" s="116"/>
      <c r="BO15" s="116"/>
      <c r="BP15" s="116"/>
      <c r="BQ15" s="116"/>
    </row>
    <row r="16" spans="1:69" ht="12" customHeight="1" x14ac:dyDescent="0.2">
      <c r="B16" s="2" t="s">
        <v>10</v>
      </c>
      <c r="C16" s="87" t="s">
        <v>78</v>
      </c>
      <c r="D16" s="87" t="s">
        <v>78</v>
      </c>
      <c r="E16" s="87">
        <f t="shared" si="3"/>
        <v>15.4</v>
      </c>
      <c r="F16" s="87">
        <f t="shared" si="3"/>
        <v>17.2</v>
      </c>
      <c r="G16" s="87">
        <f t="shared" si="3"/>
        <v>19.399999999999999</v>
      </c>
      <c r="H16" s="87">
        <f t="shared" si="3"/>
        <v>69</v>
      </c>
      <c r="I16" s="66">
        <f t="shared" si="4"/>
        <v>3841</v>
      </c>
      <c r="J16" s="87" t="s">
        <v>78</v>
      </c>
      <c r="K16" s="87" t="s">
        <v>78</v>
      </c>
      <c r="L16" s="87">
        <f t="shared" si="5"/>
        <v>14.6</v>
      </c>
      <c r="M16" s="87">
        <f t="shared" si="5"/>
        <v>16.5</v>
      </c>
      <c r="N16" s="87">
        <f t="shared" si="5"/>
        <v>19.100000000000001</v>
      </c>
      <c r="O16" s="87">
        <f t="shared" si="5"/>
        <v>69.099999999999994</v>
      </c>
      <c r="P16" s="66">
        <f t="shared" si="6"/>
        <v>2437</v>
      </c>
      <c r="Q16" s="87">
        <f t="shared" si="7"/>
        <v>6.5</v>
      </c>
      <c r="R16" s="87">
        <f t="shared" si="7"/>
        <v>11.2</v>
      </c>
      <c r="S16" s="87">
        <f t="shared" si="7"/>
        <v>15.1</v>
      </c>
      <c r="T16" s="87">
        <f t="shared" si="7"/>
        <v>16.899999999999999</v>
      </c>
      <c r="U16" s="87">
        <f t="shared" si="7"/>
        <v>19.3</v>
      </c>
      <c r="V16" s="87">
        <f t="shared" si="7"/>
        <v>69.099999999999994</v>
      </c>
      <c r="W16" s="66">
        <f t="shared" si="8"/>
        <v>6278</v>
      </c>
      <c r="Y16" s="105"/>
      <c r="Z16" s="113"/>
      <c r="AA16" s="113"/>
      <c r="AB16" s="113"/>
      <c r="AC16" s="113"/>
      <c r="AD16" s="113"/>
      <c r="AE16" s="113"/>
      <c r="AF16" s="114"/>
      <c r="AG16" s="113"/>
      <c r="AH16" s="113"/>
      <c r="AI16" s="113"/>
      <c r="AJ16" s="113"/>
      <c r="AK16" s="113"/>
      <c r="AL16" s="113"/>
      <c r="AM16" s="114"/>
      <c r="AN16" s="113"/>
      <c r="AO16" s="113"/>
      <c r="AP16" s="113"/>
      <c r="AQ16" s="113"/>
      <c r="AR16" s="113"/>
      <c r="AS16" s="113"/>
      <c r="AT16" s="115"/>
      <c r="AV16" s="109"/>
      <c r="AW16" s="116"/>
      <c r="AX16" s="116"/>
      <c r="AY16" s="116"/>
      <c r="AZ16" s="116"/>
      <c r="BA16" s="116"/>
      <c r="BB16" s="116"/>
      <c r="BC16" s="116"/>
      <c r="BD16" s="116"/>
      <c r="BE16" s="116"/>
      <c r="BF16" s="116"/>
      <c r="BG16" s="116"/>
      <c r="BH16" s="116"/>
      <c r="BI16" s="116"/>
      <c r="BJ16" s="116"/>
      <c r="BK16" s="116"/>
      <c r="BL16" s="116"/>
      <c r="BM16" s="116"/>
      <c r="BN16" s="116"/>
      <c r="BO16" s="116"/>
      <c r="BP16" s="116"/>
      <c r="BQ16" s="116"/>
    </row>
    <row r="17" spans="2:69" ht="12" customHeight="1" x14ac:dyDescent="0.2">
      <c r="B17" s="2" t="s">
        <v>11</v>
      </c>
      <c r="C17" s="87">
        <f t="shared" si="3"/>
        <v>9.3000000000000007</v>
      </c>
      <c r="D17" s="87">
        <f t="shared" si="3"/>
        <v>16.600000000000001</v>
      </c>
      <c r="E17" s="87">
        <f t="shared" si="3"/>
        <v>22.4</v>
      </c>
      <c r="F17" s="87">
        <f t="shared" si="3"/>
        <v>21.2</v>
      </c>
      <c r="G17" s="87">
        <f t="shared" si="3"/>
        <v>16</v>
      </c>
      <c r="H17" s="87">
        <f t="shared" si="3"/>
        <v>85.5</v>
      </c>
      <c r="I17" s="66">
        <f t="shared" si="4"/>
        <v>20951</v>
      </c>
      <c r="J17" s="87">
        <f t="shared" si="5"/>
        <v>12.1</v>
      </c>
      <c r="K17" s="87">
        <f t="shared" si="5"/>
        <v>17.7</v>
      </c>
      <c r="L17" s="87">
        <f t="shared" si="5"/>
        <v>21.9</v>
      </c>
      <c r="M17" s="87">
        <f t="shared" si="5"/>
        <v>19.5</v>
      </c>
      <c r="N17" s="87">
        <f t="shared" si="5"/>
        <v>14.7</v>
      </c>
      <c r="O17" s="87">
        <f t="shared" si="5"/>
        <v>85.9</v>
      </c>
      <c r="P17" s="66">
        <f t="shared" si="6"/>
        <v>15737</v>
      </c>
      <c r="Q17" s="87">
        <f t="shared" si="7"/>
        <v>10.5</v>
      </c>
      <c r="R17" s="87">
        <f t="shared" si="7"/>
        <v>17</v>
      </c>
      <c r="S17" s="87">
        <f t="shared" si="7"/>
        <v>22.2</v>
      </c>
      <c r="T17" s="87">
        <f t="shared" si="7"/>
        <v>20.5</v>
      </c>
      <c r="U17" s="87">
        <f t="shared" si="7"/>
        <v>15.4</v>
      </c>
      <c r="V17" s="87">
        <f t="shared" si="7"/>
        <v>85.7</v>
      </c>
      <c r="W17" s="66">
        <f t="shared" si="8"/>
        <v>36688</v>
      </c>
      <c r="Y17" s="105"/>
      <c r="Z17" s="113"/>
      <c r="AA17" s="113"/>
      <c r="AB17" s="113"/>
      <c r="AC17" s="113"/>
      <c r="AD17" s="113"/>
      <c r="AE17" s="113"/>
      <c r="AF17" s="114"/>
      <c r="AG17" s="113"/>
      <c r="AH17" s="113"/>
      <c r="AI17" s="113"/>
      <c r="AJ17" s="113"/>
      <c r="AK17" s="113"/>
      <c r="AL17" s="113"/>
      <c r="AM17" s="114"/>
      <c r="AN17" s="113"/>
      <c r="AO17" s="113"/>
      <c r="AP17" s="113"/>
      <c r="AQ17" s="113"/>
      <c r="AR17" s="113"/>
      <c r="AS17" s="113"/>
      <c r="AT17" s="115"/>
      <c r="AV17" s="109"/>
      <c r="AW17" s="116"/>
      <c r="AX17" s="116"/>
      <c r="AY17" s="116"/>
      <c r="AZ17" s="116"/>
      <c r="BA17" s="116"/>
      <c r="BB17" s="116"/>
      <c r="BC17" s="116"/>
      <c r="BD17" s="116"/>
      <c r="BE17" s="116"/>
      <c r="BF17" s="116"/>
      <c r="BG17" s="116"/>
      <c r="BH17" s="116"/>
      <c r="BI17" s="116"/>
      <c r="BJ17" s="116"/>
      <c r="BK17" s="116"/>
      <c r="BL17" s="116"/>
      <c r="BM17" s="116"/>
      <c r="BN17" s="116"/>
      <c r="BO17" s="116"/>
      <c r="BP17" s="116"/>
      <c r="BQ17" s="116"/>
    </row>
    <row r="18" spans="2:69" ht="12" customHeight="1" x14ac:dyDescent="0.2">
      <c r="B18" s="2" t="s">
        <v>12</v>
      </c>
      <c r="C18" s="87">
        <f t="shared" si="3"/>
        <v>21.4</v>
      </c>
      <c r="D18" s="87">
        <f t="shared" si="3"/>
        <v>17.399999999999999</v>
      </c>
      <c r="E18" s="87">
        <f t="shared" si="3"/>
        <v>18.5</v>
      </c>
      <c r="F18" s="87">
        <f t="shared" si="3"/>
        <v>16</v>
      </c>
      <c r="G18" s="87">
        <f t="shared" si="3"/>
        <v>12.4</v>
      </c>
      <c r="H18" s="87">
        <f t="shared" si="3"/>
        <v>85.8</v>
      </c>
      <c r="I18" s="66">
        <f t="shared" si="4"/>
        <v>10514</v>
      </c>
      <c r="J18" s="87">
        <f t="shared" si="5"/>
        <v>24.4</v>
      </c>
      <c r="K18" s="87">
        <f t="shared" si="5"/>
        <v>18.2</v>
      </c>
      <c r="L18" s="87">
        <f t="shared" si="5"/>
        <v>16.600000000000001</v>
      </c>
      <c r="M18" s="87">
        <f t="shared" si="5"/>
        <v>15.4</v>
      </c>
      <c r="N18" s="87">
        <f t="shared" si="5"/>
        <v>11.8</v>
      </c>
      <c r="O18" s="87">
        <f t="shared" si="5"/>
        <v>86.5</v>
      </c>
      <c r="P18" s="66">
        <f t="shared" si="6"/>
        <v>4719</v>
      </c>
      <c r="Q18" s="87">
        <f t="shared" si="7"/>
        <v>22.4</v>
      </c>
      <c r="R18" s="87">
        <f t="shared" si="7"/>
        <v>17.600000000000001</v>
      </c>
      <c r="S18" s="87">
        <f t="shared" si="7"/>
        <v>17.899999999999999</v>
      </c>
      <c r="T18" s="87">
        <f t="shared" si="7"/>
        <v>15.8</v>
      </c>
      <c r="U18" s="87">
        <f t="shared" si="7"/>
        <v>12.3</v>
      </c>
      <c r="V18" s="87">
        <f t="shared" si="7"/>
        <v>86</v>
      </c>
      <c r="W18" s="66">
        <f t="shared" si="8"/>
        <v>15233</v>
      </c>
      <c r="Y18" s="105"/>
      <c r="Z18" s="113"/>
      <c r="AA18" s="113"/>
      <c r="AB18" s="113"/>
      <c r="AC18" s="113"/>
      <c r="AD18" s="113"/>
      <c r="AE18" s="113"/>
      <c r="AF18" s="114"/>
      <c r="AG18" s="113"/>
      <c r="AH18" s="113"/>
      <c r="AI18" s="113"/>
      <c r="AJ18" s="113"/>
      <c r="AK18" s="113"/>
      <c r="AL18" s="113"/>
      <c r="AM18" s="114"/>
      <c r="AN18" s="113"/>
      <c r="AO18" s="113"/>
      <c r="AP18" s="113"/>
      <c r="AQ18" s="113"/>
      <c r="AR18" s="113"/>
      <c r="AS18" s="113"/>
      <c r="AT18" s="115"/>
      <c r="AV18" s="109"/>
      <c r="AW18" s="116"/>
      <c r="AX18" s="116"/>
      <c r="AY18" s="116"/>
      <c r="AZ18" s="116"/>
      <c r="BA18" s="116"/>
      <c r="BB18" s="116"/>
      <c r="BC18" s="116"/>
      <c r="BD18" s="116"/>
      <c r="BE18" s="116"/>
      <c r="BF18" s="116"/>
      <c r="BG18" s="116"/>
      <c r="BH18" s="116"/>
      <c r="BI18" s="116"/>
      <c r="BJ18" s="116"/>
      <c r="BK18" s="116"/>
      <c r="BL18" s="116"/>
      <c r="BM18" s="116"/>
      <c r="BN18" s="116"/>
      <c r="BO18" s="116"/>
      <c r="BP18" s="116"/>
      <c r="BQ18" s="116"/>
    </row>
    <row r="19" spans="2:69" ht="12" customHeight="1" x14ac:dyDescent="0.2">
      <c r="B19" s="2" t="s">
        <v>13</v>
      </c>
      <c r="C19" s="87">
        <f t="shared" si="3"/>
        <v>16.100000000000001</v>
      </c>
      <c r="D19" s="87">
        <f t="shared" si="3"/>
        <v>17.5</v>
      </c>
      <c r="E19" s="87">
        <f t="shared" si="3"/>
        <v>20.6</v>
      </c>
      <c r="F19" s="87">
        <f t="shared" si="3"/>
        <v>18.7</v>
      </c>
      <c r="G19" s="87">
        <f t="shared" si="3"/>
        <v>14.6</v>
      </c>
      <c r="H19" s="87">
        <f t="shared" si="3"/>
        <v>87.4</v>
      </c>
      <c r="I19" s="66">
        <f t="shared" si="4"/>
        <v>16632</v>
      </c>
      <c r="J19" s="87">
        <f t="shared" si="5"/>
        <v>24</v>
      </c>
      <c r="K19" s="87">
        <f t="shared" si="5"/>
        <v>19.8</v>
      </c>
      <c r="L19" s="87">
        <f t="shared" si="5"/>
        <v>19</v>
      </c>
      <c r="M19" s="87">
        <f t="shared" si="5"/>
        <v>16</v>
      </c>
      <c r="N19" s="87">
        <f t="shared" si="5"/>
        <v>11.6</v>
      </c>
      <c r="O19" s="87">
        <f t="shared" si="5"/>
        <v>90.4</v>
      </c>
      <c r="P19" s="66">
        <f t="shared" si="6"/>
        <v>13933</v>
      </c>
      <c r="Q19" s="87">
        <f t="shared" si="7"/>
        <v>19.7</v>
      </c>
      <c r="R19" s="87">
        <f t="shared" si="7"/>
        <v>18.5</v>
      </c>
      <c r="S19" s="87">
        <f t="shared" si="7"/>
        <v>19.899999999999999</v>
      </c>
      <c r="T19" s="87">
        <f t="shared" si="7"/>
        <v>17.5</v>
      </c>
      <c r="U19" s="87">
        <f t="shared" si="7"/>
        <v>13.2</v>
      </c>
      <c r="V19" s="87">
        <f t="shared" si="7"/>
        <v>88.8</v>
      </c>
      <c r="W19" s="66">
        <f t="shared" si="8"/>
        <v>30565</v>
      </c>
      <c r="Y19" s="105"/>
      <c r="Z19" s="113"/>
      <c r="AA19" s="113"/>
      <c r="AB19" s="113"/>
      <c r="AC19" s="113"/>
      <c r="AD19" s="113"/>
      <c r="AE19" s="113"/>
      <c r="AF19" s="114"/>
      <c r="AG19" s="113"/>
      <c r="AH19" s="113"/>
      <c r="AI19" s="113"/>
      <c r="AJ19" s="113"/>
      <c r="AK19" s="113"/>
      <c r="AL19" s="113"/>
      <c r="AM19" s="114"/>
      <c r="AN19" s="113"/>
      <c r="AO19" s="113"/>
      <c r="AP19" s="113"/>
      <c r="AQ19" s="113"/>
      <c r="AR19" s="113"/>
      <c r="AS19" s="113"/>
      <c r="AT19" s="115"/>
      <c r="AV19" s="109"/>
      <c r="AW19" s="116"/>
      <c r="AX19" s="116"/>
      <c r="AY19" s="116"/>
      <c r="AZ19" s="116"/>
      <c r="BA19" s="116"/>
      <c r="BB19" s="116"/>
      <c r="BC19" s="116"/>
      <c r="BD19" s="116"/>
      <c r="BE19" s="116"/>
      <c r="BF19" s="116"/>
      <c r="BG19" s="116"/>
      <c r="BH19" s="116"/>
      <c r="BI19" s="116"/>
      <c r="BJ19" s="116"/>
      <c r="BK19" s="116"/>
      <c r="BL19" s="116"/>
      <c r="BM19" s="116"/>
      <c r="BN19" s="116"/>
      <c r="BO19" s="116"/>
      <c r="BP19" s="116"/>
      <c r="BQ19" s="116"/>
    </row>
    <row r="20" spans="2:69" ht="12" customHeight="1" x14ac:dyDescent="0.2">
      <c r="B20" s="2" t="s">
        <v>14</v>
      </c>
      <c r="C20" s="87">
        <f t="shared" si="3"/>
        <v>19.3</v>
      </c>
      <c r="D20" s="87">
        <f t="shared" si="3"/>
        <v>18.399999999999999</v>
      </c>
      <c r="E20" s="87">
        <f t="shared" si="3"/>
        <v>21.3</v>
      </c>
      <c r="F20" s="87">
        <f t="shared" si="3"/>
        <v>17.399999999999999</v>
      </c>
      <c r="G20" s="87">
        <f t="shared" si="3"/>
        <v>11.7</v>
      </c>
      <c r="H20" s="87">
        <f t="shared" si="3"/>
        <v>88.2</v>
      </c>
      <c r="I20" s="66">
        <f t="shared" si="4"/>
        <v>6300</v>
      </c>
      <c r="J20" s="87">
        <f t="shared" si="5"/>
        <v>22.6</v>
      </c>
      <c r="K20" s="87">
        <f t="shared" si="5"/>
        <v>18.3</v>
      </c>
      <c r="L20" s="87">
        <f t="shared" si="5"/>
        <v>18.899999999999999</v>
      </c>
      <c r="M20" s="87">
        <f t="shared" si="5"/>
        <v>15.9</v>
      </c>
      <c r="N20" s="87">
        <f t="shared" si="5"/>
        <v>12.2</v>
      </c>
      <c r="O20" s="87">
        <f t="shared" si="5"/>
        <v>88</v>
      </c>
      <c r="P20" s="66">
        <f t="shared" si="6"/>
        <v>4604</v>
      </c>
      <c r="Q20" s="87">
        <f t="shared" si="7"/>
        <v>20.7</v>
      </c>
      <c r="R20" s="87">
        <f t="shared" si="7"/>
        <v>18.399999999999999</v>
      </c>
      <c r="S20" s="87">
        <f t="shared" si="7"/>
        <v>20.3</v>
      </c>
      <c r="T20" s="87">
        <f t="shared" si="7"/>
        <v>16.8</v>
      </c>
      <c r="U20" s="87">
        <f t="shared" si="7"/>
        <v>11.9</v>
      </c>
      <c r="V20" s="87">
        <f t="shared" si="7"/>
        <v>88.1</v>
      </c>
      <c r="W20" s="66">
        <f t="shared" si="8"/>
        <v>10904</v>
      </c>
      <c r="Y20" s="105"/>
      <c r="Z20" s="113"/>
      <c r="AA20" s="113"/>
      <c r="AB20" s="113"/>
      <c r="AC20" s="113"/>
      <c r="AD20" s="113"/>
      <c r="AE20" s="113"/>
      <c r="AF20" s="114"/>
      <c r="AG20" s="113"/>
      <c r="AH20" s="113"/>
      <c r="AI20" s="113"/>
      <c r="AJ20" s="113"/>
      <c r="AK20" s="113"/>
      <c r="AL20" s="113"/>
      <c r="AM20" s="114"/>
      <c r="AN20" s="113"/>
      <c r="AO20" s="113"/>
      <c r="AP20" s="113"/>
      <c r="AQ20" s="113"/>
      <c r="AR20" s="113"/>
      <c r="AS20" s="113"/>
      <c r="AT20" s="115"/>
      <c r="AV20" s="109"/>
      <c r="AW20" s="116"/>
      <c r="AX20" s="116"/>
      <c r="AY20" s="116"/>
      <c r="AZ20" s="116"/>
      <c r="BA20" s="116"/>
      <c r="BB20" s="116"/>
      <c r="BC20" s="116"/>
      <c r="BD20" s="116"/>
      <c r="BE20" s="116"/>
      <c r="BF20" s="116"/>
      <c r="BG20" s="116"/>
      <c r="BH20" s="116"/>
      <c r="BI20" s="116"/>
      <c r="BJ20" s="116"/>
      <c r="BK20" s="116"/>
      <c r="BL20" s="116"/>
      <c r="BM20" s="116"/>
      <c r="BN20" s="116"/>
      <c r="BO20" s="116"/>
      <c r="BP20" s="116"/>
      <c r="BQ20" s="116"/>
    </row>
    <row r="21" spans="2:69" ht="12" customHeight="1" x14ac:dyDescent="0.2">
      <c r="B21" s="2" t="s">
        <v>15</v>
      </c>
      <c r="C21" s="87">
        <f t="shared" si="3"/>
        <v>15.5</v>
      </c>
      <c r="D21" s="87">
        <f t="shared" si="3"/>
        <v>20.5</v>
      </c>
      <c r="E21" s="87">
        <f t="shared" si="3"/>
        <v>23.9</v>
      </c>
      <c r="F21" s="87">
        <f t="shared" si="3"/>
        <v>19.7</v>
      </c>
      <c r="G21" s="87">
        <f t="shared" si="3"/>
        <v>11.9</v>
      </c>
      <c r="H21" s="87">
        <f t="shared" si="3"/>
        <v>91.5</v>
      </c>
      <c r="I21" s="66">
        <f t="shared" si="4"/>
        <v>20953</v>
      </c>
      <c r="J21" s="87">
        <f t="shared" si="5"/>
        <v>18.2</v>
      </c>
      <c r="K21" s="87">
        <f t="shared" si="5"/>
        <v>21.8</v>
      </c>
      <c r="L21" s="87">
        <f t="shared" si="5"/>
        <v>22.6</v>
      </c>
      <c r="M21" s="87">
        <f t="shared" si="5"/>
        <v>18.399999999999999</v>
      </c>
      <c r="N21" s="87">
        <f t="shared" si="5"/>
        <v>11.3</v>
      </c>
      <c r="O21" s="87">
        <f t="shared" si="5"/>
        <v>92.3</v>
      </c>
      <c r="P21" s="66">
        <f t="shared" si="6"/>
        <v>22964</v>
      </c>
      <c r="Q21" s="87">
        <f t="shared" si="7"/>
        <v>16.899999999999999</v>
      </c>
      <c r="R21" s="87">
        <f t="shared" si="7"/>
        <v>21.2</v>
      </c>
      <c r="S21" s="87">
        <f t="shared" si="7"/>
        <v>23.2</v>
      </c>
      <c r="T21" s="87">
        <f t="shared" si="7"/>
        <v>19</v>
      </c>
      <c r="U21" s="87">
        <f t="shared" si="7"/>
        <v>11.6</v>
      </c>
      <c r="V21" s="87">
        <f t="shared" si="7"/>
        <v>91.9</v>
      </c>
      <c r="W21" s="66">
        <f t="shared" si="8"/>
        <v>43917</v>
      </c>
      <c r="Y21" s="105"/>
      <c r="Z21" s="113"/>
      <c r="AA21" s="113"/>
      <c r="AB21" s="113"/>
      <c r="AC21" s="113"/>
      <c r="AD21" s="113"/>
      <c r="AE21" s="113"/>
      <c r="AF21" s="114"/>
      <c r="AG21" s="113"/>
      <c r="AH21" s="113"/>
      <c r="AI21" s="113"/>
      <c r="AJ21" s="113"/>
      <c r="AK21" s="113"/>
      <c r="AL21" s="113"/>
      <c r="AM21" s="114"/>
      <c r="AN21" s="113"/>
      <c r="AO21" s="113"/>
      <c r="AP21" s="113"/>
      <c r="AQ21" s="113"/>
      <c r="AR21" s="113"/>
      <c r="AS21" s="113"/>
      <c r="AT21" s="115"/>
      <c r="AV21" s="109"/>
      <c r="AW21" s="116"/>
      <c r="AX21" s="116"/>
      <c r="AY21" s="116"/>
      <c r="AZ21" s="116"/>
      <c r="BA21" s="116"/>
      <c r="BB21" s="116"/>
      <c r="BC21" s="116"/>
      <c r="BD21" s="116"/>
      <c r="BE21" s="116"/>
      <c r="BF21" s="116"/>
      <c r="BG21" s="116"/>
      <c r="BH21" s="116"/>
      <c r="BI21" s="116"/>
      <c r="BJ21" s="116"/>
      <c r="BK21" s="116"/>
      <c r="BL21" s="116"/>
      <c r="BM21" s="116"/>
      <c r="BN21" s="116"/>
      <c r="BO21" s="116"/>
      <c r="BP21" s="116"/>
      <c r="BQ21" s="116"/>
    </row>
    <row r="22" spans="2:69" ht="12" customHeight="1" x14ac:dyDescent="0.2">
      <c r="B22" s="2" t="s">
        <v>16</v>
      </c>
      <c r="C22" s="87">
        <f t="shared" si="3"/>
        <v>11.2</v>
      </c>
      <c r="D22" s="87">
        <f t="shared" si="3"/>
        <v>14.4</v>
      </c>
      <c r="E22" s="87">
        <f t="shared" si="3"/>
        <v>18</v>
      </c>
      <c r="F22" s="87">
        <f t="shared" si="3"/>
        <v>18.7</v>
      </c>
      <c r="G22" s="87">
        <f t="shared" si="3"/>
        <v>15.8</v>
      </c>
      <c r="H22" s="87">
        <f t="shared" si="3"/>
        <v>78.099999999999994</v>
      </c>
      <c r="I22" s="66">
        <f t="shared" si="4"/>
        <v>8409</v>
      </c>
      <c r="J22" s="87">
        <f t="shared" si="5"/>
        <v>14.8</v>
      </c>
      <c r="K22" s="87">
        <f t="shared" si="5"/>
        <v>16.399999999999999</v>
      </c>
      <c r="L22" s="87">
        <f t="shared" si="5"/>
        <v>19.2</v>
      </c>
      <c r="M22" s="87">
        <f t="shared" si="5"/>
        <v>16.5</v>
      </c>
      <c r="N22" s="87">
        <f t="shared" si="5"/>
        <v>14.3</v>
      </c>
      <c r="O22" s="87">
        <f t="shared" si="5"/>
        <v>81.2</v>
      </c>
      <c r="P22" s="66">
        <f t="shared" si="6"/>
        <v>12271</v>
      </c>
      <c r="Q22" s="87">
        <f t="shared" si="7"/>
        <v>13.4</v>
      </c>
      <c r="R22" s="87">
        <f t="shared" si="7"/>
        <v>15.6</v>
      </c>
      <c r="S22" s="87">
        <f t="shared" si="7"/>
        <v>18.7</v>
      </c>
      <c r="T22" s="87">
        <f t="shared" si="7"/>
        <v>17.399999999999999</v>
      </c>
      <c r="U22" s="87">
        <f t="shared" si="7"/>
        <v>14.9</v>
      </c>
      <c r="V22" s="87">
        <f t="shared" si="7"/>
        <v>79.900000000000006</v>
      </c>
      <c r="W22" s="66">
        <f t="shared" si="8"/>
        <v>20680</v>
      </c>
      <c r="Y22" s="105"/>
      <c r="Z22" s="113"/>
      <c r="AA22" s="113"/>
      <c r="AB22" s="113"/>
      <c r="AC22" s="113"/>
      <c r="AD22" s="113"/>
      <c r="AE22" s="113"/>
      <c r="AF22" s="114"/>
      <c r="AG22" s="113"/>
      <c r="AH22" s="113"/>
      <c r="AI22" s="113"/>
      <c r="AJ22" s="113"/>
      <c r="AK22" s="113"/>
      <c r="AL22" s="113"/>
      <c r="AM22" s="114"/>
      <c r="AN22" s="113"/>
      <c r="AO22" s="113"/>
      <c r="AP22" s="113"/>
      <c r="AQ22" s="113"/>
      <c r="AR22" s="113"/>
      <c r="AS22" s="113"/>
      <c r="AT22" s="115"/>
      <c r="AV22" s="109"/>
      <c r="AW22" s="116"/>
      <c r="AX22" s="116"/>
      <c r="AY22" s="116"/>
      <c r="AZ22" s="116"/>
      <c r="BA22" s="116"/>
      <c r="BB22" s="116"/>
      <c r="BC22" s="116"/>
      <c r="BD22" s="116"/>
      <c r="BE22" s="116"/>
      <c r="BF22" s="116"/>
      <c r="BG22" s="116"/>
      <c r="BH22" s="116"/>
      <c r="BI22" s="116"/>
      <c r="BJ22" s="116"/>
      <c r="BK22" s="116"/>
      <c r="BL22" s="116"/>
      <c r="BM22" s="116"/>
      <c r="BN22" s="116"/>
      <c r="BO22" s="116"/>
      <c r="BP22" s="116"/>
      <c r="BQ22" s="116"/>
    </row>
    <row r="23" spans="2:69" ht="12" customHeight="1" x14ac:dyDescent="0.2">
      <c r="B23" s="2" t="s">
        <v>17</v>
      </c>
      <c r="C23" s="87">
        <f t="shared" ref="C23:H38" si="9">IF(OR(C65=1,C65=2),"x",ROUND(C65/$I65*100,1))</f>
        <v>7.6</v>
      </c>
      <c r="D23" s="87">
        <f t="shared" si="9"/>
        <v>12.5</v>
      </c>
      <c r="E23" s="87">
        <f t="shared" si="9"/>
        <v>18.399999999999999</v>
      </c>
      <c r="F23" s="87">
        <f t="shared" si="9"/>
        <v>19.399999999999999</v>
      </c>
      <c r="G23" s="87">
        <f t="shared" si="9"/>
        <v>17.399999999999999</v>
      </c>
      <c r="H23" s="87">
        <f t="shared" si="9"/>
        <v>75.3</v>
      </c>
      <c r="I23" s="66">
        <f t="shared" si="4"/>
        <v>20338</v>
      </c>
      <c r="J23" s="87">
        <f t="shared" ref="J23:O38" si="10">IF(OR(J65=1,J65=2),"x",ROUND(J65/$P65*100,1))</f>
        <v>14.9</v>
      </c>
      <c r="K23" s="87">
        <f t="shared" si="10"/>
        <v>17.8</v>
      </c>
      <c r="L23" s="87">
        <f t="shared" si="10"/>
        <v>19.8</v>
      </c>
      <c r="M23" s="87">
        <f t="shared" si="10"/>
        <v>17.2</v>
      </c>
      <c r="N23" s="87">
        <f t="shared" si="10"/>
        <v>14</v>
      </c>
      <c r="O23" s="87">
        <f t="shared" si="10"/>
        <v>83.7</v>
      </c>
      <c r="P23" s="66">
        <f t="shared" si="6"/>
        <v>48066</v>
      </c>
      <c r="Q23" s="87">
        <f t="shared" ref="Q23:V38" si="11">IF(OR(Q65=1,Q65=2),"x",ROUND(Q65/$W65*100,1))</f>
        <v>12.7</v>
      </c>
      <c r="R23" s="87">
        <f t="shared" si="11"/>
        <v>16.2</v>
      </c>
      <c r="S23" s="87">
        <f t="shared" si="11"/>
        <v>19.399999999999999</v>
      </c>
      <c r="T23" s="87">
        <f t="shared" si="11"/>
        <v>17.899999999999999</v>
      </c>
      <c r="U23" s="87">
        <f t="shared" si="11"/>
        <v>15</v>
      </c>
      <c r="V23" s="87">
        <f t="shared" si="11"/>
        <v>81.2</v>
      </c>
      <c r="W23" s="66">
        <f t="shared" si="8"/>
        <v>68404</v>
      </c>
      <c r="Y23" s="105"/>
      <c r="Z23" s="113"/>
      <c r="AA23" s="113"/>
      <c r="AB23" s="113"/>
      <c r="AC23" s="113"/>
      <c r="AD23" s="113"/>
      <c r="AE23" s="113"/>
      <c r="AF23" s="114"/>
      <c r="AG23" s="113"/>
      <c r="AH23" s="113"/>
      <c r="AI23" s="113"/>
      <c r="AJ23" s="113"/>
      <c r="AK23" s="113"/>
      <c r="AL23" s="113"/>
      <c r="AM23" s="114"/>
      <c r="AN23" s="113"/>
      <c r="AO23" s="113"/>
      <c r="AP23" s="113"/>
      <c r="AQ23" s="113"/>
      <c r="AR23" s="113"/>
      <c r="AS23" s="113"/>
      <c r="AT23" s="115"/>
      <c r="AV23" s="109"/>
      <c r="AW23" s="116"/>
      <c r="AX23" s="116"/>
      <c r="AY23" s="116"/>
      <c r="AZ23" s="116"/>
      <c r="BA23" s="116"/>
      <c r="BB23" s="116"/>
      <c r="BC23" s="116"/>
      <c r="BD23" s="116"/>
      <c r="BE23" s="116"/>
      <c r="BF23" s="116"/>
      <c r="BG23" s="116"/>
      <c r="BH23" s="116"/>
      <c r="BI23" s="116"/>
      <c r="BJ23" s="116"/>
      <c r="BK23" s="116"/>
      <c r="BL23" s="116"/>
      <c r="BM23" s="116"/>
      <c r="BN23" s="116"/>
      <c r="BO23" s="116"/>
      <c r="BP23" s="116"/>
      <c r="BQ23" s="116"/>
    </row>
    <row r="24" spans="2:69" ht="12" customHeight="1" x14ac:dyDescent="0.2">
      <c r="B24" s="2" t="s">
        <v>18</v>
      </c>
      <c r="C24" s="87">
        <f t="shared" si="9"/>
        <v>10.6</v>
      </c>
      <c r="D24" s="87">
        <f t="shared" si="9"/>
        <v>15.6</v>
      </c>
      <c r="E24" s="87">
        <f t="shared" si="9"/>
        <v>19.899999999999999</v>
      </c>
      <c r="F24" s="87">
        <f t="shared" si="9"/>
        <v>18.8</v>
      </c>
      <c r="G24" s="87">
        <f t="shared" si="9"/>
        <v>15.9</v>
      </c>
      <c r="H24" s="87">
        <f t="shared" si="9"/>
        <v>80.7</v>
      </c>
      <c r="I24" s="66">
        <f t="shared" si="4"/>
        <v>8511</v>
      </c>
      <c r="J24" s="87">
        <f t="shared" si="10"/>
        <v>17.899999999999999</v>
      </c>
      <c r="K24" s="87">
        <f t="shared" si="10"/>
        <v>18.899999999999999</v>
      </c>
      <c r="L24" s="87">
        <f t="shared" si="10"/>
        <v>20</v>
      </c>
      <c r="M24" s="87">
        <f t="shared" si="10"/>
        <v>16.899999999999999</v>
      </c>
      <c r="N24" s="87">
        <f t="shared" si="10"/>
        <v>13.1</v>
      </c>
      <c r="O24" s="87">
        <f t="shared" si="10"/>
        <v>86.8</v>
      </c>
      <c r="P24" s="66">
        <f t="shared" si="6"/>
        <v>24487</v>
      </c>
      <c r="Q24" s="87">
        <f t="shared" si="11"/>
        <v>16</v>
      </c>
      <c r="R24" s="87">
        <f t="shared" si="11"/>
        <v>18.100000000000001</v>
      </c>
      <c r="S24" s="87">
        <f t="shared" si="11"/>
        <v>20</v>
      </c>
      <c r="T24" s="87">
        <f t="shared" si="11"/>
        <v>17.399999999999999</v>
      </c>
      <c r="U24" s="87">
        <f t="shared" si="11"/>
        <v>13.8</v>
      </c>
      <c r="V24" s="87">
        <f t="shared" si="11"/>
        <v>85.2</v>
      </c>
      <c r="W24" s="66">
        <f t="shared" si="8"/>
        <v>32998</v>
      </c>
      <c r="Y24" s="105"/>
      <c r="Z24" s="113"/>
      <c r="AA24" s="113"/>
      <c r="AB24" s="113"/>
      <c r="AC24" s="113"/>
      <c r="AD24" s="113"/>
      <c r="AE24" s="113"/>
      <c r="AF24" s="114"/>
      <c r="AG24" s="113"/>
      <c r="AH24" s="113"/>
      <c r="AI24" s="113"/>
      <c r="AJ24" s="113"/>
      <c r="AK24" s="113"/>
      <c r="AL24" s="113"/>
      <c r="AM24" s="114"/>
      <c r="AN24" s="113"/>
      <c r="AO24" s="113"/>
      <c r="AP24" s="113"/>
      <c r="AQ24" s="113"/>
      <c r="AR24" s="113"/>
      <c r="AS24" s="113"/>
      <c r="AT24" s="115"/>
      <c r="AV24" s="109"/>
      <c r="AW24" s="116"/>
      <c r="AX24" s="116"/>
      <c r="AY24" s="116"/>
      <c r="AZ24" s="116"/>
      <c r="BA24" s="116"/>
      <c r="BB24" s="116"/>
      <c r="BC24" s="116"/>
      <c r="BD24" s="116"/>
      <c r="BE24" s="116"/>
      <c r="BF24" s="116"/>
      <c r="BG24" s="116"/>
      <c r="BH24" s="116"/>
      <c r="BI24" s="116"/>
      <c r="BJ24" s="116"/>
      <c r="BK24" s="116"/>
      <c r="BL24" s="116"/>
      <c r="BM24" s="116"/>
      <c r="BN24" s="116"/>
      <c r="BO24" s="116"/>
      <c r="BP24" s="116"/>
      <c r="BQ24" s="116"/>
    </row>
    <row r="25" spans="2:69" ht="12" customHeight="1" x14ac:dyDescent="0.2">
      <c r="B25" s="2" t="s">
        <v>19</v>
      </c>
      <c r="C25" s="87">
        <f t="shared" si="9"/>
        <v>10.6</v>
      </c>
      <c r="D25" s="87">
        <f t="shared" si="9"/>
        <v>13.4</v>
      </c>
      <c r="E25" s="87">
        <f t="shared" si="9"/>
        <v>17.399999999999999</v>
      </c>
      <c r="F25" s="87">
        <f t="shared" si="9"/>
        <v>17.2</v>
      </c>
      <c r="G25" s="87">
        <f t="shared" si="9"/>
        <v>15.8</v>
      </c>
      <c r="H25" s="87">
        <f t="shared" si="9"/>
        <v>74.5</v>
      </c>
      <c r="I25" s="66">
        <f t="shared" si="4"/>
        <v>4104</v>
      </c>
      <c r="J25" s="87">
        <f t="shared" si="10"/>
        <v>13.5</v>
      </c>
      <c r="K25" s="87">
        <f t="shared" si="10"/>
        <v>15.2</v>
      </c>
      <c r="L25" s="87">
        <f t="shared" si="10"/>
        <v>18.2</v>
      </c>
      <c r="M25" s="87">
        <f t="shared" si="10"/>
        <v>18.100000000000001</v>
      </c>
      <c r="N25" s="87">
        <f t="shared" si="10"/>
        <v>14.2</v>
      </c>
      <c r="O25" s="87">
        <f t="shared" si="10"/>
        <v>79.099999999999994</v>
      </c>
      <c r="P25" s="66">
        <f t="shared" si="6"/>
        <v>4694</v>
      </c>
      <c r="Q25" s="87">
        <f t="shared" si="11"/>
        <v>12.1</v>
      </c>
      <c r="R25" s="87">
        <f t="shared" si="11"/>
        <v>14.4</v>
      </c>
      <c r="S25" s="87">
        <f t="shared" si="11"/>
        <v>17.8</v>
      </c>
      <c r="T25" s="87">
        <f t="shared" si="11"/>
        <v>17.7</v>
      </c>
      <c r="U25" s="87">
        <f t="shared" si="11"/>
        <v>15</v>
      </c>
      <c r="V25" s="87">
        <f t="shared" si="11"/>
        <v>76.900000000000006</v>
      </c>
      <c r="W25" s="66">
        <f t="shared" si="8"/>
        <v>8798</v>
      </c>
      <c r="Y25" s="105"/>
      <c r="Z25" s="113"/>
      <c r="AA25" s="113"/>
      <c r="AB25" s="113"/>
      <c r="AC25" s="113"/>
      <c r="AD25" s="113"/>
      <c r="AE25" s="113"/>
      <c r="AF25" s="114"/>
      <c r="AG25" s="113"/>
      <c r="AH25" s="113"/>
      <c r="AI25" s="113"/>
      <c r="AJ25" s="113"/>
      <c r="AK25" s="113"/>
      <c r="AL25" s="113"/>
      <c r="AM25" s="114"/>
      <c r="AN25" s="113"/>
      <c r="AO25" s="113"/>
      <c r="AP25" s="113"/>
      <c r="AQ25" s="113"/>
      <c r="AR25" s="113"/>
      <c r="AS25" s="113"/>
      <c r="AT25" s="115"/>
      <c r="AV25" s="109"/>
      <c r="AW25" s="116"/>
      <c r="AX25" s="116"/>
      <c r="AY25" s="116"/>
      <c r="AZ25" s="116"/>
      <c r="BA25" s="116"/>
      <c r="BB25" s="116"/>
      <c r="BC25" s="116"/>
      <c r="BD25" s="116"/>
      <c r="BE25" s="116"/>
      <c r="BF25" s="116"/>
      <c r="BG25" s="116"/>
      <c r="BH25" s="116"/>
      <c r="BI25" s="116"/>
      <c r="BJ25" s="116"/>
      <c r="BK25" s="116"/>
      <c r="BL25" s="116"/>
      <c r="BM25" s="116"/>
      <c r="BN25" s="116"/>
      <c r="BO25" s="116"/>
      <c r="BP25" s="116"/>
      <c r="BQ25" s="116"/>
    </row>
    <row r="26" spans="2:69" ht="12" customHeight="1" x14ac:dyDescent="0.2">
      <c r="B26" s="2" t="s">
        <v>20</v>
      </c>
      <c r="C26" s="87">
        <f t="shared" si="9"/>
        <v>13.6</v>
      </c>
      <c r="D26" s="87">
        <f t="shared" si="9"/>
        <v>16.5</v>
      </c>
      <c r="E26" s="87">
        <f t="shared" si="9"/>
        <v>21.1</v>
      </c>
      <c r="F26" s="87">
        <f t="shared" si="9"/>
        <v>19.100000000000001</v>
      </c>
      <c r="G26" s="87">
        <f t="shared" si="9"/>
        <v>14.3</v>
      </c>
      <c r="H26" s="87">
        <f t="shared" si="9"/>
        <v>84.7</v>
      </c>
      <c r="I26" s="66">
        <f t="shared" si="4"/>
        <v>16369</v>
      </c>
      <c r="J26" s="87">
        <f t="shared" si="10"/>
        <v>21.3</v>
      </c>
      <c r="K26" s="87">
        <f t="shared" si="10"/>
        <v>21.3</v>
      </c>
      <c r="L26" s="87">
        <f t="shared" si="10"/>
        <v>22.6</v>
      </c>
      <c r="M26" s="87">
        <f t="shared" si="10"/>
        <v>16.600000000000001</v>
      </c>
      <c r="N26" s="87">
        <f t="shared" si="10"/>
        <v>9.6999999999999993</v>
      </c>
      <c r="O26" s="87">
        <f t="shared" si="10"/>
        <v>91.5</v>
      </c>
      <c r="P26" s="66">
        <f t="shared" si="6"/>
        <v>33734</v>
      </c>
      <c r="Q26" s="87">
        <f t="shared" si="11"/>
        <v>18.8</v>
      </c>
      <c r="R26" s="87">
        <f t="shared" si="11"/>
        <v>19.7</v>
      </c>
      <c r="S26" s="87">
        <f t="shared" si="11"/>
        <v>22.1</v>
      </c>
      <c r="T26" s="87">
        <f t="shared" si="11"/>
        <v>17.399999999999999</v>
      </c>
      <c r="U26" s="87">
        <f t="shared" si="11"/>
        <v>11.2</v>
      </c>
      <c r="V26" s="87">
        <f t="shared" si="11"/>
        <v>89.3</v>
      </c>
      <c r="W26" s="66">
        <f t="shared" si="8"/>
        <v>50103</v>
      </c>
      <c r="Y26" s="105"/>
      <c r="Z26" s="113"/>
      <c r="AA26" s="113"/>
      <c r="AB26" s="113"/>
      <c r="AC26" s="113"/>
      <c r="AD26" s="113"/>
      <c r="AE26" s="113"/>
      <c r="AF26" s="114"/>
      <c r="AG26" s="113"/>
      <c r="AH26" s="113"/>
      <c r="AI26" s="113"/>
      <c r="AJ26" s="113"/>
      <c r="AK26" s="113"/>
      <c r="AL26" s="113"/>
      <c r="AM26" s="114"/>
      <c r="AN26" s="113"/>
      <c r="AO26" s="113"/>
      <c r="AP26" s="113"/>
      <c r="AQ26" s="113"/>
      <c r="AR26" s="113"/>
      <c r="AS26" s="113"/>
      <c r="AT26" s="115"/>
      <c r="AV26" s="109"/>
      <c r="AW26" s="116"/>
      <c r="AX26" s="116"/>
      <c r="AY26" s="116"/>
      <c r="AZ26" s="116"/>
      <c r="BA26" s="116"/>
      <c r="BB26" s="116"/>
      <c r="BC26" s="116"/>
      <c r="BD26" s="116"/>
      <c r="BE26" s="116"/>
      <c r="BF26" s="116"/>
      <c r="BG26" s="116"/>
      <c r="BH26" s="116"/>
      <c r="BI26" s="116"/>
      <c r="BJ26" s="116"/>
      <c r="BK26" s="116"/>
      <c r="BL26" s="116"/>
      <c r="BM26" s="116"/>
      <c r="BN26" s="116"/>
      <c r="BO26" s="116"/>
      <c r="BP26" s="116"/>
      <c r="BQ26" s="116"/>
    </row>
    <row r="27" spans="2:69" ht="12" customHeight="1" x14ac:dyDescent="0.2">
      <c r="B27" s="2" t="s">
        <v>21</v>
      </c>
      <c r="C27" s="87">
        <f t="shared" si="9"/>
        <v>12.4</v>
      </c>
      <c r="D27" s="87">
        <f t="shared" si="9"/>
        <v>23.6</v>
      </c>
      <c r="E27" s="87">
        <f t="shared" si="9"/>
        <v>27.7</v>
      </c>
      <c r="F27" s="87">
        <f t="shared" si="9"/>
        <v>20.9</v>
      </c>
      <c r="G27" s="87">
        <f t="shared" si="9"/>
        <v>10.5</v>
      </c>
      <c r="H27" s="87">
        <f t="shared" si="9"/>
        <v>95</v>
      </c>
      <c r="I27" s="66">
        <f t="shared" si="4"/>
        <v>4823</v>
      </c>
      <c r="J27" s="87">
        <f t="shared" si="10"/>
        <v>18.399999999999999</v>
      </c>
      <c r="K27" s="87">
        <f t="shared" si="10"/>
        <v>28</v>
      </c>
      <c r="L27" s="87">
        <f t="shared" si="10"/>
        <v>28</v>
      </c>
      <c r="M27" s="87">
        <f t="shared" si="10"/>
        <v>16.3</v>
      </c>
      <c r="N27" s="87">
        <f t="shared" si="10"/>
        <v>6.3</v>
      </c>
      <c r="O27" s="87">
        <f t="shared" si="10"/>
        <v>97.1</v>
      </c>
      <c r="P27" s="66">
        <f t="shared" si="6"/>
        <v>10955</v>
      </c>
      <c r="Q27" s="87">
        <f t="shared" si="11"/>
        <v>16.600000000000001</v>
      </c>
      <c r="R27" s="87">
        <f t="shared" si="11"/>
        <v>26.7</v>
      </c>
      <c r="S27" s="87">
        <f t="shared" si="11"/>
        <v>27.9</v>
      </c>
      <c r="T27" s="87">
        <f t="shared" si="11"/>
        <v>17.7</v>
      </c>
      <c r="U27" s="87">
        <f t="shared" si="11"/>
        <v>7.6</v>
      </c>
      <c r="V27" s="87">
        <f t="shared" si="11"/>
        <v>96.5</v>
      </c>
      <c r="W27" s="66">
        <f t="shared" si="8"/>
        <v>15778</v>
      </c>
      <c r="Y27" s="105"/>
      <c r="Z27" s="113"/>
      <c r="AA27" s="113"/>
      <c r="AB27" s="113"/>
      <c r="AC27" s="113"/>
      <c r="AD27" s="113"/>
      <c r="AE27" s="113"/>
      <c r="AF27" s="114"/>
      <c r="AG27" s="113"/>
      <c r="AH27" s="113"/>
      <c r="AI27" s="113"/>
      <c r="AJ27" s="113"/>
      <c r="AK27" s="113"/>
      <c r="AL27" s="113"/>
      <c r="AM27" s="114"/>
      <c r="AN27" s="113"/>
      <c r="AO27" s="113"/>
      <c r="AP27" s="113"/>
      <c r="AQ27" s="113"/>
      <c r="AR27" s="113"/>
      <c r="AS27" s="113"/>
      <c r="AT27" s="115"/>
      <c r="AV27" s="109"/>
      <c r="AW27" s="116"/>
      <c r="AX27" s="116"/>
      <c r="AY27" s="116"/>
      <c r="AZ27" s="116"/>
      <c r="BA27" s="116"/>
      <c r="BB27" s="116"/>
      <c r="BC27" s="116"/>
      <c r="BD27" s="116"/>
      <c r="BE27" s="116"/>
      <c r="BF27" s="116"/>
      <c r="BG27" s="116"/>
      <c r="BH27" s="116"/>
      <c r="BI27" s="116"/>
      <c r="BJ27" s="116"/>
      <c r="BK27" s="116"/>
      <c r="BL27" s="116"/>
      <c r="BM27" s="116"/>
      <c r="BN27" s="116"/>
      <c r="BO27" s="116"/>
      <c r="BP27" s="116"/>
      <c r="BQ27" s="116"/>
    </row>
    <row r="28" spans="2:69" ht="12" customHeight="1" x14ac:dyDescent="0.2">
      <c r="B28" s="2" t="s">
        <v>22</v>
      </c>
      <c r="C28" s="87">
        <f t="shared" si="9"/>
        <v>13.7</v>
      </c>
      <c r="D28" s="87">
        <f t="shared" si="9"/>
        <v>19.100000000000001</v>
      </c>
      <c r="E28" s="87">
        <f t="shared" si="9"/>
        <v>25</v>
      </c>
      <c r="F28" s="87">
        <f t="shared" si="9"/>
        <v>22.2</v>
      </c>
      <c r="G28" s="87">
        <f t="shared" si="9"/>
        <v>13.2</v>
      </c>
      <c r="H28" s="87">
        <f t="shared" si="9"/>
        <v>93.3</v>
      </c>
      <c r="I28" s="66">
        <f t="shared" si="4"/>
        <v>26370</v>
      </c>
      <c r="J28" s="87">
        <f t="shared" si="10"/>
        <v>15.2</v>
      </c>
      <c r="K28" s="87">
        <f t="shared" si="10"/>
        <v>20.6</v>
      </c>
      <c r="L28" s="87">
        <f t="shared" si="10"/>
        <v>26.3</v>
      </c>
      <c r="M28" s="87">
        <f t="shared" si="10"/>
        <v>21.8</v>
      </c>
      <c r="N28" s="87">
        <f t="shared" si="10"/>
        <v>11.3</v>
      </c>
      <c r="O28" s="87">
        <f t="shared" si="10"/>
        <v>95.2</v>
      </c>
      <c r="P28" s="66">
        <f t="shared" si="6"/>
        <v>58943</v>
      </c>
      <c r="Q28" s="87">
        <f t="shared" si="11"/>
        <v>14.7</v>
      </c>
      <c r="R28" s="87">
        <f t="shared" si="11"/>
        <v>20.100000000000001</v>
      </c>
      <c r="S28" s="87">
        <f t="shared" si="11"/>
        <v>25.9</v>
      </c>
      <c r="T28" s="87">
        <f t="shared" si="11"/>
        <v>21.9</v>
      </c>
      <c r="U28" s="87">
        <f t="shared" si="11"/>
        <v>11.9</v>
      </c>
      <c r="V28" s="87">
        <f t="shared" si="11"/>
        <v>94.6</v>
      </c>
      <c r="W28" s="66">
        <f t="shared" si="8"/>
        <v>85313</v>
      </c>
      <c r="Y28" s="105"/>
      <c r="Z28" s="113"/>
      <c r="AA28" s="113"/>
      <c r="AB28" s="113"/>
      <c r="AC28" s="113"/>
      <c r="AD28" s="113"/>
      <c r="AE28" s="113"/>
      <c r="AF28" s="114"/>
      <c r="AG28" s="113"/>
      <c r="AH28" s="113"/>
      <c r="AI28" s="113"/>
      <c r="AJ28" s="113"/>
      <c r="AK28" s="113"/>
      <c r="AL28" s="113"/>
      <c r="AM28" s="114"/>
      <c r="AN28" s="113"/>
      <c r="AO28" s="113"/>
      <c r="AP28" s="113"/>
      <c r="AQ28" s="113"/>
      <c r="AR28" s="113"/>
      <c r="AS28" s="113"/>
      <c r="AT28" s="115"/>
      <c r="AV28" s="109"/>
      <c r="AW28" s="116"/>
      <c r="AX28" s="116"/>
      <c r="AY28" s="116"/>
      <c r="AZ28" s="116"/>
      <c r="BA28" s="116"/>
      <c r="BB28" s="116"/>
      <c r="BC28" s="116"/>
      <c r="BD28" s="116"/>
      <c r="BE28" s="116"/>
      <c r="BF28" s="116"/>
      <c r="BG28" s="116"/>
      <c r="BH28" s="116"/>
      <c r="BI28" s="116"/>
      <c r="BJ28" s="116"/>
      <c r="BK28" s="116"/>
      <c r="BL28" s="116"/>
      <c r="BM28" s="116"/>
      <c r="BN28" s="116"/>
      <c r="BO28" s="116"/>
      <c r="BP28" s="116"/>
      <c r="BQ28" s="116"/>
    </row>
    <row r="29" spans="2:69" ht="12" customHeight="1" x14ac:dyDescent="0.2">
      <c r="B29" s="2" t="s">
        <v>51</v>
      </c>
      <c r="C29" s="87">
        <f t="shared" si="9"/>
        <v>10</v>
      </c>
      <c r="D29" s="87">
        <f t="shared" si="9"/>
        <v>20</v>
      </c>
      <c r="E29" s="87">
        <f t="shared" si="9"/>
        <v>26.8</v>
      </c>
      <c r="F29" s="87">
        <f t="shared" si="9"/>
        <v>22.7</v>
      </c>
      <c r="G29" s="87">
        <f t="shared" si="9"/>
        <v>12.4</v>
      </c>
      <c r="H29" s="87">
        <f t="shared" si="9"/>
        <v>92</v>
      </c>
      <c r="I29" s="66">
        <f t="shared" si="4"/>
        <v>12925</v>
      </c>
      <c r="J29" s="87">
        <f t="shared" si="10"/>
        <v>15.2</v>
      </c>
      <c r="K29" s="87">
        <f t="shared" si="10"/>
        <v>24.4</v>
      </c>
      <c r="L29" s="87">
        <f t="shared" si="10"/>
        <v>27.7</v>
      </c>
      <c r="M29" s="87">
        <f t="shared" si="10"/>
        <v>19.399999999999999</v>
      </c>
      <c r="N29" s="87">
        <f t="shared" si="10"/>
        <v>8.1999999999999993</v>
      </c>
      <c r="O29" s="87">
        <f t="shared" si="10"/>
        <v>94.9</v>
      </c>
      <c r="P29" s="66">
        <f t="shared" si="6"/>
        <v>15858</v>
      </c>
      <c r="Q29" s="87">
        <f t="shared" si="11"/>
        <v>12.9</v>
      </c>
      <c r="R29" s="87">
        <f t="shared" si="11"/>
        <v>22.5</v>
      </c>
      <c r="S29" s="87">
        <f t="shared" si="11"/>
        <v>27.3</v>
      </c>
      <c r="T29" s="87">
        <f t="shared" si="11"/>
        <v>20.9</v>
      </c>
      <c r="U29" s="87">
        <f t="shared" si="11"/>
        <v>10.1</v>
      </c>
      <c r="V29" s="87">
        <f t="shared" si="11"/>
        <v>93.6</v>
      </c>
      <c r="W29" s="66">
        <f t="shared" si="8"/>
        <v>28783</v>
      </c>
      <c r="Y29" s="105"/>
      <c r="Z29" s="113"/>
      <c r="AA29" s="113"/>
      <c r="AB29" s="113"/>
      <c r="AC29" s="113"/>
      <c r="AD29" s="113"/>
      <c r="AE29" s="113"/>
      <c r="AF29" s="114"/>
      <c r="AG29" s="113"/>
      <c r="AH29" s="113"/>
      <c r="AI29" s="113"/>
      <c r="AJ29" s="113"/>
      <c r="AK29" s="113"/>
      <c r="AL29" s="113"/>
      <c r="AM29" s="114"/>
      <c r="AN29" s="113"/>
      <c r="AO29" s="113"/>
      <c r="AP29" s="113"/>
      <c r="AQ29" s="113"/>
      <c r="AR29" s="113"/>
      <c r="AS29" s="113"/>
      <c r="AT29" s="115"/>
      <c r="AV29" s="109"/>
      <c r="AW29" s="116"/>
      <c r="AX29" s="116"/>
      <c r="AY29" s="116"/>
      <c r="AZ29" s="116"/>
      <c r="BA29" s="116"/>
      <c r="BB29" s="116"/>
      <c r="BC29" s="116"/>
      <c r="BD29" s="116"/>
      <c r="BE29" s="116"/>
      <c r="BF29" s="116"/>
      <c r="BG29" s="116"/>
      <c r="BH29" s="116"/>
      <c r="BI29" s="116"/>
      <c r="BJ29" s="116"/>
      <c r="BK29" s="116"/>
      <c r="BL29" s="116"/>
      <c r="BM29" s="116"/>
      <c r="BN29" s="116"/>
      <c r="BO29" s="116"/>
      <c r="BP29" s="116"/>
      <c r="BQ29" s="116"/>
    </row>
    <row r="30" spans="2:69" ht="12" customHeight="1" x14ac:dyDescent="0.2">
      <c r="B30" s="2" t="s">
        <v>23</v>
      </c>
      <c r="C30" s="87">
        <f t="shared" si="9"/>
        <v>10.3</v>
      </c>
      <c r="D30" s="87">
        <f t="shared" si="9"/>
        <v>27.9</v>
      </c>
      <c r="E30" s="87">
        <f t="shared" si="9"/>
        <v>31.2</v>
      </c>
      <c r="F30" s="87">
        <f t="shared" si="9"/>
        <v>17.100000000000001</v>
      </c>
      <c r="G30" s="87">
        <f t="shared" si="9"/>
        <v>6.6</v>
      </c>
      <c r="H30" s="87">
        <f t="shared" si="9"/>
        <v>93.1</v>
      </c>
      <c r="I30" s="66">
        <f t="shared" si="4"/>
        <v>5952</v>
      </c>
      <c r="J30" s="87">
        <f t="shared" si="10"/>
        <v>13.5</v>
      </c>
      <c r="K30" s="87">
        <f t="shared" si="10"/>
        <v>28</v>
      </c>
      <c r="L30" s="87">
        <f t="shared" si="10"/>
        <v>29.9</v>
      </c>
      <c r="M30" s="87">
        <f t="shared" si="10"/>
        <v>16.3</v>
      </c>
      <c r="N30" s="87">
        <f t="shared" si="10"/>
        <v>7.4</v>
      </c>
      <c r="O30" s="87">
        <f t="shared" si="10"/>
        <v>95.1</v>
      </c>
      <c r="P30" s="66">
        <f t="shared" si="6"/>
        <v>8593</v>
      </c>
      <c r="Q30" s="87">
        <f t="shared" si="11"/>
        <v>12.2</v>
      </c>
      <c r="R30" s="87">
        <f t="shared" si="11"/>
        <v>28</v>
      </c>
      <c r="S30" s="87">
        <f t="shared" si="11"/>
        <v>30.4</v>
      </c>
      <c r="T30" s="87">
        <f t="shared" si="11"/>
        <v>16.600000000000001</v>
      </c>
      <c r="U30" s="87">
        <f t="shared" si="11"/>
        <v>7</v>
      </c>
      <c r="V30" s="87">
        <f t="shared" si="11"/>
        <v>94.3</v>
      </c>
      <c r="W30" s="66">
        <f t="shared" si="8"/>
        <v>14545</v>
      </c>
      <c r="Y30" s="105"/>
      <c r="Z30" s="113"/>
      <c r="AA30" s="113"/>
      <c r="AB30" s="113"/>
      <c r="AC30" s="113"/>
      <c r="AD30" s="113"/>
      <c r="AE30" s="113"/>
      <c r="AF30" s="114"/>
      <c r="AG30" s="113"/>
      <c r="AH30" s="113"/>
      <c r="AI30" s="113"/>
      <c r="AJ30" s="113"/>
      <c r="AK30" s="113"/>
      <c r="AL30" s="113"/>
      <c r="AM30" s="114"/>
      <c r="AN30" s="113"/>
      <c r="AO30" s="113"/>
      <c r="AP30" s="113"/>
      <c r="AQ30" s="113"/>
      <c r="AR30" s="113"/>
      <c r="AS30" s="113"/>
      <c r="AT30" s="115"/>
      <c r="AV30" s="109"/>
      <c r="AW30" s="116"/>
      <c r="AX30" s="116"/>
      <c r="AY30" s="116"/>
      <c r="AZ30" s="116"/>
      <c r="BA30" s="116"/>
      <c r="BB30" s="116"/>
      <c r="BC30" s="116"/>
      <c r="BD30" s="116"/>
      <c r="BE30" s="116"/>
      <c r="BF30" s="116"/>
      <c r="BG30" s="116"/>
      <c r="BH30" s="116"/>
      <c r="BI30" s="116"/>
      <c r="BJ30" s="116"/>
      <c r="BK30" s="116"/>
      <c r="BL30" s="116"/>
      <c r="BM30" s="116"/>
      <c r="BN30" s="116"/>
      <c r="BO30" s="116"/>
      <c r="BP30" s="116"/>
      <c r="BQ30" s="116"/>
    </row>
    <row r="31" spans="2:69" ht="12" customHeight="1" x14ac:dyDescent="0.2">
      <c r="B31" s="2" t="s">
        <v>24</v>
      </c>
      <c r="C31" s="87">
        <f t="shared" si="9"/>
        <v>24.6</v>
      </c>
      <c r="D31" s="87">
        <f t="shared" si="9"/>
        <v>19.5</v>
      </c>
      <c r="E31" s="87">
        <f t="shared" si="9"/>
        <v>19.600000000000001</v>
      </c>
      <c r="F31" s="87">
        <f t="shared" si="9"/>
        <v>15.5</v>
      </c>
      <c r="G31" s="87">
        <f t="shared" si="9"/>
        <v>10.8</v>
      </c>
      <c r="H31" s="87">
        <f t="shared" si="9"/>
        <v>90</v>
      </c>
      <c r="I31" s="66">
        <f t="shared" si="4"/>
        <v>4671</v>
      </c>
      <c r="J31" s="87">
        <f t="shared" si="10"/>
        <v>21.8</v>
      </c>
      <c r="K31" s="87">
        <f t="shared" si="10"/>
        <v>18.600000000000001</v>
      </c>
      <c r="L31" s="87">
        <f t="shared" si="10"/>
        <v>19</v>
      </c>
      <c r="M31" s="87">
        <f t="shared" si="10"/>
        <v>16.8</v>
      </c>
      <c r="N31" s="87">
        <f t="shared" si="10"/>
        <v>13</v>
      </c>
      <c r="O31" s="87">
        <f t="shared" si="10"/>
        <v>89.1</v>
      </c>
      <c r="P31" s="66">
        <f t="shared" si="6"/>
        <v>11186</v>
      </c>
      <c r="Q31" s="87">
        <f t="shared" si="11"/>
        <v>22.6</v>
      </c>
      <c r="R31" s="87">
        <f t="shared" si="11"/>
        <v>18.8</v>
      </c>
      <c r="S31" s="87">
        <f t="shared" si="11"/>
        <v>19.2</v>
      </c>
      <c r="T31" s="87">
        <f t="shared" si="11"/>
        <v>16.399999999999999</v>
      </c>
      <c r="U31" s="87">
        <f t="shared" si="11"/>
        <v>12.3</v>
      </c>
      <c r="V31" s="87">
        <f t="shared" si="11"/>
        <v>89.4</v>
      </c>
      <c r="W31" s="66">
        <f t="shared" si="8"/>
        <v>15857</v>
      </c>
      <c r="Y31" s="105"/>
      <c r="Z31" s="113"/>
      <c r="AA31" s="113"/>
      <c r="AB31" s="113"/>
      <c r="AC31" s="113"/>
      <c r="AD31" s="113"/>
      <c r="AE31" s="113"/>
      <c r="AF31" s="114"/>
      <c r="AG31" s="113"/>
      <c r="AH31" s="113"/>
      <c r="AI31" s="113"/>
      <c r="AJ31" s="113"/>
      <c r="AK31" s="113"/>
      <c r="AL31" s="113"/>
      <c r="AM31" s="114"/>
      <c r="AN31" s="113"/>
      <c r="AO31" s="113"/>
      <c r="AP31" s="113"/>
      <c r="AQ31" s="113"/>
      <c r="AR31" s="113"/>
      <c r="AS31" s="113"/>
      <c r="AT31" s="115"/>
      <c r="AV31" s="109"/>
      <c r="AW31" s="116"/>
      <c r="AX31" s="116"/>
      <c r="AY31" s="116"/>
      <c r="AZ31" s="116"/>
      <c r="BA31" s="116"/>
      <c r="BB31" s="116"/>
      <c r="BC31" s="116"/>
      <c r="BD31" s="116"/>
      <c r="BE31" s="116"/>
      <c r="BF31" s="116"/>
      <c r="BG31" s="116"/>
      <c r="BH31" s="116"/>
      <c r="BI31" s="116"/>
      <c r="BJ31" s="116"/>
      <c r="BK31" s="116"/>
      <c r="BL31" s="116"/>
      <c r="BM31" s="116"/>
      <c r="BN31" s="116"/>
      <c r="BO31" s="116"/>
      <c r="BP31" s="116"/>
      <c r="BQ31" s="116"/>
    </row>
    <row r="32" spans="2:69" ht="12" customHeight="1" x14ac:dyDescent="0.2">
      <c r="B32" s="2" t="s">
        <v>25</v>
      </c>
      <c r="C32" s="87">
        <f t="shared" si="9"/>
        <v>27.3</v>
      </c>
      <c r="D32" s="87">
        <f t="shared" si="9"/>
        <v>19.600000000000001</v>
      </c>
      <c r="E32" s="87">
        <f t="shared" si="9"/>
        <v>19.100000000000001</v>
      </c>
      <c r="F32" s="87">
        <f t="shared" si="9"/>
        <v>15.2</v>
      </c>
      <c r="G32" s="87">
        <f t="shared" si="9"/>
        <v>10.6</v>
      </c>
      <c r="H32" s="87">
        <f t="shared" si="9"/>
        <v>91.9</v>
      </c>
      <c r="I32" s="66">
        <f t="shared" si="4"/>
        <v>2316</v>
      </c>
      <c r="J32" s="87">
        <f t="shared" si="10"/>
        <v>19.899999999999999</v>
      </c>
      <c r="K32" s="87">
        <f t="shared" si="10"/>
        <v>20.399999999999999</v>
      </c>
      <c r="L32" s="87">
        <f t="shared" si="10"/>
        <v>21</v>
      </c>
      <c r="M32" s="87">
        <f t="shared" si="10"/>
        <v>17.7</v>
      </c>
      <c r="N32" s="87">
        <f t="shared" si="10"/>
        <v>12.7</v>
      </c>
      <c r="O32" s="87">
        <f t="shared" si="10"/>
        <v>91.8</v>
      </c>
      <c r="P32" s="66">
        <f t="shared" si="6"/>
        <v>4283</v>
      </c>
      <c r="Q32" s="87">
        <f t="shared" si="11"/>
        <v>22.5</v>
      </c>
      <c r="R32" s="87">
        <f t="shared" si="11"/>
        <v>20.100000000000001</v>
      </c>
      <c r="S32" s="87">
        <f t="shared" si="11"/>
        <v>20.399999999999999</v>
      </c>
      <c r="T32" s="87">
        <f t="shared" si="11"/>
        <v>16.8</v>
      </c>
      <c r="U32" s="87">
        <f t="shared" si="11"/>
        <v>12</v>
      </c>
      <c r="V32" s="87">
        <f t="shared" si="11"/>
        <v>91.8</v>
      </c>
      <c r="W32" s="66">
        <f t="shared" si="8"/>
        <v>6599</v>
      </c>
      <c r="Y32" s="105"/>
      <c r="Z32" s="113"/>
      <c r="AA32" s="113"/>
      <c r="AB32" s="113"/>
      <c r="AC32" s="113"/>
      <c r="AD32" s="113"/>
      <c r="AE32" s="113"/>
      <c r="AF32" s="114"/>
      <c r="AG32" s="113"/>
      <c r="AH32" s="113"/>
      <c r="AI32" s="113"/>
      <c r="AJ32" s="113"/>
      <c r="AK32" s="113"/>
      <c r="AL32" s="113"/>
      <c r="AM32" s="114"/>
      <c r="AN32" s="113"/>
      <c r="AO32" s="113"/>
      <c r="AP32" s="113"/>
      <c r="AQ32" s="113"/>
      <c r="AR32" s="113"/>
      <c r="AS32" s="113"/>
      <c r="AT32" s="115"/>
      <c r="AV32" s="109"/>
      <c r="AW32" s="116"/>
      <c r="AX32" s="116"/>
      <c r="AY32" s="116"/>
      <c r="AZ32" s="116"/>
      <c r="BA32" s="116"/>
      <c r="BB32" s="116"/>
      <c r="BC32" s="116"/>
      <c r="BD32" s="116"/>
      <c r="BE32" s="116"/>
      <c r="BF32" s="116"/>
      <c r="BG32" s="116"/>
      <c r="BH32" s="116"/>
      <c r="BI32" s="116"/>
      <c r="BJ32" s="116"/>
      <c r="BK32" s="116"/>
      <c r="BL32" s="116"/>
      <c r="BM32" s="116"/>
      <c r="BN32" s="116"/>
      <c r="BO32" s="116"/>
      <c r="BP32" s="116"/>
      <c r="BQ32" s="116"/>
    </row>
    <row r="33" spans="2:69" ht="12" customHeight="1" x14ac:dyDescent="0.2">
      <c r="B33" s="2" t="s">
        <v>26</v>
      </c>
      <c r="C33" s="87">
        <f t="shared" si="9"/>
        <v>24.1</v>
      </c>
      <c r="D33" s="87">
        <f t="shared" si="9"/>
        <v>19.600000000000001</v>
      </c>
      <c r="E33" s="87">
        <f t="shared" si="9"/>
        <v>19.8</v>
      </c>
      <c r="F33" s="87">
        <f t="shared" si="9"/>
        <v>16.3</v>
      </c>
      <c r="G33" s="87">
        <f t="shared" si="9"/>
        <v>11.6</v>
      </c>
      <c r="H33" s="87">
        <f t="shared" si="9"/>
        <v>91.4</v>
      </c>
      <c r="I33" s="66">
        <f t="shared" si="4"/>
        <v>1589</v>
      </c>
      <c r="J33" s="87">
        <f t="shared" si="10"/>
        <v>19.3</v>
      </c>
      <c r="K33" s="87">
        <f t="shared" si="10"/>
        <v>18.3</v>
      </c>
      <c r="L33" s="87">
        <f t="shared" si="10"/>
        <v>21.3</v>
      </c>
      <c r="M33" s="87">
        <f t="shared" si="10"/>
        <v>18.5</v>
      </c>
      <c r="N33" s="87">
        <f t="shared" si="10"/>
        <v>12.5</v>
      </c>
      <c r="O33" s="87">
        <f t="shared" si="10"/>
        <v>89.8</v>
      </c>
      <c r="P33" s="66">
        <f t="shared" si="6"/>
        <v>4158</v>
      </c>
      <c r="Q33" s="87">
        <f t="shared" si="11"/>
        <v>20.6</v>
      </c>
      <c r="R33" s="87">
        <f t="shared" si="11"/>
        <v>18.600000000000001</v>
      </c>
      <c r="S33" s="87">
        <f t="shared" si="11"/>
        <v>20.9</v>
      </c>
      <c r="T33" s="87">
        <f t="shared" si="11"/>
        <v>17.899999999999999</v>
      </c>
      <c r="U33" s="87">
        <f t="shared" si="11"/>
        <v>12.2</v>
      </c>
      <c r="V33" s="87">
        <f t="shared" si="11"/>
        <v>90.2</v>
      </c>
      <c r="W33" s="66">
        <f t="shared" si="8"/>
        <v>5747</v>
      </c>
      <c r="Y33" s="105"/>
      <c r="Z33" s="113"/>
      <c r="AA33" s="113"/>
      <c r="AB33" s="113"/>
      <c r="AC33" s="113"/>
      <c r="AD33" s="113"/>
      <c r="AE33" s="113"/>
      <c r="AF33" s="114"/>
      <c r="AG33" s="113"/>
      <c r="AH33" s="113"/>
      <c r="AI33" s="113"/>
      <c r="AJ33" s="113"/>
      <c r="AK33" s="113"/>
      <c r="AL33" s="113"/>
      <c r="AM33" s="114"/>
      <c r="AN33" s="113"/>
      <c r="AO33" s="113"/>
      <c r="AP33" s="113"/>
      <c r="AQ33" s="113"/>
      <c r="AR33" s="113"/>
      <c r="AS33" s="113"/>
      <c r="AT33" s="115"/>
      <c r="AV33" s="109"/>
      <c r="AW33" s="116"/>
      <c r="AX33" s="116"/>
      <c r="AY33" s="116"/>
      <c r="AZ33" s="116"/>
      <c r="BA33" s="116"/>
      <c r="BB33" s="116"/>
      <c r="BC33" s="116"/>
      <c r="BD33" s="116"/>
      <c r="BE33" s="116"/>
      <c r="BF33" s="116"/>
      <c r="BG33" s="116"/>
      <c r="BH33" s="116"/>
      <c r="BI33" s="116"/>
      <c r="BJ33" s="116"/>
      <c r="BK33" s="116"/>
      <c r="BL33" s="116"/>
      <c r="BM33" s="116"/>
      <c r="BN33" s="116"/>
      <c r="BO33" s="116"/>
      <c r="BP33" s="116"/>
      <c r="BQ33" s="116"/>
    </row>
    <row r="34" spans="2:69" ht="12" customHeight="1" x14ac:dyDescent="0.2">
      <c r="B34" s="2" t="s">
        <v>27</v>
      </c>
      <c r="C34" s="87">
        <f t="shared" si="9"/>
        <v>43.4</v>
      </c>
      <c r="D34" s="87">
        <f t="shared" si="9"/>
        <v>28</v>
      </c>
      <c r="E34" s="87">
        <f t="shared" si="9"/>
        <v>12.5</v>
      </c>
      <c r="F34" s="87">
        <f t="shared" si="9"/>
        <v>5.9</v>
      </c>
      <c r="G34" s="87">
        <f t="shared" si="9"/>
        <v>4.3</v>
      </c>
      <c r="H34" s="87">
        <f t="shared" si="9"/>
        <v>94</v>
      </c>
      <c r="I34" s="66">
        <f t="shared" si="4"/>
        <v>1361</v>
      </c>
      <c r="J34" s="87">
        <f t="shared" si="10"/>
        <v>44.4</v>
      </c>
      <c r="K34" s="87">
        <f t="shared" si="10"/>
        <v>24.2</v>
      </c>
      <c r="L34" s="87">
        <f t="shared" si="10"/>
        <v>10.9</v>
      </c>
      <c r="M34" s="87">
        <f t="shared" si="10"/>
        <v>8.1999999999999993</v>
      </c>
      <c r="N34" s="87">
        <f t="shared" si="10"/>
        <v>5.9</v>
      </c>
      <c r="O34" s="87">
        <f t="shared" si="10"/>
        <v>93.6</v>
      </c>
      <c r="P34" s="66">
        <f t="shared" si="6"/>
        <v>1993</v>
      </c>
      <c r="Q34" s="87">
        <f t="shared" si="11"/>
        <v>43.9</v>
      </c>
      <c r="R34" s="87">
        <f t="shared" si="11"/>
        <v>25.8</v>
      </c>
      <c r="S34" s="87">
        <f t="shared" si="11"/>
        <v>11.5</v>
      </c>
      <c r="T34" s="87">
        <f t="shared" si="11"/>
        <v>7.3</v>
      </c>
      <c r="U34" s="87">
        <f t="shared" si="11"/>
        <v>5.2</v>
      </c>
      <c r="V34" s="87">
        <f t="shared" si="11"/>
        <v>93.8</v>
      </c>
      <c r="W34" s="66">
        <f t="shared" si="8"/>
        <v>3354</v>
      </c>
      <c r="Y34" s="105"/>
      <c r="Z34" s="113"/>
      <c r="AA34" s="113"/>
      <c r="AB34" s="113"/>
      <c r="AC34" s="113"/>
      <c r="AD34" s="113"/>
      <c r="AE34" s="113"/>
      <c r="AF34" s="114"/>
      <c r="AG34" s="113"/>
      <c r="AH34" s="113"/>
      <c r="AI34" s="113"/>
      <c r="AJ34" s="113"/>
      <c r="AK34" s="113"/>
      <c r="AL34" s="113"/>
      <c r="AM34" s="114"/>
      <c r="AN34" s="113"/>
      <c r="AO34" s="113"/>
      <c r="AP34" s="113"/>
      <c r="AQ34" s="113"/>
      <c r="AR34" s="113"/>
      <c r="AS34" s="113"/>
      <c r="AT34" s="115"/>
      <c r="AV34" s="109"/>
      <c r="AW34" s="116"/>
      <c r="AX34" s="116"/>
      <c r="AY34" s="116"/>
      <c r="AZ34" s="116"/>
      <c r="BA34" s="116"/>
      <c r="BB34" s="116"/>
      <c r="BC34" s="116"/>
      <c r="BD34" s="116"/>
      <c r="BE34" s="116"/>
      <c r="BF34" s="116"/>
      <c r="BG34" s="116"/>
      <c r="BH34" s="116"/>
      <c r="BI34" s="116"/>
      <c r="BJ34" s="116"/>
      <c r="BK34" s="116"/>
      <c r="BL34" s="116"/>
      <c r="BM34" s="116"/>
      <c r="BN34" s="116"/>
      <c r="BO34" s="116"/>
      <c r="BP34" s="116"/>
      <c r="BQ34" s="116"/>
    </row>
    <row r="35" spans="2:69" ht="12" customHeight="1" x14ac:dyDescent="0.2">
      <c r="B35" s="2" t="s">
        <v>28</v>
      </c>
      <c r="C35" s="87">
        <f t="shared" si="9"/>
        <v>28.2</v>
      </c>
      <c r="D35" s="87">
        <f t="shared" si="9"/>
        <v>20.3</v>
      </c>
      <c r="E35" s="87">
        <f t="shared" si="9"/>
        <v>19.8</v>
      </c>
      <c r="F35" s="87">
        <f t="shared" si="9"/>
        <v>15.2</v>
      </c>
      <c r="G35" s="87">
        <f t="shared" si="9"/>
        <v>10</v>
      </c>
      <c r="H35" s="87">
        <f t="shared" si="9"/>
        <v>93.4</v>
      </c>
      <c r="I35" s="66">
        <f t="shared" si="4"/>
        <v>2409</v>
      </c>
      <c r="J35" s="87">
        <f t="shared" si="10"/>
        <v>32.6</v>
      </c>
      <c r="K35" s="87">
        <f t="shared" si="10"/>
        <v>23.4</v>
      </c>
      <c r="L35" s="87">
        <f t="shared" si="10"/>
        <v>21.7</v>
      </c>
      <c r="M35" s="87">
        <f t="shared" si="10"/>
        <v>12.4</v>
      </c>
      <c r="N35" s="87">
        <f t="shared" si="10"/>
        <v>5.7</v>
      </c>
      <c r="O35" s="87">
        <f t="shared" si="10"/>
        <v>95.9</v>
      </c>
      <c r="P35" s="66">
        <f t="shared" si="6"/>
        <v>3324</v>
      </c>
      <c r="Q35" s="87">
        <f t="shared" si="11"/>
        <v>30.8</v>
      </c>
      <c r="R35" s="87">
        <f t="shared" si="11"/>
        <v>22.1</v>
      </c>
      <c r="S35" s="87">
        <f t="shared" si="11"/>
        <v>20.9</v>
      </c>
      <c r="T35" s="87">
        <f t="shared" si="11"/>
        <v>13.6</v>
      </c>
      <c r="U35" s="87">
        <f t="shared" si="11"/>
        <v>7.5</v>
      </c>
      <c r="V35" s="87">
        <f t="shared" si="11"/>
        <v>94.9</v>
      </c>
      <c r="W35" s="66">
        <f t="shared" si="8"/>
        <v>5733</v>
      </c>
      <c r="Y35" s="105"/>
      <c r="Z35" s="113"/>
      <c r="AA35" s="113"/>
      <c r="AB35" s="113"/>
      <c r="AC35" s="113"/>
      <c r="AD35" s="113"/>
      <c r="AE35" s="113"/>
      <c r="AF35" s="114"/>
      <c r="AG35" s="113"/>
      <c r="AH35" s="113"/>
      <c r="AI35" s="113"/>
      <c r="AJ35" s="113"/>
      <c r="AK35" s="113"/>
      <c r="AL35" s="113"/>
      <c r="AM35" s="114"/>
      <c r="AN35" s="113"/>
      <c r="AO35" s="113"/>
      <c r="AP35" s="113"/>
      <c r="AQ35" s="113"/>
      <c r="AR35" s="113"/>
      <c r="AS35" s="113"/>
      <c r="AT35" s="115"/>
      <c r="AV35" s="109"/>
      <c r="AW35" s="116"/>
      <c r="AX35" s="116"/>
      <c r="AY35" s="116"/>
      <c r="AZ35" s="116"/>
      <c r="BA35" s="116"/>
      <c r="BB35" s="116"/>
      <c r="BC35" s="116"/>
      <c r="BD35" s="116"/>
      <c r="BE35" s="116"/>
      <c r="BF35" s="116"/>
      <c r="BG35" s="116"/>
      <c r="BH35" s="116"/>
      <c r="BI35" s="116"/>
      <c r="BJ35" s="116"/>
      <c r="BK35" s="116"/>
      <c r="BL35" s="116"/>
      <c r="BM35" s="116"/>
      <c r="BN35" s="116"/>
      <c r="BO35" s="116"/>
      <c r="BP35" s="116"/>
      <c r="BQ35" s="116"/>
    </row>
    <row r="36" spans="2:69" ht="12" customHeight="1" x14ac:dyDescent="0.2">
      <c r="B36" s="2" t="s">
        <v>29</v>
      </c>
      <c r="C36" s="87">
        <f t="shared" si="9"/>
        <v>18.899999999999999</v>
      </c>
      <c r="D36" s="87">
        <f t="shared" si="9"/>
        <v>20.6</v>
      </c>
      <c r="E36" s="87">
        <f t="shared" si="9"/>
        <v>21.3</v>
      </c>
      <c r="F36" s="87">
        <f t="shared" si="9"/>
        <v>16.8</v>
      </c>
      <c r="G36" s="87">
        <f t="shared" si="9"/>
        <v>11.1</v>
      </c>
      <c r="H36" s="87">
        <f t="shared" si="9"/>
        <v>88.7</v>
      </c>
      <c r="I36" s="66">
        <f t="shared" si="4"/>
        <v>5112</v>
      </c>
      <c r="J36" s="87">
        <f t="shared" si="10"/>
        <v>22.7</v>
      </c>
      <c r="K36" s="87">
        <f t="shared" si="10"/>
        <v>23</v>
      </c>
      <c r="L36" s="87">
        <f t="shared" si="10"/>
        <v>21.3</v>
      </c>
      <c r="M36" s="87">
        <f t="shared" si="10"/>
        <v>15.4</v>
      </c>
      <c r="N36" s="87">
        <f t="shared" si="10"/>
        <v>10</v>
      </c>
      <c r="O36" s="87">
        <f t="shared" si="10"/>
        <v>92.4</v>
      </c>
      <c r="P36" s="66">
        <f t="shared" si="6"/>
        <v>11194</v>
      </c>
      <c r="Q36" s="87">
        <f t="shared" si="11"/>
        <v>21.5</v>
      </c>
      <c r="R36" s="87">
        <f t="shared" si="11"/>
        <v>22.2</v>
      </c>
      <c r="S36" s="87">
        <f t="shared" si="11"/>
        <v>21.3</v>
      </c>
      <c r="T36" s="87">
        <f t="shared" si="11"/>
        <v>15.8</v>
      </c>
      <c r="U36" s="87">
        <f t="shared" si="11"/>
        <v>10.3</v>
      </c>
      <c r="V36" s="87">
        <f t="shared" si="11"/>
        <v>91.2</v>
      </c>
      <c r="W36" s="66">
        <f t="shared" si="8"/>
        <v>16306</v>
      </c>
      <c r="Y36" s="105"/>
      <c r="Z36" s="113"/>
      <c r="AA36" s="113"/>
      <c r="AB36" s="113"/>
      <c r="AC36" s="113"/>
      <c r="AD36" s="113"/>
      <c r="AE36" s="113"/>
      <c r="AF36" s="114"/>
      <c r="AG36" s="113"/>
      <c r="AH36" s="113"/>
      <c r="AI36" s="113"/>
      <c r="AJ36" s="113"/>
      <c r="AK36" s="113"/>
      <c r="AL36" s="113"/>
      <c r="AM36" s="114"/>
      <c r="AN36" s="113"/>
      <c r="AO36" s="113"/>
      <c r="AP36" s="113"/>
      <c r="AQ36" s="113"/>
      <c r="AR36" s="113"/>
      <c r="AS36" s="113"/>
      <c r="AT36" s="115"/>
      <c r="AV36" s="109"/>
      <c r="AW36" s="116"/>
      <c r="AX36" s="116"/>
      <c r="AY36" s="116"/>
      <c r="AZ36" s="116"/>
      <c r="BA36" s="116"/>
      <c r="BB36" s="116"/>
      <c r="BC36" s="116"/>
      <c r="BD36" s="116"/>
      <c r="BE36" s="116"/>
      <c r="BF36" s="116"/>
      <c r="BG36" s="116"/>
      <c r="BH36" s="116"/>
      <c r="BI36" s="116"/>
      <c r="BJ36" s="116"/>
      <c r="BK36" s="116"/>
      <c r="BL36" s="116"/>
      <c r="BM36" s="116"/>
      <c r="BN36" s="116"/>
      <c r="BO36" s="116"/>
      <c r="BP36" s="116"/>
      <c r="BQ36" s="116"/>
    </row>
    <row r="37" spans="2:69" ht="12" customHeight="1" x14ac:dyDescent="0.2">
      <c r="B37" s="2" t="s">
        <v>30</v>
      </c>
      <c r="C37" s="87">
        <f t="shared" si="9"/>
        <v>11.5</v>
      </c>
      <c r="D37" s="87">
        <f t="shared" si="9"/>
        <v>14.6</v>
      </c>
      <c r="E37" s="87">
        <f t="shared" si="9"/>
        <v>21.4</v>
      </c>
      <c r="F37" s="87">
        <f t="shared" si="9"/>
        <v>22.4</v>
      </c>
      <c r="G37" s="87">
        <f t="shared" si="9"/>
        <v>16.600000000000001</v>
      </c>
      <c r="H37" s="87">
        <f t="shared" si="9"/>
        <v>86.6</v>
      </c>
      <c r="I37" s="66">
        <f t="shared" si="4"/>
        <v>6511</v>
      </c>
      <c r="J37" s="87">
        <f t="shared" si="10"/>
        <v>18.2</v>
      </c>
      <c r="K37" s="87">
        <f t="shared" si="10"/>
        <v>20.3</v>
      </c>
      <c r="L37" s="87">
        <f t="shared" si="10"/>
        <v>22</v>
      </c>
      <c r="M37" s="87">
        <f t="shared" si="10"/>
        <v>19.5</v>
      </c>
      <c r="N37" s="87">
        <f t="shared" si="10"/>
        <v>12.7</v>
      </c>
      <c r="O37" s="87">
        <f t="shared" si="10"/>
        <v>92.7</v>
      </c>
      <c r="P37" s="66">
        <f t="shared" si="6"/>
        <v>4752</v>
      </c>
      <c r="Q37" s="87">
        <f t="shared" si="11"/>
        <v>14.4</v>
      </c>
      <c r="R37" s="87">
        <f t="shared" si="11"/>
        <v>17</v>
      </c>
      <c r="S37" s="87">
        <f t="shared" si="11"/>
        <v>21.6</v>
      </c>
      <c r="T37" s="87">
        <f t="shared" si="11"/>
        <v>21.2</v>
      </c>
      <c r="U37" s="87">
        <f t="shared" si="11"/>
        <v>15</v>
      </c>
      <c r="V37" s="87">
        <f t="shared" si="11"/>
        <v>89.2</v>
      </c>
      <c r="W37" s="66">
        <f t="shared" si="8"/>
        <v>11263</v>
      </c>
      <c r="Y37" s="105"/>
      <c r="Z37" s="113"/>
      <c r="AA37" s="113"/>
      <c r="AB37" s="113"/>
      <c r="AC37" s="113"/>
      <c r="AD37" s="113"/>
      <c r="AE37" s="113"/>
      <c r="AF37" s="114"/>
      <c r="AG37" s="113"/>
      <c r="AH37" s="113"/>
      <c r="AI37" s="113"/>
      <c r="AJ37" s="113"/>
      <c r="AK37" s="113"/>
      <c r="AL37" s="113"/>
      <c r="AM37" s="114"/>
      <c r="AN37" s="113"/>
      <c r="AO37" s="113"/>
      <c r="AP37" s="113"/>
      <c r="AQ37" s="113"/>
      <c r="AR37" s="113"/>
      <c r="AS37" s="113"/>
      <c r="AT37" s="115"/>
      <c r="AV37" s="109"/>
      <c r="AW37" s="116"/>
      <c r="AX37" s="116"/>
      <c r="AY37" s="116"/>
      <c r="AZ37" s="116"/>
      <c r="BA37" s="116"/>
      <c r="BB37" s="116"/>
      <c r="BC37" s="116"/>
      <c r="BD37" s="116"/>
      <c r="BE37" s="116"/>
      <c r="BF37" s="116"/>
      <c r="BG37" s="116"/>
      <c r="BH37" s="116"/>
      <c r="BI37" s="116"/>
      <c r="BJ37" s="116"/>
      <c r="BK37" s="116"/>
      <c r="BL37" s="116"/>
      <c r="BM37" s="116"/>
      <c r="BN37" s="116"/>
      <c r="BO37" s="116"/>
      <c r="BP37" s="116"/>
      <c r="BQ37" s="116"/>
    </row>
    <row r="38" spans="2:69" ht="12" customHeight="1" x14ac:dyDescent="0.2">
      <c r="B38" s="2" t="s">
        <v>31</v>
      </c>
      <c r="C38" s="87">
        <f t="shared" si="9"/>
        <v>7.5</v>
      </c>
      <c r="D38" s="87">
        <f t="shared" si="9"/>
        <v>13.3</v>
      </c>
      <c r="E38" s="87">
        <f t="shared" si="9"/>
        <v>20.2</v>
      </c>
      <c r="F38" s="87">
        <f t="shared" si="9"/>
        <v>22.5</v>
      </c>
      <c r="G38" s="87">
        <f t="shared" si="9"/>
        <v>20.399999999999999</v>
      </c>
      <c r="H38" s="87">
        <f t="shared" si="9"/>
        <v>83.9</v>
      </c>
      <c r="I38" s="66">
        <f t="shared" si="4"/>
        <v>14849</v>
      </c>
      <c r="J38" s="87">
        <f t="shared" si="10"/>
        <v>16.5</v>
      </c>
      <c r="K38" s="87">
        <f t="shared" si="10"/>
        <v>18.2</v>
      </c>
      <c r="L38" s="87">
        <f t="shared" si="10"/>
        <v>20.9</v>
      </c>
      <c r="M38" s="87">
        <f t="shared" si="10"/>
        <v>19.100000000000001</v>
      </c>
      <c r="N38" s="87">
        <f t="shared" si="10"/>
        <v>14.7</v>
      </c>
      <c r="O38" s="87">
        <f t="shared" si="10"/>
        <v>89.4</v>
      </c>
      <c r="P38" s="66">
        <f t="shared" si="6"/>
        <v>10781</v>
      </c>
      <c r="Q38" s="87">
        <f t="shared" si="11"/>
        <v>11.3</v>
      </c>
      <c r="R38" s="87">
        <f t="shared" si="11"/>
        <v>15.4</v>
      </c>
      <c r="S38" s="87">
        <f t="shared" si="11"/>
        <v>20.5</v>
      </c>
      <c r="T38" s="87">
        <f t="shared" si="11"/>
        <v>21.1</v>
      </c>
      <c r="U38" s="87">
        <f t="shared" si="11"/>
        <v>18</v>
      </c>
      <c r="V38" s="87">
        <f t="shared" si="11"/>
        <v>86.2</v>
      </c>
      <c r="W38" s="66">
        <f t="shared" si="8"/>
        <v>25630</v>
      </c>
      <c r="Y38" s="105"/>
      <c r="Z38" s="113"/>
      <c r="AA38" s="113"/>
      <c r="AB38" s="113"/>
      <c r="AC38" s="113"/>
      <c r="AD38" s="113"/>
      <c r="AE38" s="113"/>
      <c r="AF38" s="114"/>
      <c r="AG38" s="113"/>
      <c r="AH38" s="113"/>
      <c r="AI38" s="113"/>
      <c r="AJ38" s="113"/>
      <c r="AK38" s="113"/>
      <c r="AL38" s="113"/>
      <c r="AM38" s="114"/>
      <c r="AN38" s="113"/>
      <c r="AO38" s="113"/>
      <c r="AP38" s="113"/>
      <c r="AQ38" s="113"/>
      <c r="AR38" s="113"/>
      <c r="AS38" s="113"/>
      <c r="AT38" s="115"/>
      <c r="AV38" s="109"/>
      <c r="AW38" s="116"/>
      <c r="AX38" s="116"/>
      <c r="AY38" s="116"/>
      <c r="AZ38" s="116"/>
      <c r="BA38" s="116"/>
      <c r="BB38" s="116"/>
      <c r="BC38" s="116"/>
      <c r="BD38" s="116"/>
      <c r="BE38" s="116"/>
      <c r="BF38" s="116"/>
      <c r="BG38" s="116"/>
      <c r="BH38" s="116"/>
      <c r="BI38" s="116"/>
      <c r="BJ38" s="116"/>
      <c r="BK38" s="116"/>
      <c r="BL38" s="116"/>
      <c r="BM38" s="116"/>
      <c r="BN38" s="116"/>
      <c r="BO38" s="116"/>
      <c r="BP38" s="116"/>
      <c r="BQ38" s="116"/>
    </row>
    <row r="39" spans="2:69" ht="12" customHeight="1" x14ac:dyDescent="0.2">
      <c r="B39" s="2" t="s">
        <v>32</v>
      </c>
      <c r="C39" s="87">
        <f t="shared" ref="C39:H40" si="12">IF(OR(C81=1,C81=2),"x",ROUND(C81/$I81*100,1))</f>
        <v>8</v>
      </c>
      <c r="D39" s="87">
        <f t="shared" si="12"/>
        <v>11.5</v>
      </c>
      <c r="E39" s="87">
        <f t="shared" si="12"/>
        <v>16.600000000000001</v>
      </c>
      <c r="F39" s="87">
        <f t="shared" si="12"/>
        <v>19.899999999999999</v>
      </c>
      <c r="G39" s="87">
        <f t="shared" si="12"/>
        <v>19.5</v>
      </c>
      <c r="H39" s="87">
        <f t="shared" si="12"/>
        <v>75.400000000000006</v>
      </c>
      <c r="I39" s="66">
        <f t="shared" si="4"/>
        <v>49951</v>
      </c>
      <c r="J39" s="87">
        <f t="shared" ref="J39:O40" si="13">IF(OR(J81=1,J81=2),"x",ROUND(J81/$P81*100,1))</f>
        <v>9.1</v>
      </c>
      <c r="K39" s="87">
        <f t="shared" si="13"/>
        <v>13</v>
      </c>
      <c r="L39" s="87">
        <f t="shared" si="13"/>
        <v>18.399999999999999</v>
      </c>
      <c r="M39" s="87">
        <f t="shared" si="13"/>
        <v>20.5</v>
      </c>
      <c r="N39" s="87">
        <f t="shared" si="13"/>
        <v>18.399999999999999</v>
      </c>
      <c r="O39" s="87">
        <f t="shared" si="13"/>
        <v>79.400000000000006</v>
      </c>
      <c r="P39" s="66">
        <f t="shared" si="6"/>
        <v>56709</v>
      </c>
      <c r="Q39" s="87">
        <f t="shared" ref="Q39:V40" si="14">IF(OR(Q81=1,Q81=2),"x",ROUND(Q81/$W81*100,1))</f>
        <v>8.5</v>
      </c>
      <c r="R39" s="87">
        <f t="shared" si="14"/>
        <v>12.3</v>
      </c>
      <c r="S39" s="87">
        <f t="shared" si="14"/>
        <v>17.5</v>
      </c>
      <c r="T39" s="87">
        <f t="shared" si="14"/>
        <v>20.2</v>
      </c>
      <c r="U39" s="87">
        <f t="shared" si="14"/>
        <v>18.899999999999999</v>
      </c>
      <c r="V39" s="87">
        <f t="shared" si="14"/>
        <v>77.5</v>
      </c>
      <c r="W39" s="66">
        <f t="shared" si="8"/>
        <v>106660</v>
      </c>
      <c r="Y39" s="105"/>
      <c r="Z39" s="113"/>
      <c r="AA39" s="113"/>
      <c r="AB39" s="113"/>
      <c r="AC39" s="113"/>
      <c r="AD39" s="113"/>
      <c r="AE39" s="113"/>
      <c r="AF39" s="114"/>
      <c r="AG39" s="113"/>
      <c r="AH39" s="113"/>
      <c r="AI39" s="113"/>
      <c r="AJ39" s="113"/>
      <c r="AK39" s="113"/>
      <c r="AL39" s="113"/>
      <c r="AM39" s="114"/>
      <c r="AN39" s="113"/>
      <c r="AO39" s="113"/>
      <c r="AP39" s="113"/>
      <c r="AQ39" s="113"/>
      <c r="AR39" s="113"/>
      <c r="AS39" s="113"/>
      <c r="AT39" s="115"/>
      <c r="AV39" s="109"/>
      <c r="AW39" s="116"/>
      <c r="AX39" s="116"/>
      <c r="AY39" s="116"/>
      <c r="AZ39" s="116"/>
      <c r="BA39" s="116"/>
      <c r="BB39" s="116"/>
      <c r="BC39" s="116"/>
      <c r="BD39" s="116"/>
      <c r="BE39" s="116"/>
      <c r="BF39" s="116"/>
      <c r="BG39" s="116"/>
      <c r="BH39" s="116"/>
      <c r="BI39" s="116"/>
      <c r="BJ39" s="116"/>
      <c r="BK39" s="116"/>
      <c r="BL39" s="116"/>
      <c r="BM39" s="116"/>
      <c r="BN39" s="116"/>
      <c r="BO39" s="116"/>
      <c r="BP39" s="116"/>
      <c r="BQ39" s="116"/>
    </row>
    <row r="40" spans="2:69" ht="12" customHeight="1" x14ac:dyDescent="0.2">
      <c r="B40" s="2" t="s">
        <v>63</v>
      </c>
      <c r="C40" s="87">
        <f t="shared" si="12"/>
        <v>13.5</v>
      </c>
      <c r="D40" s="87">
        <f t="shared" si="12"/>
        <v>15.7</v>
      </c>
      <c r="E40" s="87">
        <f t="shared" si="12"/>
        <v>19.399999999999999</v>
      </c>
      <c r="F40" s="87">
        <f t="shared" si="12"/>
        <v>18.8</v>
      </c>
      <c r="G40" s="87">
        <f t="shared" si="12"/>
        <v>15.4</v>
      </c>
      <c r="H40" s="87">
        <f t="shared" si="12"/>
        <v>82.8</v>
      </c>
      <c r="I40" s="66">
        <f t="shared" si="4"/>
        <v>414047</v>
      </c>
      <c r="J40" s="87">
        <f t="shared" si="13"/>
        <v>16.8</v>
      </c>
      <c r="K40" s="87">
        <f t="shared" si="13"/>
        <v>18.7</v>
      </c>
      <c r="L40" s="87">
        <f t="shared" si="13"/>
        <v>20.9</v>
      </c>
      <c r="M40" s="87">
        <f t="shared" si="13"/>
        <v>18</v>
      </c>
      <c r="N40" s="87">
        <f t="shared" si="13"/>
        <v>13</v>
      </c>
      <c r="O40" s="87">
        <f t="shared" si="13"/>
        <v>87.4</v>
      </c>
      <c r="P40" s="66">
        <f t="shared" si="6"/>
        <v>492982</v>
      </c>
      <c r="Q40" s="87">
        <f t="shared" si="14"/>
        <v>15.3</v>
      </c>
      <c r="R40" s="87">
        <f t="shared" si="14"/>
        <v>17.3</v>
      </c>
      <c r="S40" s="87">
        <f t="shared" si="14"/>
        <v>20.2</v>
      </c>
      <c r="T40" s="87">
        <f t="shared" si="14"/>
        <v>18.3</v>
      </c>
      <c r="U40" s="87">
        <f t="shared" si="14"/>
        <v>14.1</v>
      </c>
      <c r="V40" s="87">
        <f t="shared" si="14"/>
        <v>85.3</v>
      </c>
      <c r="W40" s="66">
        <f t="shared" si="8"/>
        <v>907029</v>
      </c>
      <c r="Y40" s="105"/>
      <c r="Z40" s="113"/>
      <c r="AA40" s="113"/>
      <c r="AB40" s="113"/>
      <c r="AC40" s="113"/>
      <c r="AD40" s="113"/>
      <c r="AE40" s="113"/>
      <c r="AF40" s="114"/>
      <c r="AG40" s="113"/>
      <c r="AH40" s="113"/>
      <c r="AI40" s="113"/>
      <c r="AJ40" s="113"/>
      <c r="AK40" s="113"/>
      <c r="AL40" s="113"/>
      <c r="AM40" s="114"/>
      <c r="AN40" s="113"/>
      <c r="AO40" s="113"/>
      <c r="AP40" s="113"/>
      <c r="AQ40" s="113"/>
      <c r="AR40" s="113"/>
      <c r="AS40" s="113"/>
      <c r="AT40" s="115"/>
      <c r="AV40" s="109"/>
      <c r="AW40" s="116"/>
      <c r="AX40" s="116"/>
      <c r="AY40" s="116"/>
      <c r="AZ40" s="116"/>
      <c r="BA40" s="116"/>
      <c r="BB40" s="116"/>
      <c r="BC40" s="116"/>
      <c r="BD40" s="116"/>
      <c r="BE40" s="116"/>
      <c r="BF40" s="116"/>
      <c r="BG40" s="116"/>
      <c r="BH40" s="116"/>
      <c r="BI40" s="116"/>
      <c r="BJ40" s="116"/>
      <c r="BK40" s="116"/>
      <c r="BL40" s="116"/>
      <c r="BM40" s="116"/>
      <c r="BN40" s="116"/>
      <c r="BO40" s="116"/>
      <c r="BP40" s="116"/>
      <c r="BQ40" s="116"/>
    </row>
    <row r="41" spans="2:69" ht="12" customHeight="1" x14ac:dyDescent="0.2">
      <c r="B41" s="2"/>
      <c r="C41" s="22"/>
      <c r="D41" s="22"/>
      <c r="E41" s="22"/>
      <c r="F41" s="22"/>
      <c r="G41" s="22"/>
      <c r="H41" s="22"/>
      <c r="I41" s="23"/>
      <c r="J41" s="22"/>
      <c r="K41" s="22"/>
      <c r="L41" s="22"/>
      <c r="M41" s="22"/>
      <c r="N41" s="22"/>
      <c r="O41" s="22"/>
      <c r="P41" s="23"/>
      <c r="Q41" s="22"/>
      <c r="R41" s="22"/>
      <c r="S41" s="22"/>
      <c r="T41" s="22"/>
      <c r="U41" s="22"/>
      <c r="V41" s="22"/>
      <c r="W41" s="24"/>
      <c r="Y41" s="105"/>
      <c r="Z41" s="113"/>
      <c r="AA41" s="113"/>
      <c r="AB41" s="113"/>
      <c r="AC41" s="113"/>
      <c r="AD41" s="113"/>
      <c r="AE41" s="113"/>
      <c r="AF41" s="114"/>
      <c r="AG41" s="113"/>
      <c r="AH41" s="113"/>
      <c r="AI41" s="113"/>
      <c r="AJ41" s="113"/>
      <c r="AK41" s="113"/>
      <c r="AL41" s="113"/>
      <c r="AM41" s="114"/>
      <c r="AN41" s="113"/>
      <c r="AO41" s="113"/>
      <c r="AP41" s="113"/>
      <c r="AQ41" s="113"/>
      <c r="AR41" s="113"/>
      <c r="AS41" s="113"/>
      <c r="AT41" s="115"/>
      <c r="AV41" s="109"/>
      <c r="AW41" s="116"/>
      <c r="AX41" s="116"/>
      <c r="AY41" s="116"/>
      <c r="AZ41" s="116"/>
      <c r="BA41" s="116"/>
      <c r="BB41" s="116"/>
      <c r="BC41" s="116"/>
      <c r="BD41" s="116"/>
      <c r="BE41" s="116"/>
      <c r="BF41" s="116"/>
      <c r="BG41" s="116"/>
      <c r="BH41" s="116"/>
      <c r="BI41" s="116"/>
      <c r="BJ41" s="116"/>
      <c r="BK41" s="116"/>
      <c r="BL41" s="116"/>
      <c r="BM41" s="116"/>
      <c r="BN41" s="116"/>
      <c r="BO41" s="116"/>
      <c r="BP41" s="116"/>
      <c r="BQ41" s="116"/>
    </row>
    <row r="42" spans="2:69" ht="12" customHeight="1" x14ac:dyDescent="0.2">
      <c r="B42" s="2"/>
      <c r="C42" s="22"/>
      <c r="D42" s="22"/>
      <c r="E42" s="22"/>
      <c r="F42" s="22"/>
      <c r="G42" s="22"/>
      <c r="H42" s="22"/>
      <c r="I42" s="23"/>
      <c r="J42" s="22"/>
      <c r="K42" s="22"/>
      <c r="L42" s="22"/>
      <c r="M42" s="22"/>
      <c r="N42" s="22"/>
      <c r="O42" s="22"/>
      <c r="P42" s="23"/>
      <c r="Q42" s="22"/>
      <c r="R42" s="22"/>
      <c r="S42" s="22"/>
      <c r="T42" s="22"/>
      <c r="U42" s="22"/>
      <c r="V42" s="22"/>
      <c r="W42" s="24"/>
      <c r="Y42" s="105"/>
      <c r="Z42" s="113"/>
      <c r="AA42" s="113"/>
      <c r="AB42" s="113"/>
      <c r="AC42" s="113"/>
      <c r="AD42" s="113"/>
      <c r="AE42" s="113"/>
      <c r="AF42" s="114"/>
      <c r="AG42" s="113"/>
      <c r="AH42" s="113"/>
      <c r="AI42" s="113"/>
      <c r="AJ42" s="113"/>
      <c r="AK42" s="113"/>
      <c r="AL42" s="113"/>
      <c r="AM42" s="114"/>
      <c r="AN42" s="113"/>
      <c r="AO42" s="113"/>
      <c r="AP42" s="113"/>
      <c r="AQ42" s="113"/>
      <c r="AR42" s="113"/>
      <c r="AS42" s="113"/>
      <c r="AT42" s="115"/>
      <c r="AV42" s="109"/>
      <c r="AW42" s="116"/>
      <c r="AX42" s="116"/>
      <c r="AY42" s="116"/>
      <c r="AZ42" s="116"/>
      <c r="BA42" s="116"/>
      <c r="BB42" s="116"/>
      <c r="BC42" s="116"/>
      <c r="BD42" s="116"/>
      <c r="BE42" s="116"/>
      <c r="BF42" s="116"/>
      <c r="BG42" s="116"/>
      <c r="BH42" s="116"/>
      <c r="BI42" s="116"/>
      <c r="BJ42" s="116"/>
      <c r="BK42" s="116"/>
      <c r="BL42" s="116"/>
      <c r="BM42" s="116"/>
      <c r="BN42" s="116"/>
      <c r="BO42" s="116"/>
      <c r="BP42" s="116"/>
      <c r="BQ42" s="116"/>
    </row>
    <row r="43" spans="2:69" ht="12" customHeight="1" x14ac:dyDescent="0.2">
      <c r="B43" s="2"/>
      <c r="C43" s="22"/>
      <c r="D43" s="22"/>
      <c r="E43" s="22"/>
      <c r="F43" s="22"/>
      <c r="G43" s="22"/>
      <c r="H43" s="22"/>
      <c r="I43" s="23"/>
      <c r="J43" s="22"/>
      <c r="K43" s="22"/>
      <c r="L43" s="22"/>
      <c r="M43" s="22"/>
      <c r="N43" s="22"/>
      <c r="O43" s="22"/>
      <c r="P43" s="23"/>
      <c r="Q43" s="22"/>
      <c r="R43" s="22"/>
      <c r="S43" s="22"/>
      <c r="T43" s="22"/>
      <c r="U43" s="22"/>
      <c r="V43" s="22"/>
      <c r="W43" s="24"/>
      <c r="Y43" s="105"/>
      <c r="Z43" s="113"/>
      <c r="AA43" s="113"/>
      <c r="AB43" s="113"/>
      <c r="AC43" s="113"/>
      <c r="AD43" s="113"/>
      <c r="AE43" s="113"/>
      <c r="AF43" s="114"/>
      <c r="AG43" s="113"/>
      <c r="AH43" s="113"/>
      <c r="AI43" s="113"/>
      <c r="AJ43" s="113"/>
      <c r="AK43" s="113"/>
      <c r="AL43" s="113"/>
      <c r="AM43" s="114"/>
      <c r="AN43" s="113"/>
      <c r="AO43" s="113"/>
      <c r="AP43" s="113"/>
      <c r="AQ43" s="113"/>
      <c r="AR43" s="113"/>
      <c r="AS43" s="113"/>
      <c r="AT43" s="115"/>
      <c r="AV43" s="109"/>
      <c r="AW43" s="116"/>
      <c r="AX43" s="116"/>
      <c r="AY43" s="116"/>
      <c r="AZ43" s="116"/>
      <c r="BA43" s="116"/>
      <c r="BB43" s="116"/>
      <c r="BC43" s="116"/>
      <c r="BD43" s="116"/>
      <c r="BE43" s="116"/>
      <c r="BF43" s="116"/>
      <c r="BG43" s="116"/>
      <c r="BH43" s="116"/>
      <c r="BI43" s="116"/>
      <c r="BJ43" s="116"/>
      <c r="BK43" s="116"/>
      <c r="BL43" s="116"/>
      <c r="BM43" s="116"/>
      <c r="BN43" s="116"/>
      <c r="BO43" s="116"/>
      <c r="BP43" s="116"/>
      <c r="BQ43" s="116"/>
    </row>
    <row r="44" spans="2:69" ht="14.25" customHeight="1" x14ac:dyDescent="0.2">
      <c r="AW44" s="116"/>
      <c r="AX44" s="116"/>
      <c r="AY44" s="116"/>
      <c r="AZ44" s="116"/>
      <c r="BA44" s="116"/>
      <c r="BB44" s="116"/>
      <c r="BC44" s="116"/>
      <c r="BD44" s="116"/>
      <c r="BE44" s="116"/>
      <c r="BF44" s="116"/>
      <c r="BG44" s="116"/>
      <c r="BH44" s="116"/>
      <c r="BI44" s="116"/>
      <c r="BJ44" s="116"/>
      <c r="BK44" s="116"/>
      <c r="BL44" s="116"/>
      <c r="BM44" s="116"/>
      <c r="BN44" s="116"/>
      <c r="BO44" s="116"/>
      <c r="BP44" s="116"/>
      <c r="BQ44" s="116"/>
    </row>
    <row r="45" spans="2:69" ht="14.25" customHeight="1" x14ac:dyDescent="0.2">
      <c r="I45" s="19"/>
      <c r="J45" s="19"/>
      <c r="AW45" s="116"/>
      <c r="AX45" s="116"/>
      <c r="AY45" s="116"/>
      <c r="AZ45" s="116"/>
      <c r="BA45" s="116"/>
      <c r="BB45" s="116"/>
      <c r="BC45" s="116"/>
      <c r="BD45" s="116"/>
      <c r="BE45" s="116"/>
      <c r="BF45" s="116"/>
      <c r="BG45" s="116"/>
      <c r="BH45" s="116"/>
      <c r="BI45" s="116"/>
      <c r="BJ45" s="116"/>
      <c r="BK45" s="116"/>
      <c r="BL45" s="116"/>
      <c r="BM45" s="116"/>
      <c r="BN45" s="116"/>
      <c r="BO45" s="116"/>
      <c r="BP45" s="116"/>
      <c r="BQ45" s="116"/>
    </row>
    <row r="46" spans="2:69" ht="14.25" customHeight="1" x14ac:dyDescent="0.2">
      <c r="B46" s="25"/>
      <c r="C46" s="26" t="s">
        <v>42</v>
      </c>
      <c r="D46" s="25"/>
      <c r="E46" s="25"/>
      <c r="F46" s="25"/>
      <c r="G46" s="25"/>
      <c r="H46" s="25"/>
      <c r="I46" s="25"/>
      <c r="J46" s="26" t="s">
        <v>43</v>
      </c>
      <c r="K46" s="25"/>
      <c r="L46" s="25"/>
      <c r="M46" s="25"/>
      <c r="N46" s="25"/>
      <c r="O46" s="25"/>
      <c r="P46" s="25"/>
      <c r="Q46" s="26" t="s">
        <v>54</v>
      </c>
      <c r="R46" s="25"/>
      <c r="S46" s="25"/>
      <c r="T46" s="25"/>
      <c r="U46" s="25"/>
      <c r="V46" s="25"/>
      <c r="W46" s="25"/>
      <c r="AW46" s="116"/>
      <c r="AX46" s="116"/>
      <c r="AY46" s="116"/>
      <c r="AZ46" s="116"/>
      <c r="BA46" s="116"/>
      <c r="BB46" s="116"/>
      <c r="BC46" s="116"/>
      <c r="BD46" s="116"/>
      <c r="BE46" s="116"/>
      <c r="BF46" s="116"/>
      <c r="BG46" s="116"/>
      <c r="BH46" s="116"/>
      <c r="BI46" s="116"/>
      <c r="BJ46" s="116"/>
      <c r="BK46" s="116"/>
      <c r="BL46" s="116"/>
      <c r="BM46" s="116"/>
      <c r="BN46" s="116"/>
      <c r="BO46" s="116"/>
      <c r="BP46" s="116"/>
      <c r="BQ46" s="116"/>
    </row>
    <row r="47" spans="2:69" ht="14.25" customHeight="1" x14ac:dyDescent="0.2">
      <c r="B47" s="27"/>
      <c r="C47" s="26" t="s">
        <v>33</v>
      </c>
      <c r="D47" s="26" t="s">
        <v>34</v>
      </c>
      <c r="E47" s="26" t="s">
        <v>35</v>
      </c>
      <c r="F47" s="26" t="s">
        <v>36</v>
      </c>
      <c r="G47" s="26" t="s">
        <v>37</v>
      </c>
      <c r="H47" s="26" t="s">
        <v>47</v>
      </c>
      <c r="I47" s="26" t="s">
        <v>58</v>
      </c>
      <c r="J47" s="26" t="s">
        <v>33</v>
      </c>
      <c r="K47" s="26" t="s">
        <v>34</v>
      </c>
      <c r="L47" s="26" t="s">
        <v>35</v>
      </c>
      <c r="M47" s="26" t="s">
        <v>36</v>
      </c>
      <c r="N47" s="26" t="s">
        <v>37</v>
      </c>
      <c r="O47" s="26" t="s">
        <v>47</v>
      </c>
      <c r="P47" s="26" t="s">
        <v>58</v>
      </c>
      <c r="Q47" s="26" t="s">
        <v>33</v>
      </c>
      <c r="R47" s="26" t="s">
        <v>34</v>
      </c>
      <c r="S47" s="26" t="s">
        <v>35</v>
      </c>
      <c r="T47" s="26" t="s">
        <v>36</v>
      </c>
      <c r="U47" s="26" t="s">
        <v>37</v>
      </c>
      <c r="V47" s="27" t="s">
        <v>47</v>
      </c>
      <c r="W47" s="27" t="s">
        <v>58</v>
      </c>
      <c r="AW47" s="116"/>
      <c r="AX47" s="116"/>
      <c r="AY47" s="116"/>
      <c r="AZ47" s="116"/>
      <c r="BA47" s="116"/>
      <c r="BB47" s="116"/>
      <c r="BC47" s="116"/>
      <c r="BD47" s="116"/>
      <c r="BE47" s="116"/>
      <c r="BF47" s="116"/>
      <c r="BG47" s="116"/>
      <c r="BH47" s="116"/>
      <c r="BI47" s="116"/>
      <c r="BJ47" s="116"/>
      <c r="BK47" s="116"/>
      <c r="BL47" s="116"/>
      <c r="BM47" s="116"/>
      <c r="BN47" s="116"/>
      <c r="BO47" s="116"/>
      <c r="BP47" s="116"/>
      <c r="BQ47" s="116"/>
    </row>
    <row r="48" spans="2:69" ht="14.25" customHeight="1" x14ac:dyDescent="0.2">
      <c r="B48" s="26" t="s">
        <v>0</v>
      </c>
      <c r="C48" s="28">
        <v>3090</v>
      </c>
      <c r="D48" s="28">
        <v>3391</v>
      </c>
      <c r="E48" s="28">
        <v>4000</v>
      </c>
      <c r="F48" s="28">
        <v>4093</v>
      </c>
      <c r="G48" s="28">
        <v>3989</v>
      </c>
      <c r="H48" s="28">
        <v>18563</v>
      </c>
      <c r="I48" s="28">
        <v>23633</v>
      </c>
      <c r="J48" s="28">
        <v>5146</v>
      </c>
      <c r="K48" s="28">
        <v>5402</v>
      </c>
      <c r="L48" s="28">
        <v>5827</v>
      </c>
      <c r="M48" s="28">
        <v>5534</v>
      </c>
      <c r="N48" s="28">
        <v>5251</v>
      </c>
      <c r="O48" s="28">
        <v>27160</v>
      </c>
      <c r="P48" s="28">
        <v>33354</v>
      </c>
      <c r="Q48" s="28">
        <v>8236</v>
      </c>
      <c r="R48" s="28">
        <v>8793</v>
      </c>
      <c r="S48" s="28">
        <v>9827</v>
      </c>
      <c r="T48" s="28">
        <v>9627</v>
      </c>
      <c r="U48" s="28">
        <v>9240</v>
      </c>
      <c r="V48" s="28">
        <v>45723</v>
      </c>
      <c r="W48" s="27">
        <v>56987</v>
      </c>
      <c r="AW48" s="116"/>
      <c r="AX48" s="116"/>
      <c r="AY48" s="116"/>
      <c r="AZ48" s="116"/>
      <c r="BA48" s="116"/>
      <c r="BB48" s="116"/>
      <c r="BC48" s="116"/>
      <c r="BD48" s="116"/>
      <c r="BE48" s="116"/>
      <c r="BF48" s="116"/>
      <c r="BG48" s="116"/>
      <c r="BH48" s="116"/>
      <c r="BI48" s="116"/>
      <c r="BJ48" s="116"/>
      <c r="BK48" s="116"/>
      <c r="BL48" s="116"/>
      <c r="BM48" s="116"/>
      <c r="BN48" s="116"/>
      <c r="BO48" s="116"/>
      <c r="BP48" s="116"/>
      <c r="BQ48" s="116"/>
    </row>
    <row r="49" spans="2:23" ht="14.25" customHeight="1" x14ac:dyDescent="0.2">
      <c r="B49" s="26" t="s">
        <v>1</v>
      </c>
      <c r="C49" s="28">
        <v>3577</v>
      </c>
      <c r="D49" s="28">
        <v>3402</v>
      </c>
      <c r="E49" s="28">
        <v>3488</v>
      </c>
      <c r="F49" s="28">
        <v>3282</v>
      </c>
      <c r="G49" s="28">
        <v>3004</v>
      </c>
      <c r="H49" s="28">
        <v>16753</v>
      </c>
      <c r="I49" s="28">
        <v>20322</v>
      </c>
      <c r="J49" s="28">
        <v>3695</v>
      </c>
      <c r="K49" s="28">
        <v>3681</v>
      </c>
      <c r="L49" s="28">
        <v>3555</v>
      </c>
      <c r="M49" s="28">
        <v>3140</v>
      </c>
      <c r="N49" s="28">
        <v>2589</v>
      </c>
      <c r="O49" s="28">
        <v>16660</v>
      </c>
      <c r="P49" s="28">
        <v>19766</v>
      </c>
      <c r="Q49" s="28">
        <v>7272</v>
      </c>
      <c r="R49" s="28">
        <v>7083</v>
      </c>
      <c r="S49" s="28">
        <v>7043</v>
      </c>
      <c r="T49" s="28">
        <v>6422</v>
      </c>
      <c r="U49" s="28">
        <v>5593</v>
      </c>
      <c r="V49" s="28">
        <v>33413</v>
      </c>
      <c r="W49" s="27">
        <v>40088</v>
      </c>
    </row>
    <row r="50" spans="2:23" ht="14.25" customHeight="1" x14ac:dyDescent="0.2">
      <c r="B50" s="26" t="s">
        <v>2</v>
      </c>
      <c r="C50" s="28">
        <v>4036</v>
      </c>
      <c r="D50" s="28">
        <v>3498</v>
      </c>
      <c r="E50" s="28">
        <v>3651</v>
      </c>
      <c r="F50" s="28">
        <v>3592</v>
      </c>
      <c r="G50" s="28">
        <v>3108</v>
      </c>
      <c r="H50" s="28">
        <v>17885</v>
      </c>
      <c r="I50" s="28">
        <v>22154</v>
      </c>
      <c r="J50" s="28">
        <v>1613</v>
      </c>
      <c r="K50" s="28">
        <v>1286</v>
      </c>
      <c r="L50" s="28">
        <v>1253</v>
      </c>
      <c r="M50" s="28">
        <v>1044</v>
      </c>
      <c r="N50" s="28">
        <v>881</v>
      </c>
      <c r="O50" s="28">
        <v>6077</v>
      </c>
      <c r="P50" s="28">
        <v>7048</v>
      </c>
      <c r="Q50" s="28">
        <v>5649</v>
      </c>
      <c r="R50" s="28">
        <v>4784</v>
      </c>
      <c r="S50" s="28">
        <v>4904</v>
      </c>
      <c r="T50" s="28">
        <v>4636</v>
      </c>
      <c r="U50" s="28">
        <v>3989</v>
      </c>
      <c r="V50" s="28">
        <v>23962</v>
      </c>
      <c r="W50" s="27">
        <v>29202</v>
      </c>
    </row>
    <row r="51" spans="2:23" ht="14.25" customHeight="1" x14ac:dyDescent="0.2">
      <c r="B51" s="26" t="s">
        <v>3</v>
      </c>
      <c r="C51" s="28">
        <v>789</v>
      </c>
      <c r="D51" s="28">
        <v>726</v>
      </c>
      <c r="E51" s="28">
        <v>901</v>
      </c>
      <c r="F51" s="28">
        <v>928</v>
      </c>
      <c r="G51" s="28">
        <v>853</v>
      </c>
      <c r="H51" s="28">
        <v>4197</v>
      </c>
      <c r="I51" s="28">
        <v>5153</v>
      </c>
      <c r="J51" s="28">
        <v>327</v>
      </c>
      <c r="K51" s="28">
        <v>412</v>
      </c>
      <c r="L51" s="28">
        <v>455</v>
      </c>
      <c r="M51" s="28">
        <v>441</v>
      </c>
      <c r="N51" s="28">
        <v>365</v>
      </c>
      <c r="O51" s="28">
        <v>2000</v>
      </c>
      <c r="P51" s="28">
        <v>2418</v>
      </c>
      <c r="Q51" s="28">
        <v>1116</v>
      </c>
      <c r="R51" s="28">
        <v>1138</v>
      </c>
      <c r="S51" s="28">
        <v>1356</v>
      </c>
      <c r="T51" s="28">
        <v>1369</v>
      </c>
      <c r="U51" s="28">
        <v>1218</v>
      </c>
      <c r="V51" s="28">
        <v>6197</v>
      </c>
      <c r="W51" s="27">
        <v>7571</v>
      </c>
    </row>
    <row r="52" spans="2:23" ht="14.25" customHeight="1" x14ac:dyDescent="0.2">
      <c r="B52" s="26" t="s">
        <v>4</v>
      </c>
      <c r="C52" s="28">
        <v>7429</v>
      </c>
      <c r="D52" s="28">
        <v>4525</v>
      </c>
      <c r="E52" s="28">
        <v>4538</v>
      </c>
      <c r="F52" s="28">
        <v>4642</v>
      </c>
      <c r="G52" s="28">
        <v>4382</v>
      </c>
      <c r="H52" s="28">
        <v>25516</v>
      </c>
      <c r="I52" s="28">
        <v>32921</v>
      </c>
      <c r="J52" s="28">
        <v>5935</v>
      </c>
      <c r="K52" s="28">
        <v>3663</v>
      </c>
      <c r="L52" s="28">
        <v>3356</v>
      </c>
      <c r="M52" s="28">
        <v>2887</v>
      </c>
      <c r="N52" s="28">
        <v>2593</v>
      </c>
      <c r="O52" s="28">
        <v>18434</v>
      </c>
      <c r="P52" s="28">
        <v>22051</v>
      </c>
      <c r="Q52" s="28">
        <v>13364</v>
      </c>
      <c r="R52" s="28">
        <v>8188</v>
      </c>
      <c r="S52" s="28">
        <v>7894</v>
      </c>
      <c r="T52" s="28">
        <v>7529</v>
      </c>
      <c r="U52" s="28">
        <v>6975</v>
      </c>
      <c r="V52" s="28">
        <v>43950</v>
      </c>
      <c r="W52" s="27">
        <v>54972</v>
      </c>
    </row>
    <row r="53" spans="2:23" ht="14.25" customHeight="1" x14ac:dyDescent="0.2">
      <c r="B53" s="26" t="s">
        <v>5</v>
      </c>
      <c r="C53" s="28">
        <v>846</v>
      </c>
      <c r="D53" s="28">
        <v>374</v>
      </c>
      <c r="E53" s="28">
        <v>323</v>
      </c>
      <c r="F53" s="28">
        <v>290</v>
      </c>
      <c r="G53" s="28">
        <v>170</v>
      </c>
      <c r="H53" s="28">
        <v>2003</v>
      </c>
      <c r="I53" s="28">
        <v>2193</v>
      </c>
      <c r="J53" s="28">
        <v>482</v>
      </c>
      <c r="K53" s="28">
        <v>255</v>
      </c>
      <c r="L53" s="28">
        <v>172</v>
      </c>
      <c r="M53" s="28">
        <v>119</v>
      </c>
      <c r="N53" s="28">
        <v>85</v>
      </c>
      <c r="O53" s="28">
        <v>1113</v>
      </c>
      <c r="P53" s="28">
        <v>1195</v>
      </c>
      <c r="Q53" s="28">
        <v>1328</v>
      </c>
      <c r="R53" s="28">
        <v>629</v>
      </c>
      <c r="S53" s="28">
        <v>495</v>
      </c>
      <c r="T53" s="28">
        <v>409</v>
      </c>
      <c r="U53" s="28">
        <v>255</v>
      </c>
      <c r="V53" s="28">
        <v>3116</v>
      </c>
      <c r="W53" s="27">
        <v>3388</v>
      </c>
    </row>
    <row r="54" spans="2:23" ht="14.25" customHeight="1" x14ac:dyDescent="0.2">
      <c r="B54" s="26" t="s">
        <v>6</v>
      </c>
      <c r="C54" s="28">
        <v>957</v>
      </c>
      <c r="D54" s="28">
        <v>1599</v>
      </c>
      <c r="E54" s="28">
        <v>2353</v>
      </c>
      <c r="F54" s="28">
        <v>2523</v>
      </c>
      <c r="G54" s="28">
        <v>2214</v>
      </c>
      <c r="H54" s="28">
        <v>9646</v>
      </c>
      <c r="I54" s="28">
        <v>11651</v>
      </c>
      <c r="J54" s="28">
        <v>1195</v>
      </c>
      <c r="K54" s="28">
        <v>1514</v>
      </c>
      <c r="L54" s="28">
        <v>1961</v>
      </c>
      <c r="M54" s="28">
        <v>1743</v>
      </c>
      <c r="N54" s="28">
        <v>1097</v>
      </c>
      <c r="O54" s="28">
        <v>7510</v>
      </c>
      <c r="P54" s="28">
        <v>8333</v>
      </c>
      <c r="Q54" s="28">
        <v>2152</v>
      </c>
      <c r="R54" s="28">
        <v>3113</v>
      </c>
      <c r="S54" s="28">
        <v>4314</v>
      </c>
      <c r="T54" s="28">
        <v>4266</v>
      </c>
      <c r="U54" s="28">
        <v>3311</v>
      </c>
      <c r="V54" s="28">
        <v>17156</v>
      </c>
      <c r="W54" s="27">
        <v>19984</v>
      </c>
    </row>
    <row r="55" spans="2:23" ht="14.25" customHeight="1" x14ac:dyDescent="0.2">
      <c r="B55" s="2" t="s">
        <v>168</v>
      </c>
      <c r="C55" s="28">
        <v>765</v>
      </c>
      <c r="D55" s="28">
        <v>1054</v>
      </c>
      <c r="E55" s="28">
        <v>1357</v>
      </c>
      <c r="F55" s="28">
        <v>1400</v>
      </c>
      <c r="G55" s="28">
        <v>1261</v>
      </c>
      <c r="H55" s="28">
        <v>5837</v>
      </c>
      <c r="I55" s="28">
        <v>7585</v>
      </c>
      <c r="J55" s="28">
        <v>73</v>
      </c>
      <c r="K55" s="28">
        <v>100</v>
      </c>
      <c r="L55" s="28">
        <v>111</v>
      </c>
      <c r="M55" s="28">
        <v>143</v>
      </c>
      <c r="N55" s="28">
        <v>138</v>
      </c>
      <c r="O55" s="28">
        <v>565</v>
      </c>
      <c r="P55" s="28">
        <v>769</v>
      </c>
      <c r="Q55" s="28">
        <v>838</v>
      </c>
      <c r="R55" s="28">
        <v>1154</v>
      </c>
      <c r="S55" s="28">
        <v>1468</v>
      </c>
      <c r="T55" s="28">
        <v>1543</v>
      </c>
      <c r="U55" s="28">
        <v>1399</v>
      </c>
      <c r="V55" s="28">
        <v>6402</v>
      </c>
      <c r="W55" s="27">
        <v>8354</v>
      </c>
    </row>
    <row r="56" spans="2:23" ht="14.25" customHeight="1" x14ac:dyDescent="0.2">
      <c r="B56" s="26" t="s">
        <v>8</v>
      </c>
      <c r="C56" s="28">
        <v>494</v>
      </c>
      <c r="D56" s="28">
        <v>1200</v>
      </c>
      <c r="E56" s="28">
        <v>2141</v>
      </c>
      <c r="F56" s="28">
        <v>2884</v>
      </c>
      <c r="G56" s="28">
        <v>2912</v>
      </c>
      <c r="H56" s="28">
        <v>9631</v>
      </c>
      <c r="I56" s="28">
        <v>12595</v>
      </c>
      <c r="J56" s="28">
        <v>394</v>
      </c>
      <c r="K56" s="28">
        <v>902</v>
      </c>
      <c r="L56" s="28">
        <v>1350</v>
      </c>
      <c r="M56" s="28">
        <v>1685</v>
      </c>
      <c r="N56" s="28">
        <v>1487</v>
      </c>
      <c r="O56" s="28">
        <v>5818</v>
      </c>
      <c r="P56" s="28">
        <v>7231</v>
      </c>
      <c r="Q56" s="28">
        <v>888</v>
      </c>
      <c r="R56" s="28">
        <v>2102</v>
      </c>
      <c r="S56" s="28">
        <v>3491</v>
      </c>
      <c r="T56" s="28">
        <v>4569</v>
      </c>
      <c r="U56" s="28">
        <v>4399</v>
      </c>
      <c r="V56" s="28">
        <v>15449</v>
      </c>
      <c r="W56" s="27">
        <v>19826</v>
      </c>
    </row>
    <row r="57" spans="2:23" ht="14.25" customHeight="1" x14ac:dyDescent="0.2">
      <c r="B57" s="26" t="s">
        <v>9</v>
      </c>
      <c r="C57" s="28" t="s">
        <v>79</v>
      </c>
      <c r="D57" s="28" t="s">
        <v>79</v>
      </c>
      <c r="E57" s="28">
        <v>17</v>
      </c>
      <c r="F57" s="28">
        <v>19</v>
      </c>
      <c r="G57" s="28">
        <v>19</v>
      </c>
      <c r="H57" s="28">
        <v>66</v>
      </c>
      <c r="I57" s="28">
        <v>79</v>
      </c>
      <c r="J57" s="28" t="s">
        <v>79</v>
      </c>
      <c r="K57" s="28" t="s">
        <v>79</v>
      </c>
      <c r="L57" s="28">
        <v>109</v>
      </c>
      <c r="M57" s="28">
        <v>87</v>
      </c>
      <c r="N57" s="28">
        <v>69</v>
      </c>
      <c r="O57" s="28">
        <v>404</v>
      </c>
      <c r="P57" s="28">
        <v>442</v>
      </c>
      <c r="Q57" s="28">
        <v>63</v>
      </c>
      <c r="R57" s="28">
        <v>87</v>
      </c>
      <c r="S57" s="28">
        <v>126</v>
      </c>
      <c r="T57" s="28">
        <v>106</v>
      </c>
      <c r="U57" s="28">
        <v>88</v>
      </c>
      <c r="V57" s="28">
        <v>470</v>
      </c>
      <c r="W57" s="27">
        <v>521</v>
      </c>
    </row>
    <row r="58" spans="2:23" ht="14.25" customHeight="1" x14ac:dyDescent="0.2">
      <c r="B58" s="26" t="s">
        <v>10</v>
      </c>
      <c r="C58" s="28" t="s">
        <v>79</v>
      </c>
      <c r="D58" s="28" t="s">
        <v>79</v>
      </c>
      <c r="E58" s="28">
        <v>590</v>
      </c>
      <c r="F58" s="28">
        <v>660</v>
      </c>
      <c r="G58" s="28">
        <v>746</v>
      </c>
      <c r="H58" s="28">
        <v>2650</v>
      </c>
      <c r="I58" s="28">
        <v>3841</v>
      </c>
      <c r="J58" s="28" t="s">
        <v>79</v>
      </c>
      <c r="K58" s="28" t="s">
        <v>79</v>
      </c>
      <c r="L58" s="28">
        <v>356</v>
      </c>
      <c r="M58" s="28">
        <v>402</v>
      </c>
      <c r="N58" s="28">
        <v>465</v>
      </c>
      <c r="O58" s="28">
        <v>1685</v>
      </c>
      <c r="P58" s="28">
        <v>2437</v>
      </c>
      <c r="Q58" s="28">
        <v>411</v>
      </c>
      <c r="R58" s="28">
        <v>705</v>
      </c>
      <c r="S58" s="28">
        <v>946</v>
      </c>
      <c r="T58" s="28">
        <v>1062</v>
      </c>
      <c r="U58" s="28">
        <v>1211</v>
      </c>
      <c r="V58" s="28">
        <v>4335</v>
      </c>
      <c r="W58" s="27">
        <v>6278</v>
      </c>
    </row>
    <row r="59" spans="2:23" ht="14.25" customHeight="1" x14ac:dyDescent="0.2">
      <c r="B59" s="26" t="s">
        <v>11</v>
      </c>
      <c r="C59" s="28">
        <v>1955</v>
      </c>
      <c r="D59" s="28">
        <v>3477</v>
      </c>
      <c r="E59" s="28">
        <v>4701</v>
      </c>
      <c r="F59" s="28">
        <v>4441</v>
      </c>
      <c r="G59" s="28">
        <v>3344</v>
      </c>
      <c r="H59" s="28">
        <v>17918</v>
      </c>
      <c r="I59" s="28">
        <v>20951</v>
      </c>
      <c r="J59" s="28">
        <v>1897</v>
      </c>
      <c r="K59" s="28">
        <v>2778</v>
      </c>
      <c r="L59" s="28">
        <v>3451</v>
      </c>
      <c r="M59" s="28">
        <v>3068</v>
      </c>
      <c r="N59" s="28">
        <v>2320</v>
      </c>
      <c r="O59" s="28">
        <v>13514</v>
      </c>
      <c r="P59" s="28">
        <v>15737</v>
      </c>
      <c r="Q59" s="28">
        <v>3852</v>
      </c>
      <c r="R59" s="28">
        <v>6255</v>
      </c>
      <c r="S59" s="28">
        <v>8152</v>
      </c>
      <c r="T59" s="28">
        <v>7509</v>
      </c>
      <c r="U59" s="28">
        <v>5664</v>
      </c>
      <c r="V59" s="28">
        <v>31432</v>
      </c>
      <c r="W59" s="27">
        <v>36688</v>
      </c>
    </row>
    <row r="60" spans="2:23" ht="14.25" customHeight="1" x14ac:dyDescent="0.2">
      <c r="B60" s="26" t="s">
        <v>12</v>
      </c>
      <c r="C60" s="28">
        <v>2253</v>
      </c>
      <c r="D60" s="28">
        <v>1826</v>
      </c>
      <c r="E60" s="28">
        <v>1948</v>
      </c>
      <c r="F60" s="28">
        <v>1682</v>
      </c>
      <c r="G60" s="28">
        <v>1308</v>
      </c>
      <c r="H60" s="28">
        <v>9017</v>
      </c>
      <c r="I60" s="28">
        <v>10514</v>
      </c>
      <c r="J60" s="28">
        <v>1152</v>
      </c>
      <c r="K60" s="28">
        <v>859</v>
      </c>
      <c r="L60" s="28">
        <v>784</v>
      </c>
      <c r="M60" s="28">
        <v>727</v>
      </c>
      <c r="N60" s="28">
        <v>559</v>
      </c>
      <c r="O60" s="28">
        <v>4081</v>
      </c>
      <c r="P60" s="28">
        <v>4719</v>
      </c>
      <c r="Q60" s="28">
        <v>3405</v>
      </c>
      <c r="R60" s="28">
        <v>2685</v>
      </c>
      <c r="S60" s="28">
        <v>2732</v>
      </c>
      <c r="T60" s="28">
        <v>2409</v>
      </c>
      <c r="U60" s="28">
        <v>1867</v>
      </c>
      <c r="V60" s="28">
        <v>13098</v>
      </c>
      <c r="W60" s="27">
        <v>15233</v>
      </c>
    </row>
    <row r="61" spans="2:23" ht="14.25" customHeight="1" x14ac:dyDescent="0.2">
      <c r="B61" s="26" t="s">
        <v>13</v>
      </c>
      <c r="C61" s="28">
        <v>2670</v>
      </c>
      <c r="D61" s="28">
        <v>2906</v>
      </c>
      <c r="E61" s="28">
        <v>3430</v>
      </c>
      <c r="F61" s="28">
        <v>3111</v>
      </c>
      <c r="G61" s="28">
        <v>2422</v>
      </c>
      <c r="H61" s="28">
        <v>14539</v>
      </c>
      <c r="I61" s="28">
        <v>16632</v>
      </c>
      <c r="J61" s="28">
        <v>3342</v>
      </c>
      <c r="K61" s="28">
        <v>2763</v>
      </c>
      <c r="L61" s="28">
        <v>2653</v>
      </c>
      <c r="M61" s="28">
        <v>2224</v>
      </c>
      <c r="N61" s="28">
        <v>1619</v>
      </c>
      <c r="O61" s="28">
        <v>12601</v>
      </c>
      <c r="P61" s="28">
        <v>13933</v>
      </c>
      <c r="Q61" s="28">
        <v>6012</v>
      </c>
      <c r="R61" s="28">
        <v>5669</v>
      </c>
      <c r="S61" s="28">
        <v>6083</v>
      </c>
      <c r="T61" s="28">
        <v>5335</v>
      </c>
      <c r="U61" s="28">
        <v>4041</v>
      </c>
      <c r="V61" s="28">
        <v>27140</v>
      </c>
      <c r="W61" s="27">
        <v>30565</v>
      </c>
    </row>
    <row r="62" spans="2:23" ht="14.25" customHeight="1" x14ac:dyDescent="0.2">
      <c r="B62" s="26" t="s">
        <v>14</v>
      </c>
      <c r="C62" s="28">
        <v>1216</v>
      </c>
      <c r="D62" s="28">
        <v>1162</v>
      </c>
      <c r="E62" s="28">
        <v>1345</v>
      </c>
      <c r="F62" s="28">
        <v>1096</v>
      </c>
      <c r="G62" s="28">
        <v>735</v>
      </c>
      <c r="H62" s="28">
        <v>5554</v>
      </c>
      <c r="I62" s="28">
        <v>6300</v>
      </c>
      <c r="J62" s="28">
        <v>1040</v>
      </c>
      <c r="K62" s="28">
        <v>842</v>
      </c>
      <c r="L62" s="28">
        <v>872</v>
      </c>
      <c r="M62" s="28">
        <v>733</v>
      </c>
      <c r="N62" s="28">
        <v>563</v>
      </c>
      <c r="O62" s="28">
        <v>4050</v>
      </c>
      <c r="P62" s="28">
        <v>4604</v>
      </c>
      <c r="Q62" s="28">
        <v>2256</v>
      </c>
      <c r="R62" s="28">
        <v>2004</v>
      </c>
      <c r="S62" s="28">
        <v>2217</v>
      </c>
      <c r="T62" s="28">
        <v>1829</v>
      </c>
      <c r="U62" s="28">
        <v>1298</v>
      </c>
      <c r="V62" s="28">
        <v>9604</v>
      </c>
      <c r="W62" s="27">
        <v>10904</v>
      </c>
    </row>
    <row r="63" spans="2:23" ht="14.25" customHeight="1" x14ac:dyDescent="0.2">
      <c r="B63" s="26" t="s">
        <v>15</v>
      </c>
      <c r="C63" s="28">
        <v>3250</v>
      </c>
      <c r="D63" s="28">
        <v>4292</v>
      </c>
      <c r="E63" s="28">
        <v>5002</v>
      </c>
      <c r="F63" s="28">
        <v>4127</v>
      </c>
      <c r="G63" s="28">
        <v>2502</v>
      </c>
      <c r="H63" s="28">
        <v>19173</v>
      </c>
      <c r="I63" s="28">
        <v>20953</v>
      </c>
      <c r="J63" s="28">
        <v>4189</v>
      </c>
      <c r="K63" s="28">
        <v>5002</v>
      </c>
      <c r="L63" s="28">
        <v>5185</v>
      </c>
      <c r="M63" s="28">
        <v>4215</v>
      </c>
      <c r="N63" s="28">
        <v>2604</v>
      </c>
      <c r="O63" s="28">
        <v>21195</v>
      </c>
      <c r="P63" s="28">
        <v>22964</v>
      </c>
      <c r="Q63" s="28">
        <v>7439</v>
      </c>
      <c r="R63" s="28">
        <v>9294</v>
      </c>
      <c r="S63" s="28">
        <v>10187</v>
      </c>
      <c r="T63" s="28">
        <v>8342</v>
      </c>
      <c r="U63" s="28">
        <v>5106</v>
      </c>
      <c r="V63" s="28">
        <v>40368</v>
      </c>
      <c r="W63" s="27">
        <v>43917</v>
      </c>
    </row>
    <row r="64" spans="2:23" ht="14.25" customHeight="1" x14ac:dyDescent="0.2">
      <c r="B64" s="26" t="s">
        <v>16</v>
      </c>
      <c r="C64" s="28">
        <v>946</v>
      </c>
      <c r="D64" s="28">
        <v>1208</v>
      </c>
      <c r="E64" s="28">
        <v>1513</v>
      </c>
      <c r="F64" s="28">
        <v>1571</v>
      </c>
      <c r="G64" s="28">
        <v>1326</v>
      </c>
      <c r="H64" s="28">
        <v>6564</v>
      </c>
      <c r="I64" s="28">
        <v>8409</v>
      </c>
      <c r="J64" s="28">
        <v>1816</v>
      </c>
      <c r="K64" s="28">
        <v>2013</v>
      </c>
      <c r="L64" s="28">
        <v>2356</v>
      </c>
      <c r="M64" s="28">
        <v>2020</v>
      </c>
      <c r="N64" s="28">
        <v>1753</v>
      </c>
      <c r="O64" s="28">
        <v>9958</v>
      </c>
      <c r="P64" s="28">
        <v>12271</v>
      </c>
      <c r="Q64" s="28">
        <v>2762</v>
      </c>
      <c r="R64" s="28">
        <v>3221</v>
      </c>
      <c r="S64" s="28">
        <v>3869</v>
      </c>
      <c r="T64" s="28">
        <v>3591</v>
      </c>
      <c r="U64" s="28">
        <v>3079</v>
      </c>
      <c r="V64" s="28">
        <v>16522</v>
      </c>
      <c r="W64" s="27">
        <v>20680</v>
      </c>
    </row>
    <row r="65" spans="2:23" ht="14.25" customHeight="1" x14ac:dyDescent="0.2">
      <c r="B65" s="26" t="s">
        <v>17</v>
      </c>
      <c r="C65" s="28">
        <v>1542</v>
      </c>
      <c r="D65" s="28">
        <v>2540</v>
      </c>
      <c r="E65" s="28">
        <v>3751</v>
      </c>
      <c r="F65" s="28">
        <v>3942</v>
      </c>
      <c r="G65" s="28">
        <v>3533</v>
      </c>
      <c r="H65" s="28">
        <v>15308</v>
      </c>
      <c r="I65" s="28">
        <v>20338</v>
      </c>
      <c r="J65" s="28">
        <v>7140</v>
      </c>
      <c r="K65" s="28">
        <v>8568</v>
      </c>
      <c r="L65" s="28">
        <v>9507</v>
      </c>
      <c r="M65" s="28">
        <v>8282</v>
      </c>
      <c r="N65" s="28">
        <v>6737</v>
      </c>
      <c r="O65" s="28">
        <v>40234</v>
      </c>
      <c r="P65" s="28">
        <v>48066</v>
      </c>
      <c r="Q65" s="28">
        <v>8682</v>
      </c>
      <c r="R65" s="28">
        <v>11108</v>
      </c>
      <c r="S65" s="28">
        <v>13258</v>
      </c>
      <c r="T65" s="28">
        <v>12224</v>
      </c>
      <c r="U65" s="28">
        <v>10270</v>
      </c>
      <c r="V65" s="28">
        <v>55542</v>
      </c>
      <c r="W65" s="27">
        <v>68404</v>
      </c>
    </row>
    <row r="66" spans="2:23" ht="14.25" customHeight="1" x14ac:dyDescent="0.2">
      <c r="B66" s="26" t="s">
        <v>18</v>
      </c>
      <c r="C66" s="28">
        <v>899</v>
      </c>
      <c r="D66" s="28">
        <v>1324</v>
      </c>
      <c r="E66" s="28">
        <v>1693</v>
      </c>
      <c r="F66" s="28">
        <v>1600</v>
      </c>
      <c r="G66" s="28">
        <v>1353</v>
      </c>
      <c r="H66" s="28">
        <v>6869</v>
      </c>
      <c r="I66" s="28">
        <v>8511</v>
      </c>
      <c r="J66" s="28">
        <v>4373</v>
      </c>
      <c r="K66" s="28">
        <v>4634</v>
      </c>
      <c r="L66" s="28">
        <v>4907</v>
      </c>
      <c r="M66" s="28">
        <v>4139</v>
      </c>
      <c r="N66" s="28">
        <v>3203</v>
      </c>
      <c r="O66" s="28">
        <v>21256</v>
      </c>
      <c r="P66" s="28">
        <v>24487</v>
      </c>
      <c r="Q66" s="28">
        <v>5272</v>
      </c>
      <c r="R66" s="28">
        <v>5958</v>
      </c>
      <c r="S66" s="28">
        <v>6600</v>
      </c>
      <c r="T66" s="28">
        <v>5739</v>
      </c>
      <c r="U66" s="28">
        <v>4556</v>
      </c>
      <c r="V66" s="28">
        <v>28125</v>
      </c>
      <c r="W66" s="27">
        <v>32998</v>
      </c>
    </row>
    <row r="67" spans="2:23" ht="14.25" customHeight="1" x14ac:dyDescent="0.2">
      <c r="B67" s="26" t="s">
        <v>19</v>
      </c>
      <c r="C67" s="28">
        <v>434</v>
      </c>
      <c r="D67" s="28">
        <v>551</v>
      </c>
      <c r="E67" s="28">
        <v>715</v>
      </c>
      <c r="F67" s="28">
        <v>707</v>
      </c>
      <c r="G67" s="28">
        <v>650</v>
      </c>
      <c r="H67" s="28">
        <v>3057</v>
      </c>
      <c r="I67" s="28">
        <v>4104</v>
      </c>
      <c r="J67" s="28">
        <v>632</v>
      </c>
      <c r="K67" s="28">
        <v>712</v>
      </c>
      <c r="L67" s="28">
        <v>853</v>
      </c>
      <c r="M67" s="28">
        <v>848</v>
      </c>
      <c r="N67" s="28">
        <v>666</v>
      </c>
      <c r="O67" s="28">
        <v>3711</v>
      </c>
      <c r="P67" s="28">
        <v>4694</v>
      </c>
      <c r="Q67" s="28">
        <v>1066</v>
      </c>
      <c r="R67" s="28">
        <v>1263</v>
      </c>
      <c r="S67" s="28">
        <v>1568</v>
      </c>
      <c r="T67" s="28">
        <v>1555</v>
      </c>
      <c r="U67" s="28">
        <v>1316</v>
      </c>
      <c r="V67" s="28">
        <v>6768</v>
      </c>
      <c r="W67" s="27">
        <v>8798</v>
      </c>
    </row>
    <row r="68" spans="2:23" ht="14.25" customHeight="1" x14ac:dyDescent="0.2">
      <c r="B68" s="26" t="s">
        <v>20</v>
      </c>
      <c r="C68" s="28">
        <v>2231</v>
      </c>
      <c r="D68" s="28">
        <v>2709</v>
      </c>
      <c r="E68" s="28">
        <v>3461</v>
      </c>
      <c r="F68" s="28">
        <v>3122</v>
      </c>
      <c r="G68" s="28">
        <v>2344</v>
      </c>
      <c r="H68" s="28">
        <v>13867</v>
      </c>
      <c r="I68" s="28">
        <v>16369</v>
      </c>
      <c r="J68" s="28">
        <v>7199</v>
      </c>
      <c r="K68" s="28">
        <v>7182</v>
      </c>
      <c r="L68" s="28">
        <v>7628</v>
      </c>
      <c r="M68" s="28">
        <v>5592</v>
      </c>
      <c r="N68" s="28">
        <v>3261</v>
      </c>
      <c r="O68" s="28">
        <v>30862</v>
      </c>
      <c r="P68" s="28">
        <v>33734</v>
      </c>
      <c r="Q68" s="28">
        <v>9430</v>
      </c>
      <c r="R68" s="28">
        <v>9891</v>
      </c>
      <c r="S68" s="28">
        <v>11089</v>
      </c>
      <c r="T68" s="28">
        <v>8714</v>
      </c>
      <c r="U68" s="28">
        <v>5605</v>
      </c>
      <c r="V68" s="28">
        <v>44729</v>
      </c>
      <c r="W68" s="27">
        <v>50103</v>
      </c>
    </row>
    <row r="69" spans="2:23" ht="14.25" customHeight="1" x14ac:dyDescent="0.2">
      <c r="B69" s="26" t="s">
        <v>21</v>
      </c>
      <c r="C69" s="28">
        <v>598</v>
      </c>
      <c r="D69" s="28">
        <v>1136</v>
      </c>
      <c r="E69" s="28">
        <v>1334</v>
      </c>
      <c r="F69" s="28">
        <v>1007</v>
      </c>
      <c r="G69" s="28">
        <v>508</v>
      </c>
      <c r="H69" s="28">
        <v>4583</v>
      </c>
      <c r="I69" s="28">
        <v>4823</v>
      </c>
      <c r="J69" s="28">
        <v>2017</v>
      </c>
      <c r="K69" s="28">
        <v>3071</v>
      </c>
      <c r="L69" s="28">
        <v>3069</v>
      </c>
      <c r="M69" s="28">
        <v>1787</v>
      </c>
      <c r="N69" s="28">
        <v>692</v>
      </c>
      <c r="O69" s="28">
        <v>10636</v>
      </c>
      <c r="P69" s="28">
        <v>10955</v>
      </c>
      <c r="Q69" s="28">
        <v>2615</v>
      </c>
      <c r="R69" s="28">
        <v>4207</v>
      </c>
      <c r="S69" s="28">
        <v>4403</v>
      </c>
      <c r="T69" s="28">
        <v>2794</v>
      </c>
      <c r="U69" s="28">
        <v>1200</v>
      </c>
      <c r="V69" s="28">
        <v>15219</v>
      </c>
      <c r="W69" s="27">
        <v>15778</v>
      </c>
    </row>
    <row r="70" spans="2:23" ht="14.25" customHeight="1" x14ac:dyDescent="0.2">
      <c r="B70" s="26" t="s">
        <v>22</v>
      </c>
      <c r="C70" s="28">
        <v>3622</v>
      </c>
      <c r="D70" s="28">
        <v>5048</v>
      </c>
      <c r="E70" s="28">
        <v>6591</v>
      </c>
      <c r="F70" s="28">
        <v>5841</v>
      </c>
      <c r="G70" s="28">
        <v>3490</v>
      </c>
      <c r="H70" s="28">
        <v>24592</v>
      </c>
      <c r="I70" s="28">
        <v>26370</v>
      </c>
      <c r="J70" s="28">
        <v>8949</v>
      </c>
      <c r="K70" s="28">
        <v>12135</v>
      </c>
      <c r="L70" s="28">
        <v>15514</v>
      </c>
      <c r="M70" s="28">
        <v>12865</v>
      </c>
      <c r="N70" s="28">
        <v>6678</v>
      </c>
      <c r="O70" s="28">
        <v>56141</v>
      </c>
      <c r="P70" s="28">
        <v>58943</v>
      </c>
      <c r="Q70" s="28">
        <v>12571</v>
      </c>
      <c r="R70" s="28">
        <v>17183</v>
      </c>
      <c r="S70" s="28">
        <v>22105</v>
      </c>
      <c r="T70" s="28">
        <v>18706</v>
      </c>
      <c r="U70" s="28">
        <v>10168</v>
      </c>
      <c r="V70" s="28">
        <v>80733</v>
      </c>
      <c r="W70" s="27">
        <v>85313</v>
      </c>
    </row>
    <row r="71" spans="2:23" ht="14.25" customHeight="1" x14ac:dyDescent="0.2">
      <c r="B71" s="26" t="s">
        <v>51</v>
      </c>
      <c r="C71" s="28">
        <v>1296</v>
      </c>
      <c r="D71" s="28">
        <v>2590</v>
      </c>
      <c r="E71" s="28">
        <v>3468</v>
      </c>
      <c r="F71" s="28">
        <v>2934</v>
      </c>
      <c r="G71" s="28">
        <v>1601</v>
      </c>
      <c r="H71" s="28">
        <v>11889</v>
      </c>
      <c r="I71" s="28">
        <v>12925</v>
      </c>
      <c r="J71" s="28">
        <v>2407</v>
      </c>
      <c r="K71" s="28">
        <v>3877</v>
      </c>
      <c r="L71" s="28">
        <v>4385</v>
      </c>
      <c r="M71" s="28">
        <v>3072</v>
      </c>
      <c r="N71" s="28">
        <v>1303</v>
      </c>
      <c r="O71" s="28">
        <v>15044</v>
      </c>
      <c r="P71" s="28">
        <v>15858</v>
      </c>
      <c r="Q71" s="28">
        <v>3703</v>
      </c>
      <c r="R71" s="28">
        <v>6467</v>
      </c>
      <c r="S71" s="28">
        <v>7853</v>
      </c>
      <c r="T71" s="28">
        <v>6006</v>
      </c>
      <c r="U71" s="28">
        <v>2904</v>
      </c>
      <c r="V71" s="28">
        <v>26933</v>
      </c>
      <c r="W71" s="27">
        <v>28783</v>
      </c>
    </row>
    <row r="72" spans="2:23" ht="14.25" customHeight="1" x14ac:dyDescent="0.2">
      <c r="B72" s="26" t="s">
        <v>23</v>
      </c>
      <c r="C72" s="28">
        <v>613</v>
      </c>
      <c r="D72" s="28">
        <v>1661</v>
      </c>
      <c r="E72" s="28">
        <v>1859</v>
      </c>
      <c r="F72" s="28">
        <v>1016</v>
      </c>
      <c r="G72" s="28">
        <v>393</v>
      </c>
      <c r="H72" s="28">
        <v>5542</v>
      </c>
      <c r="I72" s="28">
        <v>5952</v>
      </c>
      <c r="J72" s="28">
        <v>1161</v>
      </c>
      <c r="K72" s="28">
        <v>2408</v>
      </c>
      <c r="L72" s="28">
        <v>2568</v>
      </c>
      <c r="M72" s="28">
        <v>1399</v>
      </c>
      <c r="N72" s="28">
        <v>632</v>
      </c>
      <c r="O72" s="28">
        <v>8168</v>
      </c>
      <c r="P72" s="28">
        <v>8593</v>
      </c>
      <c r="Q72" s="28">
        <v>1774</v>
      </c>
      <c r="R72" s="28">
        <v>4069</v>
      </c>
      <c r="S72" s="28">
        <v>4427</v>
      </c>
      <c r="T72" s="28">
        <v>2415</v>
      </c>
      <c r="U72" s="28">
        <v>1025</v>
      </c>
      <c r="V72" s="28">
        <v>13710</v>
      </c>
      <c r="W72" s="27">
        <v>14545</v>
      </c>
    </row>
    <row r="73" spans="2:23" ht="14.25" customHeight="1" x14ac:dyDescent="0.2">
      <c r="B73" s="26" t="s">
        <v>24</v>
      </c>
      <c r="C73" s="28">
        <v>1148</v>
      </c>
      <c r="D73" s="28">
        <v>912</v>
      </c>
      <c r="E73" s="28">
        <v>915</v>
      </c>
      <c r="F73" s="28">
        <v>724</v>
      </c>
      <c r="G73" s="28">
        <v>504</v>
      </c>
      <c r="H73" s="28">
        <v>4203</v>
      </c>
      <c r="I73" s="28">
        <v>4671</v>
      </c>
      <c r="J73" s="28">
        <v>2435</v>
      </c>
      <c r="K73" s="28">
        <v>2076</v>
      </c>
      <c r="L73" s="28">
        <v>2123</v>
      </c>
      <c r="M73" s="28">
        <v>1884</v>
      </c>
      <c r="N73" s="28">
        <v>1451</v>
      </c>
      <c r="O73" s="28">
        <v>9969</v>
      </c>
      <c r="P73" s="28">
        <v>11186</v>
      </c>
      <c r="Q73" s="28">
        <v>3583</v>
      </c>
      <c r="R73" s="28">
        <v>2988</v>
      </c>
      <c r="S73" s="28">
        <v>3038</v>
      </c>
      <c r="T73" s="28">
        <v>2608</v>
      </c>
      <c r="U73" s="28">
        <v>1955</v>
      </c>
      <c r="V73" s="28">
        <v>14172</v>
      </c>
      <c r="W73" s="27">
        <v>15857</v>
      </c>
    </row>
    <row r="74" spans="2:23" ht="14.25" customHeight="1" x14ac:dyDescent="0.2">
      <c r="B74" s="26" t="s">
        <v>25</v>
      </c>
      <c r="C74" s="28">
        <v>633</v>
      </c>
      <c r="D74" s="28">
        <v>455</v>
      </c>
      <c r="E74" s="28">
        <v>442</v>
      </c>
      <c r="F74" s="28">
        <v>352</v>
      </c>
      <c r="G74" s="28">
        <v>246</v>
      </c>
      <c r="H74" s="28">
        <v>2128</v>
      </c>
      <c r="I74" s="28">
        <v>2316</v>
      </c>
      <c r="J74" s="28">
        <v>852</v>
      </c>
      <c r="K74" s="28">
        <v>874</v>
      </c>
      <c r="L74" s="28">
        <v>901</v>
      </c>
      <c r="M74" s="28">
        <v>759</v>
      </c>
      <c r="N74" s="28">
        <v>545</v>
      </c>
      <c r="O74" s="28">
        <v>3931</v>
      </c>
      <c r="P74" s="28">
        <v>4283</v>
      </c>
      <c r="Q74" s="28">
        <v>1485</v>
      </c>
      <c r="R74" s="28">
        <v>1329</v>
      </c>
      <c r="S74" s="28">
        <v>1343</v>
      </c>
      <c r="T74" s="28">
        <v>1111</v>
      </c>
      <c r="U74" s="28">
        <v>791</v>
      </c>
      <c r="V74" s="28">
        <v>6059</v>
      </c>
      <c r="W74" s="27">
        <v>6599</v>
      </c>
    </row>
    <row r="75" spans="2:23" ht="14.25" customHeight="1" x14ac:dyDescent="0.2">
      <c r="B75" s="26" t="s">
        <v>26</v>
      </c>
      <c r="C75" s="28">
        <v>383</v>
      </c>
      <c r="D75" s="28">
        <v>311</v>
      </c>
      <c r="E75" s="28">
        <v>315</v>
      </c>
      <c r="F75" s="28">
        <v>259</v>
      </c>
      <c r="G75" s="28">
        <v>184</v>
      </c>
      <c r="H75" s="28">
        <v>1452</v>
      </c>
      <c r="I75" s="28">
        <v>1589</v>
      </c>
      <c r="J75" s="28">
        <v>801</v>
      </c>
      <c r="K75" s="28">
        <v>759</v>
      </c>
      <c r="L75" s="28">
        <v>885</v>
      </c>
      <c r="M75" s="28">
        <v>769</v>
      </c>
      <c r="N75" s="28">
        <v>518</v>
      </c>
      <c r="O75" s="28">
        <v>3732</v>
      </c>
      <c r="P75" s="28">
        <v>4158</v>
      </c>
      <c r="Q75" s="28">
        <v>1184</v>
      </c>
      <c r="R75" s="28">
        <v>1070</v>
      </c>
      <c r="S75" s="28">
        <v>1200</v>
      </c>
      <c r="T75" s="28">
        <v>1028</v>
      </c>
      <c r="U75" s="28">
        <v>702</v>
      </c>
      <c r="V75" s="28">
        <v>5184</v>
      </c>
      <c r="W75" s="27">
        <v>5747</v>
      </c>
    </row>
    <row r="76" spans="2:23" ht="14.25" customHeight="1" x14ac:dyDescent="0.2">
      <c r="B76" s="26" t="s">
        <v>27</v>
      </c>
      <c r="C76" s="28">
        <v>590</v>
      </c>
      <c r="D76" s="28">
        <v>381</v>
      </c>
      <c r="E76" s="28">
        <v>170</v>
      </c>
      <c r="F76" s="28">
        <v>80</v>
      </c>
      <c r="G76" s="28">
        <v>58</v>
      </c>
      <c r="H76" s="28">
        <v>1279</v>
      </c>
      <c r="I76" s="28">
        <v>1361</v>
      </c>
      <c r="J76" s="28">
        <v>884</v>
      </c>
      <c r="K76" s="28">
        <v>483</v>
      </c>
      <c r="L76" s="28">
        <v>217</v>
      </c>
      <c r="M76" s="28">
        <v>164</v>
      </c>
      <c r="N76" s="28">
        <v>118</v>
      </c>
      <c r="O76" s="28">
        <v>1866</v>
      </c>
      <c r="P76" s="28">
        <v>1993</v>
      </c>
      <c r="Q76" s="28">
        <v>1474</v>
      </c>
      <c r="R76" s="28">
        <v>864</v>
      </c>
      <c r="S76" s="28">
        <v>387</v>
      </c>
      <c r="T76" s="28">
        <v>244</v>
      </c>
      <c r="U76" s="28">
        <v>176</v>
      </c>
      <c r="V76" s="28">
        <v>3145</v>
      </c>
      <c r="W76" s="27">
        <v>3354</v>
      </c>
    </row>
    <row r="77" spans="2:23" ht="14.25" customHeight="1" x14ac:dyDescent="0.2">
      <c r="B77" s="26" t="s">
        <v>28</v>
      </c>
      <c r="C77" s="28">
        <v>680</v>
      </c>
      <c r="D77" s="28">
        <v>490</v>
      </c>
      <c r="E77" s="28">
        <v>476</v>
      </c>
      <c r="F77" s="28">
        <v>365</v>
      </c>
      <c r="G77" s="28">
        <v>240</v>
      </c>
      <c r="H77" s="28">
        <v>2251</v>
      </c>
      <c r="I77" s="28">
        <v>2409</v>
      </c>
      <c r="J77" s="28">
        <v>1085</v>
      </c>
      <c r="K77" s="28">
        <v>777</v>
      </c>
      <c r="L77" s="28">
        <v>722</v>
      </c>
      <c r="M77" s="28">
        <v>413</v>
      </c>
      <c r="N77" s="28">
        <v>190</v>
      </c>
      <c r="O77" s="28">
        <v>3187</v>
      </c>
      <c r="P77" s="28">
        <v>3324</v>
      </c>
      <c r="Q77" s="28">
        <v>1765</v>
      </c>
      <c r="R77" s="28">
        <v>1267</v>
      </c>
      <c r="S77" s="28">
        <v>1198</v>
      </c>
      <c r="T77" s="28">
        <v>778</v>
      </c>
      <c r="U77" s="28">
        <v>430</v>
      </c>
      <c r="V77" s="28">
        <v>5438</v>
      </c>
      <c r="W77" s="27">
        <v>5733</v>
      </c>
    </row>
    <row r="78" spans="2:23" ht="14.25" customHeight="1" x14ac:dyDescent="0.2">
      <c r="B78" s="26" t="s">
        <v>29</v>
      </c>
      <c r="C78" s="28">
        <v>966</v>
      </c>
      <c r="D78" s="28">
        <v>1051</v>
      </c>
      <c r="E78" s="28">
        <v>1089</v>
      </c>
      <c r="F78" s="28">
        <v>859</v>
      </c>
      <c r="G78" s="28">
        <v>568</v>
      </c>
      <c r="H78" s="28">
        <v>4533</v>
      </c>
      <c r="I78" s="28">
        <v>5112</v>
      </c>
      <c r="J78" s="28">
        <v>2538</v>
      </c>
      <c r="K78" s="28">
        <v>2577</v>
      </c>
      <c r="L78" s="28">
        <v>2387</v>
      </c>
      <c r="M78" s="28">
        <v>1719</v>
      </c>
      <c r="N78" s="28">
        <v>1118</v>
      </c>
      <c r="O78" s="28">
        <v>10339</v>
      </c>
      <c r="P78" s="28">
        <v>11194</v>
      </c>
      <c r="Q78" s="28">
        <v>3504</v>
      </c>
      <c r="R78" s="28">
        <v>3628</v>
      </c>
      <c r="S78" s="28">
        <v>3476</v>
      </c>
      <c r="T78" s="28">
        <v>2578</v>
      </c>
      <c r="U78" s="28">
        <v>1686</v>
      </c>
      <c r="V78" s="28">
        <v>14872</v>
      </c>
      <c r="W78" s="27">
        <v>16306</v>
      </c>
    </row>
    <row r="79" spans="2:23" ht="14.25" customHeight="1" x14ac:dyDescent="0.2">
      <c r="B79" s="26" t="s">
        <v>30</v>
      </c>
      <c r="C79" s="28">
        <v>752</v>
      </c>
      <c r="D79" s="28">
        <v>952</v>
      </c>
      <c r="E79" s="28">
        <v>1394</v>
      </c>
      <c r="F79" s="28">
        <v>1457</v>
      </c>
      <c r="G79" s="28">
        <v>1082</v>
      </c>
      <c r="H79" s="28">
        <v>5637</v>
      </c>
      <c r="I79" s="28">
        <v>6511</v>
      </c>
      <c r="J79" s="28">
        <v>867</v>
      </c>
      <c r="K79" s="28">
        <v>964</v>
      </c>
      <c r="L79" s="28">
        <v>1044</v>
      </c>
      <c r="M79" s="28">
        <v>927</v>
      </c>
      <c r="N79" s="28">
        <v>604</v>
      </c>
      <c r="O79" s="28">
        <v>4406</v>
      </c>
      <c r="P79" s="28">
        <v>4752</v>
      </c>
      <c r="Q79" s="28">
        <v>1619</v>
      </c>
      <c r="R79" s="28">
        <v>1916</v>
      </c>
      <c r="S79" s="28">
        <v>2438</v>
      </c>
      <c r="T79" s="28">
        <v>2384</v>
      </c>
      <c r="U79" s="28">
        <v>1686</v>
      </c>
      <c r="V79" s="28">
        <v>10043</v>
      </c>
      <c r="W79" s="27">
        <v>11263</v>
      </c>
    </row>
    <row r="80" spans="2:23" ht="14.25" customHeight="1" x14ac:dyDescent="0.2">
      <c r="B80" s="26" t="s">
        <v>31</v>
      </c>
      <c r="C80" s="28">
        <v>1117</v>
      </c>
      <c r="D80" s="28">
        <v>1977</v>
      </c>
      <c r="E80" s="28">
        <v>2995</v>
      </c>
      <c r="F80" s="28">
        <v>3348</v>
      </c>
      <c r="G80" s="28">
        <v>3027</v>
      </c>
      <c r="H80" s="28">
        <v>12464</v>
      </c>
      <c r="I80" s="28">
        <v>14849</v>
      </c>
      <c r="J80" s="28">
        <v>1776</v>
      </c>
      <c r="K80" s="28">
        <v>1962</v>
      </c>
      <c r="L80" s="28">
        <v>2257</v>
      </c>
      <c r="M80" s="28">
        <v>2060</v>
      </c>
      <c r="N80" s="28">
        <v>1581</v>
      </c>
      <c r="O80" s="28">
        <v>9636</v>
      </c>
      <c r="P80" s="28">
        <v>10781</v>
      </c>
      <c r="Q80" s="28">
        <v>2893</v>
      </c>
      <c r="R80" s="28">
        <v>3939</v>
      </c>
      <c r="S80" s="28">
        <v>5252</v>
      </c>
      <c r="T80" s="28">
        <v>5408</v>
      </c>
      <c r="U80" s="28">
        <v>4608</v>
      </c>
      <c r="V80" s="28">
        <v>22100</v>
      </c>
      <c r="W80" s="27">
        <v>25630</v>
      </c>
    </row>
    <row r="81" spans="2:23" ht="14.25" customHeight="1" x14ac:dyDescent="0.2">
      <c r="B81" s="26" t="s">
        <v>32</v>
      </c>
      <c r="C81" s="28">
        <v>3983</v>
      </c>
      <c r="D81" s="28">
        <v>5726</v>
      </c>
      <c r="E81" s="28">
        <v>8285</v>
      </c>
      <c r="F81" s="28">
        <v>9928</v>
      </c>
      <c r="G81" s="28">
        <v>9736</v>
      </c>
      <c r="H81" s="28">
        <v>37658</v>
      </c>
      <c r="I81" s="28">
        <v>49951</v>
      </c>
      <c r="J81" s="28">
        <v>5133</v>
      </c>
      <c r="K81" s="28">
        <v>7378</v>
      </c>
      <c r="L81" s="28">
        <v>10427</v>
      </c>
      <c r="M81" s="28">
        <v>11644</v>
      </c>
      <c r="N81" s="28">
        <v>10448</v>
      </c>
      <c r="O81" s="28">
        <v>45030</v>
      </c>
      <c r="P81" s="28">
        <v>56709</v>
      </c>
      <c r="Q81" s="28">
        <v>9116</v>
      </c>
      <c r="R81" s="28">
        <v>13104</v>
      </c>
      <c r="S81" s="28">
        <v>18712</v>
      </c>
      <c r="T81" s="28">
        <v>21572</v>
      </c>
      <c r="U81" s="28">
        <v>20184</v>
      </c>
      <c r="V81" s="28">
        <v>82688</v>
      </c>
      <c r="W81" s="27">
        <v>106660</v>
      </c>
    </row>
    <row r="82" spans="2:23" ht="14.25" customHeight="1" x14ac:dyDescent="0.2">
      <c r="B82" s="26" t="s">
        <v>63</v>
      </c>
      <c r="C82" s="28">
        <v>55979</v>
      </c>
      <c r="D82" s="28">
        <v>64900</v>
      </c>
      <c r="E82" s="28">
        <v>80251</v>
      </c>
      <c r="F82" s="28">
        <v>77882</v>
      </c>
      <c r="G82" s="28">
        <v>63812</v>
      </c>
      <c r="H82" s="28">
        <v>342824</v>
      </c>
      <c r="I82" s="28">
        <v>414047</v>
      </c>
      <c r="J82" s="28">
        <v>82800</v>
      </c>
      <c r="K82" s="28">
        <v>92255</v>
      </c>
      <c r="L82" s="28">
        <v>103200</v>
      </c>
      <c r="M82" s="28">
        <v>88535</v>
      </c>
      <c r="N82" s="28">
        <v>64183</v>
      </c>
      <c r="O82" s="28">
        <v>430973</v>
      </c>
      <c r="P82" s="28">
        <v>492982</v>
      </c>
      <c r="Q82" s="28">
        <v>138779</v>
      </c>
      <c r="R82" s="28">
        <v>157155</v>
      </c>
      <c r="S82" s="28">
        <v>183451</v>
      </c>
      <c r="T82" s="28">
        <v>166417</v>
      </c>
      <c r="U82" s="28">
        <v>127995</v>
      </c>
      <c r="V82" s="28">
        <v>773797</v>
      </c>
      <c r="W82" s="27">
        <v>907029</v>
      </c>
    </row>
    <row r="83" spans="2:23" ht="14.25" customHeight="1" x14ac:dyDescent="0.2">
      <c r="B83" s="27"/>
      <c r="C83" s="27"/>
      <c r="D83" s="27"/>
      <c r="E83" s="27"/>
      <c r="F83" s="27"/>
      <c r="G83" s="27"/>
      <c r="H83" s="27"/>
      <c r="I83" s="27"/>
      <c r="J83" s="27"/>
      <c r="K83" s="27"/>
      <c r="L83" s="27"/>
      <c r="M83" s="27"/>
      <c r="N83" s="27"/>
      <c r="O83" s="27"/>
      <c r="P83" s="27"/>
      <c r="Q83" s="27"/>
      <c r="R83" s="27"/>
      <c r="S83" s="27"/>
      <c r="T83" s="27"/>
      <c r="U83" s="27"/>
      <c r="V83" s="27"/>
      <c r="W83" s="27"/>
    </row>
    <row r="88" spans="2:23" ht="14.25" customHeight="1" x14ac:dyDescent="0.2">
      <c r="C88" s="30" t="s">
        <v>64</v>
      </c>
      <c r="D88" s="30" t="s">
        <v>64</v>
      </c>
      <c r="E88" s="30" t="s">
        <v>64</v>
      </c>
      <c r="F88" s="30" t="s">
        <v>64</v>
      </c>
      <c r="G88" s="30" t="s">
        <v>68</v>
      </c>
      <c r="H88" s="30"/>
      <c r="I88" s="30"/>
      <c r="J88" s="30"/>
      <c r="K88" s="30"/>
      <c r="L88" s="30"/>
      <c r="M88" s="30"/>
      <c r="N88" s="30"/>
      <c r="O88" s="30"/>
      <c r="P88" s="30" t="s">
        <v>80</v>
      </c>
      <c r="Q88" s="30"/>
      <c r="R88" s="30"/>
    </row>
    <row r="89" spans="2:23" ht="14.25" customHeight="1" x14ac:dyDescent="0.2">
      <c r="C89" s="30"/>
      <c r="D89" s="30"/>
      <c r="E89" s="30"/>
      <c r="F89" s="30"/>
      <c r="G89" s="30" t="s">
        <v>33</v>
      </c>
      <c r="H89" s="30" t="s">
        <v>34</v>
      </c>
      <c r="I89" s="30" t="s">
        <v>35</v>
      </c>
      <c r="J89" s="30" t="s">
        <v>36</v>
      </c>
      <c r="K89" s="30" t="s">
        <v>37</v>
      </c>
      <c r="L89" s="30" t="s">
        <v>81</v>
      </c>
      <c r="M89" s="30" t="s">
        <v>82</v>
      </c>
      <c r="N89" s="30" t="s">
        <v>79</v>
      </c>
      <c r="O89" s="30" t="s">
        <v>54</v>
      </c>
      <c r="P89" s="30" t="s">
        <v>83</v>
      </c>
      <c r="Q89" s="30" t="s">
        <v>70</v>
      </c>
      <c r="R89" s="30" t="s">
        <v>54</v>
      </c>
    </row>
    <row r="90" spans="2:23" ht="14.25" customHeight="1" x14ac:dyDescent="0.2">
      <c r="C90" s="30"/>
      <c r="D90" s="30"/>
      <c r="E90" s="30"/>
      <c r="F90" s="30"/>
      <c r="G90" s="30" t="s">
        <v>71</v>
      </c>
      <c r="H90" s="30" t="s">
        <v>71</v>
      </c>
      <c r="I90" s="30" t="s">
        <v>71</v>
      </c>
      <c r="J90" s="30" t="s">
        <v>71</v>
      </c>
      <c r="K90" s="30" t="s">
        <v>71</v>
      </c>
      <c r="L90" s="30" t="s">
        <v>71</v>
      </c>
      <c r="M90" s="30" t="s">
        <v>71</v>
      </c>
      <c r="N90" s="30" t="s">
        <v>71</v>
      </c>
      <c r="O90" s="30" t="s">
        <v>71</v>
      </c>
      <c r="P90" s="30" t="s">
        <v>71</v>
      </c>
      <c r="Q90" s="30" t="s">
        <v>71</v>
      </c>
      <c r="R90" s="30" t="s">
        <v>71</v>
      </c>
    </row>
    <row r="91" spans="2:23" ht="14.25" customHeight="1" x14ac:dyDescent="0.2">
      <c r="C91" s="30" t="s">
        <v>65</v>
      </c>
      <c r="D91" s="30" t="s">
        <v>54</v>
      </c>
      <c r="E91" s="30" t="s">
        <v>72</v>
      </c>
      <c r="F91" s="30" t="s">
        <v>0</v>
      </c>
      <c r="G91" s="30">
        <v>8092</v>
      </c>
      <c r="H91" s="30">
        <v>8598</v>
      </c>
      <c r="I91" s="30">
        <v>9603</v>
      </c>
      <c r="J91" s="30">
        <v>9379</v>
      </c>
      <c r="K91" s="30">
        <v>8981</v>
      </c>
      <c r="L91" s="30">
        <v>22</v>
      </c>
      <c r="M91" s="30">
        <v>10654</v>
      </c>
      <c r="N91" s="30">
        <v>245</v>
      </c>
      <c r="O91" s="30">
        <v>55574</v>
      </c>
      <c r="P91" s="30">
        <v>10921</v>
      </c>
      <c r="Q91" s="30">
        <v>44653</v>
      </c>
      <c r="R91" s="30">
        <v>55574</v>
      </c>
    </row>
    <row r="92" spans="2:23" ht="14.25" customHeight="1" x14ac:dyDescent="0.2">
      <c r="C92" s="30"/>
      <c r="D92" s="30"/>
      <c r="E92" s="30"/>
      <c r="F92" s="30" t="s">
        <v>1</v>
      </c>
      <c r="G92" s="30">
        <v>7099</v>
      </c>
      <c r="H92" s="30">
        <v>6925</v>
      </c>
      <c r="I92" s="30">
        <v>6881</v>
      </c>
      <c r="J92" s="30">
        <v>6257</v>
      </c>
      <c r="K92" s="30">
        <v>5453</v>
      </c>
      <c r="L92" s="30">
        <v>3</v>
      </c>
      <c r="M92" s="30">
        <v>6346</v>
      </c>
      <c r="N92" s="30">
        <v>138</v>
      </c>
      <c r="O92" s="30">
        <v>39102</v>
      </c>
      <c r="P92" s="30">
        <v>6487</v>
      </c>
      <c r="Q92" s="30">
        <v>32615</v>
      </c>
      <c r="R92" s="30">
        <v>39102</v>
      </c>
    </row>
    <row r="93" spans="2:23" ht="14.25" customHeight="1" x14ac:dyDescent="0.2">
      <c r="C93" s="30"/>
      <c r="D93" s="30"/>
      <c r="E93" s="30"/>
      <c r="F93" s="30" t="s">
        <v>2</v>
      </c>
      <c r="G93" s="30">
        <v>5512</v>
      </c>
      <c r="H93" s="30">
        <v>4677</v>
      </c>
      <c r="I93" s="30">
        <v>4800</v>
      </c>
      <c r="J93" s="30">
        <v>4511</v>
      </c>
      <c r="K93" s="30">
        <v>3873</v>
      </c>
      <c r="L93" s="30">
        <v>6</v>
      </c>
      <c r="M93" s="30">
        <v>4956</v>
      </c>
      <c r="N93" s="30">
        <v>122</v>
      </c>
      <c r="O93" s="30">
        <v>28457</v>
      </c>
      <c r="P93" s="30">
        <v>5084</v>
      </c>
      <c r="Q93" s="30">
        <v>23373</v>
      </c>
      <c r="R93" s="30">
        <v>28457</v>
      </c>
    </row>
    <row r="94" spans="2:23" ht="14.25" customHeight="1" x14ac:dyDescent="0.2">
      <c r="C94" s="30"/>
      <c r="D94" s="30"/>
      <c r="E94" s="30"/>
      <c r="F94" s="30" t="s">
        <v>3</v>
      </c>
      <c r="G94" s="30">
        <v>1095</v>
      </c>
      <c r="H94" s="30">
        <v>1112</v>
      </c>
      <c r="I94" s="30">
        <v>1326</v>
      </c>
      <c r="J94" s="30">
        <v>1341</v>
      </c>
      <c r="K94" s="30">
        <v>1200</v>
      </c>
      <c r="L94" s="30">
        <v>0</v>
      </c>
      <c r="M94" s="30">
        <v>1298</v>
      </c>
      <c r="N94" s="30">
        <v>63</v>
      </c>
      <c r="O94" s="30">
        <v>7435</v>
      </c>
      <c r="P94" s="30">
        <v>1361</v>
      </c>
      <c r="Q94" s="30">
        <v>6074</v>
      </c>
      <c r="R94" s="30">
        <v>7435</v>
      </c>
    </row>
    <row r="95" spans="2:23" ht="14.25" customHeight="1" x14ac:dyDescent="0.2">
      <c r="C95" s="30"/>
      <c r="D95" s="30"/>
      <c r="E95" s="30"/>
      <c r="F95" s="30" t="s">
        <v>4</v>
      </c>
      <c r="G95" s="30">
        <v>13027</v>
      </c>
      <c r="H95" s="30">
        <v>8022</v>
      </c>
      <c r="I95" s="30">
        <v>7747</v>
      </c>
      <c r="J95" s="30">
        <v>7358</v>
      </c>
      <c r="K95" s="30">
        <v>6790</v>
      </c>
      <c r="L95" s="30">
        <v>21</v>
      </c>
      <c r="M95" s="30">
        <v>10289</v>
      </c>
      <c r="N95" s="30">
        <v>383</v>
      </c>
      <c r="O95" s="30">
        <v>53637</v>
      </c>
      <c r="P95" s="30">
        <v>10693</v>
      </c>
      <c r="Q95" s="30">
        <v>42944</v>
      </c>
      <c r="R95" s="30">
        <v>53637</v>
      </c>
    </row>
    <row r="96" spans="2:23" ht="14.25" customHeight="1" x14ac:dyDescent="0.2">
      <c r="C96" s="30"/>
      <c r="D96" s="30"/>
      <c r="E96" s="30"/>
      <c r="F96" s="30" t="s">
        <v>5</v>
      </c>
      <c r="G96" s="30">
        <v>1303</v>
      </c>
      <c r="H96" s="30">
        <v>620</v>
      </c>
      <c r="I96" s="30">
        <v>485</v>
      </c>
      <c r="J96" s="30">
        <v>394</v>
      </c>
      <c r="K96" s="30">
        <v>246</v>
      </c>
      <c r="L96" s="30">
        <v>0</v>
      </c>
      <c r="M96" s="30">
        <v>230</v>
      </c>
      <c r="N96" s="30">
        <v>36</v>
      </c>
      <c r="O96" s="30">
        <v>3314</v>
      </c>
      <c r="P96" s="30">
        <v>266</v>
      </c>
      <c r="Q96" s="30">
        <v>3048</v>
      </c>
      <c r="R96" s="30">
        <v>3314</v>
      </c>
    </row>
    <row r="97" spans="3:18" ht="14.25" customHeight="1" x14ac:dyDescent="0.2">
      <c r="C97" s="30"/>
      <c r="D97" s="30"/>
      <c r="E97" s="30"/>
      <c r="F97" s="30" t="s">
        <v>6</v>
      </c>
      <c r="G97" s="30">
        <v>2099</v>
      </c>
      <c r="H97" s="30">
        <v>3052</v>
      </c>
      <c r="I97" s="30">
        <v>4224</v>
      </c>
      <c r="J97" s="30">
        <v>4179</v>
      </c>
      <c r="K97" s="30">
        <v>3234</v>
      </c>
      <c r="L97" s="30">
        <v>2</v>
      </c>
      <c r="M97" s="30">
        <v>2566</v>
      </c>
      <c r="N97" s="30">
        <v>196</v>
      </c>
      <c r="O97" s="30">
        <v>19552</v>
      </c>
      <c r="P97" s="30">
        <v>2764</v>
      </c>
      <c r="Q97" s="30">
        <v>16788</v>
      </c>
      <c r="R97" s="30">
        <v>19552</v>
      </c>
    </row>
    <row r="98" spans="3:18" ht="14.25" customHeight="1" x14ac:dyDescent="0.2">
      <c r="C98" s="30"/>
      <c r="D98" s="30"/>
      <c r="E98" s="30"/>
      <c r="F98" s="30" t="s">
        <v>7</v>
      </c>
      <c r="G98" s="30">
        <v>824</v>
      </c>
      <c r="H98" s="30">
        <v>1137</v>
      </c>
      <c r="I98" s="30">
        <v>1443</v>
      </c>
      <c r="J98" s="30">
        <v>1513</v>
      </c>
      <c r="K98" s="30">
        <v>1358</v>
      </c>
      <c r="L98" s="30">
        <v>4</v>
      </c>
      <c r="M98" s="30">
        <v>1815</v>
      </c>
      <c r="N98" s="30">
        <v>70</v>
      </c>
      <c r="O98" s="30">
        <v>8164</v>
      </c>
      <c r="P98" s="30">
        <v>1889</v>
      </c>
      <c r="Q98" s="30">
        <v>6275</v>
      </c>
      <c r="R98" s="30">
        <v>8164</v>
      </c>
    </row>
    <row r="99" spans="3:18" ht="14.25" customHeight="1" x14ac:dyDescent="0.2">
      <c r="C99" s="30"/>
      <c r="D99" s="30"/>
      <c r="E99" s="30"/>
      <c r="F99" s="30" t="s">
        <v>8</v>
      </c>
      <c r="G99" s="30">
        <v>877</v>
      </c>
      <c r="H99" s="30">
        <v>2072</v>
      </c>
      <c r="I99" s="30">
        <v>3419</v>
      </c>
      <c r="J99" s="30">
        <v>4458</v>
      </c>
      <c r="K99" s="30">
        <v>4264</v>
      </c>
      <c r="L99" s="30">
        <v>11</v>
      </c>
      <c r="M99" s="30">
        <v>4026</v>
      </c>
      <c r="N99" s="30">
        <v>188</v>
      </c>
      <c r="O99" s="30">
        <v>19315</v>
      </c>
      <c r="P99" s="30">
        <v>4225</v>
      </c>
      <c r="Q99" s="30">
        <v>15090</v>
      </c>
      <c r="R99" s="30">
        <v>19315</v>
      </c>
    </row>
    <row r="100" spans="3:18" ht="14.25" customHeight="1" x14ac:dyDescent="0.2">
      <c r="C100" s="30"/>
      <c r="D100" s="30"/>
      <c r="E100" s="30"/>
      <c r="F100" s="30" t="s">
        <v>9</v>
      </c>
      <c r="G100" s="30">
        <v>62</v>
      </c>
      <c r="H100" s="30">
        <v>86</v>
      </c>
      <c r="I100" s="30">
        <v>125</v>
      </c>
      <c r="J100" s="30">
        <v>104</v>
      </c>
      <c r="K100" s="30">
        <v>87</v>
      </c>
      <c r="L100" s="30">
        <v>0</v>
      </c>
      <c r="M100" s="30">
        <v>50</v>
      </c>
      <c r="N100" s="30">
        <v>1</v>
      </c>
      <c r="O100" s="30">
        <v>515</v>
      </c>
      <c r="P100" s="30">
        <v>51</v>
      </c>
      <c r="Q100" s="30">
        <v>464</v>
      </c>
      <c r="R100" s="30">
        <v>515</v>
      </c>
    </row>
    <row r="101" spans="3:18" ht="14.25" customHeight="1" x14ac:dyDescent="0.2">
      <c r="C101" s="30"/>
      <c r="D101" s="30"/>
      <c r="E101" s="30"/>
      <c r="F101" s="30" t="s">
        <v>10</v>
      </c>
      <c r="G101" s="30">
        <v>406</v>
      </c>
      <c r="H101" s="30">
        <v>694</v>
      </c>
      <c r="I101" s="30">
        <v>925</v>
      </c>
      <c r="J101" s="30">
        <v>1037</v>
      </c>
      <c r="K101" s="30">
        <v>1176</v>
      </c>
      <c r="L101" s="30">
        <v>0</v>
      </c>
      <c r="M101" s="30">
        <v>1794</v>
      </c>
      <c r="N101" s="30">
        <v>69</v>
      </c>
      <c r="O101" s="30">
        <v>6101</v>
      </c>
      <c r="P101" s="30">
        <v>1863</v>
      </c>
      <c r="Q101" s="30">
        <v>4238</v>
      </c>
      <c r="R101" s="30">
        <v>6101</v>
      </c>
    </row>
    <row r="102" spans="3:18" ht="14.25" customHeight="1" x14ac:dyDescent="0.2">
      <c r="C102" s="30"/>
      <c r="D102" s="30"/>
      <c r="E102" s="30"/>
      <c r="F102" s="30" t="s">
        <v>11</v>
      </c>
      <c r="G102" s="30">
        <v>3786</v>
      </c>
      <c r="H102" s="30">
        <v>6125</v>
      </c>
      <c r="I102" s="30">
        <v>7961</v>
      </c>
      <c r="J102" s="30">
        <v>7328</v>
      </c>
      <c r="K102" s="30">
        <v>5487</v>
      </c>
      <c r="L102" s="30">
        <v>2</v>
      </c>
      <c r="M102" s="30">
        <v>4823</v>
      </c>
      <c r="N102" s="30">
        <v>271</v>
      </c>
      <c r="O102" s="30">
        <v>35783</v>
      </c>
      <c r="P102" s="30">
        <v>5096</v>
      </c>
      <c r="Q102" s="30">
        <v>30687</v>
      </c>
      <c r="R102" s="30">
        <v>35783</v>
      </c>
    </row>
    <row r="103" spans="3:18" ht="14.25" customHeight="1" x14ac:dyDescent="0.2">
      <c r="C103" s="30"/>
      <c r="D103" s="30"/>
      <c r="E103" s="30"/>
      <c r="F103" s="30" t="s">
        <v>12</v>
      </c>
      <c r="G103" s="30">
        <v>3337</v>
      </c>
      <c r="H103" s="30">
        <v>2627</v>
      </c>
      <c r="I103" s="30">
        <v>2677</v>
      </c>
      <c r="J103" s="30">
        <v>2353</v>
      </c>
      <c r="K103" s="30">
        <v>1830</v>
      </c>
      <c r="L103" s="30">
        <v>5</v>
      </c>
      <c r="M103" s="30">
        <v>1965</v>
      </c>
      <c r="N103" s="30">
        <v>103</v>
      </c>
      <c r="O103" s="30">
        <v>14897</v>
      </c>
      <c r="P103" s="30">
        <v>2073</v>
      </c>
      <c r="Q103" s="30">
        <v>12824</v>
      </c>
      <c r="R103" s="30">
        <v>14897</v>
      </c>
    </row>
    <row r="104" spans="3:18" ht="14.25" customHeight="1" x14ac:dyDescent="0.2">
      <c r="C104" s="30"/>
      <c r="D104" s="30"/>
      <c r="E104" s="30"/>
      <c r="F104" s="30" t="s">
        <v>13</v>
      </c>
      <c r="G104" s="30">
        <v>5945</v>
      </c>
      <c r="H104" s="30">
        <v>5619</v>
      </c>
      <c r="I104" s="30">
        <v>6030</v>
      </c>
      <c r="J104" s="30">
        <v>5290</v>
      </c>
      <c r="K104" s="30">
        <v>3990</v>
      </c>
      <c r="L104" s="30">
        <v>11</v>
      </c>
      <c r="M104" s="30">
        <v>3258</v>
      </c>
      <c r="N104" s="30">
        <v>116</v>
      </c>
      <c r="O104" s="30">
        <v>30259</v>
      </c>
      <c r="P104" s="30">
        <v>3385</v>
      </c>
      <c r="Q104" s="30">
        <v>26874</v>
      </c>
      <c r="R104" s="30">
        <v>30259</v>
      </c>
    </row>
    <row r="105" spans="3:18" ht="14.25" customHeight="1" x14ac:dyDescent="0.2">
      <c r="C105" s="30"/>
      <c r="D105" s="30"/>
      <c r="E105" s="30"/>
      <c r="F105" s="30" t="s">
        <v>14</v>
      </c>
      <c r="G105" s="30">
        <v>2213</v>
      </c>
      <c r="H105" s="30">
        <v>1976</v>
      </c>
      <c r="I105" s="30">
        <v>2179</v>
      </c>
      <c r="J105" s="30">
        <v>1795</v>
      </c>
      <c r="K105" s="30">
        <v>1264</v>
      </c>
      <c r="L105" s="30">
        <v>1</v>
      </c>
      <c r="M105" s="30">
        <v>1179</v>
      </c>
      <c r="N105" s="30">
        <v>81</v>
      </c>
      <c r="O105" s="30">
        <v>10688</v>
      </c>
      <c r="P105" s="30">
        <v>1261</v>
      </c>
      <c r="Q105" s="30">
        <v>9427</v>
      </c>
      <c r="R105" s="30">
        <v>10688</v>
      </c>
    </row>
    <row r="106" spans="3:18" ht="14.25" customHeight="1" x14ac:dyDescent="0.2">
      <c r="C106" s="30"/>
      <c r="D106" s="30"/>
      <c r="E106" s="30"/>
      <c r="F106" s="30" t="s">
        <v>15</v>
      </c>
      <c r="G106" s="30">
        <v>7295</v>
      </c>
      <c r="H106" s="30">
        <v>9109</v>
      </c>
      <c r="I106" s="30">
        <v>9961</v>
      </c>
      <c r="J106" s="30">
        <v>8155</v>
      </c>
      <c r="K106" s="30">
        <v>4998</v>
      </c>
      <c r="L106" s="30">
        <v>5</v>
      </c>
      <c r="M106" s="30">
        <v>3257</v>
      </c>
      <c r="N106" s="30">
        <v>199</v>
      </c>
      <c r="O106" s="30">
        <v>42979</v>
      </c>
      <c r="P106" s="30">
        <v>3461</v>
      </c>
      <c r="Q106" s="30">
        <v>39518</v>
      </c>
      <c r="R106" s="30">
        <v>42979</v>
      </c>
    </row>
    <row r="107" spans="3:18" ht="14.25" customHeight="1" x14ac:dyDescent="0.2">
      <c r="C107" s="30"/>
      <c r="D107" s="30"/>
      <c r="E107" s="30"/>
      <c r="F107" s="30" t="s">
        <v>16</v>
      </c>
      <c r="G107" s="30">
        <v>2711</v>
      </c>
      <c r="H107" s="30">
        <v>3164</v>
      </c>
      <c r="I107" s="30">
        <v>3767</v>
      </c>
      <c r="J107" s="30">
        <v>3488</v>
      </c>
      <c r="K107" s="30">
        <v>3009</v>
      </c>
      <c r="L107" s="30">
        <v>1</v>
      </c>
      <c r="M107" s="30">
        <v>3694</v>
      </c>
      <c r="N107" s="30">
        <v>365</v>
      </c>
      <c r="O107" s="30">
        <v>20199</v>
      </c>
      <c r="P107" s="30">
        <v>4060</v>
      </c>
      <c r="Q107" s="30">
        <v>16139</v>
      </c>
      <c r="R107" s="30">
        <v>20199</v>
      </c>
    </row>
    <row r="108" spans="3:18" ht="14.25" customHeight="1" x14ac:dyDescent="0.2">
      <c r="C108" s="30"/>
      <c r="D108" s="30"/>
      <c r="E108" s="30"/>
      <c r="F108" s="30" t="s">
        <v>17</v>
      </c>
      <c r="G108" s="30">
        <v>8541</v>
      </c>
      <c r="H108" s="30">
        <v>10888</v>
      </c>
      <c r="I108" s="30">
        <v>12959</v>
      </c>
      <c r="J108" s="30">
        <v>11946</v>
      </c>
      <c r="K108" s="30">
        <v>9968</v>
      </c>
      <c r="L108" s="30">
        <v>0</v>
      </c>
      <c r="M108" s="30">
        <v>11718</v>
      </c>
      <c r="N108" s="30">
        <v>728</v>
      </c>
      <c r="O108" s="30">
        <v>66748</v>
      </c>
      <c r="P108" s="30">
        <v>12446</v>
      </c>
      <c r="Q108" s="30">
        <v>54302</v>
      </c>
      <c r="R108" s="30">
        <v>66748</v>
      </c>
    </row>
    <row r="109" spans="3:18" ht="14.25" customHeight="1" x14ac:dyDescent="0.2">
      <c r="C109" s="30"/>
      <c r="D109" s="30"/>
      <c r="E109" s="30"/>
      <c r="F109" s="30" t="s">
        <v>18</v>
      </c>
      <c r="G109" s="30">
        <v>5142</v>
      </c>
      <c r="H109" s="30">
        <v>5794</v>
      </c>
      <c r="I109" s="30">
        <v>6433</v>
      </c>
      <c r="J109" s="30">
        <v>5587</v>
      </c>
      <c r="K109" s="30">
        <v>4415</v>
      </c>
      <c r="L109" s="30">
        <v>10</v>
      </c>
      <c r="M109" s="30">
        <v>4406</v>
      </c>
      <c r="N109" s="30">
        <v>312</v>
      </c>
      <c r="O109" s="30">
        <v>32099</v>
      </c>
      <c r="P109" s="30">
        <v>4728</v>
      </c>
      <c r="Q109" s="30">
        <v>27371</v>
      </c>
      <c r="R109" s="30">
        <v>32099</v>
      </c>
    </row>
    <row r="110" spans="3:18" ht="14.25" customHeight="1" x14ac:dyDescent="0.2">
      <c r="C110" s="30"/>
      <c r="D110" s="30"/>
      <c r="E110" s="30"/>
      <c r="F110" s="30" t="s">
        <v>73</v>
      </c>
      <c r="G110" s="30">
        <v>993</v>
      </c>
      <c r="H110" s="30">
        <v>1176</v>
      </c>
      <c r="I110" s="30">
        <v>1468</v>
      </c>
      <c r="J110" s="30">
        <v>1462</v>
      </c>
      <c r="K110" s="30">
        <v>1267</v>
      </c>
      <c r="L110" s="30">
        <v>0</v>
      </c>
      <c r="M110" s="30">
        <v>1715</v>
      </c>
      <c r="N110" s="30">
        <v>261</v>
      </c>
      <c r="O110" s="30">
        <v>8342</v>
      </c>
      <c r="P110" s="30">
        <v>1976</v>
      </c>
      <c r="Q110" s="30">
        <v>6366</v>
      </c>
      <c r="R110" s="30">
        <v>8342</v>
      </c>
    </row>
    <row r="111" spans="3:18" ht="14.25" customHeight="1" x14ac:dyDescent="0.2">
      <c r="C111" s="30"/>
      <c r="D111" s="30"/>
      <c r="E111" s="30"/>
      <c r="F111" s="30" t="s">
        <v>20</v>
      </c>
      <c r="G111" s="30">
        <v>9303</v>
      </c>
      <c r="H111" s="30">
        <v>9736</v>
      </c>
      <c r="I111" s="30">
        <v>10890</v>
      </c>
      <c r="J111" s="30">
        <v>8520</v>
      </c>
      <c r="K111" s="30">
        <v>5462</v>
      </c>
      <c r="L111" s="30">
        <v>1</v>
      </c>
      <c r="M111" s="30">
        <v>3864</v>
      </c>
      <c r="N111" s="30">
        <v>1387</v>
      </c>
      <c r="O111" s="30">
        <v>49163</v>
      </c>
      <c r="P111" s="30">
        <v>5252</v>
      </c>
      <c r="Q111" s="30">
        <v>43911</v>
      </c>
      <c r="R111" s="30">
        <v>49163</v>
      </c>
    </row>
    <row r="112" spans="3:18" ht="14.25" customHeight="1" x14ac:dyDescent="0.2">
      <c r="C112" s="30"/>
      <c r="D112" s="30"/>
      <c r="E112" s="30"/>
      <c r="F112" s="30" t="s">
        <v>21</v>
      </c>
      <c r="G112" s="30">
        <v>2579</v>
      </c>
      <c r="H112" s="30">
        <v>4126</v>
      </c>
      <c r="I112" s="30">
        <v>4312</v>
      </c>
      <c r="J112" s="30">
        <v>2736</v>
      </c>
      <c r="K112" s="30">
        <v>1173</v>
      </c>
      <c r="L112" s="30">
        <v>3</v>
      </c>
      <c r="M112" s="30">
        <v>477</v>
      </c>
      <c r="N112" s="30">
        <v>71</v>
      </c>
      <c r="O112" s="30">
        <v>15477</v>
      </c>
      <c r="P112" s="30">
        <v>551</v>
      </c>
      <c r="Q112" s="30">
        <v>14926</v>
      </c>
      <c r="R112" s="30">
        <v>15477</v>
      </c>
    </row>
    <row r="113" spans="3:18" ht="14.25" customHeight="1" x14ac:dyDescent="0.2">
      <c r="C113" s="30"/>
      <c r="D113" s="30"/>
      <c r="E113" s="30"/>
      <c r="F113" s="30" t="s">
        <v>22</v>
      </c>
      <c r="G113" s="30">
        <v>12328</v>
      </c>
      <c r="H113" s="30">
        <v>16867</v>
      </c>
      <c r="I113" s="30">
        <v>21653</v>
      </c>
      <c r="J113" s="30">
        <v>18193</v>
      </c>
      <c r="K113" s="30">
        <v>9830</v>
      </c>
      <c r="L113" s="30">
        <v>2</v>
      </c>
      <c r="M113" s="30">
        <v>3805</v>
      </c>
      <c r="N113" s="30">
        <v>622</v>
      </c>
      <c r="O113" s="30">
        <v>83300</v>
      </c>
      <c r="P113" s="30">
        <v>4429</v>
      </c>
      <c r="Q113" s="30">
        <v>78871</v>
      </c>
      <c r="R113" s="30">
        <v>83300</v>
      </c>
    </row>
    <row r="114" spans="3:18" ht="14.25" customHeight="1" x14ac:dyDescent="0.2">
      <c r="C114" s="30"/>
      <c r="D114" s="30"/>
      <c r="E114" s="30"/>
      <c r="F114" s="30" t="s">
        <v>61</v>
      </c>
      <c r="G114" s="30">
        <v>3613</v>
      </c>
      <c r="H114" s="30">
        <v>6324</v>
      </c>
      <c r="I114" s="30">
        <v>7644</v>
      </c>
      <c r="J114" s="30">
        <v>5846</v>
      </c>
      <c r="K114" s="30">
        <v>2816</v>
      </c>
      <c r="L114" s="30">
        <v>4</v>
      </c>
      <c r="M114" s="30">
        <v>1477</v>
      </c>
      <c r="N114" s="30">
        <v>303</v>
      </c>
      <c r="O114" s="30">
        <v>28027</v>
      </c>
      <c r="P114" s="30">
        <v>1784</v>
      </c>
      <c r="Q114" s="30">
        <v>26243</v>
      </c>
      <c r="R114" s="30">
        <v>28027</v>
      </c>
    </row>
    <row r="115" spans="3:18" ht="14.25" customHeight="1" x14ac:dyDescent="0.2">
      <c r="C115" s="30"/>
      <c r="D115" s="30"/>
      <c r="E115" s="30"/>
      <c r="F115" s="30" t="s">
        <v>23</v>
      </c>
      <c r="G115" s="30">
        <v>1747</v>
      </c>
      <c r="H115" s="30">
        <v>3997</v>
      </c>
      <c r="I115" s="30">
        <v>4329</v>
      </c>
      <c r="J115" s="30">
        <v>2368</v>
      </c>
      <c r="K115" s="30">
        <v>1006</v>
      </c>
      <c r="L115" s="30">
        <v>0</v>
      </c>
      <c r="M115" s="30">
        <v>590</v>
      </c>
      <c r="N115" s="30">
        <v>229</v>
      </c>
      <c r="O115" s="30">
        <v>14266</v>
      </c>
      <c r="P115" s="30">
        <v>819</v>
      </c>
      <c r="Q115" s="30">
        <v>13447</v>
      </c>
      <c r="R115" s="30">
        <v>14266</v>
      </c>
    </row>
    <row r="116" spans="3:18" ht="14.25" customHeight="1" x14ac:dyDescent="0.2">
      <c r="C116" s="30"/>
      <c r="D116" s="30"/>
      <c r="E116" s="30"/>
      <c r="F116" s="30" t="s">
        <v>24</v>
      </c>
      <c r="G116" s="30">
        <v>3532</v>
      </c>
      <c r="H116" s="30">
        <v>2930</v>
      </c>
      <c r="I116" s="30">
        <v>2963</v>
      </c>
      <c r="J116" s="30">
        <v>2565</v>
      </c>
      <c r="K116" s="30">
        <v>1910</v>
      </c>
      <c r="L116" s="30">
        <v>1</v>
      </c>
      <c r="M116" s="30">
        <v>1569</v>
      </c>
      <c r="N116" s="30">
        <v>93</v>
      </c>
      <c r="O116" s="30">
        <v>15563</v>
      </c>
      <c r="P116" s="30">
        <v>1663</v>
      </c>
      <c r="Q116" s="30">
        <v>13900</v>
      </c>
      <c r="R116" s="30">
        <v>15563</v>
      </c>
    </row>
    <row r="117" spans="3:18" ht="14.25" customHeight="1" x14ac:dyDescent="0.2">
      <c r="C117" s="30"/>
      <c r="D117" s="30"/>
      <c r="E117" s="30"/>
      <c r="F117" s="30" t="s">
        <v>25</v>
      </c>
      <c r="G117" s="30">
        <v>1443</v>
      </c>
      <c r="H117" s="30">
        <v>1285</v>
      </c>
      <c r="I117" s="30">
        <v>1314</v>
      </c>
      <c r="J117" s="30">
        <v>1082</v>
      </c>
      <c r="K117" s="30">
        <v>766</v>
      </c>
      <c r="L117" s="30">
        <v>0</v>
      </c>
      <c r="M117" s="30">
        <v>488</v>
      </c>
      <c r="N117" s="30">
        <v>40</v>
      </c>
      <c r="O117" s="30">
        <v>6418</v>
      </c>
      <c r="P117" s="30">
        <v>528</v>
      </c>
      <c r="Q117" s="30">
        <v>5890</v>
      </c>
      <c r="R117" s="30">
        <v>6418</v>
      </c>
    </row>
    <row r="118" spans="3:18" ht="14.25" customHeight="1" x14ac:dyDescent="0.2">
      <c r="C118" s="30"/>
      <c r="D118" s="30"/>
      <c r="E118" s="30"/>
      <c r="F118" s="30" t="s">
        <v>26</v>
      </c>
      <c r="G118" s="30">
        <v>1171</v>
      </c>
      <c r="H118" s="30">
        <v>1051</v>
      </c>
      <c r="I118" s="30">
        <v>1172</v>
      </c>
      <c r="J118" s="30">
        <v>1007</v>
      </c>
      <c r="K118" s="30">
        <v>689</v>
      </c>
      <c r="L118" s="30">
        <v>0</v>
      </c>
      <c r="M118" s="30">
        <v>488</v>
      </c>
      <c r="N118" s="30">
        <v>56</v>
      </c>
      <c r="O118" s="30">
        <v>5634</v>
      </c>
      <c r="P118" s="30">
        <v>544</v>
      </c>
      <c r="Q118" s="30">
        <v>5090</v>
      </c>
      <c r="R118" s="30">
        <v>5634</v>
      </c>
    </row>
    <row r="119" spans="3:18" ht="14.25" customHeight="1" x14ac:dyDescent="0.2">
      <c r="C119" s="30"/>
      <c r="D119" s="30"/>
      <c r="E119" s="30"/>
      <c r="F119" s="30" t="s">
        <v>74</v>
      </c>
      <c r="G119" s="30">
        <v>1446</v>
      </c>
      <c r="H119" s="30">
        <v>847</v>
      </c>
      <c r="I119" s="30">
        <v>369</v>
      </c>
      <c r="J119" s="30">
        <v>238</v>
      </c>
      <c r="K119" s="30">
        <v>170</v>
      </c>
      <c r="L119" s="30">
        <v>2</v>
      </c>
      <c r="M119" s="30">
        <v>132</v>
      </c>
      <c r="N119" s="30">
        <v>64</v>
      </c>
      <c r="O119" s="30">
        <v>3268</v>
      </c>
      <c r="P119" s="30">
        <v>198</v>
      </c>
      <c r="Q119" s="30">
        <v>3070</v>
      </c>
      <c r="R119" s="30">
        <v>3268</v>
      </c>
    </row>
    <row r="120" spans="3:18" ht="14.25" customHeight="1" x14ac:dyDescent="0.2">
      <c r="C120" s="30"/>
      <c r="D120" s="30"/>
      <c r="E120" s="30"/>
      <c r="F120" s="30" t="s">
        <v>28</v>
      </c>
      <c r="G120" s="30">
        <v>1756</v>
      </c>
      <c r="H120" s="30">
        <v>1257</v>
      </c>
      <c r="I120" s="30">
        <v>1180</v>
      </c>
      <c r="J120" s="30">
        <v>771</v>
      </c>
      <c r="K120" s="30">
        <v>422</v>
      </c>
      <c r="L120" s="30">
        <v>0</v>
      </c>
      <c r="M120" s="30">
        <v>261</v>
      </c>
      <c r="N120" s="30">
        <v>31</v>
      </c>
      <c r="O120" s="30">
        <v>5678</v>
      </c>
      <c r="P120" s="30">
        <v>292</v>
      </c>
      <c r="Q120" s="30">
        <v>5386</v>
      </c>
      <c r="R120" s="30">
        <v>5678</v>
      </c>
    </row>
    <row r="121" spans="3:18" ht="14.25" customHeight="1" x14ac:dyDescent="0.2">
      <c r="C121" s="30"/>
      <c r="D121" s="30"/>
      <c r="E121" s="30"/>
      <c r="F121" s="30" t="s">
        <v>29</v>
      </c>
      <c r="G121" s="30">
        <v>3431</v>
      </c>
      <c r="H121" s="30">
        <v>3529</v>
      </c>
      <c r="I121" s="30">
        <v>3372</v>
      </c>
      <c r="J121" s="30">
        <v>2503</v>
      </c>
      <c r="K121" s="30">
        <v>1641</v>
      </c>
      <c r="L121" s="30">
        <v>2</v>
      </c>
      <c r="M121" s="30">
        <v>1265</v>
      </c>
      <c r="N121" s="30">
        <v>123</v>
      </c>
      <c r="O121" s="30">
        <v>15866</v>
      </c>
      <c r="P121" s="30">
        <v>1390</v>
      </c>
      <c r="Q121" s="30">
        <v>14476</v>
      </c>
      <c r="R121" s="30">
        <v>15866</v>
      </c>
    </row>
    <row r="122" spans="3:18" ht="14.25" customHeight="1" x14ac:dyDescent="0.2">
      <c r="C122" s="30"/>
      <c r="D122" s="30"/>
      <c r="E122" s="30"/>
      <c r="F122" s="30" t="s">
        <v>30</v>
      </c>
      <c r="G122" s="30">
        <v>1606</v>
      </c>
      <c r="H122" s="30">
        <v>1883</v>
      </c>
      <c r="I122" s="30">
        <v>2380</v>
      </c>
      <c r="J122" s="30">
        <v>2335</v>
      </c>
      <c r="K122" s="30">
        <v>1659</v>
      </c>
      <c r="L122" s="30">
        <v>0</v>
      </c>
      <c r="M122" s="30">
        <v>1055</v>
      </c>
      <c r="N122" s="30">
        <v>141</v>
      </c>
      <c r="O122" s="30">
        <v>11059</v>
      </c>
      <c r="P122" s="30">
        <v>1196</v>
      </c>
      <c r="Q122" s="30">
        <v>9863</v>
      </c>
      <c r="R122" s="30">
        <v>11059</v>
      </c>
    </row>
    <row r="123" spans="3:18" ht="14.25" customHeight="1" x14ac:dyDescent="0.2">
      <c r="C123" s="30"/>
      <c r="D123" s="30"/>
      <c r="E123" s="30"/>
      <c r="F123" s="30" t="s">
        <v>31</v>
      </c>
      <c r="G123" s="30">
        <v>2857</v>
      </c>
      <c r="H123" s="30">
        <v>3880</v>
      </c>
      <c r="I123" s="30">
        <v>5151</v>
      </c>
      <c r="J123" s="30">
        <v>5298</v>
      </c>
      <c r="K123" s="30">
        <v>4541</v>
      </c>
      <c r="L123" s="30">
        <v>1</v>
      </c>
      <c r="M123" s="30">
        <v>3287</v>
      </c>
      <c r="N123" s="30">
        <v>175</v>
      </c>
      <c r="O123" s="30">
        <v>25190</v>
      </c>
      <c r="P123" s="30">
        <v>3463</v>
      </c>
      <c r="Q123" s="30">
        <v>21727</v>
      </c>
      <c r="R123" s="30">
        <v>25190</v>
      </c>
    </row>
    <row r="124" spans="3:18" ht="14.25" customHeight="1" x14ac:dyDescent="0.2">
      <c r="C124" s="30"/>
      <c r="D124" s="30"/>
      <c r="E124" s="30"/>
      <c r="F124" s="30" t="s">
        <v>32</v>
      </c>
      <c r="G124" s="30">
        <v>8947</v>
      </c>
      <c r="H124" s="30">
        <v>12877</v>
      </c>
      <c r="I124" s="30">
        <v>18372</v>
      </c>
      <c r="J124" s="30">
        <v>21194</v>
      </c>
      <c r="K124" s="30">
        <v>19776</v>
      </c>
      <c r="L124" s="30">
        <v>23</v>
      </c>
      <c r="M124" s="30">
        <v>21417</v>
      </c>
      <c r="N124" s="30">
        <v>1926</v>
      </c>
      <c r="O124" s="30">
        <v>104532</v>
      </c>
      <c r="P124" s="30">
        <v>23366</v>
      </c>
      <c r="Q124" s="30">
        <v>81166</v>
      </c>
      <c r="R124" s="30">
        <v>104532</v>
      </c>
    </row>
    <row r="125" spans="3:18" ht="14.25" customHeight="1" x14ac:dyDescent="0.2">
      <c r="C125" s="30"/>
      <c r="D125" s="30"/>
      <c r="E125" s="30"/>
      <c r="F125" s="30" t="s">
        <v>76</v>
      </c>
      <c r="G125" s="30">
        <v>8</v>
      </c>
      <c r="H125" s="30">
        <v>14</v>
      </c>
      <c r="I125" s="30">
        <v>11</v>
      </c>
      <c r="J125" s="30">
        <v>11</v>
      </c>
      <c r="K125" s="30">
        <v>14</v>
      </c>
      <c r="L125" s="30">
        <v>0</v>
      </c>
      <c r="M125" s="30">
        <v>6</v>
      </c>
      <c r="N125" s="30">
        <v>0</v>
      </c>
      <c r="O125" s="30">
        <v>64</v>
      </c>
      <c r="P125" s="30">
        <v>6</v>
      </c>
      <c r="Q125" s="30">
        <v>58</v>
      </c>
      <c r="R125" s="30">
        <v>64</v>
      </c>
    </row>
    <row r="126" spans="3:18" ht="14.25" customHeight="1" x14ac:dyDescent="0.2">
      <c r="C126" s="30"/>
      <c r="D126" s="30"/>
      <c r="E126" s="30"/>
      <c r="F126" s="30" t="s">
        <v>54</v>
      </c>
      <c r="G126" s="30">
        <v>136126</v>
      </c>
      <c r="H126" s="30">
        <v>154076</v>
      </c>
      <c r="I126" s="30">
        <v>179525</v>
      </c>
      <c r="J126" s="30">
        <v>162602</v>
      </c>
      <c r="K126" s="30">
        <v>124765</v>
      </c>
      <c r="L126" s="30">
        <v>143</v>
      </c>
      <c r="M126" s="30">
        <v>120220</v>
      </c>
      <c r="N126" s="30">
        <v>9208</v>
      </c>
      <c r="O126" s="30">
        <v>886665</v>
      </c>
      <c r="P126" s="30">
        <v>129571</v>
      </c>
      <c r="Q126" s="30">
        <v>757094</v>
      </c>
      <c r="R126" s="30">
        <v>886665</v>
      </c>
    </row>
    <row r="127" spans="3:18" ht="14.25" customHeight="1" x14ac:dyDescent="0.2">
      <c r="C127" s="30"/>
      <c r="D127" s="30" t="s">
        <v>66</v>
      </c>
      <c r="E127" s="30" t="s">
        <v>72</v>
      </c>
      <c r="F127" s="30" t="s">
        <v>0</v>
      </c>
      <c r="G127" s="30">
        <v>3014</v>
      </c>
      <c r="H127" s="30">
        <v>3316</v>
      </c>
      <c r="I127" s="30">
        <v>3924</v>
      </c>
      <c r="J127" s="30">
        <v>3985</v>
      </c>
      <c r="K127" s="30">
        <v>3878</v>
      </c>
      <c r="L127" s="30">
        <v>11</v>
      </c>
      <c r="M127" s="30">
        <v>4814</v>
      </c>
      <c r="N127" s="30">
        <v>110</v>
      </c>
      <c r="O127" s="30">
        <v>23052</v>
      </c>
      <c r="P127" s="30">
        <v>4935</v>
      </c>
      <c r="Q127" s="30">
        <v>18117</v>
      </c>
      <c r="R127" s="30">
        <v>23052</v>
      </c>
    </row>
    <row r="128" spans="3:18" ht="14.25" customHeight="1" x14ac:dyDescent="0.2">
      <c r="C128" s="30"/>
      <c r="D128" s="30"/>
      <c r="E128" s="30"/>
      <c r="F128" s="30" t="s">
        <v>1</v>
      </c>
      <c r="G128" s="30">
        <v>3460</v>
      </c>
      <c r="H128" s="30">
        <v>3317</v>
      </c>
      <c r="I128" s="30">
        <v>3407</v>
      </c>
      <c r="J128" s="30">
        <v>3206</v>
      </c>
      <c r="K128" s="30">
        <v>2927</v>
      </c>
      <c r="L128" s="30">
        <v>2</v>
      </c>
      <c r="M128" s="30">
        <v>3400</v>
      </c>
      <c r="N128" s="30">
        <v>78</v>
      </c>
      <c r="O128" s="30">
        <v>19797</v>
      </c>
      <c r="P128" s="30">
        <v>3480</v>
      </c>
      <c r="Q128" s="30">
        <v>16317</v>
      </c>
      <c r="R128" s="30">
        <v>19797</v>
      </c>
    </row>
    <row r="129" spans="3:18" ht="14.25" customHeight="1" x14ac:dyDescent="0.2">
      <c r="C129" s="30"/>
      <c r="D129" s="30"/>
      <c r="E129" s="30"/>
      <c r="F129" s="30" t="s">
        <v>2</v>
      </c>
      <c r="G129" s="30">
        <v>3920</v>
      </c>
      <c r="H129" s="30">
        <v>3412</v>
      </c>
      <c r="I129" s="30">
        <v>3571</v>
      </c>
      <c r="J129" s="30">
        <v>3498</v>
      </c>
      <c r="K129" s="30">
        <v>3022</v>
      </c>
      <c r="L129" s="30">
        <v>4</v>
      </c>
      <c r="M129" s="30">
        <v>4054</v>
      </c>
      <c r="N129" s="30">
        <v>90</v>
      </c>
      <c r="O129" s="30">
        <v>21571</v>
      </c>
      <c r="P129" s="30">
        <v>4148</v>
      </c>
      <c r="Q129" s="30">
        <v>17423</v>
      </c>
      <c r="R129" s="30">
        <v>21571</v>
      </c>
    </row>
    <row r="130" spans="3:18" ht="14.25" customHeight="1" x14ac:dyDescent="0.2">
      <c r="C130" s="30"/>
      <c r="D130" s="30"/>
      <c r="E130" s="30"/>
      <c r="F130" s="30" t="s">
        <v>3</v>
      </c>
      <c r="G130" s="30">
        <v>769</v>
      </c>
      <c r="H130" s="30">
        <v>710</v>
      </c>
      <c r="I130" s="30">
        <v>880</v>
      </c>
      <c r="J130" s="30">
        <v>912</v>
      </c>
      <c r="K130" s="30">
        <v>845</v>
      </c>
      <c r="L130" s="30">
        <v>0</v>
      </c>
      <c r="M130" s="30">
        <v>900</v>
      </c>
      <c r="N130" s="30">
        <v>46</v>
      </c>
      <c r="O130" s="30">
        <v>5062</v>
      </c>
      <c r="P130" s="30">
        <v>946</v>
      </c>
      <c r="Q130" s="30">
        <v>4116</v>
      </c>
      <c r="R130" s="30">
        <v>5062</v>
      </c>
    </row>
    <row r="131" spans="3:18" ht="14.25" customHeight="1" x14ac:dyDescent="0.2">
      <c r="C131" s="30"/>
      <c r="D131" s="30"/>
      <c r="E131" s="30"/>
      <c r="F131" s="30" t="s">
        <v>4</v>
      </c>
      <c r="G131" s="30">
        <v>7192</v>
      </c>
      <c r="H131" s="30">
        <v>4421</v>
      </c>
      <c r="I131" s="30">
        <v>4461</v>
      </c>
      <c r="J131" s="30">
        <v>4540</v>
      </c>
      <c r="K131" s="30">
        <v>4276</v>
      </c>
      <c r="L131" s="30">
        <v>10</v>
      </c>
      <c r="M131" s="30">
        <v>6943</v>
      </c>
      <c r="N131" s="30">
        <v>225</v>
      </c>
      <c r="O131" s="30">
        <v>32068</v>
      </c>
      <c r="P131" s="30">
        <v>7178</v>
      </c>
      <c r="Q131" s="30">
        <v>24890</v>
      </c>
      <c r="R131" s="30">
        <v>32068</v>
      </c>
    </row>
    <row r="132" spans="3:18" ht="14.25" customHeight="1" x14ac:dyDescent="0.2">
      <c r="C132" s="30"/>
      <c r="D132" s="30"/>
      <c r="E132" s="30"/>
      <c r="F132" s="30" t="s">
        <v>5</v>
      </c>
      <c r="G132" s="30">
        <v>829</v>
      </c>
      <c r="H132" s="30">
        <v>367</v>
      </c>
      <c r="I132" s="30">
        <v>316</v>
      </c>
      <c r="J132" s="30">
        <v>278</v>
      </c>
      <c r="K132" s="30">
        <v>163</v>
      </c>
      <c r="L132" s="30">
        <v>0</v>
      </c>
      <c r="M132" s="30">
        <v>162</v>
      </c>
      <c r="N132" s="30">
        <v>24</v>
      </c>
      <c r="O132" s="30">
        <v>2139</v>
      </c>
      <c r="P132" s="30">
        <v>186</v>
      </c>
      <c r="Q132" s="30">
        <v>1953</v>
      </c>
      <c r="R132" s="30">
        <v>2139</v>
      </c>
    </row>
    <row r="133" spans="3:18" ht="14.25" customHeight="1" x14ac:dyDescent="0.2">
      <c r="C133" s="30"/>
      <c r="D133" s="30"/>
      <c r="E133" s="30"/>
      <c r="F133" s="30" t="s">
        <v>6</v>
      </c>
      <c r="G133" s="30">
        <v>923</v>
      </c>
      <c r="H133" s="30">
        <v>1566</v>
      </c>
      <c r="I133" s="30">
        <v>2300</v>
      </c>
      <c r="J133" s="30">
        <v>2476</v>
      </c>
      <c r="K133" s="30">
        <v>2174</v>
      </c>
      <c r="L133" s="30">
        <v>1</v>
      </c>
      <c r="M133" s="30">
        <v>1836</v>
      </c>
      <c r="N133" s="30">
        <v>128</v>
      </c>
      <c r="O133" s="30">
        <v>11404</v>
      </c>
      <c r="P133" s="30">
        <v>1965</v>
      </c>
      <c r="Q133" s="30">
        <v>9439</v>
      </c>
      <c r="R133" s="30">
        <v>11404</v>
      </c>
    </row>
    <row r="134" spans="3:18" ht="14.25" customHeight="1" x14ac:dyDescent="0.2">
      <c r="C134" s="30"/>
      <c r="D134" s="30"/>
      <c r="E134" s="30"/>
      <c r="F134" s="30" t="s">
        <v>7</v>
      </c>
      <c r="G134" s="30">
        <v>752</v>
      </c>
      <c r="H134" s="30">
        <v>1037</v>
      </c>
      <c r="I134" s="30">
        <v>1334</v>
      </c>
      <c r="J134" s="30">
        <v>1373</v>
      </c>
      <c r="K134" s="30">
        <v>1224</v>
      </c>
      <c r="L134" s="30">
        <v>4</v>
      </c>
      <c r="M134" s="30">
        <v>1629</v>
      </c>
      <c r="N134" s="30">
        <v>57</v>
      </c>
      <c r="O134" s="30">
        <v>7410</v>
      </c>
      <c r="P134" s="30">
        <v>1690</v>
      </c>
      <c r="Q134" s="30">
        <v>5720</v>
      </c>
      <c r="R134" s="30">
        <v>7410</v>
      </c>
    </row>
    <row r="135" spans="3:18" ht="14.25" customHeight="1" x14ac:dyDescent="0.2">
      <c r="C135" s="30"/>
      <c r="D135" s="30"/>
      <c r="E135" s="30"/>
      <c r="F135" s="30" t="s">
        <v>8</v>
      </c>
      <c r="G135" s="30">
        <v>489</v>
      </c>
      <c r="H135" s="30">
        <v>1187</v>
      </c>
      <c r="I135" s="30">
        <v>2097</v>
      </c>
      <c r="J135" s="30">
        <v>2821</v>
      </c>
      <c r="K135" s="30">
        <v>2831</v>
      </c>
      <c r="L135" s="30">
        <v>9</v>
      </c>
      <c r="M135" s="30">
        <v>2740</v>
      </c>
      <c r="N135" s="30">
        <v>123</v>
      </c>
      <c r="O135" s="30">
        <v>12297</v>
      </c>
      <c r="P135" s="30">
        <v>2872</v>
      </c>
      <c r="Q135" s="30">
        <v>9425</v>
      </c>
      <c r="R135" s="30">
        <v>12297</v>
      </c>
    </row>
    <row r="136" spans="3:18" ht="14.25" customHeight="1" x14ac:dyDescent="0.2">
      <c r="C136" s="30"/>
      <c r="D136" s="30"/>
      <c r="E136" s="30"/>
      <c r="F136" s="30" t="s">
        <v>9</v>
      </c>
      <c r="G136" s="30">
        <v>1</v>
      </c>
      <c r="H136" s="30">
        <v>9</v>
      </c>
      <c r="I136" s="30">
        <v>17</v>
      </c>
      <c r="J136" s="30">
        <v>19</v>
      </c>
      <c r="K136" s="30">
        <v>19</v>
      </c>
      <c r="L136" s="30">
        <v>0</v>
      </c>
      <c r="M136" s="30">
        <v>13</v>
      </c>
      <c r="N136" s="30">
        <v>0</v>
      </c>
      <c r="O136" s="30">
        <v>78</v>
      </c>
      <c r="P136" s="30">
        <v>13</v>
      </c>
      <c r="Q136" s="30">
        <v>65</v>
      </c>
      <c r="R136" s="30">
        <v>78</v>
      </c>
    </row>
    <row r="137" spans="3:18" ht="14.25" customHeight="1" x14ac:dyDescent="0.2">
      <c r="C137" s="30"/>
      <c r="D137" s="30"/>
      <c r="E137" s="30"/>
      <c r="F137" s="30" t="s">
        <v>10</v>
      </c>
      <c r="G137" s="30">
        <v>214</v>
      </c>
      <c r="H137" s="30">
        <v>431</v>
      </c>
      <c r="I137" s="30">
        <v>580</v>
      </c>
      <c r="J137" s="30">
        <v>645</v>
      </c>
      <c r="K137" s="30">
        <v>723</v>
      </c>
      <c r="L137" s="30">
        <v>0</v>
      </c>
      <c r="M137" s="30">
        <v>1102</v>
      </c>
      <c r="N137" s="30">
        <v>39</v>
      </c>
      <c r="O137" s="30">
        <v>3734</v>
      </c>
      <c r="P137" s="30">
        <v>1141</v>
      </c>
      <c r="Q137" s="30">
        <v>2593</v>
      </c>
      <c r="R137" s="30">
        <v>3734</v>
      </c>
    </row>
    <row r="138" spans="3:18" ht="14.25" customHeight="1" x14ac:dyDescent="0.2">
      <c r="C138" s="30"/>
      <c r="D138" s="30"/>
      <c r="E138" s="30"/>
      <c r="F138" s="30" t="s">
        <v>11</v>
      </c>
      <c r="G138" s="30">
        <v>1914</v>
      </c>
      <c r="H138" s="30">
        <v>3404</v>
      </c>
      <c r="I138" s="30">
        <v>4586</v>
      </c>
      <c r="J138" s="30">
        <v>4340</v>
      </c>
      <c r="K138" s="30">
        <v>3239</v>
      </c>
      <c r="L138" s="30">
        <v>2</v>
      </c>
      <c r="M138" s="30">
        <v>2790</v>
      </c>
      <c r="N138" s="30">
        <v>153</v>
      </c>
      <c r="O138" s="30">
        <v>20428</v>
      </c>
      <c r="P138" s="30">
        <v>2945</v>
      </c>
      <c r="Q138" s="30">
        <v>17483</v>
      </c>
      <c r="R138" s="30">
        <v>20428</v>
      </c>
    </row>
    <row r="139" spans="3:18" ht="14.25" customHeight="1" x14ac:dyDescent="0.2">
      <c r="C139" s="30"/>
      <c r="D139" s="30"/>
      <c r="E139" s="30"/>
      <c r="F139" s="30" t="s">
        <v>12</v>
      </c>
      <c r="G139" s="30">
        <v>2192</v>
      </c>
      <c r="H139" s="30">
        <v>1782</v>
      </c>
      <c r="I139" s="30">
        <v>1906</v>
      </c>
      <c r="J139" s="30">
        <v>1637</v>
      </c>
      <c r="K139" s="30">
        <v>1276</v>
      </c>
      <c r="L139" s="30">
        <v>4</v>
      </c>
      <c r="M139" s="30">
        <v>1383</v>
      </c>
      <c r="N139" s="30">
        <v>68</v>
      </c>
      <c r="O139" s="30">
        <v>10248</v>
      </c>
      <c r="P139" s="30">
        <v>1455</v>
      </c>
      <c r="Q139" s="30">
        <v>8793</v>
      </c>
      <c r="R139" s="30">
        <v>10248</v>
      </c>
    </row>
    <row r="140" spans="3:18" ht="14.25" customHeight="1" x14ac:dyDescent="0.2">
      <c r="C140" s="30"/>
      <c r="D140" s="30"/>
      <c r="E140" s="30"/>
      <c r="F140" s="30" t="s">
        <v>13</v>
      </c>
      <c r="G140" s="30">
        <v>2609</v>
      </c>
      <c r="H140" s="30">
        <v>2868</v>
      </c>
      <c r="I140" s="30">
        <v>3394</v>
      </c>
      <c r="J140" s="30">
        <v>3090</v>
      </c>
      <c r="K140" s="30">
        <v>2392</v>
      </c>
      <c r="L140" s="30">
        <v>7</v>
      </c>
      <c r="M140" s="30">
        <v>2000</v>
      </c>
      <c r="N140" s="30">
        <v>71</v>
      </c>
      <c r="O140" s="30">
        <v>16431</v>
      </c>
      <c r="P140" s="30">
        <v>2078</v>
      </c>
      <c r="Q140" s="30">
        <v>14353</v>
      </c>
      <c r="R140" s="30">
        <v>16431</v>
      </c>
    </row>
    <row r="141" spans="3:18" ht="14.25" customHeight="1" x14ac:dyDescent="0.2">
      <c r="C141" s="30"/>
      <c r="D141" s="30"/>
      <c r="E141" s="30"/>
      <c r="F141" s="30" t="s">
        <v>14</v>
      </c>
      <c r="G141" s="30">
        <v>1180</v>
      </c>
      <c r="H141" s="30">
        <v>1142</v>
      </c>
      <c r="I141" s="30">
        <v>1319</v>
      </c>
      <c r="J141" s="30">
        <v>1080</v>
      </c>
      <c r="K141" s="30">
        <v>711</v>
      </c>
      <c r="L141" s="30">
        <v>0</v>
      </c>
      <c r="M141" s="30">
        <v>677</v>
      </c>
      <c r="N141" s="30">
        <v>50</v>
      </c>
      <c r="O141" s="30">
        <v>6159</v>
      </c>
      <c r="P141" s="30">
        <v>727</v>
      </c>
      <c r="Q141" s="30">
        <v>5432</v>
      </c>
      <c r="R141" s="30">
        <v>6159</v>
      </c>
    </row>
    <row r="142" spans="3:18" ht="14.25" customHeight="1" x14ac:dyDescent="0.2">
      <c r="C142" s="30"/>
      <c r="D142" s="30"/>
      <c r="E142" s="30"/>
      <c r="F142" s="30" t="s">
        <v>15</v>
      </c>
      <c r="G142" s="30">
        <v>3167</v>
      </c>
      <c r="H142" s="30">
        <v>4200</v>
      </c>
      <c r="I142" s="30">
        <v>4890</v>
      </c>
      <c r="J142" s="30">
        <v>4019</v>
      </c>
      <c r="K142" s="30">
        <v>2452</v>
      </c>
      <c r="L142" s="30">
        <v>1</v>
      </c>
      <c r="M142" s="30">
        <v>1642</v>
      </c>
      <c r="N142" s="30">
        <v>94</v>
      </c>
      <c r="O142" s="30">
        <v>20465</v>
      </c>
      <c r="P142" s="30">
        <v>1737</v>
      </c>
      <c r="Q142" s="30">
        <v>18728</v>
      </c>
      <c r="R142" s="30">
        <v>20465</v>
      </c>
    </row>
    <row r="143" spans="3:18" ht="14.25" customHeight="1" x14ac:dyDescent="0.2">
      <c r="C143" s="30"/>
      <c r="D143" s="30"/>
      <c r="E143" s="30"/>
      <c r="F143" s="30" t="s">
        <v>16</v>
      </c>
      <c r="G143" s="30">
        <v>927</v>
      </c>
      <c r="H143" s="30">
        <v>1186</v>
      </c>
      <c r="I143" s="30">
        <v>1478</v>
      </c>
      <c r="J143" s="30">
        <v>1538</v>
      </c>
      <c r="K143" s="30">
        <v>1302</v>
      </c>
      <c r="L143" s="30">
        <v>0</v>
      </c>
      <c r="M143" s="30">
        <v>1646</v>
      </c>
      <c r="N143" s="30">
        <v>150</v>
      </c>
      <c r="O143" s="30">
        <v>8227</v>
      </c>
      <c r="P143" s="30">
        <v>1796</v>
      </c>
      <c r="Q143" s="30">
        <v>6431</v>
      </c>
      <c r="R143" s="30">
        <v>8227</v>
      </c>
    </row>
    <row r="144" spans="3:18" ht="14.25" customHeight="1" x14ac:dyDescent="0.2">
      <c r="C144" s="30"/>
      <c r="D144" s="30"/>
      <c r="E144" s="30"/>
      <c r="F144" s="30" t="s">
        <v>17</v>
      </c>
      <c r="G144" s="30">
        <v>1516</v>
      </c>
      <c r="H144" s="30">
        <v>2489</v>
      </c>
      <c r="I144" s="30">
        <v>3680</v>
      </c>
      <c r="J144" s="30">
        <v>3865</v>
      </c>
      <c r="K144" s="30">
        <v>3440</v>
      </c>
      <c r="L144" s="30">
        <v>0</v>
      </c>
      <c r="M144" s="30">
        <v>4641</v>
      </c>
      <c r="N144" s="30">
        <v>243</v>
      </c>
      <c r="O144" s="30">
        <v>19874</v>
      </c>
      <c r="P144" s="30">
        <v>4884</v>
      </c>
      <c r="Q144" s="30">
        <v>14990</v>
      </c>
      <c r="R144" s="30">
        <v>19874</v>
      </c>
    </row>
    <row r="145" spans="3:18" ht="14.25" customHeight="1" x14ac:dyDescent="0.2">
      <c r="C145" s="30"/>
      <c r="D145" s="30"/>
      <c r="E145" s="30"/>
      <c r="F145" s="30" t="s">
        <v>18</v>
      </c>
      <c r="G145" s="30">
        <v>870</v>
      </c>
      <c r="H145" s="30">
        <v>1286</v>
      </c>
      <c r="I145" s="30">
        <v>1649</v>
      </c>
      <c r="J145" s="30">
        <v>1564</v>
      </c>
      <c r="K145" s="30">
        <v>1319</v>
      </c>
      <c r="L145" s="30">
        <v>0</v>
      </c>
      <c r="M145" s="30">
        <v>1510</v>
      </c>
      <c r="N145" s="30">
        <v>93</v>
      </c>
      <c r="O145" s="30">
        <v>8291</v>
      </c>
      <c r="P145" s="30">
        <v>1603</v>
      </c>
      <c r="Q145" s="30">
        <v>6688</v>
      </c>
      <c r="R145" s="30">
        <v>8291</v>
      </c>
    </row>
    <row r="146" spans="3:18" ht="14.25" customHeight="1" x14ac:dyDescent="0.2">
      <c r="C146" s="30"/>
      <c r="D146" s="30"/>
      <c r="E146" s="30"/>
      <c r="F146" s="30" t="s">
        <v>73</v>
      </c>
      <c r="G146" s="30">
        <v>410</v>
      </c>
      <c r="H146" s="30">
        <v>518</v>
      </c>
      <c r="I146" s="30">
        <v>673</v>
      </c>
      <c r="J146" s="30">
        <v>660</v>
      </c>
      <c r="K146" s="30">
        <v>632</v>
      </c>
      <c r="L146" s="30">
        <v>0</v>
      </c>
      <c r="M146" s="30">
        <v>895</v>
      </c>
      <c r="N146" s="30">
        <v>120</v>
      </c>
      <c r="O146" s="30">
        <v>3908</v>
      </c>
      <c r="P146" s="30">
        <v>1015</v>
      </c>
      <c r="Q146" s="30">
        <v>2893</v>
      </c>
      <c r="R146" s="30">
        <v>3908</v>
      </c>
    </row>
    <row r="147" spans="3:18" ht="14.25" customHeight="1" x14ac:dyDescent="0.2">
      <c r="C147" s="30"/>
      <c r="D147" s="30"/>
      <c r="E147" s="30"/>
      <c r="F147" s="30" t="s">
        <v>20</v>
      </c>
      <c r="G147" s="30">
        <v>2198</v>
      </c>
      <c r="H147" s="30">
        <v>2683</v>
      </c>
      <c r="I147" s="30">
        <v>3407</v>
      </c>
      <c r="J147" s="30">
        <v>3056</v>
      </c>
      <c r="K147" s="30">
        <v>2282</v>
      </c>
      <c r="L147" s="30">
        <v>0</v>
      </c>
      <c r="M147" s="30">
        <v>1823</v>
      </c>
      <c r="N147" s="30">
        <v>626</v>
      </c>
      <c r="O147" s="30">
        <v>16075</v>
      </c>
      <c r="P147" s="30">
        <v>2449</v>
      </c>
      <c r="Q147" s="30">
        <v>13626</v>
      </c>
      <c r="R147" s="30">
        <v>16075</v>
      </c>
    </row>
    <row r="148" spans="3:18" ht="14.25" customHeight="1" x14ac:dyDescent="0.2">
      <c r="C148" s="30"/>
      <c r="D148" s="30"/>
      <c r="E148" s="30"/>
      <c r="F148" s="30" t="s">
        <v>21</v>
      </c>
      <c r="G148" s="30">
        <v>592</v>
      </c>
      <c r="H148" s="30">
        <v>1111</v>
      </c>
      <c r="I148" s="30">
        <v>1317</v>
      </c>
      <c r="J148" s="30">
        <v>979</v>
      </c>
      <c r="K148" s="30">
        <v>492</v>
      </c>
      <c r="L148" s="30">
        <v>0</v>
      </c>
      <c r="M148" s="30">
        <v>218</v>
      </c>
      <c r="N148" s="30">
        <v>19</v>
      </c>
      <c r="O148" s="30">
        <v>4728</v>
      </c>
      <c r="P148" s="30">
        <v>237</v>
      </c>
      <c r="Q148" s="30">
        <v>4491</v>
      </c>
      <c r="R148" s="30">
        <v>4728</v>
      </c>
    </row>
    <row r="149" spans="3:18" ht="14.25" customHeight="1" x14ac:dyDescent="0.2">
      <c r="C149" s="30"/>
      <c r="D149" s="30"/>
      <c r="E149" s="30"/>
      <c r="F149" s="30" t="s">
        <v>22</v>
      </c>
      <c r="G149" s="30">
        <v>3528</v>
      </c>
      <c r="H149" s="30">
        <v>4968</v>
      </c>
      <c r="I149" s="30">
        <v>6486</v>
      </c>
      <c r="J149" s="30">
        <v>5680</v>
      </c>
      <c r="K149" s="30">
        <v>3381</v>
      </c>
      <c r="L149" s="30">
        <v>0</v>
      </c>
      <c r="M149" s="30">
        <v>1526</v>
      </c>
      <c r="N149" s="30">
        <v>197</v>
      </c>
      <c r="O149" s="30">
        <v>25766</v>
      </c>
      <c r="P149" s="30">
        <v>1723</v>
      </c>
      <c r="Q149" s="30">
        <v>24043</v>
      </c>
      <c r="R149" s="30">
        <v>25766</v>
      </c>
    </row>
    <row r="150" spans="3:18" ht="14.25" customHeight="1" x14ac:dyDescent="0.2">
      <c r="C150" s="30"/>
      <c r="D150" s="30"/>
      <c r="E150" s="30"/>
      <c r="F150" s="30" t="s">
        <v>61</v>
      </c>
      <c r="G150" s="30">
        <v>1268</v>
      </c>
      <c r="H150" s="30">
        <v>2539</v>
      </c>
      <c r="I150" s="30">
        <v>3398</v>
      </c>
      <c r="J150" s="30">
        <v>2858</v>
      </c>
      <c r="K150" s="30">
        <v>1557</v>
      </c>
      <c r="L150" s="30">
        <v>1</v>
      </c>
      <c r="M150" s="30">
        <v>838</v>
      </c>
      <c r="N150" s="30">
        <v>162</v>
      </c>
      <c r="O150" s="30">
        <v>12621</v>
      </c>
      <c r="P150" s="30">
        <v>1001</v>
      </c>
      <c r="Q150" s="30">
        <v>11620</v>
      </c>
      <c r="R150" s="30">
        <v>12621</v>
      </c>
    </row>
    <row r="151" spans="3:18" ht="14.25" customHeight="1" x14ac:dyDescent="0.2">
      <c r="C151" s="30"/>
      <c r="D151" s="30"/>
      <c r="E151" s="30"/>
      <c r="F151" s="30" t="s">
        <v>23</v>
      </c>
      <c r="G151" s="30">
        <v>604</v>
      </c>
      <c r="H151" s="30">
        <v>1634</v>
      </c>
      <c r="I151" s="30">
        <v>1822</v>
      </c>
      <c r="J151" s="30">
        <v>998</v>
      </c>
      <c r="K151" s="30">
        <v>388</v>
      </c>
      <c r="L151" s="30">
        <v>0</v>
      </c>
      <c r="M151" s="30">
        <v>289</v>
      </c>
      <c r="N151" s="30">
        <v>114</v>
      </c>
      <c r="O151" s="30">
        <v>5849</v>
      </c>
      <c r="P151" s="30">
        <v>403</v>
      </c>
      <c r="Q151" s="30">
        <v>5446</v>
      </c>
      <c r="R151" s="30">
        <v>5849</v>
      </c>
    </row>
    <row r="152" spans="3:18" ht="14.25" customHeight="1" x14ac:dyDescent="0.2">
      <c r="C152" s="30"/>
      <c r="D152" s="30"/>
      <c r="E152" s="30"/>
      <c r="F152" s="30" t="s">
        <v>24</v>
      </c>
      <c r="G152" s="30">
        <v>1121</v>
      </c>
      <c r="H152" s="30">
        <v>894</v>
      </c>
      <c r="I152" s="30">
        <v>890</v>
      </c>
      <c r="J152" s="30">
        <v>709</v>
      </c>
      <c r="K152" s="30">
        <v>491</v>
      </c>
      <c r="L152" s="30">
        <v>0</v>
      </c>
      <c r="M152" s="30">
        <v>434</v>
      </c>
      <c r="N152" s="30">
        <v>27</v>
      </c>
      <c r="O152" s="30">
        <v>4566</v>
      </c>
      <c r="P152" s="30">
        <v>461</v>
      </c>
      <c r="Q152" s="30">
        <v>4105</v>
      </c>
      <c r="R152" s="30">
        <v>4566</v>
      </c>
    </row>
    <row r="153" spans="3:18" ht="14.25" customHeight="1" x14ac:dyDescent="0.2">
      <c r="C153" s="30"/>
      <c r="D153" s="30"/>
      <c r="E153" s="30"/>
      <c r="F153" s="30" t="s">
        <v>25</v>
      </c>
      <c r="G153" s="30">
        <v>601</v>
      </c>
      <c r="H153" s="30">
        <v>435</v>
      </c>
      <c r="I153" s="30">
        <v>431</v>
      </c>
      <c r="J153" s="30">
        <v>346</v>
      </c>
      <c r="K153" s="30">
        <v>237</v>
      </c>
      <c r="L153" s="30">
        <v>0</v>
      </c>
      <c r="M153" s="30">
        <v>167</v>
      </c>
      <c r="N153" s="30">
        <v>16</v>
      </c>
      <c r="O153" s="30">
        <v>2233</v>
      </c>
      <c r="P153" s="30">
        <v>183</v>
      </c>
      <c r="Q153" s="30">
        <v>2050</v>
      </c>
      <c r="R153" s="30">
        <v>2233</v>
      </c>
    </row>
    <row r="154" spans="3:18" ht="14.25" customHeight="1" x14ac:dyDescent="0.2">
      <c r="C154" s="30"/>
      <c r="D154" s="30"/>
      <c r="E154" s="30"/>
      <c r="F154" s="30" t="s">
        <v>26</v>
      </c>
      <c r="G154" s="30">
        <v>381</v>
      </c>
      <c r="H154" s="30">
        <v>308</v>
      </c>
      <c r="I154" s="30">
        <v>306</v>
      </c>
      <c r="J154" s="30">
        <v>250</v>
      </c>
      <c r="K154" s="30">
        <v>180</v>
      </c>
      <c r="L154" s="30">
        <v>0</v>
      </c>
      <c r="M154" s="30">
        <v>114</v>
      </c>
      <c r="N154" s="30">
        <v>19</v>
      </c>
      <c r="O154" s="30">
        <v>1558</v>
      </c>
      <c r="P154" s="30">
        <v>133</v>
      </c>
      <c r="Q154" s="30">
        <v>1425</v>
      </c>
      <c r="R154" s="30">
        <v>1558</v>
      </c>
    </row>
    <row r="155" spans="3:18" ht="14.25" customHeight="1" x14ac:dyDescent="0.2">
      <c r="C155" s="30"/>
      <c r="D155" s="30"/>
      <c r="E155" s="30"/>
      <c r="F155" s="30" t="s">
        <v>74</v>
      </c>
      <c r="G155" s="30">
        <v>575</v>
      </c>
      <c r="H155" s="30">
        <v>374</v>
      </c>
      <c r="I155" s="30">
        <v>164</v>
      </c>
      <c r="J155" s="30">
        <v>79</v>
      </c>
      <c r="K155" s="30">
        <v>56</v>
      </c>
      <c r="L155" s="30">
        <v>0</v>
      </c>
      <c r="M155" s="30">
        <v>47</v>
      </c>
      <c r="N155" s="30">
        <v>30</v>
      </c>
      <c r="O155" s="30">
        <v>1325</v>
      </c>
      <c r="P155" s="30">
        <v>77</v>
      </c>
      <c r="Q155" s="30">
        <v>1248</v>
      </c>
      <c r="R155" s="30">
        <v>1325</v>
      </c>
    </row>
    <row r="156" spans="3:18" ht="14.25" customHeight="1" x14ac:dyDescent="0.2">
      <c r="C156" s="30"/>
      <c r="D156" s="30"/>
      <c r="E156" s="30"/>
      <c r="F156" s="30" t="s">
        <v>28</v>
      </c>
      <c r="G156" s="30">
        <v>675</v>
      </c>
      <c r="H156" s="30">
        <v>485</v>
      </c>
      <c r="I156" s="30">
        <v>469</v>
      </c>
      <c r="J156" s="30">
        <v>361</v>
      </c>
      <c r="K156" s="30">
        <v>239</v>
      </c>
      <c r="L156" s="30">
        <v>0</v>
      </c>
      <c r="M156" s="30">
        <v>139</v>
      </c>
      <c r="N156" s="30">
        <v>18</v>
      </c>
      <c r="O156" s="30">
        <v>2386</v>
      </c>
      <c r="P156" s="30">
        <v>157</v>
      </c>
      <c r="Q156" s="30">
        <v>2229</v>
      </c>
      <c r="R156" s="30">
        <v>2386</v>
      </c>
    </row>
    <row r="157" spans="3:18" ht="14.25" customHeight="1" x14ac:dyDescent="0.2">
      <c r="C157" s="30"/>
      <c r="D157" s="30"/>
      <c r="E157" s="30"/>
      <c r="F157" s="30" t="s">
        <v>29</v>
      </c>
      <c r="G157" s="30">
        <v>948</v>
      </c>
      <c r="H157" s="30">
        <v>1025</v>
      </c>
      <c r="I157" s="30">
        <v>1061</v>
      </c>
      <c r="J157" s="30">
        <v>833</v>
      </c>
      <c r="K157" s="30">
        <v>551</v>
      </c>
      <c r="L157" s="30">
        <v>1</v>
      </c>
      <c r="M157" s="30">
        <v>515</v>
      </c>
      <c r="N157" s="30">
        <v>50</v>
      </c>
      <c r="O157" s="30">
        <v>4984</v>
      </c>
      <c r="P157" s="30">
        <v>566</v>
      </c>
      <c r="Q157" s="30">
        <v>4418</v>
      </c>
      <c r="R157" s="30">
        <v>4984</v>
      </c>
    </row>
    <row r="158" spans="3:18" ht="14.25" customHeight="1" x14ac:dyDescent="0.2">
      <c r="C158" s="30"/>
      <c r="D158" s="30"/>
      <c r="E158" s="30"/>
      <c r="F158" s="30" t="s">
        <v>30</v>
      </c>
      <c r="G158" s="30">
        <v>744</v>
      </c>
      <c r="H158" s="30">
        <v>934</v>
      </c>
      <c r="I158" s="30">
        <v>1365</v>
      </c>
      <c r="J158" s="30">
        <v>1433</v>
      </c>
      <c r="K158" s="30">
        <v>1063</v>
      </c>
      <c r="L158" s="30">
        <v>0</v>
      </c>
      <c r="M158" s="30">
        <v>756</v>
      </c>
      <c r="N158" s="30">
        <v>100</v>
      </c>
      <c r="O158" s="30">
        <v>6395</v>
      </c>
      <c r="P158" s="30">
        <v>856</v>
      </c>
      <c r="Q158" s="30">
        <v>5539</v>
      </c>
      <c r="R158" s="30">
        <v>6395</v>
      </c>
    </row>
    <row r="159" spans="3:18" ht="14.25" customHeight="1" x14ac:dyDescent="0.2">
      <c r="C159" s="30"/>
      <c r="D159" s="30"/>
      <c r="E159" s="30"/>
      <c r="F159" s="30" t="s">
        <v>31</v>
      </c>
      <c r="G159" s="30">
        <v>1097</v>
      </c>
      <c r="H159" s="30">
        <v>1943</v>
      </c>
      <c r="I159" s="30">
        <v>2936</v>
      </c>
      <c r="J159" s="30">
        <v>3278</v>
      </c>
      <c r="K159" s="30">
        <v>2984</v>
      </c>
      <c r="L159" s="30">
        <v>0</v>
      </c>
      <c r="M159" s="30">
        <v>2255</v>
      </c>
      <c r="N159" s="30">
        <v>88</v>
      </c>
      <c r="O159" s="30">
        <v>14581</v>
      </c>
      <c r="P159" s="30">
        <v>2343</v>
      </c>
      <c r="Q159" s="30">
        <v>12238</v>
      </c>
      <c r="R159" s="30">
        <v>14581</v>
      </c>
    </row>
    <row r="160" spans="3:18" ht="14.25" customHeight="1" x14ac:dyDescent="0.2">
      <c r="C160" s="30"/>
      <c r="D160" s="30"/>
      <c r="E160" s="30"/>
      <c r="F160" s="30" t="s">
        <v>32</v>
      </c>
      <c r="G160" s="30">
        <v>3884</v>
      </c>
      <c r="H160" s="30">
        <v>5609</v>
      </c>
      <c r="I160" s="30">
        <v>8113</v>
      </c>
      <c r="J160" s="30">
        <v>9745</v>
      </c>
      <c r="K160" s="30">
        <v>9527</v>
      </c>
      <c r="L160" s="30">
        <v>19</v>
      </c>
      <c r="M160" s="30">
        <v>11058</v>
      </c>
      <c r="N160" s="30">
        <v>937</v>
      </c>
      <c r="O160" s="30">
        <v>48892</v>
      </c>
      <c r="P160" s="30">
        <v>12014</v>
      </c>
      <c r="Q160" s="30">
        <v>36878</v>
      </c>
      <c r="R160" s="30">
        <v>48892</v>
      </c>
    </row>
    <row r="161" spans="3:18" ht="14.25" customHeight="1" x14ac:dyDescent="0.2">
      <c r="C161" s="30"/>
      <c r="D161" s="30"/>
      <c r="E161" s="30"/>
      <c r="F161" s="30" t="s">
        <v>76</v>
      </c>
      <c r="G161" s="30">
        <v>1</v>
      </c>
      <c r="H161" s="30">
        <v>2</v>
      </c>
      <c r="I161" s="30">
        <v>3</v>
      </c>
      <c r="J161" s="30">
        <v>1</v>
      </c>
      <c r="K161" s="30">
        <v>2</v>
      </c>
      <c r="L161" s="30">
        <v>0</v>
      </c>
      <c r="M161" s="30">
        <v>3</v>
      </c>
      <c r="N161" s="30">
        <v>0</v>
      </c>
      <c r="O161" s="30">
        <v>12</v>
      </c>
      <c r="P161" s="30">
        <v>3</v>
      </c>
      <c r="Q161" s="30">
        <v>9</v>
      </c>
      <c r="R161" s="30">
        <v>12</v>
      </c>
    </row>
    <row r="162" spans="3:18" ht="14.25" customHeight="1" x14ac:dyDescent="0.2">
      <c r="C162" s="30"/>
      <c r="D162" s="30"/>
      <c r="E162" s="30"/>
      <c r="F162" s="30" t="s">
        <v>54</v>
      </c>
      <c r="G162" s="30">
        <v>54565</v>
      </c>
      <c r="H162" s="30">
        <v>63592</v>
      </c>
      <c r="I162" s="30">
        <v>78630</v>
      </c>
      <c r="J162" s="30">
        <v>76152</v>
      </c>
      <c r="K162" s="30">
        <v>62275</v>
      </c>
      <c r="L162" s="30">
        <v>76</v>
      </c>
      <c r="M162" s="30">
        <v>64959</v>
      </c>
      <c r="N162" s="30">
        <v>4365</v>
      </c>
      <c r="O162" s="30">
        <v>404614</v>
      </c>
      <c r="P162" s="30">
        <v>69400</v>
      </c>
      <c r="Q162" s="30">
        <v>335214</v>
      </c>
      <c r="R162" s="30">
        <v>404614</v>
      </c>
    </row>
    <row r="163" spans="3:18" ht="14.25" customHeight="1" x14ac:dyDescent="0.2">
      <c r="C163" s="30"/>
      <c r="D163" s="30" t="s">
        <v>67</v>
      </c>
      <c r="E163" s="30" t="s">
        <v>72</v>
      </c>
      <c r="F163" s="30" t="s">
        <v>0</v>
      </c>
      <c r="G163" s="30">
        <v>5078</v>
      </c>
      <c r="H163" s="30">
        <v>5282</v>
      </c>
      <c r="I163" s="30">
        <v>5679</v>
      </c>
      <c r="J163" s="30">
        <v>5394</v>
      </c>
      <c r="K163" s="30">
        <v>5103</v>
      </c>
      <c r="L163" s="30">
        <v>11</v>
      </c>
      <c r="M163" s="30">
        <v>5840</v>
      </c>
      <c r="N163" s="30">
        <v>135</v>
      </c>
      <c r="O163" s="30">
        <v>32522</v>
      </c>
      <c r="P163" s="30">
        <v>5986</v>
      </c>
      <c r="Q163" s="30">
        <v>26536</v>
      </c>
      <c r="R163" s="30">
        <v>32522</v>
      </c>
    </row>
    <row r="164" spans="3:18" ht="14.25" customHeight="1" x14ac:dyDescent="0.2">
      <c r="C164" s="30"/>
      <c r="D164" s="30"/>
      <c r="E164" s="30"/>
      <c r="F164" s="30" t="s">
        <v>1</v>
      </c>
      <c r="G164" s="30">
        <v>3639</v>
      </c>
      <c r="H164" s="30">
        <v>3608</v>
      </c>
      <c r="I164" s="30">
        <v>3474</v>
      </c>
      <c r="J164" s="30">
        <v>3051</v>
      </c>
      <c r="K164" s="30">
        <v>2526</v>
      </c>
      <c r="L164" s="30">
        <v>1</v>
      </c>
      <c r="M164" s="30">
        <v>2946</v>
      </c>
      <c r="N164" s="30">
        <v>60</v>
      </c>
      <c r="O164" s="30">
        <v>19305</v>
      </c>
      <c r="P164" s="30">
        <v>3007</v>
      </c>
      <c r="Q164" s="30">
        <v>16298</v>
      </c>
      <c r="R164" s="30">
        <v>19305</v>
      </c>
    </row>
    <row r="165" spans="3:18" ht="14.25" customHeight="1" x14ac:dyDescent="0.2">
      <c r="C165" s="30"/>
      <c r="D165" s="30"/>
      <c r="E165" s="30"/>
      <c r="F165" s="30" t="s">
        <v>2</v>
      </c>
      <c r="G165" s="30">
        <v>1592</v>
      </c>
      <c r="H165" s="30">
        <v>1265</v>
      </c>
      <c r="I165" s="30">
        <v>1229</v>
      </c>
      <c r="J165" s="30">
        <v>1013</v>
      </c>
      <c r="K165" s="30">
        <v>851</v>
      </c>
      <c r="L165" s="30">
        <v>2</v>
      </c>
      <c r="M165" s="30">
        <v>902</v>
      </c>
      <c r="N165" s="30">
        <v>32</v>
      </c>
      <c r="O165" s="30">
        <v>6886</v>
      </c>
      <c r="P165" s="30">
        <v>936</v>
      </c>
      <c r="Q165" s="30">
        <v>5950</v>
      </c>
      <c r="R165" s="30">
        <v>6886</v>
      </c>
    </row>
    <row r="166" spans="3:18" ht="14.25" customHeight="1" x14ac:dyDescent="0.2">
      <c r="C166" s="30"/>
      <c r="D166" s="30"/>
      <c r="E166" s="30"/>
      <c r="F166" s="30" t="s">
        <v>3</v>
      </c>
      <c r="G166" s="30">
        <v>326</v>
      </c>
      <c r="H166" s="30">
        <v>402</v>
      </c>
      <c r="I166" s="30">
        <v>446</v>
      </c>
      <c r="J166" s="30">
        <v>429</v>
      </c>
      <c r="K166" s="30">
        <v>355</v>
      </c>
      <c r="L166" s="30">
        <v>0</v>
      </c>
      <c r="M166" s="30">
        <v>398</v>
      </c>
      <c r="N166" s="30">
        <v>17</v>
      </c>
      <c r="O166" s="30">
        <v>2373</v>
      </c>
      <c r="P166" s="30">
        <v>415</v>
      </c>
      <c r="Q166" s="30">
        <v>1958</v>
      </c>
      <c r="R166" s="30">
        <v>2373</v>
      </c>
    </row>
    <row r="167" spans="3:18" ht="14.25" customHeight="1" x14ac:dyDescent="0.2">
      <c r="C167" s="30"/>
      <c r="D167" s="30"/>
      <c r="E167" s="30"/>
      <c r="F167" s="30" t="s">
        <v>4</v>
      </c>
      <c r="G167" s="30">
        <v>5835</v>
      </c>
      <c r="H167" s="30">
        <v>3601</v>
      </c>
      <c r="I167" s="30">
        <v>3286</v>
      </c>
      <c r="J167" s="30">
        <v>2818</v>
      </c>
      <c r="K167" s="30">
        <v>2514</v>
      </c>
      <c r="L167" s="30">
        <v>11</v>
      </c>
      <c r="M167" s="30">
        <v>3346</v>
      </c>
      <c r="N167" s="30">
        <v>158</v>
      </c>
      <c r="O167" s="30">
        <v>21569</v>
      </c>
      <c r="P167" s="30">
        <v>3515</v>
      </c>
      <c r="Q167" s="30">
        <v>18054</v>
      </c>
      <c r="R167" s="30">
        <v>21569</v>
      </c>
    </row>
    <row r="168" spans="3:18" ht="14.25" customHeight="1" x14ac:dyDescent="0.2">
      <c r="C168" s="30"/>
      <c r="D168" s="30"/>
      <c r="E168" s="30"/>
      <c r="F168" s="30" t="s">
        <v>5</v>
      </c>
      <c r="G168" s="30">
        <v>474</v>
      </c>
      <c r="H168" s="30">
        <v>253</v>
      </c>
      <c r="I168" s="30">
        <v>169</v>
      </c>
      <c r="J168" s="30">
        <v>116</v>
      </c>
      <c r="K168" s="30">
        <v>83</v>
      </c>
      <c r="L168" s="30">
        <v>0</v>
      </c>
      <c r="M168" s="30">
        <v>68</v>
      </c>
      <c r="N168" s="30">
        <v>12</v>
      </c>
      <c r="O168" s="30">
        <v>1175</v>
      </c>
      <c r="P168" s="30">
        <v>80</v>
      </c>
      <c r="Q168" s="30">
        <v>1095</v>
      </c>
      <c r="R168" s="30">
        <v>1175</v>
      </c>
    </row>
    <row r="169" spans="3:18" ht="14.25" customHeight="1" x14ac:dyDescent="0.2">
      <c r="C169" s="30"/>
      <c r="D169" s="30"/>
      <c r="E169" s="30"/>
      <c r="F169" s="30" t="s">
        <v>6</v>
      </c>
      <c r="G169" s="30">
        <v>1176</v>
      </c>
      <c r="H169" s="30">
        <v>1486</v>
      </c>
      <c r="I169" s="30">
        <v>1924</v>
      </c>
      <c r="J169" s="30">
        <v>1703</v>
      </c>
      <c r="K169" s="30">
        <v>1060</v>
      </c>
      <c r="L169" s="30">
        <v>1</v>
      </c>
      <c r="M169" s="30">
        <v>730</v>
      </c>
      <c r="N169" s="30">
        <v>68</v>
      </c>
      <c r="O169" s="30">
        <v>8148</v>
      </c>
      <c r="P169" s="30">
        <v>799</v>
      </c>
      <c r="Q169" s="30">
        <v>7349</v>
      </c>
      <c r="R169" s="30">
        <v>8148</v>
      </c>
    </row>
    <row r="170" spans="3:18" ht="14.25" customHeight="1" x14ac:dyDescent="0.2">
      <c r="C170" s="30"/>
      <c r="D170" s="30"/>
      <c r="E170" s="30"/>
      <c r="F170" s="30" t="s">
        <v>7</v>
      </c>
      <c r="G170" s="30">
        <v>72</v>
      </c>
      <c r="H170" s="30">
        <v>100</v>
      </c>
      <c r="I170" s="30">
        <v>109</v>
      </c>
      <c r="J170" s="30">
        <v>140</v>
      </c>
      <c r="K170" s="30">
        <v>134</v>
      </c>
      <c r="L170" s="30">
        <v>0</v>
      </c>
      <c r="M170" s="30">
        <v>186</v>
      </c>
      <c r="N170" s="30">
        <v>13</v>
      </c>
      <c r="O170" s="30">
        <v>754</v>
      </c>
      <c r="P170" s="30">
        <v>199</v>
      </c>
      <c r="Q170" s="30">
        <v>555</v>
      </c>
      <c r="R170" s="30">
        <v>754</v>
      </c>
    </row>
    <row r="171" spans="3:18" ht="14.25" customHeight="1" x14ac:dyDescent="0.2">
      <c r="C171" s="30"/>
      <c r="D171" s="30"/>
      <c r="E171" s="30"/>
      <c r="F171" s="30" t="s">
        <v>8</v>
      </c>
      <c r="G171" s="30">
        <v>388</v>
      </c>
      <c r="H171" s="30">
        <v>885</v>
      </c>
      <c r="I171" s="30">
        <v>1322</v>
      </c>
      <c r="J171" s="30">
        <v>1637</v>
      </c>
      <c r="K171" s="30">
        <v>1433</v>
      </c>
      <c r="L171" s="30">
        <v>2</v>
      </c>
      <c r="M171" s="30">
        <v>1286</v>
      </c>
      <c r="N171" s="30">
        <v>65</v>
      </c>
      <c r="O171" s="30">
        <v>7018</v>
      </c>
      <c r="P171" s="30">
        <v>1353</v>
      </c>
      <c r="Q171" s="30">
        <v>5665</v>
      </c>
      <c r="R171" s="30">
        <v>7018</v>
      </c>
    </row>
    <row r="172" spans="3:18" ht="14.25" customHeight="1" x14ac:dyDescent="0.2">
      <c r="C172" s="30"/>
      <c r="D172" s="30"/>
      <c r="E172" s="30"/>
      <c r="F172" s="30" t="s">
        <v>9</v>
      </c>
      <c r="G172" s="30">
        <v>61</v>
      </c>
      <c r="H172" s="30">
        <v>77</v>
      </c>
      <c r="I172" s="30">
        <v>108</v>
      </c>
      <c r="J172" s="30">
        <v>85</v>
      </c>
      <c r="K172" s="30">
        <v>68</v>
      </c>
      <c r="L172" s="30">
        <v>0</v>
      </c>
      <c r="M172" s="30">
        <v>37</v>
      </c>
      <c r="N172" s="30">
        <v>1</v>
      </c>
      <c r="O172" s="30">
        <v>437</v>
      </c>
      <c r="P172" s="30">
        <v>38</v>
      </c>
      <c r="Q172" s="30">
        <v>399</v>
      </c>
      <c r="R172" s="30">
        <v>437</v>
      </c>
    </row>
    <row r="173" spans="3:18" ht="14.25" customHeight="1" x14ac:dyDescent="0.2">
      <c r="C173" s="30"/>
      <c r="D173" s="30"/>
      <c r="E173" s="30"/>
      <c r="F173" s="30" t="s">
        <v>10</v>
      </c>
      <c r="G173" s="30">
        <v>192</v>
      </c>
      <c r="H173" s="30">
        <v>263</v>
      </c>
      <c r="I173" s="30">
        <v>345</v>
      </c>
      <c r="J173" s="30">
        <v>392</v>
      </c>
      <c r="K173" s="30">
        <v>453</v>
      </c>
      <c r="L173" s="30">
        <v>0</v>
      </c>
      <c r="M173" s="30">
        <v>692</v>
      </c>
      <c r="N173" s="30">
        <v>30</v>
      </c>
      <c r="O173" s="30">
        <v>2367</v>
      </c>
      <c r="P173" s="30">
        <v>722</v>
      </c>
      <c r="Q173" s="30">
        <v>1645</v>
      </c>
      <c r="R173" s="30">
        <v>2367</v>
      </c>
    </row>
    <row r="174" spans="3:18" ht="14.25" customHeight="1" x14ac:dyDescent="0.2">
      <c r="C174" s="30"/>
      <c r="D174" s="30"/>
      <c r="E174" s="30"/>
      <c r="F174" s="30" t="s">
        <v>11</v>
      </c>
      <c r="G174" s="30">
        <v>1872</v>
      </c>
      <c r="H174" s="30">
        <v>2721</v>
      </c>
      <c r="I174" s="30">
        <v>3375</v>
      </c>
      <c r="J174" s="30">
        <v>2988</v>
      </c>
      <c r="K174" s="30">
        <v>2248</v>
      </c>
      <c r="L174" s="30">
        <v>0</v>
      </c>
      <c r="M174" s="30">
        <v>2033</v>
      </c>
      <c r="N174" s="30">
        <v>118</v>
      </c>
      <c r="O174" s="30">
        <v>15355</v>
      </c>
      <c r="P174" s="30">
        <v>2151</v>
      </c>
      <c r="Q174" s="30">
        <v>13204</v>
      </c>
      <c r="R174" s="30">
        <v>15355</v>
      </c>
    </row>
    <row r="175" spans="3:18" ht="14.25" customHeight="1" x14ac:dyDescent="0.2">
      <c r="C175" s="30"/>
      <c r="D175" s="30"/>
      <c r="E175" s="30"/>
      <c r="F175" s="30" t="s">
        <v>12</v>
      </c>
      <c r="G175" s="30">
        <v>1145</v>
      </c>
      <c r="H175" s="30">
        <v>845</v>
      </c>
      <c r="I175" s="30">
        <v>771</v>
      </c>
      <c r="J175" s="30">
        <v>716</v>
      </c>
      <c r="K175" s="30">
        <v>554</v>
      </c>
      <c r="L175" s="30">
        <v>1</v>
      </c>
      <c r="M175" s="30">
        <v>582</v>
      </c>
      <c r="N175" s="30">
        <v>35</v>
      </c>
      <c r="O175" s="30">
        <v>4649</v>
      </c>
      <c r="P175" s="30">
        <v>618</v>
      </c>
      <c r="Q175" s="30">
        <v>4031</v>
      </c>
      <c r="R175" s="30">
        <v>4649</v>
      </c>
    </row>
    <row r="176" spans="3:18" ht="14.25" customHeight="1" x14ac:dyDescent="0.2">
      <c r="C176" s="30"/>
      <c r="D176" s="30"/>
      <c r="E176" s="30"/>
      <c r="F176" s="30" t="s">
        <v>13</v>
      </c>
      <c r="G176" s="30">
        <v>3336</v>
      </c>
      <c r="H176" s="30">
        <v>2751</v>
      </c>
      <c r="I176" s="30">
        <v>2636</v>
      </c>
      <c r="J176" s="30">
        <v>2200</v>
      </c>
      <c r="K176" s="30">
        <v>1598</v>
      </c>
      <c r="L176" s="30">
        <v>4</v>
      </c>
      <c r="M176" s="30">
        <v>1258</v>
      </c>
      <c r="N176" s="30">
        <v>45</v>
      </c>
      <c r="O176" s="30">
        <v>13828</v>
      </c>
      <c r="P176" s="30">
        <v>1307</v>
      </c>
      <c r="Q176" s="30">
        <v>12521</v>
      </c>
      <c r="R176" s="30">
        <v>13828</v>
      </c>
    </row>
    <row r="177" spans="3:18" ht="14.25" customHeight="1" x14ac:dyDescent="0.2">
      <c r="C177" s="30"/>
      <c r="D177" s="30"/>
      <c r="E177" s="30"/>
      <c r="F177" s="30" t="s">
        <v>14</v>
      </c>
      <c r="G177" s="30">
        <v>1033</v>
      </c>
      <c r="H177" s="30">
        <v>834</v>
      </c>
      <c r="I177" s="30">
        <v>860</v>
      </c>
      <c r="J177" s="30">
        <v>715</v>
      </c>
      <c r="K177" s="30">
        <v>553</v>
      </c>
      <c r="L177" s="30">
        <v>1</v>
      </c>
      <c r="M177" s="30">
        <v>502</v>
      </c>
      <c r="N177" s="30">
        <v>31</v>
      </c>
      <c r="O177" s="30">
        <v>4529</v>
      </c>
      <c r="P177" s="30">
        <v>534</v>
      </c>
      <c r="Q177" s="30">
        <v>3995</v>
      </c>
      <c r="R177" s="30">
        <v>4529</v>
      </c>
    </row>
    <row r="178" spans="3:18" ht="14.25" customHeight="1" x14ac:dyDescent="0.2">
      <c r="C178" s="30"/>
      <c r="D178" s="30"/>
      <c r="E178" s="30"/>
      <c r="F178" s="30" t="s">
        <v>15</v>
      </c>
      <c r="G178" s="30">
        <v>4128</v>
      </c>
      <c r="H178" s="30">
        <v>4909</v>
      </c>
      <c r="I178" s="30">
        <v>5071</v>
      </c>
      <c r="J178" s="30">
        <v>4136</v>
      </c>
      <c r="K178" s="30">
        <v>2546</v>
      </c>
      <c r="L178" s="30">
        <v>4</v>
      </c>
      <c r="M178" s="30">
        <v>1615</v>
      </c>
      <c r="N178" s="30">
        <v>105</v>
      </c>
      <c r="O178" s="30">
        <v>22514</v>
      </c>
      <c r="P178" s="30">
        <v>1724</v>
      </c>
      <c r="Q178" s="30">
        <v>20790</v>
      </c>
      <c r="R178" s="30">
        <v>22514</v>
      </c>
    </row>
    <row r="179" spans="3:18" ht="14.25" customHeight="1" x14ac:dyDescent="0.2">
      <c r="C179" s="30"/>
      <c r="D179" s="30"/>
      <c r="E179" s="30"/>
      <c r="F179" s="30" t="s">
        <v>16</v>
      </c>
      <c r="G179" s="30">
        <v>1784</v>
      </c>
      <c r="H179" s="30">
        <v>1978</v>
      </c>
      <c r="I179" s="30">
        <v>2289</v>
      </c>
      <c r="J179" s="30">
        <v>1950</v>
      </c>
      <c r="K179" s="30">
        <v>1707</v>
      </c>
      <c r="L179" s="30">
        <v>1</v>
      </c>
      <c r="M179" s="30">
        <v>2048</v>
      </c>
      <c r="N179" s="30">
        <v>215</v>
      </c>
      <c r="O179" s="30">
        <v>11972</v>
      </c>
      <c r="P179" s="30">
        <v>2264</v>
      </c>
      <c r="Q179" s="30">
        <v>9708</v>
      </c>
      <c r="R179" s="30">
        <v>11972</v>
      </c>
    </row>
    <row r="180" spans="3:18" ht="14.25" customHeight="1" x14ac:dyDescent="0.2">
      <c r="C180" s="30"/>
      <c r="D180" s="30"/>
      <c r="E180" s="30"/>
      <c r="F180" s="30" t="s">
        <v>17</v>
      </c>
      <c r="G180" s="30">
        <v>7025</v>
      </c>
      <c r="H180" s="30">
        <v>8399</v>
      </c>
      <c r="I180" s="30">
        <v>9279</v>
      </c>
      <c r="J180" s="30">
        <v>8081</v>
      </c>
      <c r="K180" s="30">
        <v>6528</v>
      </c>
      <c r="L180" s="30">
        <v>0</v>
      </c>
      <c r="M180" s="30">
        <v>7077</v>
      </c>
      <c r="N180" s="30">
        <v>485</v>
      </c>
      <c r="O180" s="30">
        <v>46874</v>
      </c>
      <c r="P180" s="30">
        <v>7562</v>
      </c>
      <c r="Q180" s="30">
        <v>39312</v>
      </c>
      <c r="R180" s="30">
        <v>46874</v>
      </c>
    </row>
    <row r="181" spans="3:18" ht="14.25" customHeight="1" x14ac:dyDescent="0.2">
      <c r="C181" s="30"/>
      <c r="D181" s="30"/>
      <c r="E181" s="30"/>
      <c r="F181" s="30" t="s">
        <v>18</v>
      </c>
      <c r="G181" s="30">
        <v>4272</v>
      </c>
      <c r="H181" s="30">
        <v>4508</v>
      </c>
      <c r="I181" s="30">
        <v>4784</v>
      </c>
      <c r="J181" s="30">
        <v>4023</v>
      </c>
      <c r="K181" s="30">
        <v>3096</v>
      </c>
      <c r="L181" s="30">
        <v>10</v>
      </c>
      <c r="M181" s="30">
        <v>2896</v>
      </c>
      <c r="N181" s="30">
        <v>219</v>
      </c>
      <c r="O181" s="30">
        <v>23808</v>
      </c>
      <c r="P181" s="30">
        <v>3125</v>
      </c>
      <c r="Q181" s="30">
        <v>20683</v>
      </c>
      <c r="R181" s="30">
        <v>23808</v>
      </c>
    </row>
    <row r="182" spans="3:18" ht="14.25" customHeight="1" x14ac:dyDescent="0.2">
      <c r="C182" s="30"/>
      <c r="D182" s="30"/>
      <c r="E182" s="30"/>
      <c r="F182" s="30" t="s">
        <v>73</v>
      </c>
      <c r="G182" s="30">
        <v>583</v>
      </c>
      <c r="H182" s="30">
        <v>658</v>
      </c>
      <c r="I182" s="30">
        <v>795</v>
      </c>
      <c r="J182" s="30">
        <v>802</v>
      </c>
      <c r="K182" s="30">
        <v>635</v>
      </c>
      <c r="L182" s="30">
        <v>0</v>
      </c>
      <c r="M182" s="30">
        <v>820</v>
      </c>
      <c r="N182" s="30">
        <v>141</v>
      </c>
      <c r="O182" s="30">
        <v>4434</v>
      </c>
      <c r="P182" s="30">
        <v>961</v>
      </c>
      <c r="Q182" s="30">
        <v>3473</v>
      </c>
      <c r="R182" s="30">
        <v>4434</v>
      </c>
    </row>
    <row r="183" spans="3:18" ht="14.25" customHeight="1" x14ac:dyDescent="0.2">
      <c r="C183" s="30"/>
      <c r="D183" s="30"/>
      <c r="E183" s="30"/>
      <c r="F183" s="30" t="s">
        <v>20</v>
      </c>
      <c r="G183" s="30">
        <v>7105</v>
      </c>
      <c r="H183" s="30">
        <v>7053</v>
      </c>
      <c r="I183" s="30">
        <v>7483</v>
      </c>
      <c r="J183" s="30">
        <v>5464</v>
      </c>
      <c r="K183" s="30">
        <v>3180</v>
      </c>
      <c r="L183" s="30">
        <v>1</v>
      </c>
      <c r="M183" s="30">
        <v>2041</v>
      </c>
      <c r="N183" s="30">
        <v>761</v>
      </c>
      <c r="O183" s="30">
        <v>33088</v>
      </c>
      <c r="P183" s="30">
        <v>2803</v>
      </c>
      <c r="Q183" s="30">
        <v>30285</v>
      </c>
      <c r="R183" s="30">
        <v>33088</v>
      </c>
    </row>
    <row r="184" spans="3:18" ht="14.25" customHeight="1" x14ac:dyDescent="0.2">
      <c r="C184" s="30"/>
      <c r="D184" s="30"/>
      <c r="E184" s="30"/>
      <c r="F184" s="30" t="s">
        <v>21</v>
      </c>
      <c r="G184" s="30">
        <v>1987</v>
      </c>
      <c r="H184" s="30">
        <v>3015</v>
      </c>
      <c r="I184" s="30">
        <v>2995</v>
      </c>
      <c r="J184" s="30">
        <v>1757</v>
      </c>
      <c r="K184" s="30">
        <v>681</v>
      </c>
      <c r="L184" s="30">
        <v>3</v>
      </c>
      <c r="M184" s="30">
        <v>259</v>
      </c>
      <c r="N184" s="30">
        <v>52</v>
      </c>
      <c r="O184" s="30">
        <v>10749</v>
      </c>
      <c r="P184" s="30">
        <v>314</v>
      </c>
      <c r="Q184" s="30">
        <v>10435</v>
      </c>
      <c r="R184" s="30">
        <v>10749</v>
      </c>
    </row>
    <row r="185" spans="3:18" ht="14.25" customHeight="1" x14ac:dyDescent="0.2">
      <c r="C185" s="30"/>
      <c r="D185" s="30"/>
      <c r="E185" s="30"/>
      <c r="F185" s="30" t="s">
        <v>22</v>
      </c>
      <c r="G185" s="30">
        <v>8800</v>
      </c>
      <c r="H185" s="30">
        <v>11899</v>
      </c>
      <c r="I185" s="30">
        <v>15167</v>
      </c>
      <c r="J185" s="30">
        <v>12513</v>
      </c>
      <c r="K185" s="30">
        <v>6449</v>
      </c>
      <c r="L185" s="30">
        <v>2</v>
      </c>
      <c r="M185" s="30">
        <v>2279</v>
      </c>
      <c r="N185" s="30">
        <v>425</v>
      </c>
      <c r="O185" s="30">
        <v>57534</v>
      </c>
      <c r="P185" s="30">
        <v>2706</v>
      </c>
      <c r="Q185" s="30">
        <v>54828</v>
      </c>
      <c r="R185" s="30">
        <v>57534</v>
      </c>
    </row>
    <row r="186" spans="3:18" ht="14.25" customHeight="1" x14ac:dyDescent="0.2">
      <c r="C186" s="30"/>
      <c r="D186" s="30"/>
      <c r="E186" s="30"/>
      <c r="F186" s="30" t="s">
        <v>61</v>
      </c>
      <c r="G186" s="30">
        <v>2345</v>
      </c>
      <c r="H186" s="30">
        <v>3785</v>
      </c>
      <c r="I186" s="30">
        <v>4246</v>
      </c>
      <c r="J186" s="30">
        <v>2988</v>
      </c>
      <c r="K186" s="30">
        <v>1259</v>
      </c>
      <c r="L186" s="30">
        <v>3</v>
      </c>
      <c r="M186" s="30">
        <v>639</v>
      </c>
      <c r="N186" s="30">
        <v>141</v>
      </c>
      <c r="O186" s="30">
        <v>15406</v>
      </c>
      <c r="P186" s="30">
        <v>783</v>
      </c>
      <c r="Q186" s="30">
        <v>14623</v>
      </c>
      <c r="R186" s="30">
        <v>15406</v>
      </c>
    </row>
    <row r="187" spans="3:18" ht="14.25" customHeight="1" x14ac:dyDescent="0.2">
      <c r="C187" s="30"/>
      <c r="D187" s="30"/>
      <c r="E187" s="30"/>
      <c r="F187" s="30" t="s">
        <v>23</v>
      </c>
      <c r="G187" s="30">
        <v>1143</v>
      </c>
      <c r="H187" s="30">
        <v>2363</v>
      </c>
      <c r="I187" s="30">
        <v>2507</v>
      </c>
      <c r="J187" s="30">
        <v>1370</v>
      </c>
      <c r="K187" s="30">
        <v>618</v>
      </c>
      <c r="L187" s="30">
        <v>0</v>
      </c>
      <c r="M187" s="30">
        <v>301</v>
      </c>
      <c r="N187" s="30">
        <v>115</v>
      </c>
      <c r="O187" s="30">
        <v>8417</v>
      </c>
      <c r="P187" s="30">
        <v>416</v>
      </c>
      <c r="Q187" s="30">
        <v>8001</v>
      </c>
      <c r="R187" s="30">
        <v>8417</v>
      </c>
    </row>
    <row r="188" spans="3:18" ht="14.25" customHeight="1" x14ac:dyDescent="0.2">
      <c r="C188" s="30"/>
      <c r="D188" s="30"/>
      <c r="E188" s="30"/>
      <c r="F188" s="30" t="s">
        <v>24</v>
      </c>
      <c r="G188" s="30">
        <v>2411</v>
      </c>
      <c r="H188" s="30">
        <v>2036</v>
      </c>
      <c r="I188" s="30">
        <v>2073</v>
      </c>
      <c r="J188" s="30">
        <v>1856</v>
      </c>
      <c r="K188" s="30">
        <v>1419</v>
      </c>
      <c r="L188" s="30">
        <v>1</v>
      </c>
      <c r="M188" s="30">
        <v>1135</v>
      </c>
      <c r="N188" s="30">
        <v>66</v>
      </c>
      <c r="O188" s="30">
        <v>10997</v>
      </c>
      <c r="P188" s="30">
        <v>1202</v>
      </c>
      <c r="Q188" s="30">
        <v>9795</v>
      </c>
      <c r="R188" s="30">
        <v>10997</v>
      </c>
    </row>
    <row r="189" spans="3:18" ht="14.25" customHeight="1" x14ac:dyDescent="0.2">
      <c r="C189" s="30"/>
      <c r="D189" s="30"/>
      <c r="E189" s="30"/>
      <c r="F189" s="30" t="s">
        <v>25</v>
      </c>
      <c r="G189" s="30">
        <v>842</v>
      </c>
      <c r="H189" s="30">
        <v>850</v>
      </c>
      <c r="I189" s="30">
        <v>883</v>
      </c>
      <c r="J189" s="30">
        <v>736</v>
      </c>
      <c r="K189" s="30">
        <v>529</v>
      </c>
      <c r="L189" s="30">
        <v>0</v>
      </c>
      <c r="M189" s="30">
        <v>321</v>
      </c>
      <c r="N189" s="30">
        <v>24</v>
      </c>
      <c r="O189" s="30">
        <v>4185</v>
      </c>
      <c r="P189" s="30">
        <v>345</v>
      </c>
      <c r="Q189" s="30">
        <v>3840</v>
      </c>
      <c r="R189" s="30">
        <v>4185</v>
      </c>
    </row>
    <row r="190" spans="3:18" ht="14.25" customHeight="1" x14ac:dyDescent="0.2">
      <c r="C190" s="30"/>
      <c r="D190" s="30"/>
      <c r="E190" s="30"/>
      <c r="F190" s="30" t="s">
        <v>26</v>
      </c>
      <c r="G190" s="30">
        <v>790</v>
      </c>
      <c r="H190" s="30">
        <v>743</v>
      </c>
      <c r="I190" s="30">
        <v>866</v>
      </c>
      <c r="J190" s="30">
        <v>757</v>
      </c>
      <c r="K190" s="30">
        <v>509</v>
      </c>
      <c r="L190" s="30">
        <v>0</v>
      </c>
      <c r="M190" s="30">
        <v>374</v>
      </c>
      <c r="N190" s="30">
        <v>37</v>
      </c>
      <c r="O190" s="30">
        <v>4076</v>
      </c>
      <c r="P190" s="30">
        <v>411</v>
      </c>
      <c r="Q190" s="30">
        <v>3665</v>
      </c>
      <c r="R190" s="30">
        <v>4076</v>
      </c>
    </row>
    <row r="191" spans="3:18" ht="14.25" customHeight="1" x14ac:dyDescent="0.2">
      <c r="C191" s="30"/>
      <c r="D191" s="30"/>
      <c r="E191" s="30"/>
      <c r="F191" s="30" t="s">
        <v>74</v>
      </c>
      <c r="G191" s="30">
        <v>871</v>
      </c>
      <c r="H191" s="30">
        <v>473</v>
      </c>
      <c r="I191" s="30">
        <v>205</v>
      </c>
      <c r="J191" s="30">
        <v>159</v>
      </c>
      <c r="K191" s="30">
        <v>114</v>
      </c>
      <c r="L191" s="30">
        <v>2</v>
      </c>
      <c r="M191" s="30">
        <v>85</v>
      </c>
      <c r="N191" s="30">
        <v>34</v>
      </c>
      <c r="O191" s="30">
        <v>1943</v>
      </c>
      <c r="P191" s="30">
        <v>121</v>
      </c>
      <c r="Q191" s="30">
        <v>1822</v>
      </c>
      <c r="R191" s="30">
        <v>1943</v>
      </c>
    </row>
    <row r="192" spans="3:18" ht="14.25" customHeight="1" x14ac:dyDescent="0.2">
      <c r="C192" s="30"/>
      <c r="D192" s="30"/>
      <c r="E192" s="30"/>
      <c r="F192" s="30" t="s">
        <v>28</v>
      </c>
      <c r="G192" s="30">
        <v>1081</v>
      </c>
      <c r="H192" s="30">
        <v>772</v>
      </c>
      <c r="I192" s="30">
        <v>711</v>
      </c>
      <c r="J192" s="30">
        <v>410</v>
      </c>
      <c r="K192" s="30">
        <v>183</v>
      </c>
      <c r="L192" s="30">
        <v>0</v>
      </c>
      <c r="M192" s="30">
        <v>122</v>
      </c>
      <c r="N192" s="30">
        <v>13</v>
      </c>
      <c r="O192" s="30">
        <v>3292</v>
      </c>
      <c r="P192" s="30">
        <v>135</v>
      </c>
      <c r="Q192" s="30">
        <v>3157</v>
      </c>
      <c r="R192" s="30">
        <v>3292</v>
      </c>
    </row>
    <row r="193" spans="3:18" ht="14.25" customHeight="1" x14ac:dyDescent="0.2">
      <c r="C193" s="30"/>
      <c r="D193" s="30"/>
      <c r="E193" s="30"/>
      <c r="F193" s="30" t="s">
        <v>29</v>
      </c>
      <c r="G193" s="30">
        <v>2483</v>
      </c>
      <c r="H193" s="30">
        <v>2504</v>
      </c>
      <c r="I193" s="30">
        <v>2311</v>
      </c>
      <c r="J193" s="30">
        <v>1670</v>
      </c>
      <c r="K193" s="30">
        <v>1090</v>
      </c>
      <c r="L193" s="30">
        <v>1</v>
      </c>
      <c r="M193" s="30">
        <v>750</v>
      </c>
      <c r="N193" s="30">
        <v>73</v>
      </c>
      <c r="O193" s="30">
        <v>10882</v>
      </c>
      <c r="P193" s="30">
        <v>824</v>
      </c>
      <c r="Q193" s="30">
        <v>10058</v>
      </c>
      <c r="R193" s="30">
        <v>10882</v>
      </c>
    </row>
    <row r="194" spans="3:18" ht="14.25" customHeight="1" x14ac:dyDescent="0.2">
      <c r="C194" s="30"/>
      <c r="D194" s="30"/>
      <c r="E194" s="30"/>
      <c r="F194" s="30" t="s">
        <v>30</v>
      </c>
      <c r="G194" s="30">
        <v>862</v>
      </c>
      <c r="H194" s="30">
        <v>949</v>
      </c>
      <c r="I194" s="30">
        <v>1015</v>
      </c>
      <c r="J194" s="30">
        <v>902</v>
      </c>
      <c r="K194" s="30">
        <v>596</v>
      </c>
      <c r="L194" s="30">
        <v>0</v>
      </c>
      <c r="M194" s="30">
        <v>299</v>
      </c>
      <c r="N194" s="30">
        <v>41</v>
      </c>
      <c r="O194" s="30">
        <v>4664</v>
      </c>
      <c r="P194" s="30">
        <v>340</v>
      </c>
      <c r="Q194" s="30">
        <v>4324</v>
      </c>
      <c r="R194" s="30">
        <v>4664</v>
      </c>
    </row>
    <row r="195" spans="3:18" ht="14.25" customHeight="1" x14ac:dyDescent="0.2">
      <c r="C195" s="30"/>
      <c r="D195" s="30"/>
      <c r="E195" s="30"/>
      <c r="F195" s="30" t="s">
        <v>31</v>
      </c>
      <c r="G195" s="30">
        <v>1760</v>
      </c>
      <c r="H195" s="30">
        <v>1937</v>
      </c>
      <c r="I195" s="30">
        <v>2215</v>
      </c>
      <c r="J195" s="30">
        <v>2020</v>
      </c>
      <c r="K195" s="30">
        <v>1557</v>
      </c>
      <c r="L195" s="30">
        <v>1</v>
      </c>
      <c r="M195" s="30">
        <v>1032</v>
      </c>
      <c r="N195" s="30">
        <v>87</v>
      </c>
      <c r="O195" s="30">
        <v>10609</v>
      </c>
      <c r="P195" s="30">
        <v>1120</v>
      </c>
      <c r="Q195" s="30">
        <v>9489</v>
      </c>
      <c r="R195" s="30">
        <v>10609</v>
      </c>
    </row>
    <row r="196" spans="3:18" ht="14.25" customHeight="1" x14ac:dyDescent="0.2">
      <c r="C196" s="30"/>
      <c r="D196" s="30"/>
      <c r="E196" s="30"/>
      <c r="F196" s="30" t="s">
        <v>32</v>
      </c>
      <c r="G196" s="30">
        <v>5063</v>
      </c>
      <c r="H196" s="30">
        <v>7268</v>
      </c>
      <c r="I196" s="30">
        <v>10259</v>
      </c>
      <c r="J196" s="30">
        <v>11449</v>
      </c>
      <c r="K196" s="30">
        <v>10249</v>
      </c>
      <c r="L196" s="30">
        <v>4</v>
      </c>
      <c r="M196" s="30">
        <v>10359</v>
      </c>
      <c r="N196" s="30">
        <v>989</v>
      </c>
      <c r="O196" s="30">
        <v>55640</v>
      </c>
      <c r="P196" s="30">
        <v>11352</v>
      </c>
      <c r="Q196" s="30">
        <v>44288</v>
      </c>
      <c r="R196" s="30">
        <v>55640</v>
      </c>
    </row>
    <row r="197" spans="3:18" ht="14.25" customHeight="1" x14ac:dyDescent="0.2">
      <c r="C197" s="30"/>
      <c r="D197" s="30"/>
      <c r="E197" s="30"/>
      <c r="F197" s="30" t="s">
        <v>76</v>
      </c>
      <c r="G197" s="30">
        <v>7</v>
      </c>
      <c r="H197" s="30">
        <v>12</v>
      </c>
      <c r="I197" s="30">
        <v>8</v>
      </c>
      <c r="J197" s="30">
        <v>10</v>
      </c>
      <c r="K197" s="30">
        <v>12</v>
      </c>
      <c r="L197" s="30">
        <v>0</v>
      </c>
      <c r="M197" s="30">
        <v>3</v>
      </c>
      <c r="N197" s="30">
        <v>0</v>
      </c>
      <c r="O197" s="30">
        <v>52</v>
      </c>
      <c r="P197" s="30">
        <v>3</v>
      </c>
      <c r="Q197" s="30">
        <v>49</v>
      </c>
      <c r="R197" s="30">
        <v>52</v>
      </c>
    </row>
    <row r="198" spans="3:18" ht="14.25" customHeight="1" x14ac:dyDescent="0.2">
      <c r="C198" s="30"/>
      <c r="D198" s="30"/>
      <c r="E198" s="30"/>
      <c r="F198" s="30" t="s">
        <v>54</v>
      </c>
      <c r="G198" s="30">
        <v>81561</v>
      </c>
      <c r="H198" s="30">
        <v>90484</v>
      </c>
      <c r="I198" s="30">
        <v>100895</v>
      </c>
      <c r="J198" s="30">
        <v>86450</v>
      </c>
      <c r="K198" s="30">
        <v>62490</v>
      </c>
      <c r="L198" s="30">
        <v>67</v>
      </c>
      <c r="M198" s="30">
        <v>55261</v>
      </c>
      <c r="N198" s="30">
        <v>4843</v>
      </c>
      <c r="O198" s="30">
        <v>482051</v>
      </c>
      <c r="P198" s="30">
        <v>60171</v>
      </c>
      <c r="Q198" s="30">
        <v>421880</v>
      </c>
      <c r="R198" s="30">
        <v>482051</v>
      </c>
    </row>
  </sheetData>
  <phoneticPr fontId="6" type="noConversion"/>
  <printOptions headings="1" gridLines="1"/>
  <pageMargins left="0.75" right="0.75" top="1" bottom="1" header="0" footer="0"/>
  <pageSetup paperSize="9" orientation="portrait" blackAndWhite="1" cellComments="asDisplayed"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3:BQ82"/>
  <sheetViews>
    <sheetView topLeftCell="A28" workbookViewId="0">
      <selection activeCell="C69" sqref="C69"/>
    </sheetView>
  </sheetViews>
  <sheetFormatPr defaultColWidth="9.140625" defaultRowHeight="11.25" x14ac:dyDescent="0.2"/>
  <cols>
    <col min="1" max="1" width="9.140625" style="7"/>
    <col min="2" max="2" width="21.5703125" style="7" bestFit="1" customWidth="1"/>
    <col min="3" max="16384" width="9.140625" style="7"/>
  </cols>
  <sheetData>
    <row r="3" spans="2:69" x14ac:dyDescent="0.2">
      <c r="C3" s="2" t="s">
        <v>42</v>
      </c>
      <c r="D3" s="3"/>
      <c r="E3" s="3"/>
      <c r="F3" s="3"/>
      <c r="G3" s="3"/>
      <c r="H3" s="3"/>
      <c r="I3" s="3"/>
      <c r="J3" s="2" t="s">
        <v>43</v>
      </c>
      <c r="K3" s="3"/>
      <c r="L3" s="3"/>
      <c r="M3" s="3"/>
      <c r="N3" s="3"/>
      <c r="O3" s="3"/>
      <c r="P3" s="3"/>
      <c r="Q3" s="2" t="s">
        <v>54</v>
      </c>
      <c r="R3" s="3"/>
      <c r="S3" s="3"/>
      <c r="T3" s="3"/>
      <c r="U3" s="3"/>
      <c r="V3" s="3"/>
      <c r="W3" s="3"/>
      <c r="Y3" s="73"/>
      <c r="Z3" s="73"/>
      <c r="AA3" s="73"/>
      <c r="AB3" s="73"/>
      <c r="AC3" s="73"/>
      <c r="AD3" s="73"/>
      <c r="AE3" s="73"/>
      <c r="AF3" s="73"/>
      <c r="AG3" s="73"/>
      <c r="AH3" s="73"/>
      <c r="AI3" s="73"/>
      <c r="AJ3" s="73"/>
      <c r="AK3" s="73"/>
      <c r="AL3" s="73"/>
      <c r="AM3" s="73"/>
      <c r="AN3" s="73"/>
      <c r="AO3" s="73"/>
      <c r="AP3" s="73"/>
      <c r="AQ3" s="73"/>
      <c r="AR3" s="73"/>
      <c r="AS3" s="73"/>
      <c r="AT3" s="73"/>
      <c r="AV3" s="78"/>
      <c r="AW3" s="78"/>
      <c r="AX3" s="78"/>
      <c r="AY3" s="78"/>
      <c r="AZ3" s="78"/>
      <c r="BA3" s="78"/>
      <c r="BB3" s="78"/>
      <c r="BC3" s="78"/>
      <c r="BD3" s="78"/>
      <c r="BE3" s="78"/>
      <c r="BF3" s="78"/>
      <c r="BG3" s="78"/>
      <c r="BH3" s="78"/>
      <c r="BI3" s="78"/>
      <c r="BJ3" s="78"/>
      <c r="BK3" s="78"/>
      <c r="BL3" s="78"/>
      <c r="BM3" s="78"/>
      <c r="BN3" s="78"/>
      <c r="BO3" s="78"/>
      <c r="BP3" s="78"/>
      <c r="BQ3" s="78"/>
    </row>
    <row r="4" spans="2:69" x14ac:dyDescent="0.2">
      <c r="C4" s="2" t="s">
        <v>33</v>
      </c>
      <c r="D4" s="2" t="s">
        <v>34</v>
      </c>
      <c r="E4" s="2" t="s">
        <v>35</v>
      </c>
      <c r="F4" s="2" t="s">
        <v>36</v>
      </c>
      <c r="G4" s="2" t="s">
        <v>37</v>
      </c>
      <c r="H4" s="2" t="s">
        <v>47</v>
      </c>
      <c r="I4" s="2" t="s">
        <v>58</v>
      </c>
      <c r="J4" s="2" t="s">
        <v>33</v>
      </c>
      <c r="K4" s="2" t="s">
        <v>34</v>
      </c>
      <c r="L4" s="2" t="s">
        <v>35</v>
      </c>
      <c r="M4" s="2" t="s">
        <v>36</v>
      </c>
      <c r="N4" s="2" t="s">
        <v>37</v>
      </c>
      <c r="O4" s="2" t="s">
        <v>47</v>
      </c>
      <c r="P4" s="2" t="s">
        <v>58</v>
      </c>
      <c r="Q4" s="2" t="s">
        <v>33</v>
      </c>
      <c r="R4" s="2" t="s">
        <v>34</v>
      </c>
      <c r="S4" s="2" t="s">
        <v>35</v>
      </c>
      <c r="T4" s="2" t="s">
        <v>36</v>
      </c>
      <c r="U4" s="2" t="s">
        <v>37</v>
      </c>
      <c r="V4" s="3" t="s">
        <v>47</v>
      </c>
      <c r="W4" s="3" t="s">
        <v>58</v>
      </c>
      <c r="Y4" s="73"/>
      <c r="Z4" s="73"/>
      <c r="AA4" s="73"/>
      <c r="AB4" s="73"/>
      <c r="AC4" s="73"/>
      <c r="AD4" s="73"/>
      <c r="AE4" s="73"/>
      <c r="AF4" s="73"/>
      <c r="AG4" s="73"/>
      <c r="AH4" s="73"/>
      <c r="AI4" s="73"/>
      <c r="AJ4" s="73"/>
      <c r="AK4" s="73"/>
      <c r="AL4" s="73"/>
      <c r="AM4" s="73"/>
      <c r="AN4" s="73"/>
      <c r="AO4" s="73"/>
      <c r="AP4" s="73"/>
      <c r="AQ4" s="73"/>
      <c r="AR4" s="73"/>
      <c r="AS4" s="73"/>
      <c r="AT4" s="73"/>
      <c r="AV4" s="78"/>
      <c r="AW4" s="78"/>
      <c r="AX4" s="78"/>
      <c r="AY4" s="78"/>
      <c r="AZ4" s="78"/>
      <c r="BA4" s="78"/>
      <c r="BB4" s="78"/>
      <c r="BC4" s="78"/>
      <c r="BD4" s="78"/>
      <c r="BE4" s="78"/>
      <c r="BF4" s="78"/>
      <c r="BG4" s="78"/>
      <c r="BH4" s="78"/>
      <c r="BI4" s="78"/>
      <c r="BJ4" s="78"/>
      <c r="BK4" s="78"/>
      <c r="BL4" s="78"/>
      <c r="BM4" s="78"/>
      <c r="BN4" s="78"/>
      <c r="BO4" s="78"/>
      <c r="BP4" s="78"/>
      <c r="BQ4" s="78"/>
    </row>
    <row r="5" spans="2:69" x14ac:dyDescent="0.2">
      <c r="C5" s="8"/>
      <c r="D5" s="8"/>
      <c r="E5" s="8"/>
      <c r="F5" s="8"/>
      <c r="G5" s="8"/>
      <c r="H5" s="8"/>
      <c r="Y5" s="73"/>
      <c r="Z5" s="73"/>
      <c r="AA5" s="73"/>
      <c r="AB5" s="73"/>
      <c r="AC5" s="73"/>
      <c r="AD5" s="73"/>
      <c r="AE5" s="73"/>
      <c r="AF5" s="73"/>
      <c r="AG5" s="73"/>
      <c r="AH5" s="73"/>
      <c r="AI5" s="73"/>
      <c r="AJ5" s="73"/>
      <c r="AK5" s="73"/>
      <c r="AL5" s="73"/>
      <c r="AM5" s="73"/>
      <c r="AN5" s="73"/>
      <c r="AO5" s="73"/>
      <c r="AP5" s="73"/>
      <c r="AQ5" s="73"/>
      <c r="AR5" s="73"/>
      <c r="AS5" s="73"/>
      <c r="AT5" s="73"/>
      <c r="AV5" s="78"/>
      <c r="AW5" s="78"/>
      <c r="AX5" s="78"/>
      <c r="AY5" s="78"/>
      <c r="AZ5" s="78"/>
      <c r="BA5" s="78"/>
      <c r="BB5" s="78"/>
      <c r="BC5" s="78"/>
      <c r="BD5" s="78"/>
      <c r="BE5" s="78"/>
      <c r="BF5" s="78"/>
      <c r="BG5" s="78"/>
      <c r="BH5" s="78"/>
      <c r="BI5" s="78"/>
      <c r="BJ5" s="78"/>
      <c r="BK5" s="78"/>
      <c r="BL5" s="78"/>
      <c r="BM5" s="78"/>
      <c r="BN5" s="78"/>
      <c r="BO5" s="78"/>
      <c r="BP5" s="78"/>
      <c r="BQ5" s="78"/>
    </row>
    <row r="6" spans="2:69" x14ac:dyDescent="0.2">
      <c r="B6" s="2" t="s">
        <v>0</v>
      </c>
      <c r="C6" s="87">
        <f>IF(OR(C48=1,C48=2),"x",ROUND(C48/$I48*100,1))</f>
        <v>14.3</v>
      </c>
      <c r="D6" s="87">
        <f t="shared" ref="D6:H6" si="0">IF(OR(D48=1,D48=2),"x",ROUND(D48/$I48*100,1))</f>
        <v>14</v>
      </c>
      <c r="E6" s="87">
        <f t="shared" si="0"/>
        <v>15.9</v>
      </c>
      <c r="F6" s="87">
        <f t="shared" si="0"/>
        <v>17.100000000000001</v>
      </c>
      <c r="G6" s="87">
        <f t="shared" si="0"/>
        <v>17</v>
      </c>
      <c r="H6" s="87">
        <f t="shared" si="0"/>
        <v>78.2</v>
      </c>
      <c r="I6" s="66">
        <f>ROUND(I48,0)</f>
        <v>24278</v>
      </c>
      <c r="J6" s="87">
        <f>IF(OR(J48=1,J48=2),"x",ROUND(J48/$P48*100,1))</f>
        <v>16.5</v>
      </c>
      <c r="K6" s="87">
        <f t="shared" ref="K6:O6" si="1">IF(OR(K48=1,K48=2),"x",ROUND(K48/$P48*100,1))</f>
        <v>15.4</v>
      </c>
      <c r="L6" s="87">
        <f t="shared" si="1"/>
        <v>16.399999999999999</v>
      </c>
      <c r="M6" s="87">
        <f t="shared" si="1"/>
        <v>16.8</v>
      </c>
      <c r="N6" s="87">
        <f t="shared" si="1"/>
        <v>15.7</v>
      </c>
      <c r="O6" s="87">
        <f t="shared" si="1"/>
        <v>80.900000000000006</v>
      </c>
      <c r="P6" s="66">
        <f>ROUND(P48,0)</f>
        <v>34246</v>
      </c>
      <c r="Q6" s="87">
        <f>IF(OR(Q48=1,Q48=2),"x",ROUND(Q48/$W48*100,1))</f>
        <v>15.6</v>
      </c>
      <c r="R6" s="87">
        <f t="shared" ref="R6:V6" si="2">IF(OR(R48=1,R48=2),"x",ROUND(R48/$W48*100,1))</f>
        <v>14.8</v>
      </c>
      <c r="S6" s="87">
        <f t="shared" si="2"/>
        <v>16.2</v>
      </c>
      <c r="T6" s="87">
        <f t="shared" si="2"/>
        <v>16.899999999999999</v>
      </c>
      <c r="U6" s="87">
        <f t="shared" si="2"/>
        <v>16.2</v>
      </c>
      <c r="V6" s="87">
        <f t="shared" si="2"/>
        <v>79.8</v>
      </c>
      <c r="W6" s="66">
        <f>ROUND(W48,0)</f>
        <v>58524</v>
      </c>
      <c r="Y6" s="73"/>
      <c r="Z6" s="73"/>
      <c r="AA6" s="73"/>
      <c r="AB6" s="73"/>
      <c r="AC6" s="73"/>
      <c r="AD6" s="73"/>
      <c r="AE6" s="73"/>
      <c r="AF6" s="73"/>
      <c r="AG6" s="73"/>
      <c r="AH6" s="73"/>
      <c r="AI6" s="73"/>
      <c r="AJ6" s="73"/>
      <c r="AK6" s="73"/>
      <c r="AL6" s="73"/>
      <c r="AM6" s="73"/>
      <c r="AN6" s="73"/>
      <c r="AO6" s="73"/>
      <c r="AP6" s="73"/>
      <c r="AQ6" s="73"/>
      <c r="AR6" s="73"/>
      <c r="AS6" s="73"/>
      <c r="AT6" s="73"/>
      <c r="AV6" s="78"/>
      <c r="AW6" s="89"/>
      <c r="AX6" s="89"/>
      <c r="AY6" s="89"/>
      <c r="AZ6" s="89"/>
      <c r="BA6" s="89"/>
      <c r="BB6" s="89"/>
      <c r="BC6" s="89"/>
      <c r="BD6" s="89"/>
      <c r="BE6" s="89"/>
      <c r="BF6" s="89"/>
      <c r="BG6" s="89"/>
      <c r="BH6" s="89"/>
      <c r="BI6" s="89"/>
      <c r="BJ6" s="89"/>
      <c r="BK6" s="89"/>
      <c r="BL6" s="89"/>
      <c r="BM6" s="89"/>
      <c r="BN6" s="89"/>
      <c r="BO6" s="89"/>
      <c r="BP6" s="89"/>
      <c r="BQ6" s="89"/>
    </row>
    <row r="7" spans="2:69" x14ac:dyDescent="0.2">
      <c r="B7" s="2" t="s">
        <v>1</v>
      </c>
      <c r="C7" s="87">
        <f t="shared" ref="C7:H22" si="3">IF(OR(C49=1,C49=2),"x",ROUND(C49/$I49*100,1))</f>
        <v>17.899999999999999</v>
      </c>
      <c r="D7" s="87">
        <f t="shared" si="3"/>
        <v>17.100000000000001</v>
      </c>
      <c r="E7" s="87">
        <f t="shared" si="3"/>
        <v>16.899999999999999</v>
      </c>
      <c r="F7" s="87">
        <f t="shared" si="3"/>
        <v>16.100000000000001</v>
      </c>
      <c r="G7" s="87">
        <f t="shared" si="3"/>
        <v>14.5</v>
      </c>
      <c r="H7" s="87">
        <f t="shared" si="3"/>
        <v>82.6</v>
      </c>
      <c r="I7" s="66">
        <f t="shared" ref="I7:I40" si="4">ROUND(I49,0)</f>
        <v>20825</v>
      </c>
      <c r="J7" s="87">
        <f t="shared" ref="J7:O22" si="5">IF(OR(J49=1,J49=2),"x",ROUND(J49/$P49*100,1))</f>
        <v>19</v>
      </c>
      <c r="K7" s="87">
        <f t="shared" si="5"/>
        <v>18.7</v>
      </c>
      <c r="L7" s="87">
        <f t="shared" si="5"/>
        <v>17.600000000000001</v>
      </c>
      <c r="M7" s="87">
        <f t="shared" si="5"/>
        <v>16.2</v>
      </c>
      <c r="N7" s="87">
        <f t="shared" si="5"/>
        <v>13.7</v>
      </c>
      <c r="O7" s="87">
        <f t="shared" si="5"/>
        <v>85.1</v>
      </c>
      <c r="P7" s="66">
        <f t="shared" ref="P7:P40" si="6">ROUND(P49,0)</f>
        <v>20390</v>
      </c>
      <c r="Q7" s="87">
        <f t="shared" ref="Q7:V22" si="7">IF(OR(Q49=1,Q49=2),"x",ROUND(Q49/$W49*100,1))</f>
        <v>18.5</v>
      </c>
      <c r="R7" s="87">
        <f t="shared" si="7"/>
        <v>17.899999999999999</v>
      </c>
      <c r="S7" s="87">
        <f t="shared" si="7"/>
        <v>17.2</v>
      </c>
      <c r="T7" s="87">
        <f t="shared" si="7"/>
        <v>16.100000000000001</v>
      </c>
      <c r="U7" s="87">
        <f t="shared" si="7"/>
        <v>14.1</v>
      </c>
      <c r="V7" s="87">
        <f t="shared" si="7"/>
        <v>83.8</v>
      </c>
      <c r="W7" s="66">
        <f t="shared" ref="W7:W40" si="8">ROUND(W49,0)</f>
        <v>41215</v>
      </c>
      <c r="Y7" s="73"/>
      <c r="Z7" s="73"/>
      <c r="AA7" s="73"/>
      <c r="AB7" s="73"/>
      <c r="AC7" s="73"/>
      <c r="AD7" s="73"/>
      <c r="AE7" s="73"/>
      <c r="AF7" s="73"/>
      <c r="AG7" s="73"/>
      <c r="AH7" s="73"/>
      <c r="AI7" s="73"/>
      <c r="AJ7" s="73"/>
      <c r="AK7" s="73"/>
      <c r="AL7" s="73"/>
      <c r="AM7" s="73"/>
      <c r="AN7" s="73"/>
      <c r="AO7" s="73"/>
      <c r="AP7" s="73"/>
      <c r="AQ7" s="73"/>
      <c r="AR7" s="73"/>
      <c r="AS7" s="73"/>
      <c r="AT7" s="73"/>
      <c r="AV7" s="78"/>
      <c r="AW7" s="89"/>
      <c r="AX7" s="89"/>
      <c r="AY7" s="89"/>
      <c r="AZ7" s="89"/>
      <c r="BA7" s="89"/>
      <c r="BB7" s="89"/>
      <c r="BC7" s="89"/>
      <c r="BD7" s="89"/>
      <c r="BE7" s="89"/>
      <c r="BF7" s="89"/>
      <c r="BG7" s="89"/>
      <c r="BH7" s="89"/>
      <c r="BI7" s="89"/>
      <c r="BJ7" s="89"/>
      <c r="BK7" s="89"/>
      <c r="BL7" s="89"/>
      <c r="BM7" s="89"/>
      <c r="BN7" s="89"/>
      <c r="BO7" s="89"/>
      <c r="BP7" s="89"/>
      <c r="BQ7" s="89"/>
    </row>
    <row r="8" spans="2:69" x14ac:dyDescent="0.2">
      <c r="B8" s="2" t="s">
        <v>2</v>
      </c>
      <c r="C8" s="87">
        <f t="shared" si="3"/>
        <v>18.899999999999999</v>
      </c>
      <c r="D8" s="87">
        <f t="shared" si="3"/>
        <v>15.9</v>
      </c>
      <c r="E8" s="87">
        <f t="shared" si="3"/>
        <v>16.3</v>
      </c>
      <c r="F8" s="87">
        <f t="shared" si="3"/>
        <v>15.6</v>
      </c>
      <c r="G8" s="87">
        <f t="shared" si="3"/>
        <v>14.4</v>
      </c>
      <c r="H8" s="87">
        <f t="shared" si="3"/>
        <v>81.099999999999994</v>
      </c>
      <c r="I8" s="66">
        <f t="shared" si="4"/>
        <v>22563</v>
      </c>
      <c r="J8" s="87">
        <f t="shared" si="5"/>
        <v>24.3</v>
      </c>
      <c r="K8" s="87">
        <f t="shared" si="5"/>
        <v>19.8</v>
      </c>
      <c r="L8" s="87">
        <f t="shared" si="5"/>
        <v>17.5</v>
      </c>
      <c r="M8" s="87">
        <f t="shared" si="5"/>
        <v>14.4</v>
      </c>
      <c r="N8" s="87">
        <f t="shared" si="5"/>
        <v>10.9</v>
      </c>
      <c r="O8" s="87">
        <f t="shared" si="5"/>
        <v>86.9</v>
      </c>
      <c r="P8" s="66">
        <f t="shared" si="6"/>
        <v>7185</v>
      </c>
      <c r="Q8" s="87">
        <f t="shared" si="7"/>
        <v>20.2</v>
      </c>
      <c r="R8" s="87">
        <f t="shared" si="7"/>
        <v>16.8</v>
      </c>
      <c r="S8" s="87">
        <f t="shared" si="7"/>
        <v>16.600000000000001</v>
      </c>
      <c r="T8" s="87">
        <f t="shared" si="7"/>
        <v>15.3</v>
      </c>
      <c r="U8" s="87">
        <f t="shared" si="7"/>
        <v>13.5</v>
      </c>
      <c r="V8" s="87">
        <f t="shared" si="7"/>
        <v>82.5</v>
      </c>
      <c r="W8" s="66">
        <f t="shared" si="8"/>
        <v>29748</v>
      </c>
      <c r="Y8" s="73"/>
      <c r="Z8" s="73"/>
      <c r="AA8" s="73"/>
      <c r="AB8" s="73"/>
      <c r="AC8" s="73"/>
      <c r="AD8" s="73"/>
      <c r="AE8" s="73"/>
      <c r="AF8" s="73"/>
      <c r="AG8" s="73"/>
      <c r="AH8" s="73"/>
      <c r="AI8" s="73"/>
      <c r="AJ8" s="73"/>
      <c r="AK8" s="73"/>
      <c r="AL8" s="73"/>
      <c r="AM8" s="73"/>
      <c r="AN8" s="73"/>
      <c r="AO8" s="73"/>
      <c r="AP8" s="73"/>
      <c r="AQ8" s="73"/>
      <c r="AR8" s="73"/>
      <c r="AS8" s="73"/>
      <c r="AT8" s="73"/>
      <c r="AV8" s="78"/>
      <c r="AW8" s="89"/>
      <c r="AX8" s="89"/>
      <c r="AY8" s="89"/>
      <c r="AZ8" s="89"/>
      <c r="BA8" s="89"/>
      <c r="BB8" s="89"/>
      <c r="BC8" s="89"/>
      <c r="BD8" s="89"/>
      <c r="BE8" s="89"/>
      <c r="BF8" s="89"/>
      <c r="BG8" s="89"/>
      <c r="BH8" s="89"/>
      <c r="BI8" s="89"/>
      <c r="BJ8" s="89"/>
      <c r="BK8" s="89"/>
      <c r="BL8" s="89"/>
      <c r="BM8" s="89"/>
      <c r="BN8" s="89"/>
      <c r="BO8" s="89"/>
      <c r="BP8" s="89"/>
      <c r="BQ8" s="89"/>
    </row>
    <row r="9" spans="2:69" x14ac:dyDescent="0.2">
      <c r="B9" s="2" t="s">
        <v>3</v>
      </c>
      <c r="C9" s="87">
        <f t="shared" si="3"/>
        <v>16.100000000000001</v>
      </c>
      <c r="D9" s="87">
        <f t="shared" si="3"/>
        <v>15</v>
      </c>
      <c r="E9" s="87">
        <f t="shared" si="3"/>
        <v>18.399999999999999</v>
      </c>
      <c r="F9" s="87">
        <f t="shared" si="3"/>
        <v>17.600000000000001</v>
      </c>
      <c r="G9" s="87">
        <f t="shared" si="3"/>
        <v>14.6</v>
      </c>
      <c r="H9" s="87">
        <f t="shared" si="3"/>
        <v>81.7</v>
      </c>
      <c r="I9" s="66">
        <f t="shared" si="4"/>
        <v>5453</v>
      </c>
      <c r="J9" s="87">
        <f t="shared" si="5"/>
        <v>12.4</v>
      </c>
      <c r="K9" s="87">
        <f t="shared" si="5"/>
        <v>17.3</v>
      </c>
      <c r="L9" s="87">
        <f t="shared" si="5"/>
        <v>20.399999999999999</v>
      </c>
      <c r="M9" s="87">
        <f t="shared" si="5"/>
        <v>17.5</v>
      </c>
      <c r="N9" s="87">
        <f t="shared" si="5"/>
        <v>14.8</v>
      </c>
      <c r="O9" s="87">
        <f t="shared" si="5"/>
        <v>82.4</v>
      </c>
      <c r="P9" s="66">
        <f t="shared" si="6"/>
        <v>2692</v>
      </c>
      <c r="Q9" s="87">
        <f t="shared" si="7"/>
        <v>14.9</v>
      </c>
      <c r="R9" s="87">
        <f t="shared" si="7"/>
        <v>15.8</v>
      </c>
      <c r="S9" s="87">
        <f t="shared" si="7"/>
        <v>19.100000000000001</v>
      </c>
      <c r="T9" s="87">
        <f t="shared" si="7"/>
        <v>17.600000000000001</v>
      </c>
      <c r="U9" s="87">
        <f t="shared" si="7"/>
        <v>14.7</v>
      </c>
      <c r="V9" s="87">
        <f t="shared" si="7"/>
        <v>81.900000000000006</v>
      </c>
      <c r="W9" s="66">
        <f t="shared" si="8"/>
        <v>8145</v>
      </c>
      <c r="Y9" s="73"/>
      <c r="Z9" s="73"/>
      <c r="AA9" s="73"/>
      <c r="AB9" s="73"/>
      <c r="AC9" s="73"/>
      <c r="AD9" s="73"/>
      <c r="AE9" s="73"/>
      <c r="AF9" s="73"/>
      <c r="AG9" s="73"/>
      <c r="AH9" s="73"/>
      <c r="AI9" s="73"/>
      <c r="AJ9" s="73"/>
      <c r="AK9" s="73"/>
      <c r="AL9" s="73"/>
      <c r="AM9" s="73"/>
      <c r="AN9" s="73"/>
      <c r="AO9" s="73"/>
      <c r="AP9" s="73"/>
      <c r="AQ9" s="73"/>
      <c r="AR9" s="73"/>
      <c r="AS9" s="73"/>
      <c r="AT9" s="73"/>
      <c r="AV9" s="78"/>
      <c r="AW9" s="89"/>
      <c r="AX9" s="89"/>
      <c r="AY9" s="89"/>
      <c r="AZ9" s="89"/>
      <c r="BA9" s="89"/>
      <c r="BB9" s="89"/>
      <c r="BC9" s="89"/>
      <c r="BD9" s="89"/>
      <c r="BE9" s="89"/>
      <c r="BF9" s="89"/>
      <c r="BG9" s="89"/>
      <c r="BH9" s="89"/>
      <c r="BI9" s="89"/>
      <c r="BJ9" s="89"/>
      <c r="BK9" s="89"/>
      <c r="BL9" s="89"/>
      <c r="BM9" s="89"/>
      <c r="BN9" s="89"/>
      <c r="BO9" s="89"/>
      <c r="BP9" s="89"/>
      <c r="BQ9" s="89"/>
    </row>
    <row r="10" spans="2:69" x14ac:dyDescent="0.2">
      <c r="B10" s="2" t="s">
        <v>4</v>
      </c>
      <c r="C10" s="87">
        <f t="shared" si="3"/>
        <v>24.1</v>
      </c>
      <c r="D10" s="87">
        <f t="shared" si="3"/>
        <v>14.3</v>
      </c>
      <c r="E10" s="87">
        <f t="shared" si="3"/>
        <v>14.3</v>
      </c>
      <c r="F10" s="87">
        <f t="shared" si="3"/>
        <v>13.3</v>
      </c>
      <c r="G10" s="87">
        <f t="shared" si="3"/>
        <v>13</v>
      </c>
      <c r="H10" s="87">
        <f t="shared" si="3"/>
        <v>78.900000000000006</v>
      </c>
      <c r="I10" s="66">
        <f t="shared" si="4"/>
        <v>33966</v>
      </c>
      <c r="J10" s="87">
        <f t="shared" si="5"/>
        <v>26.4</v>
      </c>
      <c r="K10" s="87">
        <f t="shared" si="5"/>
        <v>16.7</v>
      </c>
      <c r="L10" s="87">
        <f t="shared" si="5"/>
        <v>15.9</v>
      </c>
      <c r="M10" s="87">
        <f t="shared" si="5"/>
        <v>14</v>
      </c>
      <c r="N10" s="87">
        <f t="shared" si="5"/>
        <v>11.2</v>
      </c>
      <c r="O10" s="87">
        <f t="shared" si="5"/>
        <v>84.2</v>
      </c>
      <c r="P10" s="66">
        <f t="shared" si="6"/>
        <v>23681</v>
      </c>
      <c r="Q10" s="87">
        <f t="shared" si="7"/>
        <v>25</v>
      </c>
      <c r="R10" s="87">
        <f t="shared" si="7"/>
        <v>15.3</v>
      </c>
      <c r="S10" s="87">
        <f t="shared" si="7"/>
        <v>15</v>
      </c>
      <c r="T10" s="87">
        <f t="shared" si="7"/>
        <v>13.6</v>
      </c>
      <c r="U10" s="87">
        <f t="shared" si="7"/>
        <v>12.2</v>
      </c>
      <c r="V10" s="87">
        <f t="shared" si="7"/>
        <v>81.099999999999994</v>
      </c>
      <c r="W10" s="66">
        <f t="shared" si="8"/>
        <v>57647</v>
      </c>
      <c r="Y10" s="73"/>
      <c r="Z10" s="73"/>
      <c r="AA10" s="73"/>
      <c r="AB10" s="73"/>
      <c r="AC10" s="73"/>
      <c r="AD10" s="73"/>
      <c r="AE10" s="73"/>
      <c r="AF10" s="73"/>
      <c r="AG10" s="73"/>
      <c r="AH10" s="73"/>
      <c r="AI10" s="73"/>
      <c r="AJ10" s="73"/>
      <c r="AK10" s="73"/>
      <c r="AL10" s="73"/>
      <c r="AM10" s="73"/>
      <c r="AN10" s="73"/>
      <c r="AO10" s="73"/>
      <c r="AP10" s="73"/>
      <c r="AQ10" s="73"/>
      <c r="AR10" s="73"/>
      <c r="AS10" s="73"/>
      <c r="AT10" s="73"/>
      <c r="AV10" s="78"/>
      <c r="AW10" s="89"/>
      <c r="AX10" s="89"/>
      <c r="AY10" s="89"/>
      <c r="AZ10" s="89"/>
      <c r="BA10" s="89"/>
      <c r="BB10" s="89"/>
      <c r="BC10" s="89"/>
      <c r="BD10" s="89"/>
      <c r="BE10" s="89"/>
      <c r="BF10" s="89"/>
      <c r="BG10" s="89"/>
      <c r="BH10" s="89"/>
      <c r="BI10" s="89"/>
      <c r="BJ10" s="89"/>
      <c r="BK10" s="89"/>
      <c r="BL10" s="89"/>
      <c r="BM10" s="89"/>
      <c r="BN10" s="89"/>
      <c r="BO10" s="89"/>
      <c r="BP10" s="89"/>
      <c r="BQ10" s="89"/>
    </row>
    <row r="11" spans="2:69" x14ac:dyDescent="0.2">
      <c r="B11" s="2" t="s">
        <v>5</v>
      </c>
      <c r="C11" s="87">
        <f t="shared" si="3"/>
        <v>35.9</v>
      </c>
      <c r="D11" s="87">
        <f t="shared" si="3"/>
        <v>19.3</v>
      </c>
      <c r="E11" s="87">
        <f t="shared" si="3"/>
        <v>17</v>
      </c>
      <c r="F11" s="87">
        <f t="shared" si="3"/>
        <v>12.1</v>
      </c>
      <c r="G11" s="87">
        <f t="shared" si="3"/>
        <v>8.1</v>
      </c>
      <c r="H11" s="87">
        <f t="shared" si="3"/>
        <v>92.5</v>
      </c>
      <c r="I11" s="66">
        <f t="shared" si="4"/>
        <v>2537</v>
      </c>
      <c r="J11" s="87">
        <f t="shared" si="5"/>
        <v>41.3</v>
      </c>
      <c r="K11" s="87">
        <f t="shared" si="5"/>
        <v>20.6</v>
      </c>
      <c r="L11" s="87">
        <f t="shared" si="5"/>
        <v>16.5</v>
      </c>
      <c r="M11" s="87">
        <f t="shared" si="5"/>
        <v>9.8000000000000007</v>
      </c>
      <c r="N11" s="87">
        <f t="shared" si="5"/>
        <v>6.5</v>
      </c>
      <c r="O11" s="87">
        <f t="shared" si="5"/>
        <v>94.7</v>
      </c>
      <c r="P11" s="66">
        <f t="shared" si="6"/>
        <v>1541</v>
      </c>
      <c r="Q11" s="87">
        <f t="shared" si="7"/>
        <v>38</v>
      </c>
      <c r="R11" s="87">
        <f t="shared" si="7"/>
        <v>19.8</v>
      </c>
      <c r="S11" s="87">
        <f t="shared" si="7"/>
        <v>16.8</v>
      </c>
      <c r="T11" s="87">
        <f t="shared" si="7"/>
        <v>11.2</v>
      </c>
      <c r="U11" s="87">
        <f t="shared" si="7"/>
        <v>7.5</v>
      </c>
      <c r="V11" s="87">
        <f t="shared" si="7"/>
        <v>93.4</v>
      </c>
      <c r="W11" s="66">
        <f t="shared" si="8"/>
        <v>4078</v>
      </c>
      <c r="Y11" s="73"/>
      <c r="Z11" s="73"/>
      <c r="AA11" s="73"/>
      <c r="AB11" s="73"/>
      <c r="AC11" s="73"/>
      <c r="AD11" s="73"/>
      <c r="AE11" s="73"/>
      <c r="AF11" s="73"/>
      <c r="AG11" s="73"/>
      <c r="AH11" s="73"/>
      <c r="AI11" s="73"/>
      <c r="AJ11" s="73"/>
      <c r="AK11" s="73"/>
      <c r="AL11" s="73"/>
      <c r="AM11" s="73"/>
      <c r="AN11" s="73"/>
      <c r="AO11" s="73"/>
      <c r="AP11" s="73"/>
      <c r="AQ11" s="73"/>
      <c r="AR11" s="73"/>
      <c r="AS11" s="73"/>
      <c r="AT11" s="73"/>
      <c r="AV11" s="78"/>
      <c r="AW11" s="89"/>
      <c r="AX11" s="89"/>
      <c r="AY11" s="89"/>
      <c r="AZ11" s="89"/>
      <c r="BA11" s="89"/>
      <c r="BB11" s="89"/>
      <c r="BC11" s="89"/>
      <c r="BD11" s="89"/>
      <c r="BE11" s="89"/>
      <c r="BF11" s="89"/>
      <c r="BG11" s="89"/>
      <c r="BH11" s="89"/>
      <c r="BI11" s="89"/>
      <c r="BJ11" s="89"/>
      <c r="BK11" s="89"/>
      <c r="BL11" s="89"/>
      <c r="BM11" s="89"/>
      <c r="BN11" s="89"/>
      <c r="BO11" s="89"/>
      <c r="BP11" s="89"/>
      <c r="BQ11" s="89"/>
    </row>
    <row r="12" spans="2:69" x14ac:dyDescent="0.2">
      <c r="B12" s="2" t="s">
        <v>6</v>
      </c>
      <c r="C12" s="87">
        <f t="shared" si="3"/>
        <v>8.5</v>
      </c>
      <c r="D12" s="87">
        <f t="shared" si="3"/>
        <v>14.4</v>
      </c>
      <c r="E12" s="87">
        <f t="shared" si="3"/>
        <v>20</v>
      </c>
      <c r="F12" s="87">
        <f t="shared" si="3"/>
        <v>21.4</v>
      </c>
      <c r="G12" s="87">
        <f t="shared" si="3"/>
        <v>18.8</v>
      </c>
      <c r="H12" s="87">
        <f t="shared" si="3"/>
        <v>83.1</v>
      </c>
      <c r="I12" s="66">
        <f t="shared" si="4"/>
        <v>10942</v>
      </c>
      <c r="J12" s="87">
        <f t="shared" si="5"/>
        <v>15.6</v>
      </c>
      <c r="K12" s="87">
        <f t="shared" si="5"/>
        <v>18.399999999999999</v>
      </c>
      <c r="L12" s="87">
        <f t="shared" si="5"/>
        <v>22.7</v>
      </c>
      <c r="M12" s="87">
        <f t="shared" si="5"/>
        <v>19.7</v>
      </c>
      <c r="N12" s="87">
        <f t="shared" si="5"/>
        <v>14</v>
      </c>
      <c r="O12" s="87">
        <f t="shared" si="5"/>
        <v>90.3</v>
      </c>
      <c r="P12" s="66">
        <f t="shared" si="6"/>
        <v>8188</v>
      </c>
      <c r="Q12" s="87">
        <f t="shared" si="7"/>
        <v>11.5</v>
      </c>
      <c r="R12" s="87">
        <f t="shared" si="7"/>
        <v>16.100000000000001</v>
      </c>
      <c r="S12" s="87">
        <f t="shared" si="7"/>
        <v>21.1</v>
      </c>
      <c r="T12" s="87">
        <f t="shared" si="7"/>
        <v>20.7</v>
      </c>
      <c r="U12" s="87">
        <f t="shared" si="7"/>
        <v>16.7</v>
      </c>
      <c r="V12" s="87">
        <f t="shared" si="7"/>
        <v>86.2</v>
      </c>
      <c r="W12" s="66">
        <f t="shared" si="8"/>
        <v>19130</v>
      </c>
      <c r="Y12" s="73"/>
      <c r="Z12" s="73"/>
      <c r="AA12" s="73"/>
      <c r="AB12" s="73"/>
      <c r="AC12" s="73"/>
      <c r="AD12" s="73"/>
      <c r="AE12" s="73"/>
      <c r="AF12" s="73"/>
      <c r="AG12" s="73"/>
      <c r="AH12" s="73"/>
      <c r="AI12" s="73"/>
      <c r="AJ12" s="73"/>
      <c r="AK12" s="73"/>
      <c r="AL12" s="73"/>
      <c r="AM12" s="73"/>
      <c r="AN12" s="73"/>
      <c r="AO12" s="73"/>
      <c r="AP12" s="73"/>
      <c r="AQ12" s="73"/>
      <c r="AR12" s="73"/>
      <c r="AS12" s="73"/>
      <c r="AT12" s="73"/>
      <c r="AV12" s="78"/>
      <c r="AW12" s="89"/>
      <c r="AX12" s="89"/>
      <c r="AY12" s="89"/>
      <c r="AZ12" s="89"/>
      <c r="BA12" s="89"/>
      <c r="BB12" s="89"/>
      <c r="BC12" s="89"/>
      <c r="BD12" s="89"/>
      <c r="BE12" s="89"/>
      <c r="BF12" s="89"/>
      <c r="BG12" s="89"/>
      <c r="BH12" s="89"/>
      <c r="BI12" s="89"/>
      <c r="BJ12" s="89"/>
      <c r="BK12" s="89"/>
      <c r="BL12" s="89"/>
      <c r="BM12" s="89"/>
      <c r="BN12" s="89"/>
      <c r="BO12" s="89"/>
      <c r="BP12" s="89"/>
      <c r="BQ12" s="89"/>
    </row>
    <row r="13" spans="2:69" x14ac:dyDescent="0.2">
      <c r="B13" s="2" t="s">
        <v>168</v>
      </c>
      <c r="C13" s="87">
        <f t="shared" si="3"/>
        <v>11.1</v>
      </c>
      <c r="D13" s="87">
        <f t="shared" si="3"/>
        <v>13.1</v>
      </c>
      <c r="E13" s="87">
        <f t="shared" si="3"/>
        <v>16.8</v>
      </c>
      <c r="F13" s="87">
        <f t="shared" si="3"/>
        <v>19.5</v>
      </c>
      <c r="G13" s="87">
        <f t="shared" si="3"/>
        <v>17.8</v>
      </c>
      <c r="H13" s="87">
        <f t="shared" si="3"/>
        <v>78.3</v>
      </c>
      <c r="I13" s="66">
        <f t="shared" si="4"/>
        <v>6884</v>
      </c>
      <c r="J13" s="87">
        <f t="shared" si="5"/>
        <v>11.7</v>
      </c>
      <c r="K13" s="87">
        <f t="shared" si="5"/>
        <v>13.4</v>
      </c>
      <c r="L13" s="87">
        <f t="shared" si="5"/>
        <v>17.100000000000001</v>
      </c>
      <c r="M13" s="87">
        <f t="shared" si="5"/>
        <v>15.4</v>
      </c>
      <c r="N13" s="87">
        <f t="shared" si="5"/>
        <v>19.600000000000001</v>
      </c>
      <c r="O13" s="87">
        <f t="shared" si="5"/>
        <v>77.2</v>
      </c>
      <c r="P13" s="66">
        <f t="shared" si="6"/>
        <v>741</v>
      </c>
      <c r="Q13" s="87">
        <f t="shared" si="7"/>
        <v>11.1</v>
      </c>
      <c r="R13" s="87">
        <f t="shared" si="7"/>
        <v>13.2</v>
      </c>
      <c r="S13" s="87">
        <f t="shared" si="7"/>
        <v>16.8</v>
      </c>
      <c r="T13" s="87">
        <f t="shared" si="7"/>
        <v>19.100000000000001</v>
      </c>
      <c r="U13" s="87">
        <f t="shared" si="7"/>
        <v>18</v>
      </c>
      <c r="V13" s="87">
        <f t="shared" si="7"/>
        <v>78.2</v>
      </c>
      <c r="W13" s="66">
        <f t="shared" si="8"/>
        <v>7625</v>
      </c>
      <c r="Y13" s="73"/>
      <c r="Z13" s="73"/>
      <c r="AA13" s="73"/>
      <c r="AB13" s="73"/>
      <c r="AC13" s="73"/>
      <c r="AD13" s="73"/>
      <c r="AE13" s="73"/>
      <c r="AF13" s="73"/>
      <c r="AG13" s="73"/>
      <c r="AH13" s="73"/>
      <c r="AI13" s="73"/>
      <c r="AJ13" s="73"/>
      <c r="AK13" s="73"/>
      <c r="AL13" s="73"/>
      <c r="AM13" s="73"/>
      <c r="AN13" s="73"/>
      <c r="AO13" s="73"/>
      <c r="AP13" s="73"/>
      <c r="AQ13" s="73"/>
      <c r="AR13" s="73"/>
      <c r="AS13" s="73"/>
      <c r="AT13" s="73"/>
      <c r="AV13" s="78"/>
      <c r="AW13" s="89"/>
      <c r="AX13" s="89"/>
      <c r="AY13" s="89"/>
      <c r="AZ13" s="89"/>
      <c r="BA13" s="89"/>
      <c r="BB13" s="89"/>
      <c r="BC13" s="89"/>
      <c r="BD13" s="89"/>
      <c r="BE13" s="89"/>
      <c r="BF13" s="89"/>
      <c r="BG13" s="89"/>
      <c r="BH13" s="89"/>
      <c r="BI13" s="89"/>
      <c r="BJ13" s="89"/>
      <c r="BK13" s="89"/>
      <c r="BL13" s="89"/>
      <c r="BM13" s="89"/>
      <c r="BN13" s="89"/>
      <c r="BO13" s="89"/>
      <c r="BP13" s="89"/>
      <c r="BQ13" s="89"/>
    </row>
    <row r="14" spans="2:69" x14ac:dyDescent="0.2">
      <c r="B14" s="2" t="s">
        <v>8</v>
      </c>
      <c r="C14" s="87">
        <f t="shared" si="3"/>
        <v>3.9</v>
      </c>
      <c r="D14" s="87">
        <f t="shared" si="3"/>
        <v>9.6999999999999993</v>
      </c>
      <c r="E14" s="87">
        <f t="shared" si="3"/>
        <v>17.8</v>
      </c>
      <c r="F14" s="87">
        <f t="shared" si="3"/>
        <v>22.2</v>
      </c>
      <c r="G14" s="87">
        <f t="shared" si="3"/>
        <v>22.5</v>
      </c>
      <c r="H14" s="87">
        <f t="shared" si="3"/>
        <v>76.099999999999994</v>
      </c>
      <c r="I14" s="66">
        <f t="shared" si="4"/>
        <v>11208</v>
      </c>
      <c r="J14" s="87">
        <f t="shared" si="5"/>
        <v>6.2</v>
      </c>
      <c r="K14" s="87">
        <f t="shared" si="5"/>
        <v>12.3</v>
      </c>
      <c r="L14" s="87">
        <f t="shared" si="5"/>
        <v>19.5</v>
      </c>
      <c r="M14" s="87">
        <f t="shared" si="5"/>
        <v>23.4</v>
      </c>
      <c r="N14" s="87">
        <f t="shared" si="5"/>
        <v>20.100000000000001</v>
      </c>
      <c r="O14" s="87">
        <f t="shared" si="5"/>
        <v>81.5</v>
      </c>
      <c r="P14" s="66">
        <f t="shared" si="6"/>
        <v>6613</v>
      </c>
      <c r="Q14" s="87">
        <f t="shared" si="7"/>
        <v>4.8</v>
      </c>
      <c r="R14" s="87">
        <f t="shared" si="7"/>
        <v>10.6</v>
      </c>
      <c r="S14" s="87">
        <f t="shared" si="7"/>
        <v>18.399999999999999</v>
      </c>
      <c r="T14" s="87">
        <f t="shared" si="7"/>
        <v>22.7</v>
      </c>
      <c r="U14" s="87">
        <f t="shared" si="7"/>
        <v>21.6</v>
      </c>
      <c r="V14" s="87">
        <f t="shared" si="7"/>
        <v>78.099999999999994</v>
      </c>
      <c r="W14" s="66">
        <f t="shared" si="8"/>
        <v>17821</v>
      </c>
      <c r="Y14" s="73"/>
      <c r="Z14" s="73"/>
      <c r="AA14" s="73"/>
      <c r="AB14" s="73"/>
      <c r="AC14" s="73"/>
      <c r="AD14" s="73"/>
      <c r="AE14" s="73"/>
      <c r="AF14" s="73"/>
      <c r="AG14" s="73"/>
      <c r="AH14" s="73"/>
      <c r="AI14" s="73"/>
      <c r="AJ14" s="73"/>
      <c r="AK14" s="73"/>
      <c r="AL14" s="73"/>
      <c r="AM14" s="73"/>
      <c r="AN14" s="73"/>
      <c r="AO14" s="73"/>
      <c r="AP14" s="73"/>
      <c r="AQ14" s="73"/>
      <c r="AR14" s="73"/>
      <c r="AS14" s="73"/>
      <c r="AT14" s="73"/>
      <c r="AV14" s="78"/>
      <c r="AW14" s="89"/>
      <c r="AX14" s="89"/>
      <c r="AY14" s="89"/>
      <c r="AZ14" s="89"/>
      <c r="BA14" s="89"/>
      <c r="BB14" s="89"/>
      <c r="BC14" s="89"/>
      <c r="BD14" s="89"/>
      <c r="BE14" s="89"/>
      <c r="BF14" s="89"/>
      <c r="BG14" s="89"/>
      <c r="BH14" s="89"/>
      <c r="BI14" s="89"/>
      <c r="BJ14" s="89"/>
      <c r="BK14" s="89"/>
      <c r="BL14" s="89"/>
      <c r="BM14" s="89"/>
      <c r="BN14" s="89"/>
      <c r="BO14" s="89"/>
      <c r="BP14" s="89"/>
      <c r="BQ14" s="89"/>
    </row>
    <row r="15" spans="2:69" x14ac:dyDescent="0.2">
      <c r="B15" s="2" t="s">
        <v>9</v>
      </c>
      <c r="C15" s="87">
        <f t="shared" si="3"/>
        <v>4.8</v>
      </c>
      <c r="D15" s="87">
        <f t="shared" si="3"/>
        <v>9.5</v>
      </c>
      <c r="E15" s="87">
        <f t="shared" si="3"/>
        <v>15.9</v>
      </c>
      <c r="F15" s="87">
        <f t="shared" si="3"/>
        <v>25.4</v>
      </c>
      <c r="G15" s="87">
        <f t="shared" si="3"/>
        <v>30.2</v>
      </c>
      <c r="H15" s="87">
        <f t="shared" si="3"/>
        <v>85.7</v>
      </c>
      <c r="I15" s="66">
        <f t="shared" si="4"/>
        <v>63</v>
      </c>
      <c r="J15" s="87">
        <f t="shared" si="5"/>
        <v>16.2</v>
      </c>
      <c r="K15" s="87">
        <f t="shared" si="5"/>
        <v>12.9</v>
      </c>
      <c r="L15" s="87">
        <f t="shared" si="5"/>
        <v>20.7</v>
      </c>
      <c r="M15" s="87">
        <f t="shared" si="5"/>
        <v>21.8</v>
      </c>
      <c r="N15" s="87">
        <f t="shared" si="5"/>
        <v>17.600000000000001</v>
      </c>
      <c r="O15" s="87">
        <f t="shared" si="5"/>
        <v>89.2</v>
      </c>
      <c r="P15" s="66">
        <f t="shared" si="6"/>
        <v>426</v>
      </c>
      <c r="Q15" s="87">
        <f t="shared" si="7"/>
        <v>14.7</v>
      </c>
      <c r="R15" s="87">
        <f t="shared" si="7"/>
        <v>12.5</v>
      </c>
      <c r="S15" s="87">
        <f t="shared" si="7"/>
        <v>20</v>
      </c>
      <c r="T15" s="87">
        <f t="shared" si="7"/>
        <v>22.3</v>
      </c>
      <c r="U15" s="87">
        <f t="shared" si="7"/>
        <v>19.2</v>
      </c>
      <c r="V15" s="87">
        <f t="shared" si="7"/>
        <v>88.8</v>
      </c>
      <c r="W15" s="66">
        <f t="shared" si="8"/>
        <v>489</v>
      </c>
      <c r="Y15" s="73"/>
      <c r="Z15" s="73"/>
      <c r="AA15" s="73"/>
      <c r="AB15" s="73"/>
      <c r="AC15" s="73"/>
      <c r="AD15" s="73"/>
      <c r="AE15" s="73"/>
      <c r="AF15" s="73"/>
      <c r="AG15" s="73"/>
      <c r="AH15" s="73"/>
      <c r="AI15" s="73"/>
      <c r="AJ15" s="73"/>
      <c r="AK15" s="73"/>
      <c r="AL15" s="73"/>
      <c r="AM15" s="73"/>
      <c r="AN15" s="73"/>
      <c r="AO15" s="73"/>
      <c r="AP15" s="73"/>
      <c r="AQ15" s="73"/>
      <c r="AR15" s="73"/>
      <c r="AS15" s="73"/>
      <c r="AT15" s="73"/>
      <c r="AV15" s="78"/>
      <c r="AW15" s="89"/>
      <c r="AX15" s="89"/>
      <c r="AY15" s="89"/>
      <c r="AZ15" s="89"/>
      <c r="BA15" s="89"/>
      <c r="BB15" s="89"/>
      <c r="BC15" s="89"/>
      <c r="BD15" s="89"/>
      <c r="BE15" s="89"/>
      <c r="BF15" s="89"/>
      <c r="BG15" s="89"/>
      <c r="BH15" s="89"/>
      <c r="BI15" s="89"/>
      <c r="BJ15" s="89"/>
      <c r="BK15" s="89"/>
      <c r="BL15" s="89"/>
      <c r="BM15" s="89"/>
      <c r="BN15" s="89"/>
      <c r="BO15" s="89"/>
      <c r="BP15" s="89"/>
      <c r="BQ15" s="89"/>
    </row>
    <row r="16" spans="2:69" x14ac:dyDescent="0.2">
      <c r="B16" s="2" t="s">
        <v>10</v>
      </c>
      <c r="C16" s="87">
        <f t="shared" si="3"/>
        <v>6.1</v>
      </c>
      <c r="D16" s="87">
        <f t="shared" si="3"/>
        <v>10.199999999999999</v>
      </c>
      <c r="E16" s="87">
        <f t="shared" si="3"/>
        <v>14.3</v>
      </c>
      <c r="F16" s="87">
        <f t="shared" si="3"/>
        <v>17.600000000000001</v>
      </c>
      <c r="G16" s="87">
        <f t="shared" si="3"/>
        <v>19.3</v>
      </c>
      <c r="H16" s="87">
        <f t="shared" si="3"/>
        <v>67.599999999999994</v>
      </c>
      <c r="I16" s="66">
        <f t="shared" si="4"/>
        <v>4131</v>
      </c>
      <c r="J16" s="87">
        <f t="shared" si="5"/>
        <v>6.7</v>
      </c>
      <c r="K16" s="87">
        <f t="shared" si="5"/>
        <v>10</v>
      </c>
      <c r="L16" s="87">
        <f t="shared" si="5"/>
        <v>14.8</v>
      </c>
      <c r="M16" s="87">
        <f t="shared" si="5"/>
        <v>17.5</v>
      </c>
      <c r="N16" s="87">
        <f t="shared" si="5"/>
        <v>18.899999999999999</v>
      </c>
      <c r="O16" s="87">
        <f t="shared" si="5"/>
        <v>68</v>
      </c>
      <c r="P16" s="66">
        <f t="shared" si="6"/>
        <v>2549</v>
      </c>
      <c r="Q16" s="87">
        <f t="shared" si="7"/>
        <v>6.4</v>
      </c>
      <c r="R16" s="87">
        <f t="shared" si="7"/>
        <v>10.199999999999999</v>
      </c>
      <c r="S16" s="87">
        <f t="shared" si="7"/>
        <v>14.5</v>
      </c>
      <c r="T16" s="87">
        <f t="shared" si="7"/>
        <v>17.5</v>
      </c>
      <c r="U16" s="87">
        <f t="shared" si="7"/>
        <v>19.2</v>
      </c>
      <c r="V16" s="87">
        <f t="shared" si="7"/>
        <v>67.8</v>
      </c>
      <c r="W16" s="66">
        <f t="shared" si="8"/>
        <v>6680</v>
      </c>
      <c r="Y16" s="73"/>
      <c r="Z16" s="73"/>
      <c r="AA16" s="73"/>
      <c r="AB16" s="73"/>
      <c r="AC16" s="73"/>
      <c r="AD16" s="73"/>
      <c r="AE16" s="73"/>
      <c r="AF16" s="73"/>
      <c r="AG16" s="73"/>
      <c r="AH16" s="73"/>
      <c r="AI16" s="73"/>
      <c r="AJ16" s="73"/>
      <c r="AK16" s="73"/>
      <c r="AL16" s="73"/>
      <c r="AM16" s="73"/>
      <c r="AN16" s="73"/>
      <c r="AO16" s="73"/>
      <c r="AP16" s="73"/>
      <c r="AQ16" s="73"/>
      <c r="AR16" s="73"/>
      <c r="AS16" s="73"/>
      <c r="AT16" s="73"/>
      <c r="AV16" s="78"/>
      <c r="AW16" s="89"/>
      <c r="AX16" s="89"/>
      <c r="AY16" s="89"/>
      <c r="AZ16" s="89"/>
      <c r="BA16" s="89"/>
      <c r="BB16" s="89"/>
      <c r="BC16" s="89"/>
      <c r="BD16" s="89"/>
      <c r="BE16" s="89"/>
      <c r="BF16" s="89"/>
      <c r="BG16" s="89"/>
      <c r="BH16" s="89"/>
      <c r="BI16" s="89"/>
      <c r="BJ16" s="89"/>
      <c r="BK16" s="89"/>
      <c r="BL16" s="89"/>
      <c r="BM16" s="89"/>
      <c r="BN16" s="89"/>
      <c r="BO16" s="89"/>
      <c r="BP16" s="89"/>
      <c r="BQ16" s="89"/>
    </row>
    <row r="17" spans="2:69" x14ac:dyDescent="0.2">
      <c r="B17" s="2" t="s">
        <v>11</v>
      </c>
      <c r="C17" s="87">
        <f t="shared" si="3"/>
        <v>9.6999999999999993</v>
      </c>
      <c r="D17" s="87">
        <f t="shared" si="3"/>
        <v>16.100000000000001</v>
      </c>
      <c r="E17" s="87">
        <f t="shared" si="3"/>
        <v>22.4</v>
      </c>
      <c r="F17" s="87">
        <f t="shared" si="3"/>
        <v>21.1</v>
      </c>
      <c r="G17" s="87">
        <f t="shared" si="3"/>
        <v>16.7</v>
      </c>
      <c r="H17" s="87">
        <f t="shared" si="3"/>
        <v>85.9</v>
      </c>
      <c r="I17" s="66">
        <f t="shared" si="4"/>
        <v>20867</v>
      </c>
      <c r="J17" s="87">
        <f t="shared" si="5"/>
        <v>12.4</v>
      </c>
      <c r="K17" s="87">
        <f t="shared" si="5"/>
        <v>17</v>
      </c>
      <c r="L17" s="87">
        <f t="shared" si="5"/>
        <v>21.1</v>
      </c>
      <c r="M17" s="87">
        <f t="shared" si="5"/>
        <v>19.8</v>
      </c>
      <c r="N17" s="87">
        <f t="shared" si="5"/>
        <v>15.1</v>
      </c>
      <c r="O17" s="87">
        <f t="shared" si="5"/>
        <v>85.4</v>
      </c>
      <c r="P17" s="66">
        <f t="shared" si="6"/>
        <v>15546</v>
      </c>
      <c r="Q17" s="87">
        <f t="shared" si="7"/>
        <v>10.8</v>
      </c>
      <c r="R17" s="87">
        <f t="shared" si="7"/>
        <v>16.5</v>
      </c>
      <c r="S17" s="87">
        <f t="shared" si="7"/>
        <v>21.9</v>
      </c>
      <c r="T17" s="87">
        <f t="shared" si="7"/>
        <v>20.5</v>
      </c>
      <c r="U17" s="87">
        <f t="shared" si="7"/>
        <v>16</v>
      </c>
      <c r="V17" s="87">
        <f t="shared" si="7"/>
        <v>85.7</v>
      </c>
      <c r="W17" s="66">
        <f t="shared" si="8"/>
        <v>36413</v>
      </c>
      <c r="Y17" s="73"/>
      <c r="Z17" s="73"/>
      <c r="AA17" s="73"/>
      <c r="AB17" s="73"/>
      <c r="AC17" s="73"/>
      <c r="AD17" s="73"/>
      <c r="AE17" s="73"/>
      <c r="AF17" s="73"/>
      <c r="AG17" s="73"/>
      <c r="AH17" s="73"/>
      <c r="AI17" s="73"/>
      <c r="AJ17" s="73"/>
      <c r="AK17" s="73"/>
      <c r="AL17" s="73"/>
      <c r="AM17" s="73"/>
      <c r="AN17" s="73"/>
      <c r="AO17" s="73"/>
      <c r="AP17" s="73"/>
      <c r="AQ17" s="73"/>
      <c r="AR17" s="73"/>
      <c r="AS17" s="73"/>
      <c r="AT17" s="73"/>
      <c r="AV17" s="78"/>
      <c r="AW17" s="89"/>
      <c r="AX17" s="89"/>
      <c r="AY17" s="89"/>
      <c r="AZ17" s="89"/>
      <c r="BA17" s="89"/>
      <c r="BB17" s="89"/>
      <c r="BC17" s="89"/>
      <c r="BD17" s="89"/>
      <c r="BE17" s="89"/>
      <c r="BF17" s="89"/>
      <c r="BG17" s="89"/>
      <c r="BH17" s="89"/>
      <c r="BI17" s="89"/>
      <c r="BJ17" s="89"/>
      <c r="BK17" s="89"/>
      <c r="BL17" s="89"/>
      <c r="BM17" s="89"/>
      <c r="BN17" s="89"/>
      <c r="BO17" s="89"/>
      <c r="BP17" s="89"/>
      <c r="BQ17" s="89"/>
    </row>
    <row r="18" spans="2:69" x14ac:dyDescent="0.2">
      <c r="B18" s="2" t="s">
        <v>12</v>
      </c>
      <c r="C18" s="87">
        <f t="shared" si="3"/>
        <v>20.3</v>
      </c>
      <c r="D18" s="87">
        <f t="shared" si="3"/>
        <v>18.399999999999999</v>
      </c>
      <c r="E18" s="87">
        <f t="shared" si="3"/>
        <v>18.100000000000001</v>
      </c>
      <c r="F18" s="87">
        <f t="shared" si="3"/>
        <v>16.2</v>
      </c>
      <c r="G18" s="87">
        <f t="shared" si="3"/>
        <v>12.7</v>
      </c>
      <c r="H18" s="87">
        <f t="shared" si="3"/>
        <v>85.7</v>
      </c>
      <c r="I18" s="66">
        <f t="shared" si="4"/>
        <v>10560</v>
      </c>
      <c r="J18" s="87">
        <f t="shared" si="5"/>
        <v>25.1</v>
      </c>
      <c r="K18" s="87">
        <f t="shared" si="5"/>
        <v>19.399999999999999</v>
      </c>
      <c r="L18" s="87">
        <f t="shared" si="5"/>
        <v>17.899999999999999</v>
      </c>
      <c r="M18" s="87">
        <f t="shared" si="5"/>
        <v>14.6</v>
      </c>
      <c r="N18" s="87">
        <f t="shared" si="5"/>
        <v>11.1</v>
      </c>
      <c r="O18" s="87">
        <f t="shared" si="5"/>
        <v>88.1</v>
      </c>
      <c r="P18" s="66">
        <f t="shared" si="6"/>
        <v>4855</v>
      </c>
      <c r="Q18" s="87">
        <f t="shared" si="7"/>
        <v>21.8</v>
      </c>
      <c r="R18" s="87">
        <f t="shared" si="7"/>
        <v>18.7</v>
      </c>
      <c r="S18" s="87">
        <f t="shared" si="7"/>
        <v>18</v>
      </c>
      <c r="T18" s="87">
        <f t="shared" si="7"/>
        <v>15.7</v>
      </c>
      <c r="U18" s="87">
        <f t="shared" si="7"/>
        <v>12.2</v>
      </c>
      <c r="V18" s="87">
        <f t="shared" si="7"/>
        <v>86.5</v>
      </c>
      <c r="W18" s="66">
        <f t="shared" si="8"/>
        <v>15415</v>
      </c>
      <c r="Y18" s="73"/>
      <c r="Z18" s="73"/>
      <c r="AA18" s="73"/>
      <c r="AB18" s="73"/>
      <c r="AC18" s="73"/>
      <c r="AD18" s="73"/>
      <c r="AE18" s="73"/>
      <c r="AF18" s="73"/>
      <c r="AG18" s="73"/>
      <c r="AH18" s="73"/>
      <c r="AI18" s="73"/>
      <c r="AJ18" s="73"/>
      <c r="AK18" s="73"/>
      <c r="AL18" s="73"/>
      <c r="AM18" s="73"/>
      <c r="AN18" s="73"/>
      <c r="AO18" s="73"/>
      <c r="AP18" s="73"/>
      <c r="AQ18" s="73"/>
      <c r="AR18" s="73"/>
      <c r="AS18" s="73"/>
      <c r="AT18" s="73"/>
      <c r="AV18" s="78"/>
      <c r="AW18" s="89"/>
      <c r="AX18" s="89"/>
      <c r="AY18" s="89"/>
      <c r="AZ18" s="89"/>
      <c r="BA18" s="89"/>
      <c r="BB18" s="89"/>
      <c r="BC18" s="89"/>
      <c r="BD18" s="89"/>
      <c r="BE18" s="89"/>
      <c r="BF18" s="89"/>
      <c r="BG18" s="89"/>
      <c r="BH18" s="89"/>
      <c r="BI18" s="89"/>
      <c r="BJ18" s="89"/>
      <c r="BK18" s="89"/>
      <c r="BL18" s="89"/>
      <c r="BM18" s="89"/>
      <c r="BN18" s="89"/>
      <c r="BO18" s="89"/>
      <c r="BP18" s="89"/>
      <c r="BQ18" s="89"/>
    </row>
    <row r="19" spans="2:69" x14ac:dyDescent="0.2">
      <c r="B19" s="2" t="s">
        <v>13</v>
      </c>
      <c r="C19" s="87">
        <f t="shared" si="3"/>
        <v>17.399999999999999</v>
      </c>
      <c r="D19" s="87">
        <f t="shared" si="3"/>
        <v>17.5</v>
      </c>
      <c r="E19" s="87">
        <f t="shared" si="3"/>
        <v>20</v>
      </c>
      <c r="F19" s="87">
        <f t="shared" si="3"/>
        <v>19.100000000000001</v>
      </c>
      <c r="G19" s="87">
        <f t="shared" si="3"/>
        <v>14.4</v>
      </c>
      <c r="H19" s="87">
        <f t="shared" si="3"/>
        <v>88.3</v>
      </c>
      <c r="I19" s="66">
        <f t="shared" si="4"/>
        <v>16602</v>
      </c>
      <c r="J19" s="87">
        <f t="shared" si="5"/>
        <v>25</v>
      </c>
      <c r="K19" s="87">
        <f t="shared" si="5"/>
        <v>19.2</v>
      </c>
      <c r="L19" s="87">
        <f t="shared" si="5"/>
        <v>19.2</v>
      </c>
      <c r="M19" s="87">
        <f t="shared" si="5"/>
        <v>15.9</v>
      </c>
      <c r="N19" s="87">
        <f t="shared" si="5"/>
        <v>11.2</v>
      </c>
      <c r="O19" s="87">
        <f t="shared" si="5"/>
        <v>90.5</v>
      </c>
      <c r="P19" s="66">
        <f t="shared" si="6"/>
        <v>13735</v>
      </c>
      <c r="Q19" s="87">
        <f t="shared" si="7"/>
        <v>20.8</v>
      </c>
      <c r="R19" s="87">
        <f t="shared" si="7"/>
        <v>18.3</v>
      </c>
      <c r="S19" s="87">
        <f t="shared" si="7"/>
        <v>19.600000000000001</v>
      </c>
      <c r="T19" s="87">
        <f t="shared" si="7"/>
        <v>17.600000000000001</v>
      </c>
      <c r="U19" s="87">
        <f t="shared" si="7"/>
        <v>13</v>
      </c>
      <c r="V19" s="87">
        <f t="shared" si="7"/>
        <v>89.3</v>
      </c>
      <c r="W19" s="66">
        <f t="shared" si="8"/>
        <v>30337</v>
      </c>
      <c r="Y19" s="73"/>
      <c r="Z19" s="73"/>
      <c r="AA19" s="73"/>
      <c r="AB19" s="73"/>
      <c r="AC19" s="73"/>
      <c r="AD19" s="73"/>
      <c r="AE19" s="73"/>
      <c r="AF19" s="73"/>
      <c r="AG19" s="73"/>
      <c r="AH19" s="73"/>
      <c r="AI19" s="73"/>
      <c r="AJ19" s="73"/>
      <c r="AK19" s="73"/>
      <c r="AL19" s="73"/>
      <c r="AM19" s="73"/>
      <c r="AN19" s="73"/>
      <c r="AO19" s="73"/>
      <c r="AP19" s="73"/>
      <c r="AQ19" s="73"/>
      <c r="AR19" s="73"/>
      <c r="AS19" s="73"/>
      <c r="AT19" s="73"/>
      <c r="AV19" s="78"/>
      <c r="AW19" s="89"/>
      <c r="AX19" s="89"/>
      <c r="AY19" s="89"/>
      <c r="AZ19" s="89"/>
      <c r="BA19" s="89"/>
      <c r="BB19" s="89"/>
      <c r="BC19" s="89"/>
      <c r="BD19" s="89"/>
      <c r="BE19" s="89"/>
      <c r="BF19" s="89"/>
      <c r="BG19" s="89"/>
      <c r="BH19" s="89"/>
      <c r="BI19" s="89"/>
      <c r="BJ19" s="89"/>
      <c r="BK19" s="89"/>
      <c r="BL19" s="89"/>
      <c r="BM19" s="89"/>
      <c r="BN19" s="89"/>
      <c r="BO19" s="89"/>
      <c r="BP19" s="89"/>
      <c r="BQ19" s="89"/>
    </row>
    <row r="20" spans="2:69" x14ac:dyDescent="0.2">
      <c r="B20" s="2" t="s">
        <v>14</v>
      </c>
      <c r="C20" s="87">
        <f t="shared" si="3"/>
        <v>20.399999999999999</v>
      </c>
      <c r="D20" s="87">
        <f t="shared" si="3"/>
        <v>19.399999999999999</v>
      </c>
      <c r="E20" s="87">
        <f t="shared" si="3"/>
        <v>19.8</v>
      </c>
      <c r="F20" s="87">
        <f t="shared" si="3"/>
        <v>16.8</v>
      </c>
      <c r="G20" s="87">
        <f t="shared" si="3"/>
        <v>12</v>
      </c>
      <c r="H20" s="87">
        <f t="shared" si="3"/>
        <v>88.4</v>
      </c>
      <c r="I20" s="66">
        <f t="shared" si="4"/>
        <v>6874</v>
      </c>
      <c r="J20" s="87">
        <f t="shared" si="5"/>
        <v>22</v>
      </c>
      <c r="K20" s="87">
        <f t="shared" si="5"/>
        <v>19.600000000000001</v>
      </c>
      <c r="L20" s="87">
        <f t="shared" si="5"/>
        <v>19.3</v>
      </c>
      <c r="M20" s="87">
        <f t="shared" si="5"/>
        <v>16.399999999999999</v>
      </c>
      <c r="N20" s="87">
        <f t="shared" si="5"/>
        <v>11.5</v>
      </c>
      <c r="O20" s="87">
        <f t="shared" si="5"/>
        <v>88.9</v>
      </c>
      <c r="P20" s="66">
        <f t="shared" si="6"/>
        <v>5444</v>
      </c>
      <c r="Q20" s="87">
        <f t="shared" si="7"/>
        <v>21.1</v>
      </c>
      <c r="R20" s="87">
        <f t="shared" si="7"/>
        <v>19.5</v>
      </c>
      <c r="S20" s="87">
        <f t="shared" si="7"/>
        <v>19.600000000000001</v>
      </c>
      <c r="T20" s="87">
        <f t="shared" si="7"/>
        <v>16.600000000000001</v>
      </c>
      <c r="U20" s="87">
        <f t="shared" si="7"/>
        <v>11.8</v>
      </c>
      <c r="V20" s="87">
        <f t="shared" si="7"/>
        <v>88.6</v>
      </c>
      <c r="W20" s="66">
        <f t="shared" si="8"/>
        <v>12318</v>
      </c>
      <c r="Y20" s="73"/>
      <c r="Z20" s="73"/>
      <c r="AA20" s="73"/>
      <c r="AB20" s="73"/>
      <c r="AC20" s="73"/>
      <c r="AD20" s="73"/>
      <c r="AE20" s="73"/>
      <c r="AF20" s="73"/>
      <c r="AG20" s="73"/>
      <c r="AH20" s="73"/>
      <c r="AI20" s="73"/>
      <c r="AJ20" s="73"/>
      <c r="AK20" s="73"/>
      <c r="AL20" s="73"/>
      <c r="AM20" s="73"/>
      <c r="AN20" s="73"/>
      <c r="AO20" s="73"/>
      <c r="AP20" s="73"/>
      <c r="AQ20" s="73"/>
      <c r="AR20" s="73"/>
      <c r="AS20" s="73"/>
      <c r="AT20" s="73"/>
      <c r="AV20" s="78"/>
      <c r="AW20" s="89"/>
      <c r="AX20" s="89"/>
      <c r="AY20" s="89"/>
      <c r="AZ20" s="89"/>
      <c r="BA20" s="89"/>
      <c r="BB20" s="89"/>
      <c r="BC20" s="89"/>
      <c r="BD20" s="89"/>
      <c r="BE20" s="89"/>
      <c r="BF20" s="89"/>
      <c r="BG20" s="89"/>
      <c r="BH20" s="89"/>
      <c r="BI20" s="89"/>
      <c r="BJ20" s="89"/>
      <c r="BK20" s="89"/>
      <c r="BL20" s="89"/>
      <c r="BM20" s="89"/>
      <c r="BN20" s="89"/>
      <c r="BO20" s="89"/>
      <c r="BP20" s="89"/>
      <c r="BQ20" s="89"/>
    </row>
    <row r="21" spans="2:69" x14ac:dyDescent="0.2">
      <c r="B21" s="2" t="s">
        <v>15</v>
      </c>
      <c r="C21" s="87">
        <f t="shared" si="3"/>
        <v>16.100000000000001</v>
      </c>
      <c r="D21" s="87">
        <f t="shared" si="3"/>
        <v>20.399999999999999</v>
      </c>
      <c r="E21" s="87">
        <f t="shared" si="3"/>
        <v>23.6</v>
      </c>
      <c r="F21" s="87">
        <f t="shared" si="3"/>
        <v>18.899999999999999</v>
      </c>
      <c r="G21" s="87">
        <f t="shared" si="3"/>
        <v>12.8</v>
      </c>
      <c r="H21" s="87">
        <f t="shared" si="3"/>
        <v>91.8</v>
      </c>
      <c r="I21" s="66">
        <f t="shared" si="4"/>
        <v>20978</v>
      </c>
      <c r="J21" s="87">
        <f t="shared" si="5"/>
        <v>18.3</v>
      </c>
      <c r="K21" s="87">
        <f t="shared" si="5"/>
        <v>22.3</v>
      </c>
      <c r="L21" s="87">
        <f t="shared" si="5"/>
        <v>22.2</v>
      </c>
      <c r="M21" s="87">
        <f t="shared" si="5"/>
        <v>17.899999999999999</v>
      </c>
      <c r="N21" s="87">
        <f t="shared" si="5"/>
        <v>11.2</v>
      </c>
      <c r="O21" s="87">
        <f t="shared" si="5"/>
        <v>91.9</v>
      </c>
      <c r="P21" s="66">
        <f t="shared" si="6"/>
        <v>23098</v>
      </c>
      <c r="Q21" s="87">
        <f t="shared" si="7"/>
        <v>17.2</v>
      </c>
      <c r="R21" s="87">
        <f t="shared" si="7"/>
        <v>21.4</v>
      </c>
      <c r="S21" s="87">
        <f t="shared" si="7"/>
        <v>22.9</v>
      </c>
      <c r="T21" s="87">
        <f t="shared" si="7"/>
        <v>18.399999999999999</v>
      </c>
      <c r="U21" s="87">
        <f t="shared" si="7"/>
        <v>12</v>
      </c>
      <c r="V21" s="87">
        <f t="shared" si="7"/>
        <v>91.8</v>
      </c>
      <c r="W21" s="66">
        <f t="shared" si="8"/>
        <v>44076</v>
      </c>
      <c r="Y21" s="73"/>
      <c r="Z21" s="73"/>
      <c r="AA21" s="73"/>
      <c r="AB21" s="73"/>
      <c r="AC21" s="73"/>
      <c r="AD21" s="73"/>
      <c r="AE21" s="73"/>
      <c r="AF21" s="73"/>
      <c r="AG21" s="73"/>
      <c r="AH21" s="73"/>
      <c r="AI21" s="73"/>
      <c r="AJ21" s="73"/>
      <c r="AK21" s="73"/>
      <c r="AL21" s="73"/>
      <c r="AM21" s="73"/>
      <c r="AN21" s="73"/>
      <c r="AO21" s="73"/>
      <c r="AP21" s="73"/>
      <c r="AQ21" s="73"/>
      <c r="AR21" s="73"/>
      <c r="AS21" s="73"/>
      <c r="AT21" s="73"/>
      <c r="AV21" s="78"/>
      <c r="AW21" s="89"/>
      <c r="AX21" s="89"/>
      <c r="AY21" s="89"/>
      <c r="AZ21" s="89"/>
      <c r="BA21" s="89"/>
      <c r="BB21" s="89"/>
      <c r="BC21" s="89"/>
      <c r="BD21" s="89"/>
      <c r="BE21" s="89"/>
      <c r="BF21" s="89"/>
      <c r="BG21" s="89"/>
      <c r="BH21" s="89"/>
      <c r="BI21" s="89"/>
      <c r="BJ21" s="89"/>
      <c r="BK21" s="89"/>
      <c r="BL21" s="89"/>
      <c r="BM21" s="89"/>
      <c r="BN21" s="89"/>
      <c r="BO21" s="89"/>
      <c r="BP21" s="89"/>
      <c r="BQ21" s="89"/>
    </row>
    <row r="22" spans="2:69" x14ac:dyDescent="0.2">
      <c r="B22" s="2" t="s">
        <v>16</v>
      </c>
      <c r="C22" s="87">
        <f t="shared" si="3"/>
        <v>11.6</v>
      </c>
      <c r="D22" s="87">
        <f t="shared" si="3"/>
        <v>14.2</v>
      </c>
      <c r="E22" s="87">
        <f t="shared" si="3"/>
        <v>17.8</v>
      </c>
      <c r="F22" s="87">
        <f t="shared" si="3"/>
        <v>18.899999999999999</v>
      </c>
      <c r="G22" s="87">
        <f t="shared" si="3"/>
        <v>15.9</v>
      </c>
      <c r="H22" s="87">
        <f t="shared" si="3"/>
        <v>78.400000000000006</v>
      </c>
      <c r="I22" s="66">
        <f t="shared" si="4"/>
        <v>8861</v>
      </c>
      <c r="J22" s="87">
        <f t="shared" si="5"/>
        <v>15</v>
      </c>
      <c r="K22" s="87">
        <f t="shared" si="5"/>
        <v>16</v>
      </c>
      <c r="L22" s="87">
        <f t="shared" si="5"/>
        <v>18.7</v>
      </c>
      <c r="M22" s="87">
        <f t="shared" si="5"/>
        <v>16.899999999999999</v>
      </c>
      <c r="N22" s="87">
        <f t="shared" si="5"/>
        <v>14.5</v>
      </c>
      <c r="O22" s="87">
        <f t="shared" si="5"/>
        <v>81</v>
      </c>
      <c r="P22" s="66">
        <f t="shared" si="6"/>
        <v>12124</v>
      </c>
      <c r="Q22" s="87">
        <f t="shared" si="7"/>
        <v>13.5</v>
      </c>
      <c r="R22" s="87">
        <f t="shared" si="7"/>
        <v>15.2</v>
      </c>
      <c r="S22" s="87">
        <f t="shared" si="7"/>
        <v>18.3</v>
      </c>
      <c r="T22" s="87">
        <f t="shared" si="7"/>
        <v>17.7</v>
      </c>
      <c r="U22" s="87">
        <f t="shared" si="7"/>
        <v>15.1</v>
      </c>
      <c r="V22" s="87">
        <f t="shared" si="7"/>
        <v>79.900000000000006</v>
      </c>
      <c r="W22" s="66">
        <f t="shared" si="8"/>
        <v>20985</v>
      </c>
      <c r="Y22" s="73"/>
      <c r="Z22" s="73"/>
      <c r="AA22" s="73"/>
      <c r="AB22" s="73"/>
      <c r="AC22" s="73"/>
      <c r="AD22" s="73"/>
      <c r="AE22" s="73"/>
      <c r="AF22" s="73"/>
      <c r="AG22" s="73"/>
      <c r="AH22" s="73"/>
      <c r="AI22" s="73"/>
      <c r="AJ22" s="73"/>
      <c r="AK22" s="73"/>
      <c r="AL22" s="73"/>
      <c r="AM22" s="73"/>
      <c r="AN22" s="73"/>
      <c r="AO22" s="73"/>
      <c r="AP22" s="73"/>
      <c r="AQ22" s="73"/>
      <c r="AR22" s="73"/>
      <c r="AS22" s="73"/>
      <c r="AT22" s="73"/>
      <c r="AV22" s="78"/>
      <c r="AW22" s="89"/>
      <c r="AX22" s="89"/>
      <c r="AY22" s="89"/>
      <c r="AZ22" s="89"/>
      <c r="BA22" s="89"/>
      <c r="BB22" s="89"/>
      <c r="BC22" s="89"/>
      <c r="BD22" s="89"/>
      <c r="BE22" s="89"/>
      <c r="BF22" s="89"/>
      <c r="BG22" s="89"/>
      <c r="BH22" s="89"/>
      <c r="BI22" s="89"/>
      <c r="BJ22" s="89"/>
      <c r="BK22" s="89"/>
      <c r="BL22" s="89"/>
      <c r="BM22" s="89"/>
      <c r="BN22" s="89"/>
      <c r="BO22" s="89"/>
      <c r="BP22" s="89"/>
      <c r="BQ22" s="89"/>
    </row>
    <row r="23" spans="2:69" x14ac:dyDescent="0.2">
      <c r="B23" s="2" t="s">
        <v>17</v>
      </c>
      <c r="C23" s="87">
        <f t="shared" ref="C23:H38" si="9">IF(OR(C65=1,C65=2),"x",ROUND(C65/$I65*100,1))</f>
        <v>7.1</v>
      </c>
      <c r="D23" s="87">
        <f t="shared" si="9"/>
        <v>12</v>
      </c>
      <c r="E23" s="87">
        <f t="shared" si="9"/>
        <v>17.3</v>
      </c>
      <c r="F23" s="87">
        <f t="shared" si="9"/>
        <v>19.7</v>
      </c>
      <c r="G23" s="87">
        <f t="shared" si="9"/>
        <v>18.3</v>
      </c>
      <c r="H23" s="87">
        <f t="shared" si="9"/>
        <v>74.5</v>
      </c>
      <c r="I23" s="66">
        <f t="shared" si="4"/>
        <v>20638</v>
      </c>
      <c r="J23" s="87">
        <f t="shared" ref="J23:O38" si="10">IF(OR(J65=1,J65=2),"x",ROUND(J65/$P65*100,1))</f>
        <v>14.4</v>
      </c>
      <c r="K23" s="87">
        <f t="shared" si="10"/>
        <v>16.899999999999999</v>
      </c>
      <c r="L23" s="87">
        <f t="shared" si="10"/>
        <v>19.5</v>
      </c>
      <c r="M23" s="87">
        <f t="shared" si="10"/>
        <v>17.8</v>
      </c>
      <c r="N23" s="87">
        <f t="shared" si="10"/>
        <v>14.4</v>
      </c>
      <c r="O23" s="87">
        <f t="shared" si="10"/>
        <v>83.1</v>
      </c>
      <c r="P23" s="66">
        <f t="shared" si="6"/>
        <v>49515</v>
      </c>
      <c r="Q23" s="87">
        <f t="shared" ref="Q23:V38" si="11">IF(OR(Q65=1,Q65=2),"x",ROUND(Q65/$W65*100,1))</f>
        <v>12.3</v>
      </c>
      <c r="R23" s="87">
        <f t="shared" si="11"/>
        <v>15.5</v>
      </c>
      <c r="S23" s="87">
        <f t="shared" si="11"/>
        <v>18.899999999999999</v>
      </c>
      <c r="T23" s="87">
        <f t="shared" si="11"/>
        <v>18.399999999999999</v>
      </c>
      <c r="U23" s="87">
        <f t="shared" si="11"/>
        <v>15.5</v>
      </c>
      <c r="V23" s="87">
        <f t="shared" si="11"/>
        <v>80.5</v>
      </c>
      <c r="W23" s="66">
        <f t="shared" si="8"/>
        <v>70153</v>
      </c>
      <c r="Y23" s="73"/>
      <c r="Z23" s="73"/>
      <c r="AA23" s="73"/>
      <c r="AB23" s="73"/>
      <c r="AC23" s="73"/>
      <c r="AD23" s="73"/>
      <c r="AE23" s="73"/>
      <c r="AF23" s="73"/>
      <c r="AG23" s="73"/>
      <c r="AH23" s="73"/>
      <c r="AI23" s="73"/>
      <c r="AJ23" s="73"/>
      <c r="AK23" s="73"/>
      <c r="AL23" s="73"/>
      <c r="AM23" s="73"/>
      <c r="AN23" s="73"/>
      <c r="AO23" s="73"/>
      <c r="AP23" s="73"/>
      <c r="AQ23" s="73"/>
      <c r="AR23" s="73"/>
      <c r="AS23" s="73"/>
      <c r="AT23" s="73"/>
      <c r="AV23" s="78"/>
      <c r="AW23" s="89"/>
      <c r="AX23" s="89"/>
      <c r="AY23" s="89"/>
      <c r="AZ23" s="89"/>
      <c r="BA23" s="89"/>
      <c r="BB23" s="89"/>
      <c r="BC23" s="89"/>
      <c r="BD23" s="89"/>
      <c r="BE23" s="89"/>
      <c r="BF23" s="89"/>
      <c r="BG23" s="89"/>
      <c r="BH23" s="89"/>
      <c r="BI23" s="89"/>
      <c r="BJ23" s="89"/>
      <c r="BK23" s="89"/>
      <c r="BL23" s="89"/>
      <c r="BM23" s="89"/>
      <c r="BN23" s="89"/>
      <c r="BO23" s="89"/>
      <c r="BP23" s="89"/>
      <c r="BQ23" s="89"/>
    </row>
    <row r="24" spans="2:69" x14ac:dyDescent="0.2">
      <c r="B24" s="2" t="s">
        <v>18</v>
      </c>
      <c r="C24" s="87">
        <f t="shared" si="9"/>
        <v>11.8</v>
      </c>
      <c r="D24" s="87">
        <f t="shared" si="9"/>
        <v>15.8</v>
      </c>
      <c r="E24" s="87">
        <f t="shared" si="9"/>
        <v>19.899999999999999</v>
      </c>
      <c r="F24" s="87">
        <f t="shared" si="9"/>
        <v>18.7</v>
      </c>
      <c r="G24" s="87">
        <f t="shared" si="9"/>
        <v>15.8</v>
      </c>
      <c r="H24" s="87">
        <f t="shared" si="9"/>
        <v>82</v>
      </c>
      <c r="I24" s="66">
        <f t="shared" si="4"/>
        <v>8861</v>
      </c>
      <c r="J24" s="87">
        <f t="shared" si="10"/>
        <v>18.7</v>
      </c>
      <c r="K24" s="87">
        <f t="shared" si="10"/>
        <v>18.899999999999999</v>
      </c>
      <c r="L24" s="87">
        <f t="shared" si="10"/>
        <v>19.899999999999999</v>
      </c>
      <c r="M24" s="87">
        <f t="shared" si="10"/>
        <v>16.899999999999999</v>
      </c>
      <c r="N24" s="87">
        <f t="shared" si="10"/>
        <v>12.7</v>
      </c>
      <c r="O24" s="87">
        <f t="shared" si="10"/>
        <v>87.1</v>
      </c>
      <c r="P24" s="66">
        <f t="shared" si="6"/>
        <v>24866</v>
      </c>
      <c r="Q24" s="87">
        <f t="shared" si="11"/>
        <v>16.899999999999999</v>
      </c>
      <c r="R24" s="87">
        <f t="shared" si="11"/>
        <v>18.100000000000001</v>
      </c>
      <c r="S24" s="87">
        <f t="shared" si="11"/>
        <v>19.899999999999999</v>
      </c>
      <c r="T24" s="87">
        <f t="shared" si="11"/>
        <v>17.399999999999999</v>
      </c>
      <c r="U24" s="87">
        <f t="shared" si="11"/>
        <v>13.5</v>
      </c>
      <c r="V24" s="87">
        <f t="shared" si="11"/>
        <v>85.8</v>
      </c>
      <c r="W24" s="66">
        <f t="shared" si="8"/>
        <v>33727</v>
      </c>
      <c r="Y24" s="73"/>
      <c r="Z24" s="73"/>
      <c r="AA24" s="73"/>
      <c r="AB24" s="73"/>
      <c r="AC24" s="73"/>
      <c r="AD24" s="73"/>
      <c r="AE24" s="73"/>
      <c r="AF24" s="73"/>
      <c r="AG24" s="73"/>
      <c r="AH24" s="73"/>
      <c r="AI24" s="73"/>
      <c r="AJ24" s="73"/>
      <c r="AK24" s="73"/>
      <c r="AL24" s="73"/>
      <c r="AM24" s="73"/>
      <c r="AN24" s="73"/>
      <c r="AO24" s="73"/>
      <c r="AP24" s="73"/>
      <c r="AQ24" s="73"/>
      <c r="AR24" s="73"/>
      <c r="AS24" s="73"/>
      <c r="AT24" s="73"/>
      <c r="AV24" s="78"/>
      <c r="AW24" s="89"/>
      <c r="AX24" s="89"/>
      <c r="AY24" s="89"/>
      <c r="AZ24" s="89"/>
      <c r="BA24" s="89"/>
      <c r="BB24" s="89"/>
      <c r="BC24" s="89"/>
      <c r="BD24" s="89"/>
      <c r="BE24" s="89"/>
      <c r="BF24" s="89"/>
      <c r="BG24" s="89"/>
      <c r="BH24" s="89"/>
      <c r="BI24" s="89"/>
      <c r="BJ24" s="89"/>
      <c r="BK24" s="89"/>
      <c r="BL24" s="89"/>
      <c r="BM24" s="89"/>
      <c r="BN24" s="89"/>
      <c r="BO24" s="89"/>
      <c r="BP24" s="89"/>
      <c r="BQ24" s="89"/>
    </row>
    <row r="25" spans="2:69" x14ac:dyDescent="0.2">
      <c r="B25" s="2" t="s">
        <v>19</v>
      </c>
      <c r="C25" s="87">
        <f t="shared" si="9"/>
        <v>10.7</v>
      </c>
      <c r="D25" s="87">
        <f t="shared" si="9"/>
        <v>14.1</v>
      </c>
      <c r="E25" s="87">
        <f t="shared" si="9"/>
        <v>18.100000000000001</v>
      </c>
      <c r="F25" s="87">
        <f t="shared" si="9"/>
        <v>18</v>
      </c>
      <c r="G25" s="87">
        <f t="shared" si="9"/>
        <v>15.5</v>
      </c>
      <c r="H25" s="87">
        <f t="shared" si="9"/>
        <v>76.3</v>
      </c>
      <c r="I25" s="66">
        <f t="shared" si="4"/>
        <v>4049</v>
      </c>
      <c r="J25" s="87">
        <f t="shared" si="10"/>
        <v>13.2</v>
      </c>
      <c r="K25" s="87">
        <f t="shared" si="10"/>
        <v>15.1</v>
      </c>
      <c r="L25" s="87">
        <f t="shared" si="10"/>
        <v>19.7</v>
      </c>
      <c r="M25" s="87">
        <f t="shared" si="10"/>
        <v>17.5</v>
      </c>
      <c r="N25" s="87">
        <f t="shared" si="10"/>
        <v>14.4</v>
      </c>
      <c r="O25" s="87">
        <f t="shared" si="10"/>
        <v>79.900000000000006</v>
      </c>
      <c r="P25" s="66">
        <f t="shared" si="6"/>
        <v>4828</v>
      </c>
      <c r="Q25" s="87">
        <f t="shared" si="11"/>
        <v>12</v>
      </c>
      <c r="R25" s="87">
        <f t="shared" si="11"/>
        <v>14.7</v>
      </c>
      <c r="S25" s="87">
        <f t="shared" si="11"/>
        <v>19</v>
      </c>
      <c r="T25" s="87">
        <f t="shared" si="11"/>
        <v>17.7</v>
      </c>
      <c r="U25" s="87">
        <f t="shared" si="11"/>
        <v>14.9</v>
      </c>
      <c r="V25" s="87">
        <f t="shared" si="11"/>
        <v>78.3</v>
      </c>
      <c r="W25" s="66">
        <f t="shared" si="8"/>
        <v>8877</v>
      </c>
      <c r="Y25" s="73"/>
      <c r="Z25" s="73"/>
      <c r="AA25" s="73"/>
      <c r="AB25" s="73"/>
      <c r="AC25" s="73"/>
      <c r="AD25" s="73"/>
      <c r="AE25" s="73"/>
      <c r="AF25" s="73"/>
      <c r="AG25" s="73"/>
      <c r="AH25" s="73"/>
      <c r="AI25" s="73"/>
      <c r="AJ25" s="73"/>
      <c r="AK25" s="73"/>
      <c r="AL25" s="73"/>
      <c r="AM25" s="73"/>
      <c r="AN25" s="73"/>
      <c r="AO25" s="73"/>
      <c r="AP25" s="73"/>
      <c r="AQ25" s="73"/>
      <c r="AR25" s="73"/>
      <c r="AS25" s="73"/>
      <c r="AT25" s="73"/>
      <c r="AV25" s="78"/>
      <c r="AW25" s="89"/>
      <c r="AX25" s="89"/>
      <c r="AY25" s="89"/>
      <c r="AZ25" s="89"/>
      <c r="BA25" s="89"/>
      <c r="BB25" s="89"/>
      <c r="BC25" s="89"/>
      <c r="BD25" s="89"/>
      <c r="BE25" s="89"/>
      <c r="BF25" s="89"/>
      <c r="BG25" s="89"/>
      <c r="BH25" s="89"/>
      <c r="BI25" s="89"/>
      <c r="BJ25" s="89"/>
      <c r="BK25" s="89"/>
      <c r="BL25" s="89"/>
      <c r="BM25" s="89"/>
      <c r="BN25" s="89"/>
      <c r="BO25" s="89"/>
      <c r="BP25" s="89"/>
      <c r="BQ25" s="89"/>
    </row>
    <row r="26" spans="2:69" x14ac:dyDescent="0.2">
      <c r="B26" s="2" t="s">
        <v>20</v>
      </c>
      <c r="C26" s="87">
        <f t="shared" si="9"/>
        <v>15.4</v>
      </c>
      <c r="D26" s="87">
        <f t="shared" si="9"/>
        <v>17.100000000000001</v>
      </c>
      <c r="E26" s="87">
        <f t="shared" si="9"/>
        <v>22.2</v>
      </c>
      <c r="F26" s="87">
        <f t="shared" si="9"/>
        <v>19.2</v>
      </c>
      <c r="G26" s="87">
        <f t="shared" si="9"/>
        <v>13.5</v>
      </c>
      <c r="H26" s="87">
        <f t="shared" si="9"/>
        <v>87.3</v>
      </c>
      <c r="I26" s="66">
        <f t="shared" si="4"/>
        <v>15846</v>
      </c>
      <c r="J26" s="87">
        <f t="shared" si="10"/>
        <v>22.4</v>
      </c>
      <c r="K26" s="87">
        <f t="shared" si="10"/>
        <v>22.1</v>
      </c>
      <c r="L26" s="87">
        <f t="shared" si="10"/>
        <v>23.1</v>
      </c>
      <c r="M26" s="87">
        <f t="shared" si="10"/>
        <v>16.100000000000001</v>
      </c>
      <c r="N26" s="87">
        <f t="shared" si="10"/>
        <v>9.1999999999999993</v>
      </c>
      <c r="O26" s="87">
        <f t="shared" si="10"/>
        <v>92.9</v>
      </c>
      <c r="P26" s="66">
        <f t="shared" si="6"/>
        <v>34180</v>
      </c>
      <c r="Q26" s="87">
        <f t="shared" si="11"/>
        <v>20.2</v>
      </c>
      <c r="R26" s="87">
        <f t="shared" si="11"/>
        <v>20.5</v>
      </c>
      <c r="S26" s="87">
        <f t="shared" si="11"/>
        <v>22.8</v>
      </c>
      <c r="T26" s="87">
        <f t="shared" si="11"/>
        <v>17.100000000000001</v>
      </c>
      <c r="U26" s="87">
        <f t="shared" si="11"/>
        <v>10.6</v>
      </c>
      <c r="V26" s="87">
        <f t="shared" si="11"/>
        <v>91.2</v>
      </c>
      <c r="W26" s="66">
        <f t="shared" si="8"/>
        <v>50026</v>
      </c>
      <c r="Y26" s="73"/>
      <c r="Z26" s="73"/>
      <c r="AA26" s="73"/>
      <c r="AB26" s="73"/>
      <c r="AC26" s="73"/>
      <c r="AD26" s="73"/>
      <c r="AE26" s="73"/>
      <c r="AF26" s="73"/>
      <c r="AG26" s="73"/>
      <c r="AH26" s="73"/>
      <c r="AI26" s="73"/>
      <c r="AJ26" s="73"/>
      <c r="AK26" s="73"/>
      <c r="AL26" s="73"/>
      <c r="AM26" s="73"/>
      <c r="AN26" s="73"/>
      <c r="AO26" s="73"/>
      <c r="AP26" s="73"/>
      <c r="AQ26" s="73"/>
      <c r="AR26" s="73"/>
      <c r="AS26" s="73"/>
      <c r="AT26" s="73"/>
      <c r="AV26" s="78"/>
      <c r="AW26" s="89"/>
      <c r="AX26" s="89"/>
      <c r="AY26" s="89"/>
      <c r="AZ26" s="89"/>
      <c r="BA26" s="89"/>
      <c r="BB26" s="89"/>
      <c r="BC26" s="89"/>
      <c r="BD26" s="89"/>
      <c r="BE26" s="89"/>
      <c r="BF26" s="89"/>
      <c r="BG26" s="89"/>
      <c r="BH26" s="89"/>
      <c r="BI26" s="89"/>
      <c r="BJ26" s="89"/>
      <c r="BK26" s="89"/>
      <c r="BL26" s="89"/>
      <c r="BM26" s="89"/>
      <c r="BN26" s="89"/>
      <c r="BO26" s="89"/>
      <c r="BP26" s="89"/>
      <c r="BQ26" s="89"/>
    </row>
    <row r="27" spans="2:69" x14ac:dyDescent="0.2">
      <c r="B27" s="2" t="s">
        <v>21</v>
      </c>
      <c r="C27" s="87">
        <f t="shared" si="9"/>
        <v>12</v>
      </c>
      <c r="D27" s="87">
        <f t="shared" si="9"/>
        <v>20.9</v>
      </c>
      <c r="E27" s="87">
        <f t="shared" si="9"/>
        <v>28</v>
      </c>
      <c r="F27" s="87">
        <f t="shared" si="9"/>
        <v>23.2</v>
      </c>
      <c r="G27" s="87">
        <f t="shared" si="9"/>
        <v>10.8</v>
      </c>
      <c r="H27" s="87">
        <f t="shared" si="9"/>
        <v>94.9</v>
      </c>
      <c r="I27" s="66">
        <f t="shared" si="4"/>
        <v>4778</v>
      </c>
      <c r="J27" s="87">
        <f t="shared" si="10"/>
        <v>19.3</v>
      </c>
      <c r="K27" s="87">
        <f t="shared" si="10"/>
        <v>26.3</v>
      </c>
      <c r="L27" s="87">
        <f t="shared" si="10"/>
        <v>27.3</v>
      </c>
      <c r="M27" s="87">
        <f t="shared" si="10"/>
        <v>16.899999999999999</v>
      </c>
      <c r="N27" s="87">
        <f t="shared" si="10"/>
        <v>7</v>
      </c>
      <c r="O27" s="87">
        <f t="shared" si="10"/>
        <v>96.8</v>
      </c>
      <c r="P27" s="66">
        <f t="shared" si="6"/>
        <v>11334</v>
      </c>
      <c r="Q27" s="87">
        <f t="shared" si="11"/>
        <v>17.2</v>
      </c>
      <c r="R27" s="87">
        <f t="shared" si="11"/>
        <v>24.7</v>
      </c>
      <c r="S27" s="87">
        <f t="shared" si="11"/>
        <v>27.5</v>
      </c>
      <c r="T27" s="87">
        <f t="shared" si="11"/>
        <v>18.8</v>
      </c>
      <c r="U27" s="87">
        <f t="shared" si="11"/>
        <v>8.1</v>
      </c>
      <c r="V27" s="87">
        <f t="shared" si="11"/>
        <v>96.3</v>
      </c>
      <c r="W27" s="66">
        <f t="shared" si="8"/>
        <v>16112</v>
      </c>
      <c r="Y27" s="73"/>
      <c r="Z27" s="73"/>
      <c r="AA27" s="73"/>
      <c r="AB27" s="73"/>
      <c r="AC27" s="73"/>
      <c r="AD27" s="73"/>
      <c r="AE27" s="73"/>
      <c r="AF27" s="73"/>
      <c r="AG27" s="73"/>
      <c r="AH27" s="73"/>
      <c r="AI27" s="73"/>
      <c r="AJ27" s="73"/>
      <c r="AK27" s="73"/>
      <c r="AL27" s="73"/>
      <c r="AM27" s="73"/>
      <c r="AN27" s="73"/>
      <c r="AO27" s="73"/>
      <c r="AP27" s="73"/>
      <c r="AQ27" s="73"/>
      <c r="AR27" s="73"/>
      <c r="AS27" s="73"/>
      <c r="AT27" s="73"/>
      <c r="AV27" s="78"/>
      <c r="AW27" s="89"/>
      <c r="AX27" s="89"/>
      <c r="AY27" s="89"/>
      <c r="AZ27" s="89"/>
      <c r="BA27" s="89"/>
      <c r="BB27" s="89"/>
      <c r="BC27" s="89"/>
      <c r="BD27" s="89"/>
      <c r="BE27" s="89"/>
      <c r="BF27" s="89"/>
      <c r="BG27" s="89"/>
      <c r="BH27" s="89"/>
      <c r="BI27" s="89"/>
      <c r="BJ27" s="89"/>
      <c r="BK27" s="89"/>
      <c r="BL27" s="89"/>
      <c r="BM27" s="89"/>
      <c r="BN27" s="89"/>
      <c r="BO27" s="89"/>
      <c r="BP27" s="89"/>
      <c r="BQ27" s="89"/>
    </row>
    <row r="28" spans="2:69" x14ac:dyDescent="0.2">
      <c r="B28" s="2" t="s">
        <v>22</v>
      </c>
      <c r="C28" s="87">
        <f t="shared" si="9"/>
        <v>14.8</v>
      </c>
      <c r="D28" s="87">
        <f t="shared" si="9"/>
        <v>19.3</v>
      </c>
      <c r="E28" s="87">
        <f t="shared" si="9"/>
        <v>25.1</v>
      </c>
      <c r="F28" s="87">
        <f t="shared" si="9"/>
        <v>22.3</v>
      </c>
      <c r="G28" s="87">
        <f t="shared" si="9"/>
        <v>12.5</v>
      </c>
      <c r="H28" s="87">
        <f t="shared" si="9"/>
        <v>93.9</v>
      </c>
      <c r="I28" s="66">
        <f t="shared" si="4"/>
        <v>26168</v>
      </c>
      <c r="J28" s="87">
        <f t="shared" si="10"/>
        <v>16.2</v>
      </c>
      <c r="K28" s="87">
        <f t="shared" si="10"/>
        <v>21.1</v>
      </c>
      <c r="L28" s="87">
        <f t="shared" si="10"/>
        <v>26.6</v>
      </c>
      <c r="M28" s="87">
        <f t="shared" si="10"/>
        <v>21.4</v>
      </c>
      <c r="N28" s="87">
        <f t="shared" si="10"/>
        <v>10.5</v>
      </c>
      <c r="O28" s="87">
        <f t="shared" si="10"/>
        <v>95.7</v>
      </c>
      <c r="P28" s="66">
        <f t="shared" si="6"/>
        <v>59077</v>
      </c>
      <c r="Q28" s="87">
        <f t="shared" si="11"/>
        <v>15.8</v>
      </c>
      <c r="R28" s="87">
        <f t="shared" si="11"/>
        <v>20.5</v>
      </c>
      <c r="S28" s="87">
        <f t="shared" si="11"/>
        <v>26.1</v>
      </c>
      <c r="T28" s="87">
        <f t="shared" si="11"/>
        <v>21.7</v>
      </c>
      <c r="U28" s="87">
        <f t="shared" si="11"/>
        <v>11.1</v>
      </c>
      <c r="V28" s="87">
        <f t="shared" si="11"/>
        <v>95.2</v>
      </c>
      <c r="W28" s="66">
        <f t="shared" si="8"/>
        <v>85245</v>
      </c>
      <c r="Y28" s="73"/>
      <c r="Z28" s="73"/>
      <c r="AA28" s="73"/>
      <c r="AB28" s="73"/>
      <c r="AC28" s="73"/>
      <c r="AD28" s="73"/>
      <c r="AE28" s="73"/>
      <c r="AF28" s="73"/>
      <c r="AG28" s="73"/>
      <c r="AH28" s="73"/>
      <c r="AI28" s="73"/>
      <c r="AJ28" s="73"/>
      <c r="AK28" s="73"/>
      <c r="AL28" s="73"/>
      <c r="AM28" s="73"/>
      <c r="AN28" s="73"/>
      <c r="AO28" s="73"/>
      <c r="AP28" s="73"/>
      <c r="AQ28" s="73"/>
      <c r="AR28" s="73"/>
      <c r="AS28" s="73"/>
      <c r="AT28" s="73"/>
      <c r="AV28" s="78"/>
      <c r="AW28" s="89"/>
      <c r="AX28" s="89"/>
      <c r="AY28" s="89"/>
      <c r="AZ28" s="89"/>
      <c r="BA28" s="89"/>
      <c r="BB28" s="89"/>
      <c r="BC28" s="89"/>
      <c r="BD28" s="89"/>
      <c r="BE28" s="89"/>
      <c r="BF28" s="89"/>
      <c r="BG28" s="89"/>
      <c r="BH28" s="89"/>
      <c r="BI28" s="89"/>
      <c r="BJ28" s="89"/>
      <c r="BK28" s="89"/>
      <c r="BL28" s="89"/>
      <c r="BM28" s="89"/>
      <c r="BN28" s="89"/>
      <c r="BO28" s="89"/>
      <c r="BP28" s="89"/>
      <c r="BQ28" s="89"/>
    </row>
    <row r="29" spans="2:69" x14ac:dyDescent="0.2">
      <c r="B29" s="2" t="s">
        <v>51</v>
      </c>
      <c r="C29" s="87">
        <f t="shared" si="9"/>
        <v>9.8000000000000007</v>
      </c>
      <c r="D29" s="87">
        <f t="shared" si="9"/>
        <v>20.6</v>
      </c>
      <c r="E29" s="87">
        <f t="shared" si="9"/>
        <v>27.2</v>
      </c>
      <c r="F29" s="87">
        <f t="shared" si="9"/>
        <v>21.8</v>
      </c>
      <c r="G29" s="87">
        <f t="shared" si="9"/>
        <v>12.3</v>
      </c>
      <c r="H29" s="87">
        <f t="shared" si="9"/>
        <v>91.7</v>
      </c>
      <c r="I29" s="66">
        <f t="shared" si="4"/>
        <v>13409</v>
      </c>
      <c r="J29" s="87">
        <f t="shared" si="10"/>
        <v>15.4</v>
      </c>
      <c r="K29" s="87">
        <f t="shared" si="10"/>
        <v>24.8</v>
      </c>
      <c r="L29" s="87">
        <f t="shared" si="10"/>
        <v>26.8</v>
      </c>
      <c r="M29" s="87">
        <f t="shared" si="10"/>
        <v>18.8</v>
      </c>
      <c r="N29" s="87">
        <f t="shared" si="10"/>
        <v>8.9</v>
      </c>
      <c r="O29" s="87">
        <f t="shared" si="10"/>
        <v>94.7</v>
      </c>
      <c r="P29" s="66">
        <f t="shared" si="6"/>
        <v>16495</v>
      </c>
      <c r="Q29" s="87">
        <f t="shared" si="11"/>
        <v>12.9</v>
      </c>
      <c r="R29" s="87">
        <f t="shared" si="11"/>
        <v>22.9</v>
      </c>
      <c r="S29" s="87">
        <f t="shared" si="11"/>
        <v>27</v>
      </c>
      <c r="T29" s="87">
        <f t="shared" si="11"/>
        <v>20.100000000000001</v>
      </c>
      <c r="U29" s="87">
        <f t="shared" si="11"/>
        <v>10.4</v>
      </c>
      <c r="V29" s="87">
        <f t="shared" si="11"/>
        <v>93.4</v>
      </c>
      <c r="W29" s="66">
        <f t="shared" si="8"/>
        <v>29904</v>
      </c>
      <c r="Y29" s="73"/>
      <c r="Z29" s="73"/>
      <c r="AA29" s="73"/>
      <c r="AB29" s="73"/>
      <c r="AC29" s="73"/>
      <c r="AD29" s="73"/>
      <c r="AE29" s="73"/>
      <c r="AF29" s="73"/>
      <c r="AG29" s="73"/>
      <c r="AH29" s="73"/>
      <c r="AI29" s="73"/>
      <c r="AJ29" s="73"/>
      <c r="AK29" s="73"/>
      <c r="AL29" s="73"/>
      <c r="AM29" s="73"/>
      <c r="AN29" s="73"/>
      <c r="AO29" s="73"/>
      <c r="AP29" s="73"/>
      <c r="AQ29" s="73"/>
      <c r="AR29" s="73"/>
      <c r="AS29" s="73"/>
      <c r="AT29" s="73"/>
      <c r="AV29" s="78"/>
      <c r="AW29" s="89"/>
      <c r="AX29" s="89"/>
      <c r="AY29" s="89"/>
      <c r="AZ29" s="89"/>
      <c r="BA29" s="89"/>
      <c r="BB29" s="89"/>
      <c r="BC29" s="89"/>
      <c r="BD29" s="89"/>
      <c r="BE29" s="89"/>
      <c r="BF29" s="89"/>
      <c r="BG29" s="89"/>
      <c r="BH29" s="89"/>
      <c r="BI29" s="89"/>
      <c r="BJ29" s="89"/>
      <c r="BK29" s="89"/>
      <c r="BL29" s="89"/>
      <c r="BM29" s="89"/>
      <c r="BN29" s="89"/>
      <c r="BO29" s="89"/>
      <c r="BP29" s="89"/>
      <c r="BQ29" s="89"/>
    </row>
    <row r="30" spans="2:69" x14ac:dyDescent="0.2">
      <c r="B30" s="2" t="s">
        <v>23</v>
      </c>
      <c r="C30" s="87">
        <f t="shared" si="9"/>
        <v>9.9</v>
      </c>
      <c r="D30" s="87">
        <f t="shared" si="9"/>
        <v>27.6</v>
      </c>
      <c r="E30" s="87">
        <f t="shared" si="9"/>
        <v>33.9</v>
      </c>
      <c r="F30" s="87">
        <f t="shared" si="9"/>
        <v>16.7</v>
      </c>
      <c r="G30" s="87">
        <f t="shared" si="9"/>
        <v>6.4</v>
      </c>
      <c r="H30" s="87">
        <f t="shared" si="9"/>
        <v>94.6</v>
      </c>
      <c r="I30" s="66">
        <f t="shared" si="4"/>
        <v>6264</v>
      </c>
      <c r="J30" s="87">
        <f t="shared" si="10"/>
        <v>14.1</v>
      </c>
      <c r="K30" s="87">
        <f t="shared" si="10"/>
        <v>29.4</v>
      </c>
      <c r="L30" s="87">
        <f t="shared" si="10"/>
        <v>30.6</v>
      </c>
      <c r="M30" s="87">
        <f t="shared" si="10"/>
        <v>15.6</v>
      </c>
      <c r="N30" s="87">
        <f t="shared" si="10"/>
        <v>6.6</v>
      </c>
      <c r="O30" s="87">
        <f t="shared" si="10"/>
        <v>96.2</v>
      </c>
      <c r="P30" s="66">
        <f t="shared" si="6"/>
        <v>8281</v>
      </c>
      <c r="Q30" s="87">
        <f t="shared" si="11"/>
        <v>12.3</v>
      </c>
      <c r="R30" s="87">
        <f t="shared" si="11"/>
        <v>28.6</v>
      </c>
      <c r="S30" s="87">
        <f t="shared" si="11"/>
        <v>32</v>
      </c>
      <c r="T30" s="87">
        <f t="shared" si="11"/>
        <v>16.100000000000001</v>
      </c>
      <c r="U30" s="87">
        <f t="shared" si="11"/>
        <v>6.5</v>
      </c>
      <c r="V30" s="87">
        <f t="shared" si="11"/>
        <v>95.5</v>
      </c>
      <c r="W30" s="66">
        <f t="shared" si="8"/>
        <v>14545</v>
      </c>
      <c r="Y30" s="73"/>
      <c r="Z30" s="73"/>
      <c r="AA30" s="73"/>
      <c r="AB30" s="73"/>
      <c r="AC30" s="73"/>
      <c r="AD30" s="73"/>
      <c r="AE30" s="73"/>
      <c r="AF30" s="73"/>
      <c r="AG30" s="73"/>
      <c r="AH30" s="73"/>
      <c r="AI30" s="73"/>
      <c r="AJ30" s="73"/>
      <c r="AK30" s="73"/>
      <c r="AL30" s="73"/>
      <c r="AM30" s="73"/>
      <c r="AN30" s="73"/>
      <c r="AO30" s="73"/>
      <c r="AP30" s="73"/>
      <c r="AQ30" s="73"/>
      <c r="AR30" s="73"/>
      <c r="AS30" s="73"/>
      <c r="AT30" s="73"/>
      <c r="AV30" s="78"/>
      <c r="AW30" s="89"/>
      <c r="AX30" s="89"/>
      <c r="AY30" s="89"/>
      <c r="AZ30" s="89"/>
      <c r="BA30" s="89"/>
      <c r="BB30" s="89"/>
      <c r="BC30" s="89"/>
      <c r="BD30" s="89"/>
      <c r="BE30" s="89"/>
      <c r="BF30" s="89"/>
      <c r="BG30" s="89"/>
      <c r="BH30" s="89"/>
      <c r="BI30" s="89"/>
      <c r="BJ30" s="89"/>
      <c r="BK30" s="89"/>
      <c r="BL30" s="89"/>
      <c r="BM30" s="89"/>
      <c r="BN30" s="89"/>
      <c r="BO30" s="89"/>
      <c r="BP30" s="89"/>
      <c r="BQ30" s="89"/>
    </row>
    <row r="31" spans="2:69" x14ac:dyDescent="0.2">
      <c r="B31" s="2" t="s">
        <v>24</v>
      </c>
      <c r="C31" s="87">
        <f t="shared" si="9"/>
        <v>26.8</v>
      </c>
      <c r="D31" s="87">
        <f t="shared" si="9"/>
        <v>18.899999999999999</v>
      </c>
      <c r="E31" s="87">
        <f t="shared" si="9"/>
        <v>19</v>
      </c>
      <c r="F31" s="87">
        <f t="shared" si="9"/>
        <v>15.2</v>
      </c>
      <c r="G31" s="87">
        <f t="shared" si="9"/>
        <v>10.4</v>
      </c>
      <c r="H31" s="87">
        <f t="shared" si="9"/>
        <v>90.4</v>
      </c>
      <c r="I31" s="66">
        <f t="shared" si="4"/>
        <v>4608</v>
      </c>
      <c r="J31" s="87">
        <f t="shared" si="10"/>
        <v>22.9</v>
      </c>
      <c r="K31" s="87">
        <f t="shared" si="10"/>
        <v>19.100000000000001</v>
      </c>
      <c r="L31" s="87">
        <f t="shared" si="10"/>
        <v>19.100000000000001</v>
      </c>
      <c r="M31" s="87">
        <f t="shared" si="10"/>
        <v>16.399999999999999</v>
      </c>
      <c r="N31" s="87">
        <f t="shared" si="10"/>
        <v>12.2</v>
      </c>
      <c r="O31" s="87">
        <f t="shared" si="10"/>
        <v>89.7</v>
      </c>
      <c r="P31" s="66">
        <f t="shared" si="6"/>
        <v>10805</v>
      </c>
      <c r="Q31" s="87">
        <f t="shared" si="11"/>
        <v>24</v>
      </c>
      <c r="R31" s="87">
        <f t="shared" si="11"/>
        <v>19</v>
      </c>
      <c r="S31" s="87">
        <f t="shared" si="11"/>
        <v>19</v>
      </c>
      <c r="T31" s="87">
        <f t="shared" si="11"/>
        <v>16.100000000000001</v>
      </c>
      <c r="U31" s="87">
        <f t="shared" si="11"/>
        <v>11.6</v>
      </c>
      <c r="V31" s="87">
        <f t="shared" si="11"/>
        <v>89.9</v>
      </c>
      <c r="W31" s="66">
        <f t="shared" si="8"/>
        <v>15413</v>
      </c>
      <c r="Y31" s="73"/>
      <c r="Z31" s="73"/>
      <c r="AA31" s="73"/>
      <c r="AB31" s="73"/>
      <c r="AC31" s="73"/>
      <c r="AD31" s="73"/>
      <c r="AE31" s="73"/>
      <c r="AF31" s="73"/>
      <c r="AG31" s="73"/>
      <c r="AH31" s="73"/>
      <c r="AI31" s="73"/>
      <c r="AJ31" s="73"/>
      <c r="AK31" s="73"/>
      <c r="AL31" s="73"/>
      <c r="AM31" s="73"/>
      <c r="AN31" s="73"/>
      <c r="AO31" s="73"/>
      <c r="AP31" s="73"/>
      <c r="AQ31" s="73"/>
      <c r="AR31" s="73"/>
      <c r="AS31" s="73"/>
      <c r="AT31" s="73"/>
      <c r="AV31" s="78"/>
      <c r="AW31" s="89"/>
      <c r="AX31" s="89"/>
      <c r="AY31" s="89"/>
      <c r="AZ31" s="89"/>
      <c r="BA31" s="89"/>
      <c r="BB31" s="89"/>
      <c r="BC31" s="89"/>
      <c r="BD31" s="89"/>
      <c r="BE31" s="89"/>
      <c r="BF31" s="89"/>
      <c r="BG31" s="89"/>
      <c r="BH31" s="89"/>
      <c r="BI31" s="89"/>
      <c r="BJ31" s="89"/>
      <c r="BK31" s="89"/>
      <c r="BL31" s="89"/>
      <c r="BM31" s="89"/>
      <c r="BN31" s="89"/>
      <c r="BO31" s="89"/>
      <c r="BP31" s="89"/>
      <c r="BQ31" s="89"/>
    </row>
    <row r="32" spans="2:69" x14ac:dyDescent="0.2">
      <c r="B32" s="2" t="s">
        <v>25</v>
      </c>
      <c r="C32" s="87">
        <f t="shared" si="9"/>
        <v>25.4</v>
      </c>
      <c r="D32" s="87">
        <f t="shared" si="9"/>
        <v>18.8</v>
      </c>
      <c r="E32" s="87">
        <f t="shared" si="9"/>
        <v>20.6</v>
      </c>
      <c r="F32" s="87">
        <f t="shared" si="9"/>
        <v>16.2</v>
      </c>
      <c r="G32" s="87">
        <f t="shared" si="9"/>
        <v>10.1</v>
      </c>
      <c r="H32" s="87">
        <f t="shared" si="9"/>
        <v>91.1</v>
      </c>
      <c r="I32" s="66">
        <f t="shared" si="4"/>
        <v>2405</v>
      </c>
      <c r="J32" s="87">
        <f t="shared" si="10"/>
        <v>22.7</v>
      </c>
      <c r="K32" s="87">
        <f t="shared" si="10"/>
        <v>20.9</v>
      </c>
      <c r="L32" s="87">
        <f t="shared" si="10"/>
        <v>21.6</v>
      </c>
      <c r="M32" s="87">
        <f t="shared" si="10"/>
        <v>16</v>
      </c>
      <c r="N32" s="87">
        <f t="shared" si="10"/>
        <v>10.5</v>
      </c>
      <c r="O32" s="87">
        <f t="shared" si="10"/>
        <v>91.7</v>
      </c>
      <c r="P32" s="66">
        <f t="shared" si="6"/>
        <v>4214</v>
      </c>
      <c r="Q32" s="87">
        <f t="shared" si="11"/>
        <v>23.6</v>
      </c>
      <c r="R32" s="87">
        <f t="shared" si="11"/>
        <v>20.100000000000001</v>
      </c>
      <c r="S32" s="87">
        <f t="shared" si="11"/>
        <v>21.3</v>
      </c>
      <c r="T32" s="87">
        <f t="shared" si="11"/>
        <v>16.100000000000001</v>
      </c>
      <c r="U32" s="87">
        <f t="shared" si="11"/>
        <v>10.4</v>
      </c>
      <c r="V32" s="87">
        <f t="shared" si="11"/>
        <v>91.5</v>
      </c>
      <c r="W32" s="66">
        <f t="shared" si="8"/>
        <v>6619</v>
      </c>
      <c r="Y32" s="73"/>
      <c r="Z32" s="73"/>
      <c r="AA32" s="73"/>
      <c r="AB32" s="73"/>
      <c r="AC32" s="73"/>
      <c r="AD32" s="73"/>
      <c r="AE32" s="73"/>
      <c r="AF32" s="73"/>
      <c r="AG32" s="73"/>
      <c r="AH32" s="73"/>
      <c r="AI32" s="73"/>
      <c r="AJ32" s="73"/>
      <c r="AK32" s="73"/>
      <c r="AL32" s="73"/>
      <c r="AM32" s="73"/>
      <c r="AN32" s="73"/>
      <c r="AO32" s="73"/>
      <c r="AP32" s="73"/>
      <c r="AQ32" s="73"/>
      <c r="AR32" s="73"/>
      <c r="AS32" s="73"/>
      <c r="AT32" s="73"/>
      <c r="AV32" s="78"/>
      <c r="AW32" s="89"/>
      <c r="AX32" s="89"/>
      <c r="AY32" s="89"/>
      <c r="AZ32" s="89"/>
      <c r="BA32" s="89"/>
      <c r="BB32" s="89"/>
      <c r="BC32" s="89"/>
      <c r="BD32" s="89"/>
      <c r="BE32" s="89"/>
      <c r="BF32" s="89"/>
      <c r="BG32" s="89"/>
      <c r="BH32" s="89"/>
      <c r="BI32" s="89"/>
      <c r="BJ32" s="89"/>
      <c r="BK32" s="89"/>
      <c r="BL32" s="89"/>
      <c r="BM32" s="89"/>
      <c r="BN32" s="89"/>
      <c r="BO32" s="89"/>
      <c r="BP32" s="89"/>
      <c r="BQ32" s="89"/>
    </row>
    <row r="33" spans="2:69" x14ac:dyDescent="0.2">
      <c r="B33" s="2" t="s">
        <v>26</v>
      </c>
      <c r="C33" s="87">
        <f t="shared" si="9"/>
        <v>24.4</v>
      </c>
      <c r="D33" s="87">
        <f t="shared" si="9"/>
        <v>21.8</v>
      </c>
      <c r="E33" s="87">
        <f t="shared" si="9"/>
        <v>18.8</v>
      </c>
      <c r="F33" s="87">
        <f t="shared" si="9"/>
        <v>16.3</v>
      </c>
      <c r="G33" s="87">
        <f t="shared" si="9"/>
        <v>10.6</v>
      </c>
      <c r="H33" s="87">
        <f t="shared" si="9"/>
        <v>91.8</v>
      </c>
      <c r="I33" s="66">
        <f t="shared" si="4"/>
        <v>1865</v>
      </c>
      <c r="J33" s="87">
        <f t="shared" si="10"/>
        <v>20</v>
      </c>
      <c r="K33" s="87">
        <f t="shared" si="10"/>
        <v>20</v>
      </c>
      <c r="L33" s="87">
        <f t="shared" si="10"/>
        <v>19.5</v>
      </c>
      <c r="M33" s="87">
        <f t="shared" si="10"/>
        <v>18.899999999999999</v>
      </c>
      <c r="N33" s="87">
        <f t="shared" si="10"/>
        <v>12.3</v>
      </c>
      <c r="O33" s="87">
        <f t="shared" si="10"/>
        <v>90.8</v>
      </c>
      <c r="P33" s="66">
        <f t="shared" si="6"/>
        <v>4267</v>
      </c>
      <c r="Q33" s="87">
        <f t="shared" si="11"/>
        <v>21.3</v>
      </c>
      <c r="R33" s="87">
        <f t="shared" si="11"/>
        <v>20.5</v>
      </c>
      <c r="S33" s="87">
        <f t="shared" si="11"/>
        <v>19.3</v>
      </c>
      <c r="T33" s="87">
        <f t="shared" si="11"/>
        <v>18.100000000000001</v>
      </c>
      <c r="U33" s="87">
        <f t="shared" si="11"/>
        <v>11.8</v>
      </c>
      <c r="V33" s="87">
        <f t="shared" si="11"/>
        <v>91.1</v>
      </c>
      <c r="W33" s="66">
        <f t="shared" si="8"/>
        <v>6132</v>
      </c>
      <c r="Y33" s="73"/>
      <c r="Z33" s="73"/>
      <c r="AA33" s="73"/>
      <c r="AB33" s="73"/>
      <c r="AC33" s="73"/>
      <c r="AD33" s="73"/>
      <c r="AE33" s="73"/>
      <c r="AF33" s="73"/>
      <c r="AG33" s="73"/>
      <c r="AH33" s="73"/>
      <c r="AI33" s="73"/>
      <c r="AJ33" s="73"/>
      <c r="AK33" s="73"/>
      <c r="AL33" s="73"/>
      <c r="AM33" s="73"/>
      <c r="AN33" s="73"/>
      <c r="AO33" s="73"/>
      <c r="AP33" s="73"/>
      <c r="AQ33" s="73"/>
      <c r="AR33" s="73"/>
      <c r="AS33" s="73"/>
      <c r="AT33" s="73"/>
      <c r="AV33" s="78"/>
      <c r="AW33" s="89"/>
      <c r="AX33" s="89"/>
      <c r="AY33" s="89"/>
      <c r="AZ33" s="89"/>
      <c r="BA33" s="89"/>
      <c r="BB33" s="89"/>
      <c r="BC33" s="89"/>
      <c r="BD33" s="89"/>
      <c r="BE33" s="89"/>
      <c r="BF33" s="89"/>
      <c r="BG33" s="89"/>
      <c r="BH33" s="89"/>
      <c r="BI33" s="89"/>
      <c r="BJ33" s="89"/>
      <c r="BK33" s="89"/>
      <c r="BL33" s="89"/>
      <c r="BM33" s="89"/>
      <c r="BN33" s="89"/>
      <c r="BO33" s="89"/>
      <c r="BP33" s="89"/>
      <c r="BQ33" s="89"/>
    </row>
    <row r="34" spans="2:69" x14ac:dyDescent="0.2">
      <c r="B34" s="2" t="s">
        <v>27</v>
      </c>
      <c r="C34" s="87">
        <f t="shared" si="9"/>
        <v>48.9</v>
      </c>
      <c r="D34" s="87">
        <f t="shared" si="9"/>
        <v>23.4</v>
      </c>
      <c r="E34" s="87">
        <f t="shared" si="9"/>
        <v>10.3</v>
      </c>
      <c r="F34" s="87">
        <f t="shared" si="9"/>
        <v>5.6</v>
      </c>
      <c r="G34" s="87">
        <f t="shared" si="9"/>
        <v>5.2</v>
      </c>
      <c r="H34" s="87">
        <f t="shared" si="9"/>
        <v>93.3</v>
      </c>
      <c r="I34" s="66">
        <f t="shared" si="4"/>
        <v>1548</v>
      </c>
      <c r="J34" s="87">
        <f t="shared" si="10"/>
        <v>50</v>
      </c>
      <c r="K34" s="87">
        <f t="shared" si="10"/>
        <v>21.1</v>
      </c>
      <c r="L34" s="87">
        <f t="shared" si="10"/>
        <v>11.3</v>
      </c>
      <c r="M34" s="87">
        <f t="shared" si="10"/>
        <v>5.3</v>
      </c>
      <c r="N34" s="87">
        <f t="shared" si="10"/>
        <v>5.2</v>
      </c>
      <c r="O34" s="87">
        <f t="shared" si="10"/>
        <v>92.9</v>
      </c>
      <c r="P34" s="66">
        <f t="shared" si="6"/>
        <v>2045</v>
      </c>
      <c r="Q34" s="87">
        <f t="shared" si="11"/>
        <v>49.5</v>
      </c>
      <c r="R34" s="87">
        <f t="shared" si="11"/>
        <v>22.1</v>
      </c>
      <c r="S34" s="87">
        <f t="shared" si="11"/>
        <v>10.9</v>
      </c>
      <c r="T34" s="87">
        <f t="shared" si="11"/>
        <v>5.4</v>
      </c>
      <c r="U34" s="87">
        <f t="shared" si="11"/>
        <v>5.2</v>
      </c>
      <c r="V34" s="87">
        <f t="shared" si="11"/>
        <v>93.1</v>
      </c>
      <c r="W34" s="66">
        <f t="shared" si="8"/>
        <v>3593</v>
      </c>
      <c r="Y34" s="73"/>
      <c r="Z34" s="73"/>
      <c r="AA34" s="73"/>
      <c r="AB34" s="73"/>
      <c r="AC34" s="73"/>
      <c r="AD34" s="73"/>
      <c r="AE34" s="73"/>
      <c r="AF34" s="73"/>
      <c r="AG34" s="73"/>
      <c r="AH34" s="73"/>
      <c r="AI34" s="73"/>
      <c r="AJ34" s="73"/>
      <c r="AK34" s="73"/>
      <c r="AL34" s="73"/>
      <c r="AM34" s="73"/>
      <c r="AN34" s="73"/>
      <c r="AO34" s="73"/>
      <c r="AP34" s="73"/>
      <c r="AQ34" s="73"/>
      <c r="AR34" s="73"/>
      <c r="AS34" s="73"/>
      <c r="AT34" s="73"/>
      <c r="AV34" s="78"/>
      <c r="AW34" s="89"/>
      <c r="AX34" s="89"/>
      <c r="AY34" s="89"/>
      <c r="AZ34" s="89"/>
      <c r="BA34" s="89"/>
      <c r="BB34" s="89"/>
      <c r="BC34" s="89"/>
      <c r="BD34" s="89"/>
      <c r="BE34" s="89"/>
      <c r="BF34" s="89"/>
      <c r="BG34" s="89"/>
      <c r="BH34" s="89"/>
      <c r="BI34" s="89"/>
      <c r="BJ34" s="89"/>
      <c r="BK34" s="89"/>
      <c r="BL34" s="89"/>
      <c r="BM34" s="89"/>
      <c r="BN34" s="89"/>
      <c r="BO34" s="89"/>
      <c r="BP34" s="89"/>
      <c r="BQ34" s="89"/>
    </row>
    <row r="35" spans="2:69" x14ac:dyDescent="0.2">
      <c r="B35" s="2" t="s">
        <v>28</v>
      </c>
      <c r="C35" s="87">
        <f t="shared" si="9"/>
        <v>28.4</v>
      </c>
      <c r="D35" s="87">
        <f t="shared" si="9"/>
        <v>19.2</v>
      </c>
      <c r="E35" s="87">
        <f t="shared" si="9"/>
        <v>20.2</v>
      </c>
      <c r="F35" s="87">
        <f t="shared" si="9"/>
        <v>14.5</v>
      </c>
      <c r="G35" s="87">
        <f t="shared" si="9"/>
        <v>10.8</v>
      </c>
      <c r="H35" s="87">
        <f t="shared" si="9"/>
        <v>93</v>
      </c>
      <c r="I35" s="66">
        <f t="shared" si="4"/>
        <v>2684</v>
      </c>
      <c r="J35" s="87">
        <f t="shared" si="10"/>
        <v>32.4</v>
      </c>
      <c r="K35" s="87">
        <f t="shared" si="10"/>
        <v>22.7</v>
      </c>
      <c r="L35" s="87">
        <f t="shared" si="10"/>
        <v>19.8</v>
      </c>
      <c r="M35" s="87">
        <f t="shared" si="10"/>
        <v>13</v>
      </c>
      <c r="N35" s="87">
        <f t="shared" si="10"/>
        <v>7.9</v>
      </c>
      <c r="O35" s="87">
        <f t="shared" si="10"/>
        <v>95.8</v>
      </c>
      <c r="P35" s="66">
        <f t="shared" si="6"/>
        <v>3418</v>
      </c>
      <c r="Q35" s="87">
        <f t="shared" si="11"/>
        <v>30.6</v>
      </c>
      <c r="R35" s="87">
        <f t="shared" si="11"/>
        <v>21.1</v>
      </c>
      <c r="S35" s="87">
        <f t="shared" si="11"/>
        <v>20</v>
      </c>
      <c r="T35" s="87">
        <f t="shared" si="11"/>
        <v>13.6</v>
      </c>
      <c r="U35" s="87">
        <f t="shared" si="11"/>
        <v>9.1999999999999993</v>
      </c>
      <c r="V35" s="87">
        <f t="shared" si="11"/>
        <v>94.6</v>
      </c>
      <c r="W35" s="66">
        <f t="shared" si="8"/>
        <v>6102</v>
      </c>
      <c r="Y35" s="73"/>
      <c r="Z35" s="73"/>
      <c r="AA35" s="73"/>
      <c r="AB35" s="73"/>
      <c r="AC35" s="73"/>
      <c r="AD35" s="73"/>
      <c r="AE35" s="73"/>
      <c r="AF35" s="73"/>
      <c r="AG35" s="73"/>
      <c r="AH35" s="73"/>
      <c r="AI35" s="73"/>
      <c r="AJ35" s="73"/>
      <c r="AK35" s="73"/>
      <c r="AL35" s="73"/>
      <c r="AM35" s="73"/>
      <c r="AN35" s="73"/>
      <c r="AO35" s="73"/>
      <c r="AP35" s="73"/>
      <c r="AQ35" s="73"/>
      <c r="AR35" s="73"/>
      <c r="AS35" s="73"/>
      <c r="AT35" s="73"/>
      <c r="AV35" s="78"/>
      <c r="AW35" s="89"/>
      <c r="AX35" s="89"/>
      <c r="AY35" s="89"/>
      <c r="AZ35" s="89"/>
      <c r="BA35" s="89"/>
      <c r="BB35" s="89"/>
      <c r="BC35" s="89"/>
      <c r="BD35" s="89"/>
      <c r="BE35" s="89"/>
      <c r="BF35" s="89"/>
      <c r="BG35" s="89"/>
      <c r="BH35" s="89"/>
      <c r="BI35" s="89"/>
      <c r="BJ35" s="89"/>
      <c r="BK35" s="89"/>
      <c r="BL35" s="89"/>
      <c r="BM35" s="89"/>
      <c r="BN35" s="89"/>
      <c r="BO35" s="89"/>
      <c r="BP35" s="89"/>
      <c r="BQ35" s="89"/>
    </row>
    <row r="36" spans="2:69" x14ac:dyDescent="0.2">
      <c r="B36" s="2" t="s">
        <v>29</v>
      </c>
      <c r="C36" s="87">
        <f t="shared" si="9"/>
        <v>19.399999999999999</v>
      </c>
      <c r="D36" s="87">
        <f t="shared" si="9"/>
        <v>21.8</v>
      </c>
      <c r="E36" s="87">
        <f t="shared" si="9"/>
        <v>21.2</v>
      </c>
      <c r="F36" s="87">
        <f t="shared" si="9"/>
        <v>16.399999999999999</v>
      </c>
      <c r="G36" s="87">
        <f t="shared" si="9"/>
        <v>11.7</v>
      </c>
      <c r="H36" s="87">
        <f t="shared" si="9"/>
        <v>90.6</v>
      </c>
      <c r="I36" s="66">
        <f t="shared" si="4"/>
        <v>5661</v>
      </c>
      <c r="J36" s="87">
        <f t="shared" si="10"/>
        <v>23.1</v>
      </c>
      <c r="K36" s="87">
        <f t="shared" si="10"/>
        <v>24.2</v>
      </c>
      <c r="L36" s="87">
        <f t="shared" si="10"/>
        <v>22.1</v>
      </c>
      <c r="M36" s="87">
        <f t="shared" si="10"/>
        <v>15.3</v>
      </c>
      <c r="N36" s="87">
        <f t="shared" si="10"/>
        <v>8.6</v>
      </c>
      <c r="O36" s="87">
        <f t="shared" si="10"/>
        <v>93.2</v>
      </c>
      <c r="P36" s="66">
        <f t="shared" si="6"/>
        <v>11724</v>
      </c>
      <c r="Q36" s="87">
        <f t="shared" si="11"/>
        <v>21.9</v>
      </c>
      <c r="R36" s="87">
        <f t="shared" si="11"/>
        <v>23.4</v>
      </c>
      <c r="S36" s="87">
        <f t="shared" si="11"/>
        <v>21.8</v>
      </c>
      <c r="T36" s="87">
        <f t="shared" si="11"/>
        <v>15.6</v>
      </c>
      <c r="U36" s="87">
        <f t="shared" si="11"/>
        <v>9.6</v>
      </c>
      <c r="V36" s="87">
        <f t="shared" si="11"/>
        <v>92.4</v>
      </c>
      <c r="W36" s="66">
        <f t="shared" si="8"/>
        <v>17385</v>
      </c>
      <c r="Y36" s="73"/>
      <c r="Z36" s="73"/>
      <c r="AA36" s="73"/>
      <c r="AB36" s="73"/>
      <c r="AC36" s="73"/>
      <c r="AD36" s="73"/>
      <c r="AE36" s="73"/>
      <c r="AF36" s="73"/>
      <c r="AG36" s="73"/>
      <c r="AH36" s="73"/>
      <c r="AI36" s="73"/>
      <c r="AJ36" s="73"/>
      <c r="AK36" s="73"/>
      <c r="AL36" s="73"/>
      <c r="AM36" s="73"/>
      <c r="AN36" s="73"/>
      <c r="AO36" s="73"/>
      <c r="AP36" s="73"/>
      <c r="AQ36" s="73"/>
      <c r="AR36" s="73"/>
      <c r="AS36" s="73"/>
      <c r="AT36" s="73"/>
      <c r="AV36" s="78"/>
      <c r="AW36" s="89"/>
      <c r="AX36" s="89"/>
      <c r="AY36" s="89"/>
      <c r="AZ36" s="89"/>
      <c r="BA36" s="89"/>
      <c r="BB36" s="89"/>
      <c r="BC36" s="89"/>
      <c r="BD36" s="89"/>
      <c r="BE36" s="89"/>
      <c r="BF36" s="89"/>
      <c r="BG36" s="89"/>
      <c r="BH36" s="89"/>
      <c r="BI36" s="89"/>
      <c r="BJ36" s="89"/>
      <c r="BK36" s="89"/>
      <c r="BL36" s="89"/>
      <c r="BM36" s="89"/>
      <c r="BN36" s="89"/>
      <c r="BO36" s="89"/>
      <c r="BP36" s="89"/>
      <c r="BQ36" s="89"/>
    </row>
    <row r="37" spans="2:69" x14ac:dyDescent="0.2">
      <c r="B37" s="2" t="s">
        <v>30</v>
      </c>
      <c r="C37" s="87">
        <f t="shared" si="9"/>
        <v>11.9</v>
      </c>
      <c r="D37" s="87">
        <f t="shared" si="9"/>
        <v>16.3</v>
      </c>
      <c r="E37" s="87">
        <f t="shared" si="9"/>
        <v>21.8</v>
      </c>
      <c r="F37" s="87">
        <f t="shared" si="9"/>
        <v>22.1</v>
      </c>
      <c r="G37" s="87">
        <f t="shared" si="9"/>
        <v>16.3</v>
      </c>
      <c r="H37" s="87">
        <f t="shared" si="9"/>
        <v>88.4</v>
      </c>
      <c r="I37" s="66">
        <f t="shared" si="4"/>
        <v>6891</v>
      </c>
      <c r="J37" s="87">
        <f t="shared" si="10"/>
        <v>17.600000000000001</v>
      </c>
      <c r="K37" s="87">
        <f t="shared" si="10"/>
        <v>18.399999999999999</v>
      </c>
      <c r="L37" s="87">
        <f t="shared" si="10"/>
        <v>22.8</v>
      </c>
      <c r="M37" s="87">
        <f t="shared" si="10"/>
        <v>21.1</v>
      </c>
      <c r="N37" s="87">
        <f t="shared" si="10"/>
        <v>13</v>
      </c>
      <c r="O37" s="87">
        <f t="shared" si="10"/>
        <v>92.9</v>
      </c>
      <c r="P37" s="66">
        <f t="shared" si="6"/>
        <v>4577</v>
      </c>
      <c r="Q37" s="87">
        <f t="shared" si="11"/>
        <v>14.2</v>
      </c>
      <c r="R37" s="87">
        <f t="shared" si="11"/>
        <v>17.2</v>
      </c>
      <c r="S37" s="87">
        <f t="shared" si="11"/>
        <v>22.2</v>
      </c>
      <c r="T37" s="87">
        <f t="shared" si="11"/>
        <v>21.7</v>
      </c>
      <c r="U37" s="87">
        <f t="shared" si="11"/>
        <v>15</v>
      </c>
      <c r="V37" s="87">
        <f t="shared" si="11"/>
        <v>90.2</v>
      </c>
      <c r="W37" s="66">
        <f t="shared" si="8"/>
        <v>11468</v>
      </c>
      <c r="Y37" s="73"/>
      <c r="Z37" s="73"/>
      <c r="AA37" s="73"/>
      <c r="AB37" s="73"/>
      <c r="AC37" s="73"/>
      <c r="AD37" s="73"/>
      <c r="AE37" s="73"/>
      <c r="AF37" s="73"/>
      <c r="AG37" s="73"/>
      <c r="AH37" s="73"/>
      <c r="AI37" s="73"/>
      <c r="AJ37" s="73"/>
      <c r="AK37" s="73"/>
      <c r="AL37" s="73"/>
      <c r="AM37" s="73"/>
      <c r="AN37" s="73"/>
      <c r="AO37" s="73"/>
      <c r="AP37" s="73"/>
      <c r="AQ37" s="73"/>
      <c r="AR37" s="73"/>
      <c r="AS37" s="73"/>
      <c r="AT37" s="73"/>
      <c r="AV37" s="78"/>
      <c r="AW37" s="89"/>
      <c r="AX37" s="89"/>
      <c r="AY37" s="89"/>
      <c r="AZ37" s="89"/>
      <c r="BA37" s="89"/>
      <c r="BB37" s="89"/>
      <c r="BC37" s="89"/>
      <c r="BD37" s="89"/>
      <c r="BE37" s="89"/>
      <c r="BF37" s="89"/>
      <c r="BG37" s="89"/>
      <c r="BH37" s="89"/>
      <c r="BI37" s="89"/>
      <c r="BJ37" s="89"/>
      <c r="BK37" s="89"/>
      <c r="BL37" s="89"/>
      <c r="BM37" s="89"/>
      <c r="BN37" s="89"/>
      <c r="BO37" s="89"/>
      <c r="BP37" s="89"/>
      <c r="BQ37" s="89"/>
    </row>
    <row r="38" spans="2:69" x14ac:dyDescent="0.2">
      <c r="B38" s="2" t="s">
        <v>31</v>
      </c>
      <c r="C38" s="87">
        <f t="shared" si="9"/>
        <v>8.1999999999999993</v>
      </c>
      <c r="D38" s="87">
        <f t="shared" si="9"/>
        <v>13</v>
      </c>
      <c r="E38" s="87">
        <f t="shared" si="9"/>
        <v>19.600000000000001</v>
      </c>
      <c r="F38" s="87">
        <f t="shared" si="9"/>
        <v>22.5</v>
      </c>
      <c r="G38" s="87">
        <f t="shared" si="9"/>
        <v>21.3</v>
      </c>
      <c r="H38" s="87">
        <f t="shared" si="9"/>
        <v>84.6</v>
      </c>
      <c r="I38" s="66">
        <f t="shared" si="4"/>
        <v>15253</v>
      </c>
      <c r="J38" s="87">
        <f t="shared" si="10"/>
        <v>16.100000000000001</v>
      </c>
      <c r="K38" s="87">
        <f t="shared" si="10"/>
        <v>17</v>
      </c>
      <c r="L38" s="87">
        <f t="shared" si="10"/>
        <v>20.6</v>
      </c>
      <c r="M38" s="87">
        <f t="shared" si="10"/>
        <v>19.8</v>
      </c>
      <c r="N38" s="87">
        <f t="shared" si="10"/>
        <v>15.5</v>
      </c>
      <c r="O38" s="87">
        <f t="shared" si="10"/>
        <v>89</v>
      </c>
      <c r="P38" s="66">
        <f t="shared" si="6"/>
        <v>11205</v>
      </c>
      <c r="Q38" s="87">
        <f t="shared" si="11"/>
        <v>11.5</v>
      </c>
      <c r="R38" s="87">
        <f t="shared" si="11"/>
        <v>14.7</v>
      </c>
      <c r="S38" s="87">
        <f t="shared" si="11"/>
        <v>20</v>
      </c>
      <c r="T38" s="87">
        <f t="shared" si="11"/>
        <v>21.4</v>
      </c>
      <c r="U38" s="87">
        <f t="shared" si="11"/>
        <v>18.899999999999999</v>
      </c>
      <c r="V38" s="87">
        <f t="shared" si="11"/>
        <v>86.5</v>
      </c>
      <c r="W38" s="66">
        <f t="shared" si="8"/>
        <v>26458</v>
      </c>
      <c r="Y38" s="73"/>
      <c r="Z38" s="73"/>
      <c r="AA38" s="73"/>
      <c r="AB38" s="73"/>
      <c r="AC38" s="73"/>
      <c r="AD38" s="73"/>
      <c r="AE38" s="73"/>
      <c r="AF38" s="73"/>
      <c r="AG38" s="73"/>
      <c r="AH38" s="73"/>
      <c r="AI38" s="73"/>
      <c r="AJ38" s="73"/>
      <c r="AK38" s="73"/>
      <c r="AL38" s="73"/>
      <c r="AM38" s="73"/>
      <c r="AN38" s="73"/>
      <c r="AO38" s="73"/>
      <c r="AP38" s="73"/>
      <c r="AQ38" s="73"/>
      <c r="AR38" s="73"/>
      <c r="AS38" s="73"/>
      <c r="AT38" s="73"/>
      <c r="AV38" s="78"/>
      <c r="AW38" s="89"/>
      <c r="AX38" s="89"/>
      <c r="AY38" s="89"/>
      <c r="AZ38" s="89"/>
      <c r="BA38" s="89"/>
      <c r="BB38" s="89"/>
      <c r="BC38" s="89"/>
      <c r="BD38" s="89"/>
      <c r="BE38" s="89"/>
      <c r="BF38" s="89"/>
      <c r="BG38" s="89"/>
      <c r="BH38" s="89"/>
      <c r="BI38" s="89"/>
      <c r="BJ38" s="89"/>
      <c r="BK38" s="89"/>
      <c r="BL38" s="89"/>
      <c r="BM38" s="89"/>
      <c r="BN38" s="89"/>
      <c r="BO38" s="89"/>
      <c r="BP38" s="89"/>
      <c r="BQ38" s="89"/>
    </row>
    <row r="39" spans="2:69" x14ac:dyDescent="0.2">
      <c r="B39" s="2" t="s">
        <v>32</v>
      </c>
      <c r="C39" s="87">
        <f t="shared" ref="C39:H40" si="12">IF(OR(C81=1,C81=2),"x",ROUND(C81/$I81*100,1))</f>
        <v>7.6</v>
      </c>
      <c r="D39" s="87">
        <f t="shared" si="12"/>
        <v>11.4</v>
      </c>
      <c r="E39" s="87">
        <f t="shared" si="12"/>
        <v>17.5</v>
      </c>
      <c r="F39" s="87">
        <f t="shared" si="12"/>
        <v>20.6</v>
      </c>
      <c r="G39" s="87">
        <f t="shared" si="12"/>
        <v>20.100000000000001</v>
      </c>
      <c r="H39" s="87">
        <f t="shared" si="12"/>
        <v>77.099999999999994</v>
      </c>
      <c r="I39" s="66">
        <f t="shared" si="4"/>
        <v>49361</v>
      </c>
      <c r="J39" s="87">
        <f t="shared" ref="J39:O40" si="13">IF(OR(J81=1,J81=2),"x",ROUND(J81/$P81*100,1))</f>
        <v>8.5</v>
      </c>
      <c r="K39" s="87">
        <f t="shared" si="13"/>
        <v>13.1</v>
      </c>
      <c r="L39" s="87">
        <f t="shared" si="13"/>
        <v>18.2</v>
      </c>
      <c r="M39" s="87">
        <f t="shared" si="13"/>
        <v>20.8</v>
      </c>
      <c r="N39" s="87">
        <f t="shared" si="13"/>
        <v>19.399999999999999</v>
      </c>
      <c r="O39" s="87">
        <f t="shared" si="13"/>
        <v>80.099999999999994</v>
      </c>
      <c r="P39" s="66">
        <f t="shared" si="6"/>
        <v>57998</v>
      </c>
      <c r="Q39" s="87">
        <f t="shared" ref="Q39:V40" si="14">IF(OR(Q81=1,Q81=2),"x",ROUND(Q81/$W81*100,1))</f>
        <v>8.1</v>
      </c>
      <c r="R39" s="87">
        <f t="shared" si="14"/>
        <v>12.3</v>
      </c>
      <c r="S39" s="87">
        <f t="shared" si="14"/>
        <v>17.899999999999999</v>
      </c>
      <c r="T39" s="87">
        <f t="shared" si="14"/>
        <v>20.7</v>
      </c>
      <c r="U39" s="87">
        <f t="shared" si="14"/>
        <v>19.7</v>
      </c>
      <c r="V39" s="87">
        <f t="shared" si="14"/>
        <v>78.7</v>
      </c>
      <c r="W39" s="66">
        <f t="shared" si="8"/>
        <v>107359</v>
      </c>
      <c r="Y39" s="73"/>
      <c r="Z39" s="73"/>
      <c r="AA39" s="73"/>
      <c r="AB39" s="73"/>
      <c r="AC39" s="73"/>
      <c r="AD39" s="73"/>
      <c r="AE39" s="73"/>
      <c r="AF39" s="73"/>
      <c r="AG39" s="73"/>
      <c r="AH39" s="73"/>
      <c r="AI39" s="73"/>
      <c r="AJ39" s="73"/>
      <c r="AK39" s="73"/>
      <c r="AL39" s="73"/>
      <c r="AM39" s="73"/>
      <c r="AN39" s="73"/>
      <c r="AO39" s="73"/>
      <c r="AP39" s="73"/>
      <c r="AQ39" s="73"/>
      <c r="AR39" s="73"/>
      <c r="AS39" s="73"/>
      <c r="AT39" s="73"/>
      <c r="AV39" s="78"/>
      <c r="AW39" s="89"/>
      <c r="AX39" s="89"/>
      <c r="AY39" s="89"/>
      <c r="AZ39" s="89"/>
      <c r="BA39" s="89"/>
      <c r="BB39" s="89"/>
      <c r="BC39" s="89"/>
      <c r="BD39" s="89"/>
      <c r="BE39" s="89"/>
      <c r="BF39" s="89"/>
      <c r="BG39" s="89"/>
      <c r="BH39" s="89"/>
      <c r="BI39" s="89"/>
      <c r="BJ39" s="89"/>
      <c r="BK39" s="89"/>
      <c r="BL39" s="89"/>
      <c r="BM39" s="89"/>
      <c r="BN39" s="89"/>
      <c r="BO39" s="89"/>
      <c r="BP39" s="89"/>
      <c r="BQ39" s="89"/>
    </row>
    <row r="40" spans="2:69" x14ac:dyDescent="0.2">
      <c r="B40" s="2" t="s">
        <v>63</v>
      </c>
      <c r="C40" s="87">
        <f t="shared" si="12"/>
        <v>14.2</v>
      </c>
      <c r="D40" s="87">
        <f t="shared" si="12"/>
        <v>15.8</v>
      </c>
      <c r="E40" s="87">
        <f t="shared" si="12"/>
        <v>19.399999999999999</v>
      </c>
      <c r="F40" s="87">
        <f t="shared" si="12"/>
        <v>18.7</v>
      </c>
      <c r="G40" s="87">
        <f t="shared" si="12"/>
        <v>15.4</v>
      </c>
      <c r="H40" s="87">
        <f t="shared" si="12"/>
        <v>83.5</v>
      </c>
      <c r="I40" s="66">
        <f t="shared" si="4"/>
        <v>417881</v>
      </c>
      <c r="J40" s="87">
        <f t="shared" si="13"/>
        <v>17.3</v>
      </c>
      <c r="K40" s="87">
        <f t="shared" si="13"/>
        <v>18.7</v>
      </c>
      <c r="L40" s="87">
        <f t="shared" si="13"/>
        <v>20.8</v>
      </c>
      <c r="M40" s="87">
        <f t="shared" si="13"/>
        <v>17.899999999999999</v>
      </c>
      <c r="N40" s="87">
        <f t="shared" si="13"/>
        <v>13</v>
      </c>
      <c r="O40" s="87">
        <f t="shared" si="13"/>
        <v>87.7</v>
      </c>
      <c r="P40" s="66">
        <f t="shared" si="6"/>
        <v>501883</v>
      </c>
      <c r="Q40" s="87">
        <f t="shared" si="14"/>
        <v>15.9</v>
      </c>
      <c r="R40" s="87">
        <f t="shared" si="14"/>
        <v>17.399999999999999</v>
      </c>
      <c r="S40" s="87">
        <f t="shared" si="14"/>
        <v>20.2</v>
      </c>
      <c r="T40" s="87">
        <f t="shared" si="14"/>
        <v>18.3</v>
      </c>
      <c r="U40" s="87">
        <f t="shared" si="14"/>
        <v>14.1</v>
      </c>
      <c r="V40" s="87">
        <f t="shared" si="14"/>
        <v>85.8</v>
      </c>
      <c r="W40" s="66">
        <f t="shared" si="8"/>
        <v>919764</v>
      </c>
      <c r="Y40" s="73"/>
      <c r="Z40" s="73"/>
      <c r="AA40" s="73"/>
      <c r="AB40" s="73"/>
      <c r="AC40" s="73"/>
      <c r="AD40" s="73"/>
      <c r="AE40" s="73"/>
      <c r="AF40" s="73"/>
      <c r="AG40" s="73"/>
      <c r="AH40" s="73"/>
      <c r="AI40" s="73"/>
      <c r="AJ40" s="73"/>
      <c r="AK40" s="73"/>
      <c r="AL40" s="73"/>
      <c r="AM40" s="73"/>
      <c r="AN40" s="73"/>
      <c r="AO40" s="73"/>
      <c r="AP40" s="73"/>
      <c r="AQ40" s="73"/>
      <c r="AR40" s="73"/>
      <c r="AS40" s="73"/>
      <c r="AT40" s="73"/>
      <c r="AV40" s="78"/>
      <c r="AW40" s="89"/>
      <c r="AX40" s="89"/>
      <c r="AY40" s="89"/>
      <c r="AZ40" s="89"/>
      <c r="BA40" s="89"/>
      <c r="BB40" s="89"/>
      <c r="BC40" s="89"/>
      <c r="BD40" s="89"/>
      <c r="BE40" s="89"/>
      <c r="BF40" s="89"/>
      <c r="BG40" s="89"/>
      <c r="BH40" s="89"/>
      <c r="BI40" s="89"/>
      <c r="BJ40" s="89"/>
      <c r="BK40" s="89"/>
      <c r="BL40" s="89"/>
      <c r="BM40" s="89"/>
      <c r="BN40" s="89"/>
      <c r="BO40" s="89"/>
      <c r="BP40" s="89"/>
      <c r="BQ40" s="89"/>
    </row>
    <row r="41" spans="2:69" x14ac:dyDescent="0.2">
      <c r="AW41" s="89"/>
      <c r="AX41" s="89"/>
      <c r="AY41" s="89"/>
      <c r="AZ41" s="89"/>
      <c r="BA41" s="89"/>
      <c r="BB41" s="89"/>
      <c r="BC41" s="89"/>
      <c r="BD41" s="89"/>
      <c r="BE41" s="89"/>
      <c r="BF41" s="89"/>
      <c r="BG41" s="89"/>
      <c r="BH41" s="89"/>
      <c r="BI41" s="89"/>
      <c r="BJ41" s="89"/>
      <c r="BK41" s="89"/>
      <c r="BL41" s="89"/>
      <c r="BM41" s="89"/>
      <c r="BN41" s="89"/>
      <c r="BO41" s="89"/>
      <c r="BP41" s="89"/>
      <c r="BQ41" s="89"/>
    </row>
    <row r="42" spans="2:69" x14ac:dyDescent="0.2">
      <c r="AW42" s="89"/>
      <c r="AX42" s="89"/>
      <c r="AY42" s="89"/>
      <c r="AZ42" s="89"/>
      <c r="BA42" s="89"/>
      <c r="BB42" s="89"/>
      <c r="BC42" s="89"/>
      <c r="BD42" s="89"/>
      <c r="BE42" s="89"/>
      <c r="BF42" s="89"/>
      <c r="BG42" s="89"/>
      <c r="BH42" s="89"/>
      <c r="BI42" s="89"/>
      <c r="BJ42" s="89"/>
      <c r="BK42" s="89"/>
      <c r="BL42" s="89"/>
      <c r="BM42" s="89"/>
      <c r="BN42" s="89"/>
      <c r="BO42" s="89"/>
      <c r="BP42" s="89"/>
      <c r="BQ42" s="89"/>
    </row>
    <row r="43" spans="2:69" x14ac:dyDescent="0.2">
      <c r="AW43" s="89"/>
      <c r="AX43" s="89"/>
      <c r="AY43" s="89"/>
      <c r="AZ43" s="89"/>
      <c r="BA43" s="89"/>
      <c r="BB43" s="89"/>
      <c r="BC43" s="89"/>
      <c r="BD43" s="89"/>
      <c r="BE43" s="89"/>
      <c r="BF43" s="89"/>
      <c r="BG43" s="89"/>
      <c r="BH43" s="89"/>
      <c r="BI43" s="89"/>
      <c r="BJ43" s="89"/>
      <c r="BK43" s="89"/>
      <c r="BL43" s="89"/>
      <c r="BM43" s="89"/>
      <c r="BN43" s="89"/>
      <c r="BO43" s="89"/>
      <c r="BP43" s="89"/>
      <c r="BQ43" s="89"/>
    </row>
    <row r="44" spans="2:69" x14ac:dyDescent="0.2">
      <c r="AW44" s="89"/>
      <c r="AX44" s="89"/>
      <c r="AY44" s="89"/>
      <c r="AZ44" s="89"/>
      <c r="BA44" s="89"/>
      <c r="BB44" s="89"/>
      <c r="BC44" s="89"/>
      <c r="BD44" s="89"/>
      <c r="BE44" s="89"/>
      <c r="BF44" s="89"/>
      <c r="BG44" s="89"/>
      <c r="BH44" s="89"/>
      <c r="BI44" s="89"/>
      <c r="BJ44" s="89"/>
      <c r="BK44" s="89"/>
      <c r="BL44" s="89"/>
      <c r="BM44" s="89"/>
      <c r="BN44" s="89"/>
      <c r="BO44" s="89"/>
      <c r="BP44" s="89"/>
      <c r="BQ44" s="89"/>
    </row>
    <row r="45" spans="2:69" x14ac:dyDescent="0.2">
      <c r="AW45" s="89"/>
      <c r="AX45" s="89"/>
      <c r="AY45" s="89"/>
      <c r="AZ45" s="89"/>
      <c r="BA45" s="89"/>
      <c r="BB45" s="89"/>
      <c r="BC45" s="89"/>
      <c r="BD45" s="89"/>
      <c r="BE45" s="89"/>
      <c r="BF45" s="89"/>
      <c r="BG45" s="89"/>
      <c r="BH45" s="89"/>
      <c r="BI45" s="89"/>
      <c r="BJ45" s="89"/>
      <c r="BK45" s="89"/>
      <c r="BL45" s="89"/>
      <c r="BM45" s="89"/>
      <c r="BN45" s="89"/>
      <c r="BO45" s="89"/>
      <c r="BP45" s="89"/>
      <c r="BQ45" s="89"/>
    </row>
    <row r="46" spans="2:69" x14ac:dyDescent="0.2">
      <c r="B46" s="15"/>
      <c r="C46" s="32" t="s">
        <v>42</v>
      </c>
      <c r="D46" s="15"/>
      <c r="E46" s="15"/>
      <c r="F46" s="15"/>
      <c r="G46" s="15"/>
      <c r="H46" s="15"/>
      <c r="I46" s="15"/>
      <c r="J46" s="32" t="s">
        <v>43</v>
      </c>
      <c r="K46" s="15"/>
      <c r="L46" s="15"/>
      <c r="M46" s="15"/>
      <c r="N46" s="15"/>
      <c r="O46" s="15"/>
      <c r="P46" s="15"/>
      <c r="Q46" s="32" t="s">
        <v>54</v>
      </c>
      <c r="R46" s="15"/>
      <c r="S46" s="15"/>
      <c r="T46" s="15"/>
      <c r="U46" s="15"/>
      <c r="V46" s="15"/>
      <c r="W46" s="15"/>
      <c r="AW46" s="89"/>
      <c r="AX46" s="89"/>
      <c r="AY46" s="89"/>
      <c r="AZ46" s="89"/>
      <c r="BA46" s="89"/>
      <c r="BB46" s="89"/>
      <c r="BC46" s="89"/>
      <c r="BD46" s="89"/>
      <c r="BE46" s="89"/>
      <c r="BF46" s="89"/>
      <c r="BG46" s="89"/>
      <c r="BH46" s="89"/>
      <c r="BI46" s="89"/>
      <c r="BJ46" s="89"/>
      <c r="BK46" s="89"/>
      <c r="BL46" s="89"/>
      <c r="BM46" s="89"/>
      <c r="BN46" s="89"/>
      <c r="BO46" s="89"/>
      <c r="BP46" s="89"/>
      <c r="BQ46" s="89"/>
    </row>
    <row r="47" spans="2:69" x14ac:dyDescent="0.2">
      <c r="B47" s="15"/>
      <c r="C47" s="32" t="s">
        <v>33</v>
      </c>
      <c r="D47" s="32" t="s">
        <v>34</v>
      </c>
      <c r="E47" s="32" t="s">
        <v>35</v>
      </c>
      <c r="F47" s="32" t="s">
        <v>36</v>
      </c>
      <c r="G47" s="32" t="s">
        <v>37</v>
      </c>
      <c r="H47" s="32" t="s">
        <v>47</v>
      </c>
      <c r="I47" s="32" t="s">
        <v>58</v>
      </c>
      <c r="J47" s="32" t="s">
        <v>33</v>
      </c>
      <c r="K47" s="32" t="s">
        <v>34</v>
      </c>
      <c r="L47" s="32" t="s">
        <v>35</v>
      </c>
      <c r="M47" s="32" t="s">
        <v>36</v>
      </c>
      <c r="N47" s="32" t="s">
        <v>37</v>
      </c>
      <c r="O47" s="32" t="s">
        <v>47</v>
      </c>
      <c r="P47" s="32" t="s">
        <v>58</v>
      </c>
      <c r="Q47" s="32" t="s">
        <v>33</v>
      </c>
      <c r="R47" s="32" t="s">
        <v>34</v>
      </c>
      <c r="S47" s="32" t="s">
        <v>35</v>
      </c>
      <c r="T47" s="32" t="s">
        <v>36</v>
      </c>
      <c r="U47" s="32" t="s">
        <v>37</v>
      </c>
      <c r="V47" s="24" t="s">
        <v>47</v>
      </c>
      <c r="W47" s="24" t="s">
        <v>58</v>
      </c>
      <c r="AW47" s="89"/>
      <c r="AX47" s="89"/>
      <c r="AY47" s="89"/>
      <c r="AZ47" s="89"/>
      <c r="BA47" s="89"/>
      <c r="BB47" s="89"/>
      <c r="BC47" s="89"/>
      <c r="BD47" s="89"/>
      <c r="BE47" s="89"/>
      <c r="BF47" s="89"/>
      <c r="BG47" s="89"/>
      <c r="BH47" s="89"/>
      <c r="BI47" s="89"/>
      <c r="BJ47" s="89"/>
      <c r="BK47" s="89"/>
      <c r="BL47" s="89"/>
      <c r="BM47" s="89"/>
      <c r="BN47" s="89"/>
      <c r="BO47" s="89"/>
      <c r="BP47" s="89"/>
      <c r="BQ47" s="89"/>
    </row>
    <row r="48" spans="2:69" x14ac:dyDescent="0.2">
      <c r="B48" s="32" t="s">
        <v>0</v>
      </c>
      <c r="C48" s="7">
        <v>3465</v>
      </c>
      <c r="D48" s="7">
        <v>3405</v>
      </c>
      <c r="E48" s="7">
        <v>3862</v>
      </c>
      <c r="F48" s="7">
        <v>4148</v>
      </c>
      <c r="G48" s="7">
        <v>4116</v>
      </c>
      <c r="H48" s="7">
        <v>18996</v>
      </c>
      <c r="I48" s="7">
        <v>24278</v>
      </c>
      <c r="J48" s="7">
        <v>5662</v>
      </c>
      <c r="K48" s="7">
        <v>5270</v>
      </c>
      <c r="L48" s="7">
        <v>5628</v>
      </c>
      <c r="M48" s="7">
        <v>5759</v>
      </c>
      <c r="N48" s="7">
        <v>5386</v>
      </c>
      <c r="O48" s="7">
        <v>27705</v>
      </c>
      <c r="P48" s="7">
        <v>34246</v>
      </c>
      <c r="Q48" s="7">
        <v>9127</v>
      </c>
      <c r="R48" s="7">
        <v>8675</v>
      </c>
      <c r="S48" s="7">
        <v>9490</v>
      </c>
      <c r="T48" s="7">
        <v>9907</v>
      </c>
      <c r="U48" s="7">
        <v>9502</v>
      </c>
      <c r="V48" s="7">
        <v>46701</v>
      </c>
      <c r="W48" s="7">
        <v>58524</v>
      </c>
      <c r="AW48" s="89"/>
      <c r="AX48" s="89"/>
      <c r="AY48" s="89"/>
      <c r="AZ48" s="89"/>
      <c r="BA48" s="89"/>
      <c r="BB48" s="89"/>
      <c r="BC48" s="89"/>
      <c r="BD48" s="89"/>
      <c r="BE48" s="89"/>
      <c r="BF48" s="89"/>
      <c r="BG48" s="89"/>
      <c r="BH48" s="89"/>
      <c r="BI48" s="89"/>
      <c r="BJ48" s="89"/>
      <c r="BK48" s="89"/>
      <c r="BL48" s="89"/>
      <c r="BM48" s="89"/>
      <c r="BN48" s="89"/>
      <c r="BO48" s="89"/>
      <c r="BP48" s="89"/>
      <c r="BQ48" s="89"/>
    </row>
    <row r="49" spans="2:69" x14ac:dyDescent="0.2">
      <c r="B49" s="32" t="s">
        <v>1</v>
      </c>
      <c r="C49" s="7">
        <v>3728</v>
      </c>
      <c r="D49" s="7">
        <v>3566</v>
      </c>
      <c r="E49" s="7">
        <v>3510</v>
      </c>
      <c r="F49" s="7">
        <v>3362</v>
      </c>
      <c r="G49" s="7">
        <v>3029</v>
      </c>
      <c r="H49" s="7">
        <v>17195</v>
      </c>
      <c r="I49" s="7">
        <v>20825</v>
      </c>
      <c r="J49" s="7">
        <v>3878</v>
      </c>
      <c r="K49" s="7">
        <v>3810</v>
      </c>
      <c r="L49" s="7">
        <v>3581</v>
      </c>
      <c r="M49" s="7">
        <v>3294</v>
      </c>
      <c r="N49" s="7">
        <v>2797</v>
      </c>
      <c r="O49" s="7">
        <v>17360</v>
      </c>
      <c r="P49" s="7">
        <v>20390</v>
      </c>
      <c r="Q49" s="7">
        <v>7606</v>
      </c>
      <c r="R49" s="7">
        <v>7376</v>
      </c>
      <c r="S49" s="7">
        <v>7091</v>
      </c>
      <c r="T49" s="7">
        <v>6656</v>
      </c>
      <c r="U49" s="7">
        <v>5826</v>
      </c>
      <c r="V49" s="7">
        <v>34555</v>
      </c>
      <c r="W49" s="7">
        <v>41215</v>
      </c>
      <c r="AW49" s="89"/>
      <c r="AX49" s="89"/>
      <c r="AY49" s="89"/>
      <c r="AZ49" s="89"/>
      <c r="BA49" s="89"/>
      <c r="BB49" s="89"/>
      <c r="BC49" s="89"/>
      <c r="BD49" s="89"/>
      <c r="BE49" s="89"/>
      <c r="BF49" s="89"/>
      <c r="BG49" s="89"/>
      <c r="BH49" s="89"/>
      <c r="BI49" s="89"/>
      <c r="BJ49" s="89"/>
      <c r="BK49" s="89"/>
      <c r="BL49" s="89"/>
      <c r="BM49" s="89"/>
      <c r="BN49" s="89"/>
      <c r="BO49" s="89"/>
      <c r="BP49" s="89"/>
      <c r="BQ49" s="89"/>
    </row>
    <row r="50" spans="2:69" x14ac:dyDescent="0.2">
      <c r="B50" s="32" t="s">
        <v>2</v>
      </c>
      <c r="C50" s="7">
        <v>4272</v>
      </c>
      <c r="D50" s="7">
        <v>3582</v>
      </c>
      <c r="E50" s="7">
        <v>3676</v>
      </c>
      <c r="F50" s="7">
        <v>3523</v>
      </c>
      <c r="G50" s="7">
        <v>3239</v>
      </c>
      <c r="H50" s="7">
        <v>18292</v>
      </c>
      <c r="I50" s="7">
        <v>22563</v>
      </c>
      <c r="J50" s="7">
        <v>1748</v>
      </c>
      <c r="K50" s="7">
        <v>1424</v>
      </c>
      <c r="L50" s="7">
        <v>1258</v>
      </c>
      <c r="M50" s="7">
        <v>1034</v>
      </c>
      <c r="N50" s="7">
        <v>781</v>
      </c>
      <c r="O50" s="7">
        <v>6245</v>
      </c>
      <c r="P50" s="7">
        <v>7185</v>
      </c>
      <c r="Q50" s="7">
        <v>6020</v>
      </c>
      <c r="R50" s="7">
        <v>5006</v>
      </c>
      <c r="S50" s="7">
        <v>4934</v>
      </c>
      <c r="T50" s="7">
        <v>4557</v>
      </c>
      <c r="U50" s="7">
        <v>4020</v>
      </c>
      <c r="V50" s="7">
        <v>24537</v>
      </c>
      <c r="W50" s="7">
        <v>29748</v>
      </c>
    </row>
    <row r="51" spans="2:69" x14ac:dyDescent="0.2">
      <c r="B51" s="32" t="s">
        <v>3</v>
      </c>
      <c r="C51" s="7">
        <v>877</v>
      </c>
      <c r="D51" s="7">
        <v>816</v>
      </c>
      <c r="E51" s="7">
        <v>1005</v>
      </c>
      <c r="F51" s="7">
        <v>959</v>
      </c>
      <c r="G51" s="7">
        <v>798</v>
      </c>
      <c r="H51" s="7">
        <v>4455</v>
      </c>
      <c r="I51" s="7">
        <v>5453</v>
      </c>
      <c r="J51" s="7">
        <v>333</v>
      </c>
      <c r="K51" s="7">
        <v>467</v>
      </c>
      <c r="L51" s="7">
        <v>549</v>
      </c>
      <c r="M51" s="7">
        <v>472</v>
      </c>
      <c r="N51" s="7">
        <v>398</v>
      </c>
      <c r="O51" s="7">
        <v>2219</v>
      </c>
      <c r="P51" s="7">
        <v>2692</v>
      </c>
      <c r="Q51" s="7">
        <v>1210</v>
      </c>
      <c r="R51" s="7">
        <v>1283</v>
      </c>
      <c r="S51" s="7">
        <v>1554</v>
      </c>
      <c r="T51" s="7">
        <v>1431</v>
      </c>
      <c r="U51" s="7">
        <v>1196</v>
      </c>
      <c r="V51" s="7">
        <v>6674</v>
      </c>
      <c r="W51" s="7">
        <v>8145</v>
      </c>
    </row>
    <row r="52" spans="2:69" x14ac:dyDescent="0.2">
      <c r="B52" s="32" t="s">
        <v>4</v>
      </c>
      <c r="C52" s="7">
        <v>8178</v>
      </c>
      <c r="D52" s="7">
        <v>4854</v>
      </c>
      <c r="E52" s="7">
        <v>4848</v>
      </c>
      <c r="F52" s="7">
        <v>4534</v>
      </c>
      <c r="G52" s="7">
        <v>4402</v>
      </c>
      <c r="H52" s="7">
        <v>26816</v>
      </c>
      <c r="I52" s="7">
        <v>33966</v>
      </c>
      <c r="J52" s="7">
        <v>6261</v>
      </c>
      <c r="K52" s="7">
        <v>3953</v>
      </c>
      <c r="L52" s="7">
        <v>3775</v>
      </c>
      <c r="M52" s="7">
        <v>3313</v>
      </c>
      <c r="N52" s="7">
        <v>2643</v>
      </c>
      <c r="O52" s="7">
        <v>19945</v>
      </c>
      <c r="P52" s="7">
        <v>23681</v>
      </c>
      <c r="Q52" s="7">
        <v>14439</v>
      </c>
      <c r="R52" s="7">
        <v>8807</v>
      </c>
      <c r="S52" s="7">
        <v>8623</v>
      </c>
      <c r="T52" s="7">
        <v>7847</v>
      </c>
      <c r="U52" s="7">
        <v>7045</v>
      </c>
      <c r="V52" s="7">
        <v>46761</v>
      </c>
      <c r="W52" s="7">
        <v>57647</v>
      </c>
    </row>
    <row r="53" spans="2:69" x14ac:dyDescent="0.2">
      <c r="B53" s="32" t="s">
        <v>5</v>
      </c>
      <c r="C53" s="7">
        <v>912</v>
      </c>
      <c r="D53" s="7">
        <v>490</v>
      </c>
      <c r="E53" s="7">
        <v>432</v>
      </c>
      <c r="F53" s="7">
        <v>307</v>
      </c>
      <c r="G53" s="7">
        <v>206</v>
      </c>
      <c r="H53" s="7">
        <v>2347</v>
      </c>
      <c r="I53" s="7">
        <v>2537</v>
      </c>
      <c r="J53" s="7">
        <v>637</v>
      </c>
      <c r="K53" s="7">
        <v>318</v>
      </c>
      <c r="L53" s="7">
        <v>254</v>
      </c>
      <c r="M53" s="7">
        <v>151</v>
      </c>
      <c r="N53" s="7">
        <v>100</v>
      </c>
      <c r="O53" s="7">
        <v>1460</v>
      </c>
      <c r="P53" s="7">
        <v>1541</v>
      </c>
      <c r="Q53" s="7">
        <v>1549</v>
      </c>
      <c r="R53" s="7">
        <v>808</v>
      </c>
      <c r="S53" s="7">
        <v>686</v>
      </c>
      <c r="T53" s="7">
        <v>458</v>
      </c>
      <c r="U53" s="7">
        <v>306</v>
      </c>
      <c r="V53" s="7">
        <v>3807</v>
      </c>
      <c r="W53" s="7">
        <v>4078</v>
      </c>
    </row>
    <row r="54" spans="2:69" x14ac:dyDescent="0.2">
      <c r="B54" s="32" t="s">
        <v>6</v>
      </c>
      <c r="C54" s="7">
        <v>934</v>
      </c>
      <c r="D54" s="7">
        <v>1571</v>
      </c>
      <c r="E54" s="7">
        <v>2183</v>
      </c>
      <c r="F54" s="7">
        <v>2345</v>
      </c>
      <c r="G54" s="7">
        <v>2056</v>
      </c>
      <c r="H54" s="7">
        <v>9089</v>
      </c>
      <c r="I54" s="7">
        <v>10942</v>
      </c>
      <c r="J54" s="7">
        <v>1274</v>
      </c>
      <c r="K54" s="7">
        <v>1503</v>
      </c>
      <c r="L54" s="7">
        <v>1859</v>
      </c>
      <c r="M54" s="7">
        <v>1612</v>
      </c>
      <c r="N54" s="7">
        <v>1148</v>
      </c>
      <c r="O54" s="7">
        <v>7396</v>
      </c>
      <c r="P54" s="7">
        <v>8188</v>
      </c>
      <c r="Q54" s="7">
        <v>2208</v>
      </c>
      <c r="R54" s="7">
        <v>3074</v>
      </c>
      <c r="S54" s="7">
        <v>4042</v>
      </c>
      <c r="T54" s="7">
        <v>3957</v>
      </c>
      <c r="U54" s="7">
        <v>3204</v>
      </c>
      <c r="V54" s="7">
        <v>16485</v>
      </c>
      <c r="W54" s="7">
        <v>19130</v>
      </c>
    </row>
    <row r="55" spans="2:69" x14ac:dyDescent="0.2">
      <c r="B55" s="2" t="s">
        <v>168</v>
      </c>
      <c r="C55" s="7">
        <v>762</v>
      </c>
      <c r="D55" s="7">
        <v>904</v>
      </c>
      <c r="E55" s="7">
        <v>1157</v>
      </c>
      <c r="F55" s="7">
        <v>1339</v>
      </c>
      <c r="G55" s="7">
        <v>1225</v>
      </c>
      <c r="H55" s="7">
        <v>5387</v>
      </c>
      <c r="I55" s="7">
        <v>6884</v>
      </c>
      <c r="J55" s="7">
        <v>87</v>
      </c>
      <c r="K55" s="7">
        <v>99</v>
      </c>
      <c r="L55" s="7">
        <v>127</v>
      </c>
      <c r="M55" s="7">
        <v>114</v>
      </c>
      <c r="N55" s="7">
        <v>145</v>
      </c>
      <c r="O55" s="7">
        <v>572</v>
      </c>
      <c r="P55" s="7">
        <v>741</v>
      </c>
      <c r="Q55" s="7">
        <v>849</v>
      </c>
      <c r="R55" s="7">
        <v>1003</v>
      </c>
      <c r="S55" s="7">
        <v>1284</v>
      </c>
      <c r="T55" s="7">
        <v>1453</v>
      </c>
      <c r="U55" s="7">
        <v>1370</v>
      </c>
      <c r="V55" s="7">
        <v>5959</v>
      </c>
      <c r="W55" s="7">
        <v>7625</v>
      </c>
    </row>
    <row r="56" spans="2:69" x14ac:dyDescent="0.2">
      <c r="B56" s="32" t="s">
        <v>8</v>
      </c>
      <c r="C56" s="7">
        <v>438</v>
      </c>
      <c r="D56" s="7">
        <v>1084</v>
      </c>
      <c r="E56" s="7">
        <v>1991</v>
      </c>
      <c r="F56" s="7">
        <v>2491</v>
      </c>
      <c r="G56" s="7">
        <v>2527</v>
      </c>
      <c r="H56" s="7">
        <v>8531</v>
      </c>
      <c r="I56" s="7">
        <v>11208</v>
      </c>
      <c r="J56" s="7">
        <v>411</v>
      </c>
      <c r="K56" s="7">
        <v>812</v>
      </c>
      <c r="L56" s="7">
        <v>1290</v>
      </c>
      <c r="M56" s="7">
        <v>1548</v>
      </c>
      <c r="N56" s="7">
        <v>1326</v>
      </c>
      <c r="O56" s="7">
        <v>5387</v>
      </c>
      <c r="P56" s="7">
        <v>6613</v>
      </c>
      <c r="Q56" s="7">
        <v>849</v>
      </c>
      <c r="R56" s="7">
        <v>1896</v>
      </c>
      <c r="S56" s="7">
        <v>3281</v>
      </c>
      <c r="T56" s="7">
        <v>4039</v>
      </c>
      <c r="U56" s="7">
        <v>3853</v>
      </c>
      <c r="V56" s="7">
        <v>13918</v>
      </c>
      <c r="W56" s="7">
        <v>17821</v>
      </c>
    </row>
    <row r="57" spans="2:69" x14ac:dyDescent="0.2">
      <c r="B57" s="32" t="s">
        <v>9</v>
      </c>
      <c r="C57" s="7">
        <v>3</v>
      </c>
      <c r="D57" s="7">
        <v>6</v>
      </c>
      <c r="E57" s="7">
        <v>10</v>
      </c>
      <c r="F57" s="7">
        <v>16</v>
      </c>
      <c r="G57" s="7">
        <v>19</v>
      </c>
      <c r="H57" s="7">
        <v>54</v>
      </c>
      <c r="I57" s="7">
        <v>63</v>
      </c>
      <c r="J57" s="7">
        <v>69</v>
      </c>
      <c r="K57" s="7">
        <v>55</v>
      </c>
      <c r="L57" s="7">
        <v>88</v>
      </c>
      <c r="M57" s="7">
        <v>93</v>
      </c>
      <c r="N57" s="7">
        <v>75</v>
      </c>
      <c r="O57" s="7">
        <v>380</v>
      </c>
      <c r="P57" s="7">
        <v>426</v>
      </c>
      <c r="Q57" s="7">
        <v>72</v>
      </c>
      <c r="R57" s="7">
        <v>61</v>
      </c>
      <c r="S57" s="7">
        <v>98</v>
      </c>
      <c r="T57" s="7">
        <v>109</v>
      </c>
      <c r="U57" s="7">
        <v>94</v>
      </c>
      <c r="V57" s="7">
        <v>434</v>
      </c>
      <c r="W57" s="7">
        <v>489</v>
      </c>
    </row>
    <row r="58" spans="2:69" x14ac:dyDescent="0.2">
      <c r="B58" s="32" t="s">
        <v>10</v>
      </c>
      <c r="C58" s="7">
        <v>253</v>
      </c>
      <c r="D58" s="7">
        <v>423</v>
      </c>
      <c r="E58" s="7">
        <v>592</v>
      </c>
      <c r="F58" s="7">
        <v>726</v>
      </c>
      <c r="G58" s="7">
        <v>799</v>
      </c>
      <c r="H58" s="7">
        <v>2793</v>
      </c>
      <c r="I58" s="7">
        <v>4131</v>
      </c>
      <c r="J58" s="7">
        <v>172</v>
      </c>
      <c r="K58" s="7">
        <v>256</v>
      </c>
      <c r="L58" s="7">
        <v>377</v>
      </c>
      <c r="M58" s="7">
        <v>446</v>
      </c>
      <c r="N58" s="7">
        <v>483</v>
      </c>
      <c r="O58" s="7">
        <v>1734</v>
      </c>
      <c r="P58" s="7">
        <v>2549</v>
      </c>
      <c r="Q58" s="7">
        <v>425</v>
      </c>
      <c r="R58" s="7">
        <v>679</v>
      </c>
      <c r="S58" s="7">
        <v>969</v>
      </c>
      <c r="T58" s="7">
        <v>1172</v>
      </c>
      <c r="U58" s="7">
        <v>1282</v>
      </c>
      <c r="V58" s="7">
        <v>4527</v>
      </c>
      <c r="W58" s="7">
        <v>6680</v>
      </c>
    </row>
    <row r="59" spans="2:69" x14ac:dyDescent="0.2">
      <c r="B59" s="32" t="s">
        <v>11</v>
      </c>
      <c r="C59" s="7">
        <v>2015</v>
      </c>
      <c r="D59" s="7">
        <v>3360</v>
      </c>
      <c r="E59" s="7">
        <v>4680</v>
      </c>
      <c r="F59" s="7">
        <v>4398</v>
      </c>
      <c r="G59" s="7">
        <v>3475</v>
      </c>
      <c r="H59" s="7">
        <v>17928</v>
      </c>
      <c r="I59" s="7">
        <v>20867</v>
      </c>
      <c r="J59" s="7">
        <v>1930</v>
      </c>
      <c r="K59" s="7">
        <v>2642</v>
      </c>
      <c r="L59" s="7">
        <v>3283</v>
      </c>
      <c r="M59" s="7">
        <v>3082</v>
      </c>
      <c r="N59" s="7">
        <v>2340</v>
      </c>
      <c r="O59" s="7">
        <v>13277</v>
      </c>
      <c r="P59" s="7">
        <v>15546</v>
      </c>
      <c r="Q59" s="7">
        <v>3945</v>
      </c>
      <c r="R59" s="7">
        <v>6002</v>
      </c>
      <c r="S59" s="7">
        <v>7963</v>
      </c>
      <c r="T59" s="7">
        <v>7480</v>
      </c>
      <c r="U59" s="7">
        <v>5815</v>
      </c>
      <c r="V59" s="7">
        <v>31205</v>
      </c>
      <c r="W59" s="7">
        <v>36413</v>
      </c>
    </row>
    <row r="60" spans="2:69" x14ac:dyDescent="0.2">
      <c r="B60" s="32" t="s">
        <v>12</v>
      </c>
      <c r="C60" s="7">
        <v>2140</v>
      </c>
      <c r="D60" s="7">
        <v>1944</v>
      </c>
      <c r="E60" s="7">
        <v>1911</v>
      </c>
      <c r="F60" s="7">
        <v>1710</v>
      </c>
      <c r="G60" s="7">
        <v>1346</v>
      </c>
      <c r="H60" s="7">
        <v>9051</v>
      </c>
      <c r="I60" s="7">
        <v>10560</v>
      </c>
      <c r="J60" s="7">
        <v>1221</v>
      </c>
      <c r="K60" s="7">
        <v>943</v>
      </c>
      <c r="L60" s="7">
        <v>867</v>
      </c>
      <c r="M60" s="7">
        <v>707</v>
      </c>
      <c r="N60" s="7">
        <v>540</v>
      </c>
      <c r="O60" s="7">
        <v>4278</v>
      </c>
      <c r="P60" s="7">
        <v>4855</v>
      </c>
      <c r="Q60" s="7">
        <v>3361</v>
      </c>
      <c r="R60" s="7">
        <v>2887</v>
      </c>
      <c r="S60" s="7">
        <v>2778</v>
      </c>
      <c r="T60" s="7">
        <v>2417</v>
      </c>
      <c r="U60" s="7">
        <v>1886</v>
      </c>
      <c r="V60" s="7">
        <v>13329</v>
      </c>
      <c r="W60" s="7">
        <v>15415</v>
      </c>
    </row>
    <row r="61" spans="2:69" x14ac:dyDescent="0.2">
      <c r="B61" s="32" t="s">
        <v>13</v>
      </c>
      <c r="C61" s="7">
        <v>2886</v>
      </c>
      <c r="D61" s="7">
        <v>2898</v>
      </c>
      <c r="E61" s="7">
        <v>3313</v>
      </c>
      <c r="F61" s="7">
        <v>3168</v>
      </c>
      <c r="G61" s="7">
        <v>2391</v>
      </c>
      <c r="H61" s="7">
        <v>14656</v>
      </c>
      <c r="I61" s="7">
        <v>16602</v>
      </c>
      <c r="J61" s="7">
        <v>3437</v>
      </c>
      <c r="K61" s="7">
        <v>2642</v>
      </c>
      <c r="L61" s="7">
        <v>2631</v>
      </c>
      <c r="M61" s="7">
        <v>2178</v>
      </c>
      <c r="N61" s="7">
        <v>1545</v>
      </c>
      <c r="O61" s="7">
        <v>12433</v>
      </c>
      <c r="P61" s="7">
        <v>13735</v>
      </c>
      <c r="Q61" s="7">
        <v>6323</v>
      </c>
      <c r="R61" s="7">
        <v>5540</v>
      </c>
      <c r="S61" s="7">
        <v>5944</v>
      </c>
      <c r="T61" s="7">
        <v>5346</v>
      </c>
      <c r="U61" s="7">
        <v>3936</v>
      </c>
      <c r="V61" s="7">
        <v>27089</v>
      </c>
      <c r="W61" s="7">
        <v>30337</v>
      </c>
    </row>
    <row r="62" spans="2:69" x14ac:dyDescent="0.2">
      <c r="B62" s="32" t="s">
        <v>14</v>
      </c>
      <c r="C62" s="7">
        <v>1400</v>
      </c>
      <c r="D62" s="7">
        <v>1336</v>
      </c>
      <c r="E62" s="7">
        <v>1359</v>
      </c>
      <c r="F62" s="7">
        <v>1155</v>
      </c>
      <c r="G62" s="7">
        <v>824</v>
      </c>
      <c r="H62" s="7">
        <v>6074</v>
      </c>
      <c r="I62" s="7">
        <v>6874</v>
      </c>
      <c r="J62" s="7">
        <v>1200</v>
      </c>
      <c r="K62" s="7">
        <v>1067</v>
      </c>
      <c r="L62" s="7">
        <v>1053</v>
      </c>
      <c r="M62" s="7">
        <v>892</v>
      </c>
      <c r="N62" s="7">
        <v>625</v>
      </c>
      <c r="O62" s="7">
        <v>4837</v>
      </c>
      <c r="P62" s="7">
        <v>5444</v>
      </c>
      <c r="Q62" s="7">
        <v>2600</v>
      </c>
      <c r="R62" s="7">
        <v>2403</v>
      </c>
      <c r="S62" s="7">
        <v>2412</v>
      </c>
      <c r="T62" s="7">
        <v>2047</v>
      </c>
      <c r="U62" s="7">
        <v>1449</v>
      </c>
      <c r="V62" s="7">
        <v>10911</v>
      </c>
      <c r="W62" s="7">
        <v>12318</v>
      </c>
    </row>
    <row r="63" spans="2:69" x14ac:dyDescent="0.2">
      <c r="B63" s="32" t="s">
        <v>15</v>
      </c>
      <c r="C63" s="7">
        <v>3376</v>
      </c>
      <c r="D63" s="7">
        <v>4284</v>
      </c>
      <c r="E63" s="7">
        <v>4941</v>
      </c>
      <c r="F63" s="7">
        <v>3969</v>
      </c>
      <c r="G63" s="7">
        <v>2690</v>
      </c>
      <c r="H63" s="7">
        <v>19260</v>
      </c>
      <c r="I63" s="7">
        <v>20978</v>
      </c>
      <c r="J63" s="7">
        <v>4221</v>
      </c>
      <c r="K63" s="7">
        <v>5147</v>
      </c>
      <c r="L63" s="7">
        <v>5131</v>
      </c>
      <c r="M63" s="7">
        <v>4130</v>
      </c>
      <c r="N63" s="7">
        <v>2593</v>
      </c>
      <c r="O63" s="7">
        <v>21222</v>
      </c>
      <c r="P63" s="7">
        <v>23098</v>
      </c>
      <c r="Q63" s="7">
        <v>7597</v>
      </c>
      <c r="R63" s="7">
        <v>9431</v>
      </c>
      <c r="S63" s="7">
        <v>10072</v>
      </c>
      <c r="T63" s="7">
        <v>8099</v>
      </c>
      <c r="U63" s="7">
        <v>5283</v>
      </c>
      <c r="V63" s="7">
        <v>40482</v>
      </c>
      <c r="W63" s="7">
        <v>44076</v>
      </c>
    </row>
    <row r="64" spans="2:69" x14ac:dyDescent="0.2">
      <c r="B64" s="32" t="s">
        <v>16</v>
      </c>
      <c r="C64" s="7">
        <v>1026</v>
      </c>
      <c r="D64" s="7">
        <v>1256</v>
      </c>
      <c r="E64" s="7">
        <v>1578</v>
      </c>
      <c r="F64" s="7">
        <v>1678</v>
      </c>
      <c r="G64" s="7">
        <v>1406</v>
      </c>
      <c r="H64" s="7">
        <v>6944</v>
      </c>
      <c r="I64" s="7">
        <v>8861</v>
      </c>
      <c r="J64" s="7">
        <v>1814</v>
      </c>
      <c r="K64" s="7">
        <v>1943</v>
      </c>
      <c r="L64" s="7">
        <v>2271</v>
      </c>
      <c r="M64" s="7">
        <v>2044</v>
      </c>
      <c r="N64" s="7">
        <v>1754</v>
      </c>
      <c r="O64" s="7">
        <v>9826</v>
      </c>
      <c r="P64" s="7">
        <v>12124</v>
      </c>
      <c r="Q64" s="7">
        <v>2840</v>
      </c>
      <c r="R64" s="7">
        <v>3199</v>
      </c>
      <c r="S64" s="7">
        <v>3849</v>
      </c>
      <c r="T64" s="7">
        <v>3722</v>
      </c>
      <c r="U64" s="7">
        <v>3160</v>
      </c>
      <c r="V64" s="7">
        <v>16770</v>
      </c>
      <c r="W64" s="7">
        <v>20985</v>
      </c>
    </row>
    <row r="65" spans="2:23" x14ac:dyDescent="0.2">
      <c r="B65" s="32" t="s">
        <v>17</v>
      </c>
      <c r="C65" s="7">
        <v>1472</v>
      </c>
      <c r="D65" s="7">
        <v>2485</v>
      </c>
      <c r="E65" s="7">
        <v>3576</v>
      </c>
      <c r="F65" s="7">
        <v>4073</v>
      </c>
      <c r="G65" s="7">
        <v>3770</v>
      </c>
      <c r="H65" s="7">
        <v>15376</v>
      </c>
      <c r="I65" s="7">
        <v>20638</v>
      </c>
      <c r="J65" s="7">
        <v>7141</v>
      </c>
      <c r="K65" s="7">
        <v>8371</v>
      </c>
      <c r="L65" s="7">
        <v>9675</v>
      </c>
      <c r="M65" s="7">
        <v>8801</v>
      </c>
      <c r="N65" s="7">
        <v>7135</v>
      </c>
      <c r="O65" s="7">
        <v>41123</v>
      </c>
      <c r="P65" s="7">
        <v>49515</v>
      </c>
      <c r="Q65" s="7">
        <v>8613</v>
      </c>
      <c r="R65" s="7">
        <v>10856</v>
      </c>
      <c r="S65" s="7">
        <v>13251</v>
      </c>
      <c r="T65" s="7">
        <v>12874</v>
      </c>
      <c r="U65" s="7">
        <v>10905</v>
      </c>
      <c r="V65" s="7">
        <v>56499</v>
      </c>
      <c r="W65" s="7">
        <v>70153</v>
      </c>
    </row>
    <row r="66" spans="2:23" x14ac:dyDescent="0.2">
      <c r="B66" s="32" t="s">
        <v>18</v>
      </c>
      <c r="C66" s="7">
        <v>1044</v>
      </c>
      <c r="D66" s="7">
        <v>1396</v>
      </c>
      <c r="E66" s="7">
        <v>1764</v>
      </c>
      <c r="F66" s="7">
        <v>1660</v>
      </c>
      <c r="G66" s="7">
        <v>1402</v>
      </c>
      <c r="H66" s="7">
        <v>7266</v>
      </c>
      <c r="I66" s="7">
        <v>8861</v>
      </c>
      <c r="J66" s="7">
        <v>4659</v>
      </c>
      <c r="K66" s="7">
        <v>4708</v>
      </c>
      <c r="L66" s="7">
        <v>4956</v>
      </c>
      <c r="M66" s="7">
        <v>4197</v>
      </c>
      <c r="N66" s="7">
        <v>3148</v>
      </c>
      <c r="O66" s="7">
        <v>21668</v>
      </c>
      <c r="P66" s="7">
        <v>24866</v>
      </c>
      <c r="Q66" s="7">
        <v>5703</v>
      </c>
      <c r="R66" s="7">
        <v>6104</v>
      </c>
      <c r="S66" s="7">
        <v>6720</v>
      </c>
      <c r="T66" s="7">
        <v>5857</v>
      </c>
      <c r="U66" s="7">
        <v>4550</v>
      </c>
      <c r="V66" s="7">
        <v>28934</v>
      </c>
      <c r="W66" s="7">
        <v>33727</v>
      </c>
    </row>
    <row r="67" spans="2:23" x14ac:dyDescent="0.2">
      <c r="B67" s="32" t="s">
        <v>19</v>
      </c>
      <c r="C67" s="7">
        <v>433</v>
      </c>
      <c r="D67" s="7">
        <v>572</v>
      </c>
      <c r="E67" s="7">
        <v>731</v>
      </c>
      <c r="F67" s="7">
        <v>728</v>
      </c>
      <c r="G67" s="7">
        <v>626</v>
      </c>
      <c r="H67" s="7">
        <v>3090</v>
      </c>
      <c r="I67" s="7">
        <v>4049</v>
      </c>
      <c r="J67" s="7">
        <v>636</v>
      </c>
      <c r="K67" s="7">
        <v>729</v>
      </c>
      <c r="L67" s="7">
        <v>953</v>
      </c>
      <c r="M67" s="7">
        <v>844</v>
      </c>
      <c r="N67" s="7">
        <v>695</v>
      </c>
      <c r="O67" s="7">
        <v>3857</v>
      </c>
      <c r="P67" s="7">
        <v>4828</v>
      </c>
      <c r="Q67" s="7">
        <v>1069</v>
      </c>
      <c r="R67" s="7">
        <v>1301</v>
      </c>
      <c r="S67" s="7">
        <v>1684</v>
      </c>
      <c r="T67" s="7">
        <v>1572</v>
      </c>
      <c r="U67" s="7">
        <v>1321</v>
      </c>
      <c r="V67" s="7">
        <v>6947</v>
      </c>
      <c r="W67" s="7">
        <v>8877</v>
      </c>
    </row>
    <row r="68" spans="2:23" x14ac:dyDescent="0.2">
      <c r="B68" s="32" t="s">
        <v>20</v>
      </c>
      <c r="C68" s="7">
        <v>2442</v>
      </c>
      <c r="D68" s="7">
        <v>2706</v>
      </c>
      <c r="E68" s="7">
        <v>3514</v>
      </c>
      <c r="F68" s="7">
        <v>3035</v>
      </c>
      <c r="G68" s="7">
        <v>2139</v>
      </c>
      <c r="H68" s="7">
        <v>13836</v>
      </c>
      <c r="I68" s="7">
        <v>15846</v>
      </c>
      <c r="J68" s="7">
        <v>7660</v>
      </c>
      <c r="K68" s="7">
        <v>7553</v>
      </c>
      <c r="L68" s="7">
        <v>7897</v>
      </c>
      <c r="M68" s="7">
        <v>5513</v>
      </c>
      <c r="N68" s="7">
        <v>3145</v>
      </c>
      <c r="O68" s="7">
        <v>31768</v>
      </c>
      <c r="P68" s="7">
        <v>34180</v>
      </c>
      <c r="Q68" s="7">
        <v>10102</v>
      </c>
      <c r="R68" s="7">
        <v>10259</v>
      </c>
      <c r="S68" s="7">
        <v>11411</v>
      </c>
      <c r="T68" s="7">
        <v>8548</v>
      </c>
      <c r="U68" s="7">
        <v>5284</v>
      </c>
      <c r="V68" s="7">
        <v>45604</v>
      </c>
      <c r="W68" s="7">
        <v>50026</v>
      </c>
    </row>
    <row r="69" spans="2:23" x14ac:dyDescent="0.2">
      <c r="B69" s="32" t="s">
        <v>21</v>
      </c>
      <c r="C69" s="7">
        <v>574</v>
      </c>
      <c r="D69" s="7">
        <v>997</v>
      </c>
      <c r="E69" s="7">
        <v>1339</v>
      </c>
      <c r="F69" s="7">
        <v>1110</v>
      </c>
      <c r="G69" s="7">
        <v>515</v>
      </c>
      <c r="H69" s="7">
        <v>4535</v>
      </c>
      <c r="I69" s="7">
        <v>4778</v>
      </c>
      <c r="J69" s="7">
        <v>2193</v>
      </c>
      <c r="K69" s="7">
        <v>2984</v>
      </c>
      <c r="L69" s="7">
        <v>3097</v>
      </c>
      <c r="M69" s="7">
        <v>1914</v>
      </c>
      <c r="N69" s="7">
        <v>788</v>
      </c>
      <c r="O69" s="7">
        <v>10976</v>
      </c>
      <c r="P69" s="7">
        <v>11334</v>
      </c>
      <c r="Q69" s="7">
        <v>2767</v>
      </c>
      <c r="R69" s="7">
        <v>3981</v>
      </c>
      <c r="S69" s="7">
        <v>4436</v>
      </c>
      <c r="T69" s="7">
        <v>3024</v>
      </c>
      <c r="U69" s="7">
        <v>1303</v>
      </c>
      <c r="V69" s="7">
        <v>15511</v>
      </c>
      <c r="W69" s="7">
        <v>16112</v>
      </c>
    </row>
    <row r="70" spans="2:23" x14ac:dyDescent="0.2">
      <c r="B70" s="32" t="s">
        <v>22</v>
      </c>
      <c r="C70" s="7">
        <v>3869</v>
      </c>
      <c r="D70" s="7">
        <v>5040</v>
      </c>
      <c r="E70" s="7">
        <v>6557</v>
      </c>
      <c r="F70" s="7">
        <v>5833</v>
      </c>
      <c r="G70" s="7">
        <v>3264</v>
      </c>
      <c r="H70" s="7">
        <v>24563</v>
      </c>
      <c r="I70" s="7">
        <v>26168</v>
      </c>
      <c r="J70" s="7">
        <v>9576</v>
      </c>
      <c r="K70" s="7">
        <v>12442</v>
      </c>
      <c r="L70" s="7">
        <v>15719</v>
      </c>
      <c r="M70" s="7">
        <v>12639</v>
      </c>
      <c r="N70" s="7">
        <v>6174</v>
      </c>
      <c r="O70" s="7">
        <v>56550</v>
      </c>
      <c r="P70" s="7">
        <v>59077</v>
      </c>
      <c r="Q70" s="7">
        <v>13445</v>
      </c>
      <c r="R70" s="7">
        <v>17482</v>
      </c>
      <c r="S70" s="7">
        <v>22276</v>
      </c>
      <c r="T70" s="7">
        <v>18472</v>
      </c>
      <c r="U70" s="7">
        <v>9438</v>
      </c>
      <c r="V70" s="7">
        <v>81113</v>
      </c>
      <c r="W70" s="7">
        <v>85245</v>
      </c>
    </row>
    <row r="71" spans="2:23" x14ac:dyDescent="0.2">
      <c r="B71" s="32" t="s">
        <v>51</v>
      </c>
      <c r="C71" s="7">
        <v>1315</v>
      </c>
      <c r="D71" s="7">
        <v>2768</v>
      </c>
      <c r="E71" s="7">
        <v>3648</v>
      </c>
      <c r="F71" s="7">
        <v>2918</v>
      </c>
      <c r="G71" s="7">
        <v>1647</v>
      </c>
      <c r="H71" s="7">
        <v>12296</v>
      </c>
      <c r="I71" s="7">
        <v>13409</v>
      </c>
      <c r="J71" s="7">
        <v>2538</v>
      </c>
      <c r="K71" s="7">
        <v>4087</v>
      </c>
      <c r="L71" s="7">
        <v>4425</v>
      </c>
      <c r="M71" s="7">
        <v>3102</v>
      </c>
      <c r="N71" s="7">
        <v>1472</v>
      </c>
      <c r="O71" s="7">
        <v>15624</v>
      </c>
      <c r="P71" s="7">
        <v>16495</v>
      </c>
      <c r="Q71" s="7">
        <v>3853</v>
      </c>
      <c r="R71" s="7">
        <v>6855</v>
      </c>
      <c r="S71" s="7">
        <v>8073</v>
      </c>
      <c r="T71" s="7">
        <v>6020</v>
      </c>
      <c r="U71" s="7">
        <v>3119</v>
      </c>
      <c r="V71" s="7">
        <v>27920</v>
      </c>
      <c r="W71" s="7">
        <v>29904</v>
      </c>
    </row>
    <row r="72" spans="2:23" x14ac:dyDescent="0.2">
      <c r="B72" s="32" t="s">
        <v>23</v>
      </c>
      <c r="C72" s="7">
        <v>622</v>
      </c>
      <c r="D72" s="7">
        <v>1731</v>
      </c>
      <c r="E72" s="7">
        <v>2125</v>
      </c>
      <c r="F72" s="7">
        <v>1045</v>
      </c>
      <c r="G72" s="7">
        <v>402</v>
      </c>
      <c r="H72" s="7">
        <v>5925</v>
      </c>
      <c r="I72" s="7">
        <v>6264</v>
      </c>
      <c r="J72" s="7">
        <v>1168</v>
      </c>
      <c r="K72" s="7">
        <v>2432</v>
      </c>
      <c r="L72" s="7">
        <v>2530</v>
      </c>
      <c r="M72" s="7">
        <v>1290</v>
      </c>
      <c r="N72" s="7">
        <v>547</v>
      </c>
      <c r="O72" s="7">
        <v>7967</v>
      </c>
      <c r="P72" s="7">
        <v>8281</v>
      </c>
      <c r="Q72" s="7">
        <v>1790</v>
      </c>
      <c r="R72" s="7">
        <v>4163</v>
      </c>
      <c r="S72" s="7">
        <v>4655</v>
      </c>
      <c r="T72" s="7">
        <v>2335</v>
      </c>
      <c r="U72" s="7">
        <v>949</v>
      </c>
      <c r="V72" s="7">
        <v>13892</v>
      </c>
      <c r="W72" s="7">
        <v>14545</v>
      </c>
    </row>
    <row r="73" spans="2:23" x14ac:dyDescent="0.2">
      <c r="B73" s="32" t="s">
        <v>24</v>
      </c>
      <c r="C73" s="7">
        <v>1234</v>
      </c>
      <c r="D73" s="7">
        <v>873</v>
      </c>
      <c r="E73" s="7">
        <v>876</v>
      </c>
      <c r="F73" s="7">
        <v>702</v>
      </c>
      <c r="G73" s="7">
        <v>480</v>
      </c>
      <c r="H73" s="7">
        <v>4165</v>
      </c>
      <c r="I73" s="7">
        <v>4608</v>
      </c>
      <c r="J73" s="7">
        <v>2472</v>
      </c>
      <c r="K73" s="7">
        <v>2063</v>
      </c>
      <c r="L73" s="7">
        <v>2060</v>
      </c>
      <c r="M73" s="7">
        <v>1777</v>
      </c>
      <c r="N73" s="7">
        <v>1315</v>
      </c>
      <c r="O73" s="7">
        <v>9687</v>
      </c>
      <c r="P73" s="7">
        <v>10805</v>
      </c>
      <c r="Q73" s="7">
        <v>3706</v>
      </c>
      <c r="R73" s="7">
        <v>2936</v>
      </c>
      <c r="S73" s="7">
        <v>2936</v>
      </c>
      <c r="T73" s="7">
        <v>2479</v>
      </c>
      <c r="U73" s="7">
        <v>1795</v>
      </c>
      <c r="V73" s="7">
        <v>13852</v>
      </c>
      <c r="W73" s="7">
        <v>15413</v>
      </c>
    </row>
    <row r="74" spans="2:23" x14ac:dyDescent="0.2">
      <c r="B74" s="32" t="s">
        <v>25</v>
      </c>
      <c r="C74" s="7">
        <v>610</v>
      </c>
      <c r="D74" s="7">
        <v>451</v>
      </c>
      <c r="E74" s="7">
        <v>496</v>
      </c>
      <c r="F74" s="7">
        <v>389</v>
      </c>
      <c r="G74" s="7">
        <v>244</v>
      </c>
      <c r="H74" s="7">
        <v>2190</v>
      </c>
      <c r="I74" s="7">
        <v>2405</v>
      </c>
      <c r="J74" s="7">
        <v>955</v>
      </c>
      <c r="K74" s="7">
        <v>879</v>
      </c>
      <c r="L74" s="7">
        <v>912</v>
      </c>
      <c r="M74" s="7">
        <v>676</v>
      </c>
      <c r="N74" s="7">
        <v>443</v>
      </c>
      <c r="O74" s="7">
        <v>3865</v>
      </c>
      <c r="P74" s="7">
        <v>4214</v>
      </c>
      <c r="Q74" s="7">
        <v>1565</v>
      </c>
      <c r="R74" s="7">
        <v>1330</v>
      </c>
      <c r="S74" s="7">
        <v>1408</v>
      </c>
      <c r="T74" s="7">
        <v>1065</v>
      </c>
      <c r="U74" s="7">
        <v>687</v>
      </c>
      <c r="V74" s="7">
        <v>6055</v>
      </c>
      <c r="W74" s="7">
        <v>6619</v>
      </c>
    </row>
    <row r="75" spans="2:23" x14ac:dyDescent="0.2">
      <c r="B75" s="32" t="s">
        <v>26</v>
      </c>
      <c r="C75" s="7">
        <v>455</v>
      </c>
      <c r="D75" s="7">
        <v>406</v>
      </c>
      <c r="E75" s="7">
        <v>350</v>
      </c>
      <c r="F75" s="7">
        <v>304</v>
      </c>
      <c r="G75" s="7">
        <v>198</v>
      </c>
      <c r="H75" s="7">
        <v>1713</v>
      </c>
      <c r="I75" s="7">
        <v>1865</v>
      </c>
      <c r="J75" s="7">
        <v>852</v>
      </c>
      <c r="K75" s="7">
        <v>854</v>
      </c>
      <c r="L75" s="7">
        <v>834</v>
      </c>
      <c r="M75" s="7">
        <v>808</v>
      </c>
      <c r="N75" s="7">
        <v>526</v>
      </c>
      <c r="O75" s="7">
        <v>3874</v>
      </c>
      <c r="P75" s="7">
        <v>4267</v>
      </c>
      <c r="Q75" s="7">
        <v>1307</v>
      </c>
      <c r="R75" s="7">
        <v>1260</v>
      </c>
      <c r="S75" s="7">
        <v>1184</v>
      </c>
      <c r="T75" s="7">
        <v>1112</v>
      </c>
      <c r="U75" s="7">
        <v>724</v>
      </c>
      <c r="V75" s="7">
        <v>5587</v>
      </c>
      <c r="W75" s="7">
        <v>6132</v>
      </c>
    </row>
    <row r="76" spans="2:23" x14ac:dyDescent="0.2">
      <c r="B76" s="32" t="s">
        <v>27</v>
      </c>
      <c r="C76" s="7">
        <v>757</v>
      </c>
      <c r="D76" s="7">
        <v>362</v>
      </c>
      <c r="E76" s="7">
        <v>159</v>
      </c>
      <c r="F76" s="7">
        <v>86</v>
      </c>
      <c r="G76" s="7">
        <v>80</v>
      </c>
      <c r="H76" s="7">
        <v>1444</v>
      </c>
      <c r="I76" s="7">
        <v>1548</v>
      </c>
      <c r="J76" s="7">
        <v>1022</v>
      </c>
      <c r="K76" s="7">
        <v>431</v>
      </c>
      <c r="L76" s="7">
        <v>232</v>
      </c>
      <c r="M76" s="7">
        <v>109</v>
      </c>
      <c r="N76" s="7">
        <v>106</v>
      </c>
      <c r="O76" s="7">
        <v>1900</v>
      </c>
      <c r="P76" s="7">
        <v>2045</v>
      </c>
      <c r="Q76" s="7">
        <v>1779</v>
      </c>
      <c r="R76" s="7">
        <v>793</v>
      </c>
      <c r="S76" s="7">
        <v>391</v>
      </c>
      <c r="T76" s="7">
        <v>195</v>
      </c>
      <c r="U76" s="7">
        <v>186</v>
      </c>
      <c r="V76" s="7">
        <v>3344</v>
      </c>
      <c r="W76" s="7">
        <v>3593</v>
      </c>
    </row>
    <row r="77" spans="2:23" x14ac:dyDescent="0.2">
      <c r="B77" s="32" t="s">
        <v>28</v>
      </c>
      <c r="C77" s="7">
        <v>761</v>
      </c>
      <c r="D77" s="7">
        <v>514</v>
      </c>
      <c r="E77" s="7">
        <v>543</v>
      </c>
      <c r="F77" s="7">
        <v>388</v>
      </c>
      <c r="G77" s="7">
        <v>289</v>
      </c>
      <c r="H77" s="7">
        <v>2495</v>
      </c>
      <c r="I77" s="7">
        <v>2684</v>
      </c>
      <c r="J77" s="7">
        <v>1109</v>
      </c>
      <c r="K77" s="7">
        <v>776</v>
      </c>
      <c r="L77" s="7">
        <v>678</v>
      </c>
      <c r="M77" s="7">
        <v>443</v>
      </c>
      <c r="N77" s="7">
        <v>270</v>
      </c>
      <c r="O77" s="7">
        <v>3276</v>
      </c>
      <c r="P77" s="7">
        <v>3418</v>
      </c>
      <c r="Q77" s="7">
        <v>1870</v>
      </c>
      <c r="R77" s="7">
        <v>1290</v>
      </c>
      <c r="S77" s="7">
        <v>1221</v>
      </c>
      <c r="T77" s="7">
        <v>831</v>
      </c>
      <c r="U77" s="7">
        <v>559</v>
      </c>
      <c r="V77" s="7">
        <v>5771</v>
      </c>
      <c r="W77" s="7">
        <v>6102</v>
      </c>
    </row>
    <row r="78" spans="2:23" x14ac:dyDescent="0.2">
      <c r="B78" s="32" t="s">
        <v>29</v>
      </c>
      <c r="C78" s="7">
        <v>1101</v>
      </c>
      <c r="D78" s="7">
        <v>1235</v>
      </c>
      <c r="E78" s="7">
        <v>1199</v>
      </c>
      <c r="F78" s="7">
        <v>929</v>
      </c>
      <c r="G78" s="7">
        <v>664</v>
      </c>
      <c r="H78" s="7">
        <v>5128</v>
      </c>
      <c r="I78" s="7">
        <v>5661</v>
      </c>
      <c r="J78" s="7">
        <v>2705</v>
      </c>
      <c r="K78" s="7">
        <v>2836</v>
      </c>
      <c r="L78" s="7">
        <v>2590</v>
      </c>
      <c r="M78" s="7">
        <v>1790</v>
      </c>
      <c r="N78" s="7">
        <v>1010</v>
      </c>
      <c r="O78" s="7">
        <v>10931</v>
      </c>
      <c r="P78" s="7">
        <v>11724</v>
      </c>
      <c r="Q78" s="7">
        <v>3806</v>
      </c>
      <c r="R78" s="7">
        <v>4071</v>
      </c>
      <c r="S78" s="7">
        <v>3789</v>
      </c>
      <c r="T78" s="7">
        <v>2719</v>
      </c>
      <c r="U78" s="7">
        <v>1674</v>
      </c>
      <c r="V78" s="7">
        <v>16059</v>
      </c>
      <c r="W78" s="7">
        <v>17385</v>
      </c>
    </row>
    <row r="79" spans="2:23" x14ac:dyDescent="0.2">
      <c r="B79" s="32" t="s">
        <v>30</v>
      </c>
      <c r="C79" s="7">
        <v>819</v>
      </c>
      <c r="D79" s="7">
        <v>1126</v>
      </c>
      <c r="E79" s="7">
        <v>1501</v>
      </c>
      <c r="F79" s="7">
        <v>1520</v>
      </c>
      <c r="G79" s="7">
        <v>1123</v>
      </c>
      <c r="H79" s="7">
        <v>6089</v>
      </c>
      <c r="I79" s="7">
        <v>6891</v>
      </c>
      <c r="J79" s="7">
        <v>805</v>
      </c>
      <c r="K79" s="7">
        <v>843</v>
      </c>
      <c r="L79" s="7">
        <v>1045</v>
      </c>
      <c r="M79" s="7">
        <v>964</v>
      </c>
      <c r="N79" s="7">
        <v>596</v>
      </c>
      <c r="O79" s="7">
        <v>4253</v>
      </c>
      <c r="P79" s="7">
        <v>4577</v>
      </c>
      <c r="Q79" s="7">
        <v>1624</v>
      </c>
      <c r="R79" s="7">
        <v>1969</v>
      </c>
      <c r="S79" s="7">
        <v>2546</v>
      </c>
      <c r="T79" s="7">
        <v>2484</v>
      </c>
      <c r="U79" s="7">
        <v>1719</v>
      </c>
      <c r="V79" s="7">
        <v>10342</v>
      </c>
      <c r="W79" s="7">
        <v>11468</v>
      </c>
    </row>
    <row r="80" spans="2:23" x14ac:dyDescent="0.2">
      <c r="B80" s="32" t="s">
        <v>31</v>
      </c>
      <c r="C80" s="7">
        <v>1245</v>
      </c>
      <c r="D80" s="7">
        <v>1986</v>
      </c>
      <c r="E80" s="7">
        <v>2994</v>
      </c>
      <c r="F80" s="7">
        <v>3426</v>
      </c>
      <c r="G80" s="7">
        <v>3253</v>
      </c>
      <c r="H80" s="7">
        <v>12904</v>
      </c>
      <c r="I80" s="7">
        <v>15253</v>
      </c>
      <c r="J80" s="7">
        <v>1804</v>
      </c>
      <c r="K80" s="7">
        <v>1906</v>
      </c>
      <c r="L80" s="7">
        <v>2303</v>
      </c>
      <c r="M80" s="7">
        <v>2224</v>
      </c>
      <c r="N80" s="7">
        <v>1741</v>
      </c>
      <c r="O80" s="7">
        <v>9978</v>
      </c>
      <c r="P80" s="7">
        <v>11205</v>
      </c>
      <c r="Q80" s="7">
        <v>3049</v>
      </c>
      <c r="R80" s="7">
        <v>3892</v>
      </c>
      <c r="S80" s="7">
        <v>5297</v>
      </c>
      <c r="T80" s="7">
        <v>5650</v>
      </c>
      <c r="U80" s="7">
        <v>4994</v>
      </c>
      <c r="V80" s="7">
        <v>22882</v>
      </c>
      <c r="W80" s="7">
        <v>26458</v>
      </c>
    </row>
    <row r="81" spans="2:23" x14ac:dyDescent="0.2">
      <c r="B81" s="32" t="s">
        <v>32</v>
      </c>
      <c r="C81" s="7">
        <v>3769</v>
      </c>
      <c r="D81" s="7">
        <v>5623</v>
      </c>
      <c r="E81" s="7">
        <v>8619</v>
      </c>
      <c r="F81" s="7">
        <v>10152</v>
      </c>
      <c r="G81" s="7">
        <v>9899</v>
      </c>
      <c r="H81" s="7">
        <v>38062</v>
      </c>
      <c r="I81" s="7">
        <v>49361</v>
      </c>
      <c r="J81" s="7">
        <v>4950</v>
      </c>
      <c r="K81" s="7">
        <v>7616</v>
      </c>
      <c r="L81" s="7">
        <v>10580</v>
      </c>
      <c r="M81" s="7">
        <v>12074</v>
      </c>
      <c r="N81" s="7">
        <v>11240</v>
      </c>
      <c r="O81" s="7">
        <v>46460</v>
      </c>
      <c r="P81" s="7">
        <v>57998</v>
      </c>
      <c r="Q81" s="7">
        <v>8719</v>
      </c>
      <c r="R81" s="7">
        <v>13239</v>
      </c>
      <c r="S81" s="7">
        <v>19199</v>
      </c>
      <c r="T81" s="7">
        <v>22226</v>
      </c>
      <c r="U81" s="7">
        <v>21139</v>
      </c>
      <c r="V81" s="7">
        <v>84522</v>
      </c>
      <c r="W81" s="7">
        <v>107359</v>
      </c>
    </row>
    <row r="82" spans="2:23" x14ac:dyDescent="0.2">
      <c r="B82" s="32" t="s">
        <v>63</v>
      </c>
      <c r="C82" s="7">
        <v>59187</v>
      </c>
      <c r="D82" s="7">
        <v>66050</v>
      </c>
      <c r="E82" s="7">
        <v>81039</v>
      </c>
      <c r="F82" s="7">
        <v>78126</v>
      </c>
      <c r="G82" s="7">
        <v>64543</v>
      </c>
      <c r="H82" s="7">
        <v>348945</v>
      </c>
      <c r="I82" s="7">
        <v>417881</v>
      </c>
      <c r="J82" s="7">
        <v>86600</v>
      </c>
      <c r="K82" s="7">
        <v>93861</v>
      </c>
      <c r="L82" s="7">
        <v>104508</v>
      </c>
      <c r="M82" s="7">
        <v>90034</v>
      </c>
      <c r="N82" s="7">
        <v>65030</v>
      </c>
      <c r="O82" s="7">
        <v>440033</v>
      </c>
      <c r="P82" s="7">
        <v>501883</v>
      </c>
      <c r="Q82" s="7">
        <v>145787</v>
      </c>
      <c r="R82" s="7">
        <v>159911</v>
      </c>
      <c r="S82" s="7">
        <v>185547</v>
      </c>
      <c r="T82" s="7">
        <v>168160</v>
      </c>
      <c r="U82" s="7">
        <v>129573</v>
      </c>
      <c r="V82" s="7">
        <v>788978</v>
      </c>
      <c r="W82" s="7">
        <v>919764</v>
      </c>
    </row>
  </sheetData>
  <phoneticPr fontId="3" type="noConversion"/>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3:BQ82"/>
  <sheetViews>
    <sheetView showGridLines="0" topLeftCell="A40" workbookViewId="0">
      <selection activeCell="C69" sqref="C69"/>
    </sheetView>
  </sheetViews>
  <sheetFormatPr defaultColWidth="9.140625" defaultRowHeight="11.25" x14ac:dyDescent="0.2"/>
  <cols>
    <col min="1" max="1" width="9.140625" style="7"/>
    <col min="2" max="2" width="21.5703125" style="7" bestFit="1" customWidth="1"/>
    <col min="3" max="16384" width="9.140625" style="7"/>
  </cols>
  <sheetData>
    <row r="3" spans="1:69" x14ac:dyDescent="0.2">
      <c r="C3" s="2" t="s">
        <v>42</v>
      </c>
      <c r="D3" s="3"/>
      <c r="E3" s="3"/>
      <c r="F3" s="3"/>
      <c r="G3" s="3"/>
      <c r="H3" s="3"/>
      <c r="I3" s="3"/>
      <c r="J3" s="2" t="s">
        <v>43</v>
      </c>
      <c r="K3" s="3"/>
      <c r="L3" s="3"/>
      <c r="M3" s="3"/>
      <c r="N3" s="3"/>
      <c r="O3" s="3"/>
      <c r="P3" s="3"/>
      <c r="Q3" s="2" t="s">
        <v>54</v>
      </c>
      <c r="R3" s="3"/>
      <c r="S3" s="3"/>
      <c r="T3" s="3"/>
      <c r="U3" s="3"/>
      <c r="V3" s="3"/>
      <c r="W3" s="3"/>
      <c r="Y3" s="73"/>
      <c r="Z3" s="73"/>
      <c r="AA3" s="73"/>
      <c r="AB3" s="73"/>
      <c r="AC3" s="73"/>
      <c r="AD3" s="73"/>
      <c r="AE3" s="73"/>
      <c r="AF3" s="73"/>
      <c r="AG3" s="73"/>
      <c r="AH3" s="73"/>
      <c r="AI3" s="73"/>
      <c r="AJ3" s="73"/>
      <c r="AK3" s="73"/>
      <c r="AL3" s="73"/>
      <c r="AM3" s="73"/>
      <c r="AN3" s="73"/>
      <c r="AO3" s="73"/>
      <c r="AP3" s="73"/>
      <c r="AQ3" s="73"/>
      <c r="AR3" s="73"/>
      <c r="AS3" s="73"/>
      <c r="AT3" s="73"/>
      <c r="AV3" s="78"/>
      <c r="AW3" s="78"/>
      <c r="AX3" s="78"/>
      <c r="AY3" s="78"/>
      <c r="AZ3" s="78"/>
      <c r="BA3" s="78"/>
      <c r="BB3" s="78"/>
      <c r="BC3" s="78"/>
      <c r="BD3" s="78"/>
      <c r="BE3" s="78"/>
      <c r="BF3" s="78"/>
      <c r="BG3" s="78"/>
      <c r="BH3" s="78"/>
      <c r="BI3" s="78"/>
      <c r="BJ3" s="78"/>
      <c r="BK3" s="78"/>
      <c r="BL3" s="78"/>
      <c r="BM3" s="78"/>
      <c r="BN3" s="78"/>
      <c r="BO3" s="78"/>
      <c r="BP3" s="78"/>
      <c r="BQ3" s="78"/>
    </row>
    <row r="4" spans="1:69" x14ac:dyDescent="0.2">
      <c r="C4" s="2" t="s">
        <v>33</v>
      </c>
      <c r="D4" s="2" t="s">
        <v>34</v>
      </c>
      <c r="E4" s="2" t="s">
        <v>35</v>
      </c>
      <c r="F4" s="2" t="s">
        <v>36</v>
      </c>
      <c r="G4" s="2" t="s">
        <v>37</v>
      </c>
      <c r="H4" s="2" t="s">
        <v>47</v>
      </c>
      <c r="I4" s="2" t="s">
        <v>58</v>
      </c>
      <c r="J4" s="2" t="s">
        <v>33</v>
      </c>
      <c r="K4" s="2" t="s">
        <v>34</v>
      </c>
      <c r="L4" s="2" t="s">
        <v>35</v>
      </c>
      <c r="M4" s="2" t="s">
        <v>36</v>
      </c>
      <c r="N4" s="2" t="s">
        <v>37</v>
      </c>
      <c r="O4" s="2" t="s">
        <v>47</v>
      </c>
      <c r="P4" s="2" t="s">
        <v>58</v>
      </c>
      <c r="Q4" s="2" t="s">
        <v>33</v>
      </c>
      <c r="R4" s="2" t="s">
        <v>34</v>
      </c>
      <c r="S4" s="2" t="s">
        <v>35</v>
      </c>
      <c r="T4" s="2" t="s">
        <v>36</v>
      </c>
      <c r="U4" s="2" t="s">
        <v>37</v>
      </c>
      <c r="V4" s="3" t="s">
        <v>47</v>
      </c>
      <c r="W4" s="3" t="s">
        <v>58</v>
      </c>
      <c r="Y4" s="73"/>
      <c r="Z4" s="73"/>
      <c r="AA4" s="73"/>
      <c r="AB4" s="73"/>
      <c r="AC4" s="73"/>
      <c r="AD4" s="73"/>
      <c r="AE4" s="73"/>
      <c r="AF4" s="73"/>
      <c r="AG4" s="73"/>
      <c r="AH4" s="73"/>
      <c r="AI4" s="73"/>
      <c r="AJ4" s="73"/>
      <c r="AK4" s="73"/>
      <c r="AL4" s="73"/>
      <c r="AM4" s="73"/>
      <c r="AN4" s="73"/>
      <c r="AO4" s="73"/>
      <c r="AP4" s="73"/>
      <c r="AQ4" s="73"/>
      <c r="AR4" s="73"/>
      <c r="AS4" s="73"/>
      <c r="AT4" s="73"/>
      <c r="AV4" s="78"/>
      <c r="AW4" s="78"/>
      <c r="AX4" s="78"/>
      <c r="AY4" s="78"/>
      <c r="AZ4" s="78"/>
      <c r="BA4" s="78"/>
      <c r="BB4" s="78"/>
      <c r="BC4" s="78"/>
      <c r="BD4" s="78"/>
      <c r="BE4" s="78"/>
      <c r="BF4" s="78"/>
      <c r="BG4" s="78"/>
      <c r="BH4" s="78"/>
      <c r="BI4" s="78"/>
      <c r="BJ4" s="78"/>
      <c r="BK4" s="78"/>
      <c r="BL4" s="78"/>
      <c r="BM4" s="78"/>
      <c r="BN4" s="78"/>
      <c r="BO4" s="78"/>
      <c r="BP4" s="78"/>
      <c r="BQ4" s="78"/>
    </row>
    <row r="5" spans="1:69" x14ac:dyDescent="0.2">
      <c r="Y5" s="73"/>
      <c r="Z5" s="73"/>
      <c r="AA5" s="73"/>
      <c r="AB5" s="73"/>
      <c r="AC5" s="73"/>
      <c r="AD5" s="73"/>
      <c r="AE5" s="73"/>
      <c r="AF5" s="73"/>
      <c r="AG5" s="73"/>
      <c r="AH5" s="73"/>
      <c r="AI5" s="73"/>
      <c r="AJ5" s="73"/>
      <c r="AK5" s="73"/>
      <c r="AL5" s="73"/>
      <c r="AM5" s="73"/>
      <c r="AN5" s="73"/>
      <c r="AO5" s="73"/>
      <c r="AP5" s="73"/>
      <c r="AQ5" s="73"/>
      <c r="AR5" s="73"/>
      <c r="AS5" s="73"/>
      <c r="AT5" s="73"/>
      <c r="AV5" s="78"/>
      <c r="AW5" s="78"/>
      <c r="AX5" s="78"/>
      <c r="AY5" s="78"/>
      <c r="AZ5" s="78"/>
      <c r="BA5" s="78"/>
      <c r="BB5" s="78"/>
      <c r="BC5" s="78"/>
      <c r="BD5" s="78"/>
      <c r="BE5" s="78"/>
      <c r="BF5" s="78"/>
      <c r="BG5" s="78"/>
      <c r="BH5" s="78"/>
      <c r="BI5" s="78"/>
      <c r="BJ5" s="78"/>
      <c r="BK5" s="78"/>
      <c r="BL5" s="78"/>
      <c r="BM5" s="78"/>
      <c r="BN5" s="78"/>
      <c r="BO5" s="78"/>
      <c r="BP5" s="78"/>
      <c r="BQ5" s="78"/>
    </row>
    <row r="6" spans="1:69" x14ac:dyDescent="0.2">
      <c r="A6" s="2"/>
      <c r="B6" s="2" t="s">
        <v>0</v>
      </c>
      <c r="C6" s="87">
        <f>IF(OR(C48=1,C48=2),"x",ROUND(C48/$I48*100,1))</f>
        <v>14.2</v>
      </c>
      <c r="D6" s="87">
        <f t="shared" ref="D6:H6" si="0">IF(OR(D48=1,D48=2),"x",ROUND(D48/$I48*100,1))</f>
        <v>14.5</v>
      </c>
      <c r="E6" s="87">
        <f t="shared" si="0"/>
        <v>16.399999999999999</v>
      </c>
      <c r="F6" s="87">
        <f t="shared" si="0"/>
        <v>17</v>
      </c>
      <c r="G6" s="87">
        <f t="shared" si="0"/>
        <v>17</v>
      </c>
      <c r="H6" s="87">
        <f t="shared" si="0"/>
        <v>79.099999999999994</v>
      </c>
      <c r="I6" s="66">
        <f>ROUND(I48,0)</f>
        <v>25247</v>
      </c>
      <c r="J6" s="87">
        <f>IF(OR(J48=1,J48=2),"x",ROUND(J48/$P48*100,1))</f>
        <v>16.7</v>
      </c>
      <c r="K6" s="87">
        <f t="shared" ref="K6:O6" si="1">IF(OR(K48=1,K48=2),"x",ROUND(K48/$P48*100,1))</f>
        <v>16.100000000000001</v>
      </c>
      <c r="L6" s="87">
        <f t="shared" si="1"/>
        <v>17.2</v>
      </c>
      <c r="M6" s="87">
        <f t="shared" si="1"/>
        <v>16.600000000000001</v>
      </c>
      <c r="N6" s="87">
        <f t="shared" si="1"/>
        <v>15.7</v>
      </c>
      <c r="O6" s="87">
        <f t="shared" si="1"/>
        <v>82.3</v>
      </c>
      <c r="P6" s="66">
        <f>ROUND(P48,0)</f>
        <v>34553</v>
      </c>
      <c r="Q6" s="87">
        <f>IF(OR(Q48=1,Q48=2),"x",ROUND(Q48/$W48*100,1))</f>
        <v>15.6</v>
      </c>
      <c r="R6" s="87">
        <f t="shared" ref="R6:V6" si="2">IF(OR(R48=1,R48=2),"x",ROUND(R48/$W48*100,1))</f>
        <v>15.4</v>
      </c>
      <c r="S6" s="87">
        <f t="shared" si="2"/>
        <v>16.899999999999999</v>
      </c>
      <c r="T6" s="87">
        <f t="shared" si="2"/>
        <v>16.7</v>
      </c>
      <c r="U6" s="87">
        <f t="shared" si="2"/>
        <v>16.3</v>
      </c>
      <c r="V6" s="87">
        <f t="shared" si="2"/>
        <v>80.900000000000006</v>
      </c>
      <c r="W6" s="66">
        <f>ROUND(W48,0)</f>
        <v>59800</v>
      </c>
      <c r="Y6" s="73"/>
      <c r="Z6" s="73"/>
      <c r="AA6" s="73"/>
      <c r="AB6" s="73"/>
      <c r="AC6" s="73"/>
      <c r="AD6" s="73"/>
      <c r="AE6" s="73"/>
      <c r="AF6" s="73"/>
      <c r="AG6" s="73"/>
      <c r="AH6" s="73"/>
      <c r="AI6" s="73"/>
      <c r="AJ6" s="73"/>
      <c r="AK6" s="73"/>
      <c r="AL6" s="73"/>
      <c r="AM6" s="73"/>
      <c r="AN6" s="73"/>
      <c r="AO6" s="73"/>
      <c r="AP6" s="73"/>
      <c r="AQ6" s="73"/>
      <c r="AR6" s="73"/>
      <c r="AS6" s="73"/>
      <c r="AT6" s="73"/>
      <c r="AV6" s="78"/>
      <c r="AW6" s="89"/>
      <c r="AX6" s="89"/>
      <c r="AY6" s="89"/>
      <c r="AZ6" s="89"/>
      <c r="BA6" s="89"/>
      <c r="BB6" s="89"/>
      <c r="BC6" s="89"/>
      <c r="BD6" s="89"/>
      <c r="BE6" s="89"/>
      <c r="BF6" s="89"/>
      <c r="BG6" s="89"/>
      <c r="BH6" s="89"/>
      <c r="BI6" s="89"/>
      <c r="BJ6" s="89"/>
      <c r="BK6" s="89"/>
      <c r="BL6" s="89"/>
      <c r="BM6" s="89"/>
      <c r="BN6" s="89"/>
      <c r="BO6" s="89"/>
      <c r="BP6" s="89"/>
      <c r="BQ6" s="89"/>
    </row>
    <row r="7" spans="1:69" x14ac:dyDescent="0.2">
      <c r="B7" s="2" t="s">
        <v>1</v>
      </c>
      <c r="C7" s="87">
        <f t="shared" ref="C7:H22" si="3">IF(OR(C49=1,C49=2),"x",ROUND(C49/$I49*100,1))</f>
        <v>18.7</v>
      </c>
      <c r="D7" s="87">
        <f t="shared" si="3"/>
        <v>16.8</v>
      </c>
      <c r="E7" s="87">
        <f t="shared" si="3"/>
        <v>17</v>
      </c>
      <c r="F7" s="87">
        <f t="shared" si="3"/>
        <v>15.6</v>
      </c>
      <c r="G7" s="87">
        <f t="shared" si="3"/>
        <v>14.1</v>
      </c>
      <c r="H7" s="87">
        <f t="shared" si="3"/>
        <v>82.2</v>
      </c>
      <c r="I7" s="66">
        <f t="shared" ref="I7:I40" si="4">ROUND(I49,0)</f>
        <v>21963</v>
      </c>
      <c r="J7" s="87">
        <f t="shared" ref="J7:O22" si="5">IF(OR(J49=1,J49=2),"x",ROUND(J49/$P49*100,1))</f>
        <v>18.899999999999999</v>
      </c>
      <c r="K7" s="87">
        <f t="shared" si="5"/>
        <v>19.100000000000001</v>
      </c>
      <c r="L7" s="87">
        <f t="shared" si="5"/>
        <v>17.600000000000001</v>
      </c>
      <c r="M7" s="87">
        <f t="shared" si="5"/>
        <v>15.6</v>
      </c>
      <c r="N7" s="87">
        <f t="shared" si="5"/>
        <v>13.4</v>
      </c>
      <c r="O7" s="87">
        <f t="shared" si="5"/>
        <v>84.7</v>
      </c>
      <c r="P7" s="66">
        <f t="shared" ref="P7:P40" si="6">ROUND(P49,0)</f>
        <v>21142</v>
      </c>
      <c r="Q7" s="87">
        <f t="shared" ref="Q7:V22" si="7">IF(OR(Q49=1,Q49=2),"x",ROUND(Q49/$W49*100,1))</f>
        <v>18.8</v>
      </c>
      <c r="R7" s="87">
        <f t="shared" si="7"/>
        <v>18</v>
      </c>
      <c r="S7" s="87">
        <f t="shared" si="7"/>
        <v>17.3</v>
      </c>
      <c r="T7" s="87">
        <f t="shared" si="7"/>
        <v>15.6</v>
      </c>
      <c r="U7" s="87">
        <f t="shared" si="7"/>
        <v>13.7</v>
      </c>
      <c r="V7" s="87">
        <f t="shared" si="7"/>
        <v>83.4</v>
      </c>
      <c r="W7" s="66">
        <f t="shared" ref="W7:W40" si="8">ROUND(W49,0)</f>
        <v>43105</v>
      </c>
      <c r="Y7" s="73"/>
      <c r="Z7" s="73"/>
      <c r="AA7" s="73"/>
      <c r="AB7" s="73"/>
      <c r="AC7" s="73"/>
      <c r="AD7" s="73"/>
      <c r="AE7" s="73"/>
      <c r="AF7" s="73"/>
      <c r="AG7" s="73"/>
      <c r="AH7" s="73"/>
      <c r="AI7" s="73"/>
      <c r="AJ7" s="73"/>
      <c r="AK7" s="73"/>
      <c r="AL7" s="73"/>
      <c r="AM7" s="73"/>
      <c r="AN7" s="73"/>
      <c r="AO7" s="73"/>
      <c r="AP7" s="73"/>
      <c r="AQ7" s="73"/>
      <c r="AR7" s="73"/>
      <c r="AS7" s="73"/>
      <c r="AT7" s="73"/>
      <c r="AV7" s="78"/>
      <c r="AW7" s="89"/>
      <c r="AX7" s="89"/>
      <c r="AY7" s="89"/>
      <c r="AZ7" s="89"/>
      <c r="BA7" s="89"/>
      <c r="BB7" s="89"/>
      <c r="BC7" s="89"/>
      <c r="BD7" s="89"/>
      <c r="BE7" s="89"/>
      <c r="BF7" s="89"/>
      <c r="BG7" s="89"/>
      <c r="BH7" s="89"/>
      <c r="BI7" s="89"/>
      <c r="BJ7" s="89"/>
      <c r="BK7" s="89"/>
      <c r="BL7" s="89"/>
      <c r="BM7" s="89"/>
      <c r="BN7" s="89"/>
      <c r="BO7" s="89"/>
      <c r="BP7" s="89"/>
      <c r="BQ7" s="89"/>
    </row>
    <row r="8" spans="1:69" x14ac:dyDescent="0.2">
      <c r="B8" s="2" t="s">
        <v>2</v>
      </c>
      <c r="C8" s="87">
        <f t="shared" si="3"/>
        <v>19.2</v>
      </c>
      <c r="D8" s="87">
        <f t="shared" si="3"/>
        <v>15.8</v>
      </c>
      <c r="E8" s="87">
        <f t="shared" si="3"/>
        <v>16.3</v>
      </c>
      <c r="F8" s="87">
        <f t="shared" si="3"/>
        <v>16.100000000000001</v>
      </c>
      <c r="G8" s="87">
        <f t="shared" si="3"/>
        <v>14.3</v>
      </c>
      <c r="H8" s="87">
        <f t="shared" si="3"/>
        <v>81.7</v>
      </c>
      <c r="I8" s="66">
        <f t="shared" si="4"/>
        <v>23311</v>
      </c>
      <c r="J8" s="87">
        <f t="shared" si="5"/>
        <v>24.8</v>
      </c>
      <c r="K8" s="87">
        <f t="shared" si="5"/>
        <v>19</v>
      </c>
      <c r="L8" s="87">
        <f t="shared" si="5"/>
        <v>16.7</v>
      </c>
      <c r="M8" s="87">
        <f t="shared" si="5"/>
        <v>14.8</v>
      </c>
      <c r="N8" s="87">
        <f t="shared" si="5"/>
        <v>11.6</v>
      </c>
      <c r="O8" s="87">
        <f t="shared" si="5"/>
        <v>86.9</v>
      </c>
      <c r="P8" s="66">
        <f t="shared" si="6"/>
        <v>7459</v>
      </c>
      <c r="Q8" s="87">
        <f t="shared" si="7"/>
        <v>20.6</v>
      </c>
      <c r="R8" s="87">
        <f t="shared" si="7"/>
        <v>16.600000000000001</v>
      </c>
      <c r="S8" s="87">
        <f t="shared" si="7"/>
        <v>16.399999999999999</v>
      </c>
      <c r="T8" s="87">
        <f t="shared" si="7"/>
        <v>15.8</v>
      </c>
      <c r="U8" s="87">
        <f t="shared" si="7"/>
        <v>13.6</v>
      </c>
      <c r="V8" s="87">
        <f t="shared" si="7"/>
        <v>83</v>
      </c>
      <c r="W8" s="66">
        <f t="shared" si="8"/>
        <v>30770</v>
      </c>
      <c r="Y8" s="73"/>
      <c r="Z8" s="73"/>
      <c r="AA8" s="73"/>
      <c r="AB8" s="73"/>
      <c r="AC8" s="73"/>
      <c r="AD8" s="73"/>
      <c r="AE8" s="73"/>
      <c r="AF8" s="73"/>
      <c r="AG8" s="73"/>
      <c r="AH8" s="73"/>
      <c r="AI8" s="73"/>
      <c r="AJ8" s="73"/>
      <c r="AK8" s="73"/>
      <c r="AL8" s="73"/>
      <c r="AM8" s="73"/>
      <c r="AN8" s="73"/>
      <c r="AO8" s="73"/>
      <c r="AP8" s="73"/>
      <c r="AQ8" s="73"/>
      <c r="AR8" s="73"/>
      <c r="AS8" s="73"/>
      <c r="AT8" s="73"/>
      <c r="AV8" s="78"/>
      <c r="AW8" s="89"/>
      <c r="AX8" s="89"/>
      <c r="AY8" s="89"/>
      <c r="AZ8" s="89"/>
      <c r="BA8" s="89"/>
      <c r="BB8" s="89"/>
      <c r="BC8" s="89"/>
      <c r="BD8" s="89"/>
      <c r="BE8" s="89"/>
      <c r="BF8" s="89"/>
      <c r="BG8" s="89"/>
      <c r="BH8" s="89"/>
      <c r="BI8" s="89"/>
      <c r="BJ8" s="89"/>
      <c r="BK8" s="89"/>
      <c r="BL8" s="89"/>
      <c r="BM8" s="89"/>
      <c r="BN8" s="89"/>
      <c r="BO8" s="89"/>
      <c r="BP8" s="89"/>
      <c r="BQ8" s="89"/>
    </row>
    <row r="9" spans="1:69" x14ac:dyDescent="0.2">
      <c r="B9" s="2" t="s">
        <v>3</v>
      </c>
      <c r="C9" s="87">
        <f t="shared" si="3"/>
        <v>15.9</v>
      </c>
      <c r="D9" s="87">
        <f t="shared" si="3"/>
        <v>14.7</v>
      </c>
      <c r="E9" s="87">
        <f t="shared" si="3"/>
        <v>18.3</v>
      </c>
      <c r="F9" s="87">
        <f t="shared" si="3"/>
        <v>17.8</v>
      </c>
      <c r="G9" s="87">
        <f t="shared" si="3"/>
        <v>15.8</v>
      </c>
      <c r="H9" s="87">
        <f t="shared" si="3"/>
        <v>82.5</v>
      </c>
      <c r="I9" s="66">
        <f t="shared" si="4"/>
        <v>5025</v>
      </c>
      <c r="J9" s="87">
        <f t="shared" si="5"/>
        <v>15.8</v>
      </c>
      <c r="K9" s="87">
        <f t="shared" si="5"/>
        <v>15.5</v>
      </c>
      <c r="L9" s="87">
        <f t="shared" si="5"/>
        <v>18.899999999999999</v>
      </c>
      <c r="M9" s="87">
        <f t="shared" si="5"/>
        <v>17.2</v>
      </c>
      <c r="N9" s="87">
        <f t="shared" si="5"/>
        <v>15.5</v>
      </c>
      <c r="O9" s="87">
        <f t="shared" si="5"/>
        <v>82.9</v>
      </c>
      <c r="P9" s="66">
        <f t="shared" si="6"/>
        <v>2561</v>
      </c>
      <c r="Q9" s="87">
        <f t="shared" si="7"/>
        <v>15.9</v>
      </c>
      <c r="R9" s="87">
        <f t="shared" si="7"/>
        <v>15</v>
      </c>
      <c r="S9" s="87">
        <f t="shared" si="7"/>
        <v>18.5</v>
      </c>
      <c r="T9" s="87">
        <f t="shared" si="7"/>
        <v>17.600000000000001</v>
      </c>
      <c r="U9" s="87">
        <f t="shared" si="7"/>
        <v>15.7</v>
      </c>
      <c r="V9" s="87">
        <f t="shared" si="7"/>
        <v>82.7</v>
      </c>
      <c r="W9" s="66">
        <f t="shared" si="8"/>
        <v>7586</v>
      </c>
      <c r="Y9" s="73"/>
      <c r="Z9" s="73"/>
      <c r="AA9" s="73"/>
      <c r="AB9" s="73"/>
      <c r="AC9" s="73"/>
      <c r="AD9" s="73"/>
      <c r="AE9" s="73"/>
      <c r="AF9" s="73"/>
      <c r="AG9" s="73"/>
      <c r="AH9" s="73"/>
      <c r="AI9" s="73"/>
      <c r="AJ9" s="73"/>
      <c r="AK9" s="73"/>
      <c r="AL9" s="73"/>
      <c r="AM9" s="73"/>
      <c r="AN9" s="73"/>
      <c r="AO9" s="73"/>
      <c r="AP9" s="73"/>
      <c r="AQ9" s="73"/>
      <c r="AR9" s="73"/>
      <c r="AS9" s="73"/>
      <c r="AT9" s="73"/>
      <c r="AV9" s="78"/>
      <c r="AW9" s="89"/>
      <c r="AX9" s="89"/>
      <c r="AY9" s="89"/>
      <c r="AZ9" s="89"/>
      <c r="BA9" s="89"/>
      <c r="BB9" s="89"/>
      <c r="BC9" s="89"/>
      <c r="BD9" s="89"/>
      <c r="BE9" s="89"/>
      <c r="BF9" s="89"/>
      <c r="BG9" s="89"/>
      <c r="BH9" s="89"/>
      <c r="BI9" s="89"/>
      <c r="BJ9" s="89"/>
      <c r="BK9" s="89"/>
      <c r="BL9" s="89"/>
      <c r="BM9" s="89"/>
      <c r="BN9" s="89"/>
      <c r="BO9" s="89"/>
      <c r="BP9" s="89"/>
      <c r="BQ9" s="89"/>
    </row>
    <row r="10" spans="1:69" x14ac:dyDescent="0.2">
      <c r="B10" s="2" t="s">
        <v>4</v>
      </c>
      <c r="C10" s="87">
        <f t="shared" si="3"/>
        <v>23.2</v>
      </c>
      <c r="D10" s="87">
        <f t="shared" si="3"/>
        <v>14</v>
      </c>
      <c r="E10" s="87">
        <f t="shared" si="3"/>
        <v>14.2</v>
      </c>
      <c r="F10" s="87">
        <f t="shared" si="3"/>
        <v>14.5</v>
      </c>
      <c r="G10" s="87">
        <f t="shared" si="3"/>
        <v>13</v>
      </c>
      <c r="H10" s="87">
        <f t="shared" si="3"/>
        <v>78.900000000000006</v>
      </c>
      <c r="I10" s="66">
        <f t="shared" si="4"/>
        <v>36844</v>
      </c>
      <c r="J10" s="87">
        <f t="shared" si="5"/>
        <v>25.7</v>
      </c>
      <c r="K10" s="87">
        <f t="shared" si="5"/>
        <v>16.3</v>
      </c>
      <c r="L10" s="87">
        <f t="shared" si="5"/>
        <v>15.6</v>
      </c>
      <c r="M10" s="87">
        <f t="shared" si="5"/>
        <v>13.9</v>
      </c>
      <c r="N10" s="87">
        <f t="shared" si="5"/>
        <v>12.3</v>
      </c>
      <c r="O10" s="87">
        <f t="shared" si="5"/>
        <v>83.7</v>
      </c>
      <c r="P10" s="66">
        <f t="shared" si="6"/>
        <v>26052</v>
      </c>
      <c r="Q10" s="87">
        <f t="shared" si="7"/>
        <v>24.3</v>
      </c>
      <c r="R10" s="87">
        <f t="shared" si="7"/>
        <v>15</v>
      </c>
      <c r="S10" s="87">
        <f t="shared" si="7"/>
        <v>14.8</v>
      </c>
      <c r="T10" s="87">
        <f t="shared" si="7"/>
        <v>14.2</v>
      </c>
      <c r="U10" s="87">
        <f t="shared" si="7"/>
        <v>12.7</v>
      </c>
      <c r="V10" s="87">
        <f t="shared" si="7"/>
        <v>80.900000000000006</v>
      </c>
      <c r="W10" s="66">
        <f t="shared" si="8"/>
        <v>62896</v>
      </c>
      <c r="Y10" s="73"/>
      <c r="Z10" s="73"/>
      <c r="AA10" s="73"/>
      <c r="AB10" s="73"/>
      <c r="AC10" s="73"/>
      <c r="AD10" s="73"/>
      <c r="AE10" s="73"/>
      <c r="AF10" s="73"/>
      <c r="AG10" s="73"/>
      <c r="AH10" s="73"/>
      <c r="AI10" s="73"/>
      <c r="AJ10" s="73"/>
      <c r="AK10" s="73"/>
      <c r="AL10" s="73"/>
      <c r="AM10" s="73"/>
      <c r="AN10" s="73"/>
      <c r="AO10" s="73"/>
      <c r="AP10" s="73"/>
      <c r="AQ10" s="73"/>
      <c r="AR10" s="73"/>
      <c r="AS10" s="73"/>
      <c r="AT10" s="73"/>
      <c r="AV10" s="78"/>
      <c r="AW10" s="89"/>
      <c r="AX10" s="89"/>
      <c r="AY10" s="89"/>
      <c r="AZ10" s="89"/>
      <c r="BA10" s="89"/>
      <c r="BB10" s="89"/>
      <c r="BC10" s="89"/>
      <c r="BD10" s="89"/>
      <c r="BE10" s="89"/>
      <c r="BF10" s="89"/>
      <c r="BG10" s="89"/>
      <c r="BH10" s="89"/>
      <c r="BI10" s="89"/>
      <c r="BJ10" s="89"/>
      <c r="BK10" s="89"/>
      <c r="BL10" s="89"/>
      <c r="BM10" s="89"/>
      <c r="BN10" s="89"/>
      <c r="BO10" s="89"/>
      <c r="BP10" s="89"/>
      <c r="BQ10" s="89"/>
    </row>
    <row r="11" spans="1:69" x14ac:dyDescent="0.2">
      <c r="B11" s="2" t="s">
        <v>5</v>
      </c>
      <c r="C11" s="87">
        <f t="shared" si="3"/>
        <v>37.299999999999997</v>
      </c>
      <c r="D11" s="87">
        <f t="shared" si="3"/>
        <v>18.399999999999999</v>
      </c>
      <c r="E11" s="87">
        <f t="shared" si="3"/>
        <v>16.3</v>
      </c>
      <c r="F11" s="87">
        <f t="shared" si="3"/>
        <v>10.7</v>
      </c>
      <c r="G11" s="87">
        <f t="shared" si="3"/>
        <v>7.8</v>
      </c>
      <c r="H11" s="87">
        <f t="shared" si="3"/>
        <v>90.5</v>
      </c>
      <c r="I11" s="66">
        <f t="shared" si="4"/>
        <v>3079</v>
      </c>
      <c r="J11" s="87">
        <f t="shared" si="5"/>
        <v>40.4</v>
      </c>
      <c r="K11" s="87">
        <f t="shared" si="5"/>
        <v>20.5</v>
      </c>
      <c r="L11" s="87">
        <f t="shared" si="5"/>
        <v>14.7</v>
      </c>
      <c r="M11" s="87">
        <f t="shared" si="5"/>
        <v>10</v>
      </c>
      <c r="N11" s="87">
        <f t="shared" si="5"/>
        <v>6.3</v>
      </c>
      <c r="O11" s="87">
        <f t="shared" si="5"/>
        <v>91.9</v>
      </c>
      <c r="P11" s="66">
        <f t="shared" si="6"/>
        <v>1833</v>
      </c>
      <c r="Q11" s="87">
        <f t="shared" si="7"/>
        <v>38.5</v>
      </c>
      <c r="R11" s="87">
        <f t="shared" si="7"/>
        <v>19.2</v>
      </c>
      <c r="S11" s="87">
        <f t="shared" si="7"/>
        <v>15.7</v>
      </c>
      <c r="T11" s="87">
        <f t="shared" si="7"/>
        <v>10.4</v>
      </c>
      <c r="U11" s="87">
        <f t="shared" si="7"/>
        <v>7.3</v>
      </c>
      <c r="V11" s="87">
        <f t="shared" si="7"/>
        <v>91</v>
      </c>
      <c r="W11" s="66">
        <f t="shared" si="8"/>
        <v>4912</v>
      </c>
      <c r="Y11" s="73"/>
      <c r="Z11" s="73"/>
      <c r="AA11" s="73"/>
      <c r="AB11" s="73"/>
      <c r="AC11" s="73"/>
      <c r="AD11" s="73"/>
      <c r="AE11" s="73"/>
      <c r="AF11" s="73"/>
      <c r="AG11" s="73"/>
      <c r="AH11" s="73"/>
      <c r="AI11" s="73"/>
      <c r="AJ11" s="73"/>
      <c r="AK11" s="73"/>
      <c r="AL11" s="73"/>
      <c r="AM11" s="73"/>
      <c r="AN11" s="73"/>
      <c r="AO11" s="73"/>
      <c r="AP11" s="73"/>
      <c r="AQ11" s="73"/>
      <c r="AR11" s="73"/>
      <c r="AS11" s="73"/>
      <c r="AT11" s="73"/>
      <c r="AV11" s="78"/>
      <c r="AW11" s="89"/>
      <c r="AX11" s="89"/>
      <c r="AY11" s="89"/>
      <c r="AZ11" s="89"/>
      <c r="BA11" s="89"/>
      <c r="BB11" s="89"/>
      <c r="BC11" s="89"/>
      <c r="BD11" s="89"/>
      <c r="BE11" s="89"/>
      <c r="BF11" s="89"/>
      <c r="BG11" s="89"/>
      <c r="BH11" s="89"/>
      <c r="BI11" s="89"/>
      <c r="BJ11" s="89"/>
      <c r="BK11" s="89"/>
      <c r="BL11" s="89"/>
      <c r="BM11" s="89"/>
      <c r="BN11" s="89"/>
      <c r="BO11" s="89"/>
      <c r="BP11" s="89"/>
      <c r="BQ11" s="89"/>
    </row>
    <row r="12" spans="1:69" x14ac:dyDescent="0.2">
      <c r="B12" s="2" t="s">
        <v>6</v>
      </c>
      <c r="C12" s="87">
        <f t="shared" si="3"/>
        <v>8.8000000000000007</v>
      </c>
      <c r="D12" s="87">
        <f t="shared" si="3"/>
        <v>14.4</v>
      </c>
      <c r="E12" s="87">
        <f t="shared" si="3"/>
        <v>20.399999999999999</v>
      </c>
      <c r="F12" s="87">
        <f t="shared" si="3"/>
        <v>21.8</v>
      </c>
      <c r="G12" s="87">
        <f t="shared" si="3"/>
        <v>18.3</v>
      </c>
      <c r="H12" s="87">
        <f t="shared" si="3"/>
        <v>83.7</v>
      </c>
      <c r="I12" s="66">
        <f t="shared" si="4"/>
        <v>10916</v>
      </c>
      <c r="J12" s="87">
        <f t="shared" si="5"/>
        <v>14.9</v>
      </c>
      <c r="K12" s="87">
        <f t="shared" si="5"/>
        <v>18.8</v>
      </c>
      <c r="L12" s="87">
        <f t="shared" si="5"/>
        <v>22.3</v>
      </c>
      <c r="M12" s="87">
        <f t="shared" si="5"/>
        <v>19.3</v>
      </c>
      <c r="N12" s="87">
        <f t="shared" si="5"/>
        <v>14.6</v>
      </c>
      <c r="O12" s="87">
        <f t="shared" si="5"/>
        <v>90</v>
      </c>
      <c r="P12" s="66">
        <f t="shared" si="6"/>
        <v>8063</v>
      </c>
      <c r="Q12" s="87">
        <f t="shared" si="7"/>
        <v>11.4</v>
      </c>
      <c r="R12" s="87">
        <f t="shared" si="7"/>
        <v>16.3</v>
      </c>
      <c r="S12" s="87">
        <f t="shared" si="7"/>
        <v>21.2</v>
      </c>
      <c r="T12" s="87">
        <f t="shared" si="7"/>
        <v>20.7</v>
      </c>
      <c r="U12" s="87">
        <f t="shared" si="7"/>
        <v>16.8</v>
      </c>
      <c r="V12" s="87">
        <f t="shared" si="7"/>
        <v>86.4</v>
      </c>
      <c r="W12" s="66">
        <f t="shared" si="8"/>
        <v>18979</v>
      </c>
      <c r="Y12" s="73"/>
      <c r="Z12" s="73"/>
      <c r="AA12" s="73"/>
      <c r="AB12" s="73"/>
      <c r="AC12" s="73"/>
      <c r="AD12" s="73"/>
      <c r="AE12" s="73"/>
      <c r="AF12" s="73"/>
      <c r="AG12" s="73"/>
      <c r="AH12" s="73"/>
      <c r="AI12" s="73"/>
      <c r="AJ12" s="73"/>
      <c r="AK12" s="73"/>
      <c r="AL12" s="73"/>
      <c r="AM12" s="73"/>
      <c r="AN12" s="73"/>
      <c r="AO12" s="73"/>
      <c r="AP12" s="73"/>
      <c r="AQ12" s="73"/>
      <c r="AR12" s="73"/>
      <c r="AS12" s="73"/>
      <c r="AT12" s="73"/>
      <c r="AV12" s="78"/>
      <c r="AW12" s="89"/>
      <c r="AX12" s="89"/>
      <c r="AY12" s="89"/>
      <c r="AZ12" s="89"/>
      <c r="BA12" s="89"/>
      <c r="BB12" s="89"/>
      <c r="BC12" s="89"/>
      <c r="BD12" s="89"/>
      <c r="BE12" s="89"/>
      <c r="BF12" s="89"/>
      <c r="BG12" s="89"/>
      <c r="BH12" s="89"/>
      <c r="BI12" s="89"/>
      <c r="BJ12" s="89"/>
      <c r="BK12" s="89"/>
      <c r="BL12" s="89"/>
      <c r="BM12" s="89"/>
      <c r="BN12" s="89"/>
      <c r="BO12" s="89"/>
      <c r="BP12" s="89"/>
      <c r="BQ12" s="89"/>
    </row>
    <row r="13" spans="1:69" x14ac:dyDescent="0.2">
      <c r="B13" s="2" t="s">
        <v>168</v>
      </c>
      <c r="C13" s="87">
        <f t="shared" si="3"/>
        <v>9.6999999999999993</v>
      </c>
      <c r="D13" s="87">
        <f t="shared" si="3"/>
        <v>13.7</v>
      </c>
      <c r="E13" s="87">
        <f t="shared" si="3"/>
        <v>17.8</v>
      </c>
      <c r="F13" s="87">
        <f t="shared" si="3"/>
        <v>19.3</v>
      </c>
      <c r="G13" s="87">
        <f t="shared" si="3"/>
        <v>17.100000000000001</v>
      </c>
      <c r="H13" s="87">
        <f t="shared" si="3"/>
        <v>77.599999999999994</v>
      </c>
      <c r="I13" s="66">
        <f t="shared" si="4"/>
        <v>6622</v>
      </c>
      <c r="J13" s="87">
        <f t="shared" si="5"/>
        <v>10.3</v>
      </c>
      <c r="K13" s="87">
        <f t="shared" si="5"/>
        <v>12.5</v>
      </c>
      <c r="L13" s="87">
        <f t="shared" si="5"/>
        <v>18.100000000000001</v>
      </c>
      <c r="M13" s="87">
        <f t="shared" si="5"/>
        <v>18.8</v>
      </c>
      <c r="N13" s="87">
        <f t="shared" si="5"/>
        <v>15.8</v>
      </c>
      <c r="O13" s="87">
        <f t="shared" si="5"/>
        <v>75.5</v>
      </c>
      <c r="P13" s="66">
        <f t="shared" si="6"/>
        <v>697</v>
      </c>
      <c r="Q13" s="87">
        <f t="shared" si="7"/>
        <v>9.6999999999999993</v>
      </c>
      <c r="R13" s="87">
        <f t="shared" si="7"/>
        <v>13.6</v>
      </c>
      <c r="S13" s="87">
        <f t="shared" si="7"/>
        <v>17.899999999999999</v>
      </c>
      <c r="T13" s="87">
        <f t="shared" si="7"/>
        <v>19.3</v>
      </c>
      <c r="U13" s="87">
        <f t="shared" si="7"/>
        <v>17</v>
      </c>
      <c r="V13" s="87">
        <f t="shared" si="7"/>
        <v>77.400000000000006</v>
      </c>
      <c r="W13" s="66">
        <f t="shared" si="8"/>
        <v>7319</v>
      </c>
      <c r="Y13" s="73"/>
      <c r="Z13" s="73"/>
      <c r="AA13" s="73"/>
      <c r="AB13" s="73"/>
      <c r="AC13" s="73"/>
      <c r="AD13" s="73"/>
      <c r="AE13" s="73"/>
      <c r="AF13" s="73"/>
      <c r="AG13" s="73"/>
      <c r="AH13" s="73"/>
      <c r="AI13" s="73"/>
      <c r="AJ13" s="73"/>
      <c r="AK13" s="73"/>
      <c r="AL13" s="73"/>
      <c r="AM13" s="73"/>
      <c r="AN13" s="73"/>
      <c r="AO13" s="73"/>
      <c r="AP13" s="73"/>
      <c r="AQ13" s="73"/>
      <c r="AR13" s="73"/>
      <c r="AS13" s="73"/>
      <c r="AT13" s="73"/>
      <c r="AV13" s="78"/>
      <c r="AW13" s="89"/>
      <c r="AX13" s="89"/>
      <c r="AY13" s="89"/>
      <c r="AZ13" s="89"/>
      <c r="BA13" s="89"/>
      <c r="BB13" s="89"/>
      <c r="BC13" s="89"/>
      <c r="BD13" s="89"/>
      <c r="BE13" s="89"/>
      <c r="BF13" s="89"/>
      <c r="BG13" s="89"/>
      <c r="BH13" s="89"/>
      <c r="BI13" s="89"/>
      <c r="BJ13" s="89"/>
      <c r="BK13" s="89"/>
      <c r="BL13" s="89"/>
      <c r="BM13" s="89"/>
      <c r="BN13" s="89"/>
      <c r="BO13" s="89"/>
      <c r="BP13" s="89"/>
      <c r="BQ13" s="89"/>
    </row>
    <row r="14" spans="1:69" x14ac:dyDescent="0.2">
      <c r="B14" s="2" t="s">
        <v>8</v>
      </c>
      <c r="C14" s="87">
        <f t="shared" si="3"/>
        <v>3.5</v>
      </c>
      <c r="D14" s="87">
        <f t="shared" si="3"/>
        <v>9.5</v>
      </c>
      <c r="E14" s="87">
        <f t="shared" si="3"/>
        <v>16.899999999999999</v>
      </c>
      <c r="F14" s="87">
        <f t="shared" si="3"/>
        <v>22.5</v>
      </c>
      <c r="G14" s="87">
        <f t="shared" si="3"/>
        <v>22.7</v>
      </c>
      <c r="H14" s="87">
        <f t="shared" si="3"/>
        <v>75.099999999999994</v>
      </c>
      <c r="I14" s="66">
        <f t="shared" si="4"/>
        <v>10169</v>
      </c>
      <c r="J14" s="87">
        <f t="shared" si="5"/>
        <v>6</v>
      </c>
      <c r="K14" s="87">
        <f t="shared" si="5"/>
        <v>12.9</v>
      </c>
      <c r="L14" s="87">
        <f t="shared" si="5"/>
        <v>17.600000000000001</v>
      </c>
      <c r="M14" s="87">
        <f t="shared" si="5"/>
        <v>22.6</v>
      </c>
      <c r="N14" s="87">
        <f t="shared" si="5"/>
        <v>21</v>
      </c>
      <c r="O14" s="87">
        <f t="shared" si="5"/>
        <v>80.2</v>
      </c>
      <c r="P14" s="66">
        <f t="shared" si="6"/>
        <v>5888</v>
      </c>
      <c r="Q14" s="87">
        <f t="shared" si="7"/>
        <v>4.4000000000000004</v>
      </c>
      <c r="R14" s="87">
        <f t="shared" si="7"/>
        <v>10.8</v>
      </c>
      <c r="S14" s="87">
        <f t="shared" si="7"/>
        <v>17.2</v>
      </c>
      <c r="T14" s="87">
        <f t="shared" si="7"/>
        <v>22.5</v>
      </c>
      <c r="U14" s="87">
        <f t="shared" si="7"/>
        <v>22.1</v>
      </c>
      <c r="V14" s="87">
        <f t="shared" si="7"/>
        <v>77</v>
      </c>
      <c r="W14" s="66">
        <f t="shared" si="8"/>
        <v>16057</v>
      </c>
      <c r="Y14" s="73"/>
      <c r="Z14" s="73"/>
      <c r="AA14" s="73"/>
      <c r="AB14" s="73"/>
      <c r="AC14" s="73"/>
      <c r="AD14" s="73"/>
      <c r="AE14" s="73"/>
      <c r="AF14" s="73"/>
      <c r="AG14" s="73"/>
      <c r="AH14" s="73"/>
      <c r="AI14" s="73"/>
      <c r="AJ14" s="73"/>
      <c r="AK14" s="73"/>
      <c r="AL14" s="73"/>
      <c r="AM14" s="73"/>
      <c r="AN14" s="73"/>
      <c r="AO14" s="73"/>
      <c r="AP14" s="73"/>
      <c r="AQ14" s="73"/>
      <c r="AR14" s="73"/>
      <c r="AS14" s="73"/>
      <c r="AT14" s="73"/>
      <c r="AV14" s="78"/>
      <c r="AW14" s="89"/>
      <c r="AX14" s="89"/>
      <c r="AY14" s="89"/>
      <c r="AZ14" s="89"/>
      <c r="BA14" s="89"/>
      <c r="BB14" s="89"/>
      <c r="BC14" s="89"/>
      <c r="BD14" s="89"/>
      <c r="BE14" s="89"/>
      <c r="BF14" s="89"/>
      <c r="BG14" s="89"/>
      <c r="BH14" s="89"/>
      <c r="BI14" s="89"/>
      <c r="BJ14" s="89"/>
      <c r="BK14" s="89"/>
      <c r="BL14" s="89"/>
      <c r="BM14" s="89"/>
      <c r="BN14" s="89"/>
      <c r="BO14" s="89"/>
      <c r="BP14" s="89"/>
      <c r="BQ14" s="89"/>
    </row>
    <row r="15" spans="1:69" x14ac:dyDescent="0.2">
      <c r="B15" s="2" t="s">
        <v>9</v>
      </c>
      <c r="C15" s="87">
        <f t="shared" si="3"/>
        <v>6.3</v>
      </c>
      <c r="D15" s="87">
        <f t="shared" si="3"/>
        <v>6.3</v>
      </c>
      <c r="E15" s="87">
        <f t="shared" si="3"/>
        <v>18.8</v>
      </c>
      <c r="F15" s="87">
        <f t="shared" si="3"/>
        <v>18.8</v>
      </c>
      <c r="G15" s="87">
        <f t="shared" si="3"/>
        <v>31.3</v>
      </c>
      <c r="H15" s="87">
        <f t="shared" si="3"/>
        <v>81.3</v>
      </c>
      <c r="I15" s="66">
        <f t="shared" si="4"/>
        <v>48</v>
      </c>
      <c r="J15" s="87">
        <f t="shared" si="5"/>
        <v>18.600000000000001</v>
      </c>
      <c r="K15" s="87">
        <f t="shared" si="5"/>
        <v>19.399999999999999</v>
      </c>
      <c r="L15" s="87">
        <f t="shared" si="5"/>
        <v>20.2</v>
      </c>
      <c r="M15" s="87">
        <f t="shared" si="5"/>
        <v>18.600000000000001</v>
      </c>
      <c r="N15" s="87">
        <f t="shared" si="5"/>
        <v>13.7</v>
      </c>
      <c r="O15" s="87">
        <f t="shared" si="5"/>
        <v>90.4</v>
      </c>
      <c r="P15" s="66">
        <f t="shared" si="6"/>
        <v>387</v>
      </c>
      <c r="Q15" s="87">
        <f t="shared" si="7"/>
        <v>17.2</v>
      </c>
      <c r="R15" s="87">
        <f t="shared" si="7"/>
        <v>17.899999999999999</v>
      </c>
      <c r="S15" s="87">
        <f t="shared" si="7"/>
        <v>20</v>
      </c>
      <c r="T15" s="87">
        <f t="shared" si="7"/>
        <v>18.600000000000001</v>
      </c>
      <c r="U15" s="87">
        <f t="shared" si="7"/>
        <v>15.6</v>
      </c>
      <c r="V15" s="87">
        <f t="shared" si="7"/>
        <v>89.4</v>
      </c>
      <c r="W15" s="66">
        <f t="shared" si="8"/>
        <v>435</v>
      </c>
      <c r="Y15" s="73"/>
      <c r="Z15" s="73"/>
      <c r="AA15" s="73"/>
      <c r="AB15" s="73"/>
      <c r="AC15" s="73"/>
      <c r="AD15" s="73"/>
      <c r="AE15" s="73"/>
      <c r="AF15" s="73"/>
      <c r="AG15" s="73"/>
      <c r="AH15" s="73"/>
      <c r="AI15" s="73"/>
      <c r="AJ15" s="73"/>
      <c r="AK15" s="73"/>
      <c r="AL15" s="73"/>
      <c r="AM15" s="73"/>
      <c r="AN15" s="73"/>
      <c r="AO15" s="73"/>
      <c r="AP15" s="73"/>
      <c r="AQ15" s="73"/>
      <c r="AR15" s="73"/>
      <c r="AS15" s="73"/>
      <c r="AT15" s="73"/>
      <c r="AV15" s="78"/>
      <c r="AW15" s="89"/>
      <c r="AX15" s="89"/>
      <c r="AY15" s="89"/>
      <c r="AZ15" s="89"/>
      <c r="BA15" s="89"/>
      <c r="BB15" s="89"/>
      <c r="BC15" s="89"/>
      <c r="BD15" s="89"/>
      <c r="BE15" s="89"/>
      <c r="BF15" s="89"/>
      <c r="BG15" s="89"/>
      <c r="BH15" s="89"/>
      <c r="BI15" s="89"/>
      <c r="BJ15" s="89"/>
      <c r="BK15" s="89"/>
      <c r="BL15" s="89"/>
      <c r="BM15" s="89"/>
      <c r="BN15" s="89"/>
      <c r="BO15" s="89"/>
      <c r="BP15" s="89"/>
      <c r="BQ15" s="89"/>
    </row>
    <row r="16" spans="1:69" x14ac:dyDescent="0.2">
      <c r="B16" s="2" t="s">
        <v>10</v>
      </c>
      <c r="C16" s="87">
        <f t="shared" si="3"/>
        <v>6.3</v>
      </c>
      <c r="D16" s="87">
        <f t="shared" si="3"/>
        <v>8.8000000000000007</v>
      </c>
      <c r="E16" s="87">
        <f t="shared" si="3"/>
        <v>14</v>
      </c>
      <c r="F16" s="87">
        <f t="shared" si="3"/>
        <v>19.399999999999999</v>
      </c>
      <c r="G16" s="87">
        <f t="shared" si="3"/>
        <v>19.399999999999999</v>
      </c>
      <c r="H16" s="87">
        <f t="shared" si="3"/>
        <v>68</v>
      </c>
      <c r="I16" s="66">
        <f t="shared" si="4"/>
        <v>4495</v>
      </c>
      <c r="J16" s="87">
        <f t="shared" si="5"/>
        <v>6.9</v>
      </c>
      <c r="K16" s="87">
        <f t="shared" si="5"/>
        <v>10.8</v>
      </c>
      <c r="L16" s="87">
        <f t="shared" si="5"/>
        <v>13.2</v>
      </c>
      <c r="M16" s="87">
        <f t="shared" si="5"/>
        <v>18.3</v>
      </c>
      <c r="N16" s="87">
        <f t="shared" si="5"/>
        <v>20.5</v>
      </c>
      <c r="O16" s="87">
        <f t="shared" si="5"/>
        <v>69.7</v>
      </c>
      <c r="P16" s="66">
        <f t="shared" si="6"/>
        <v>2710</v>
      </c>
      <c r="Q16" s="87">
        <f t="shared" si="7"/>
        <v>6.6</v>
      </c>
      <c r="R16" s="87">
        <f t="shared" si="7"/>
        <v>9.6</v>
      </c>
      <c r="S16" s="87">
        <f t="shared" si="7"/>
        <v>13.7</v>
      </c>
      <c r="T16" s="87">
        <f t="shared" si="7"/>
        <v>19</v>
      </c>
      <c r="U16" s="87">
        <f t="shared" si="7"/>
        <v>19.8</v>
      </c>
      <c r="V16" s="87">
        <f t="shared" si="7"/>
        <v>68.599999999999994</v>
      </c>
      <c r="W16" s="66">
        <f t="shared" si="8"/>
        <v>7205</v>
      </c>
      <c r="Y16" s="73"/>
      <c r="Z16" s="73"/>
      <c r="AA16" s="73"/>
      <c r="AB16" s="73"/>
      <c r="AC16" s="73"/>
      <c r="AD16" s="73"/>
      <c r="AE16" s="73"/>
      <c r="AF16" s="73"/>
      <c r="AG16" s="73"/>
      <c r="AH16" s="73"/>
      <c r="AI16" s="73"/>
      <c r="AJ16" s="73"/>
      <c r="AK16" s="73"/>
      <c r="AL16" s="73"/>
      <c r="AM16" s="73"/>
      <c r="AN16" s="73"/>
      <c r="AO16" s="73"/>
      <c r="AP16" s="73"/>
      <c r="AQ16" s="73"/>
      <c r="AR16" s="73"/>
      <c r="AS16" s="73"/>
      <c r="AT16" s="73"/>
      <c r="AV16" s="78"/>
      <c r="AW16" s="89"/>
      <c r="AX16" s="89"/>
      <c r="AY16" s="89"/>
      <c r="AZ16" s="89"/>
      <c r="BA16" s="89"/>
      <c r="BB16" s="89"/>
      <c r="BC16" s="89"/>
      <c r="BD16" s="89"/>
      <c r="BE16" s="89"/>
      <c r="BF16" s="89"/>
      <c r="BG16" s="89"/>
      <c r="BH16" s="89"/>
      <c r="BI16" s="89"/>
      <c r="BJ16" s="89"/>
      <c r="BK16" s="89"/>
      <c r="BL16" s="89"/>
      <c r="BM16" s="89"/>
      <c r="BN16" s="89"/>
      <c r="BO16" s="89"/>
      <c r="BP16" s="89"/>
      <c r="BQ16" s="89"/>
    </row>
    <row r="17" spans="2:69" x14ac:dyDescent="0.2">
      <c r="B17" s="2" t="s">
        <v>11</v>
      </c>
      <c r="C17" s="87">
        <f t="shared" si="3"/>
        <v>10</v>
      </c>
      <c r="D17" s="87">
        <f t="shared" si="3"/>
        <v>17.399999999999999</v>
      </c>
      <c r="E17" s="87">
        <f t="shared" si="3"/>
        <v>21.9</v>
      </c>
      <c r="F17" s="87">
        <f t="shared" si="3"/>
        <v>20.8</v>
      </c>
      <c r="G17" s="87">
        <f t="shared" si="3"/>
        <v>15.4</v>
      </c>
      <c r="H17" s="87">
        <f t="shared" si="3"/>
        <v>85.6</v>
      </c>
      <c r="I17" s="66">
        <f t="shared" si="4"/>
        <v>21007</v>
      </c>
      <c r="J17" s="87">
        <f t="shared" si="5"/>
        <v>12.6</v>
      </c>
      <c r="K17" s="87">
        <f t="shared" si="5"/>
        <v>18.600000000000001</v>
      </c>
      <c r="L17" s="87">
        <f t="shared" si="5"/>
        <v>21.9</v>
      </c>
      <c r="M17" s="87">
        <f t="shared" si="5"/>
        <v>19.3</v>
      </c>
      <c r="N17" s="87">
        <f t="shared" si="5"/>
        <v>13.8</v>
      </c>
      <c r="O17" s="87">
        <f t="shared" si="5"/>
        <v>86.3</v>
      </c>
      <c r="P17" s="66">
        <f t="shared" si="6"/>
        <v>15547</v>
      </c>
      <c r="Q17" s="87">
        <f t="shared" si="7"/>
        <v>11.1</v>
      </c>
      <c r="R17" s="87">
        <f t="shared" si="7"/>
        <v>17.899999999999999</v>
      </c>
      <c r="S17" s="87">
        <f t="shared" si="7"/>
        <v>21.9</v>
      </c>
      <c r="T17" s="87">
        <f t="shared" si="7"/>
        <v>20.2</v>
      </c>
      <c r="U17" s="87">
        <f t="shared" si="7"/>
        <v>14.8</v>
      </c>
      <c r="V17" s="87">
        <f t="shared" si="7"/>
        <v>85.9</v>
      </c>
      <c r="W17" s="66">
        <f t="shared" si="8"/>
        <v>36554</v>
      </c>
      <c r="Y17" s="73"/>
      <c r="Z17" s="73"/>
      <c r="AA17" s="73"/>
      <c r="AB17" s="73"/>
      <c r="AC17" s="73"/>
      <c r="AD17" s="73"/>
      <c r="AE17" s="73"/>
      <c r="AF17" s="73"/>
      <c r="AG17" s="73"/>
      <c r="AH17" s="73"/>
      <c r="AI17" s="73"/>
      <c r="AJ17" s="73"/>
      <c r="AK17" s="73"/>
      <c r="AL17" s="73"/>
      <c r="AM17" s="73"/>
      <c r="AN17" s="73"/>
      <c r="AO17" s="73"/>
      <c r="AP17" s="73"/>
      <c r="AQ17" s="73"/>
      <c r="AR17" s="73"/>
      <c r="AS17" s="73"/>
      <c r="AT17" s="73"/>
      <c r="AV17" s="78"/>
      <c r="AW17" s="89"/>
      <c r="AX17" s="89"/>
      <c r="AY17" s="89"/>
      <c r="AZ17" s="89"/>
      <c r="BA17" s="89"/>
      <c r="BB17" s="89"/>
      <c r="BC17" s="89"/>
      <c r="BD17" s="89"/>
      <c r="BE17" s="89"/>
      <c r="BF17" s="89"/>
      <c r="BG17" s="89"/>
      <c r="BH17" s="89"/>
      <c r="BI17" s="89"/>
      <c r="BJ17" s="89"/>
      <c r="BK17" s="89"/>
      <c r="BL17" s="89"/>
      <c r="BM17" s="89"/>
      <c r="BN17" s="89"/>
      <c r="BO17" s="89"/>
      <c r="BP17" s="89"/>
      <c r="BQ17" s="89"/>
    </row>
    <row r="18" spans="2:69" x14ac:dyDescent="0.2">
      <c r="B18" s="2" t="s">
        <v>12</v>
      </c>
      <c r="C18" s="87">
        <f t="shared" si="3"/>
        <v>19.8</v>
      </c>
      <c r="D18" s="87">
        <f t="shared" si="3"/>
        <v>17.899999999999999</v>
      </c>
      <c r="E18" s="87">
        <f t="shared" si="3"/>
        <v>18.8</v>
      </c>
      <c r="F18" s="87">
        <f t="shared" si="3"/>
        <v>16.7</v>
      </c>
      <c r="G18" s="87">
        <f t="shared" si="3"/>
        <v>12.8</v>
      </c>
      <c r="H18" s="87">
        <f t="shared" si="3"/>
        <v>86.1</v>
      </c>
      <c r="I18" s="66">
        <f t="shared" si="4"/>
        <v>11460</v>
      </c>
      <c r="J18" s="87">
        <f t="shared" si="5"/>
        <v>22.9</v>
      </c>
      <c r="K18" s="87">
        <f t="shared" si="5"/>
        <v>19.100000000000001</v>
      </c>
      <c r="L18" s="87">
        <f t="shared" si="5"/>
        <v>17.8</v>
      </c>
      <c r="M18" s="87">
        <f t="shared" si="5"/>
        <v>15.5</v>
      </c>
      <c r="N18" s="87">
        <f t="shared" si="5"/>
        <v>12</v>
      </c>
      <c r="O18" s="87">
        <f t="shared" si="5"/>
        <v>87.3</v>
      </c>
      <c r="P18" s="66">
        <f t="shared" si="6"/>
        <v>5379</v>
      </c>
      <c r="Q18" s="87">
        <f t="shared" si="7"/>
        <v>20.8</v>
      </c>
      <c r="R18" s="87">
        <f t="shared" si="7"/>
        <v>18.3</v>
      </c>
      <c r="S18" s="87">
        <f t="shared" si="7"/>
        <v>18.5</v>
      </c>
      <c r="T18" s="87">
        <f t="shared" si="7"/>
        <v>16.3</v>
      </c>
      <c r="U18" s="87">
        <f t="shared" si="7"/>
        <v>12.6</v>
      </c>
      <c r="V18" s="87">
        <f t="shared" si="7"/>
        <v>86.5</v>
      </c>
      <c r="W18" s="66">
        <f t="shared" si="8"/>
        <v>16839</v>
      </c>
      <c r="Y18" s="73"/>
      <c r="Z18" s="73"/>
      <c r="AA18" s="73"/>
      <c r="AB18" s="73"/>
      <c r="AC18" s="73"/>
      <c r="AD18" s="73"/>
      <c r="AE18" s="73"/>
      <c r="AF18" s="73"/>
      <c r="AG18" s="73"/>
      <c r="AH18" s="73"/>
      <c r="AI18" s="73"/>
      <c r="AJ18" s="73"/>
      <c r="AK18" s="73"/>
      <c r="AL18" s="73"/>
      <c r="AM18" s="73"/>
      <c r="AN18" s="73"/>
      <c r="AO18" s="73"/>
      <c r="AP18" s="73"/>
      <c r="AQ18" s="73"/>
      <c r="AR18" s="73"/>
      <c r="AS18" s="73"/>
      <c r="AT18" s="73"/>
      <c r="AV18" s="78"/>
      <c r="AW18" s="89"/>
      <c r="AX18" s="89"/>
      <c r="AY18" s="89"/>
      <c r="AZ18" s="89"/>
      <c r="BA18" s="89"/>
      <c r="BB18" s="89"/>
      <c r="BC18" s="89"/>
      <c r="BD18" s="89"/>
      <c r="BE18" s="89"/>
      <c r="BF18" s="89"/>
      <c r="BG18" s="89"/>
      <c r="BH18" s="89"/>
      <c r="BI18" s="89"/>
      <c r="BJ18" s="89"/>
      <c r="BK18" s="89"/>
      <c r="BL18" s="89"/>
      <c r="BM18" s="89"/>
      <c r="BN18" s="89"/>
      <c r="BO18" s="89"/>
      <c r="BP18" s="89"/>
      <c r="BQ18" s="89"/>
    </row>
    <row r="19" spans="2:69" x14ac:dyDescent="0.2">
      <c r="B19" s="2" t="s">
        <v>13</v>
      </c>
      <c r="C19" s="87">
        <f t="shared" si="3"/>
        <v>17.899999999999999</v>
      </c>
      <c r="D19" s="87">
        <f t="shared" si="3"/>
        <v>18</v>
      </c>
      <c r="E19" s="87">
        <f t="shared" si="3"/>
        <v>20.3</v>
      </c>
      <c r="F19" s="87">
        <f t="shared" si="3"/>
        <v>17.899999999999999</v>
      </c>
      <c r="G19" s="87">
        <f t="shared" si="3"/>
        <v>14</v>
      </c>
      <c r="H19" s="87">
        <f t="shared" si="3"/>
        <v>88</v>
      </c>
      <c r="I19" s="66">
        <f t="shared" si="4"/>
        <v>16467</v>
      </c>
      <c r="J19" s="87">
        <f t="shared" si="5"/>
        <v>24.6</v>
      </c>
      <c r="K19" s="87">
        <f t="shared" si="5"/>
        <v>19.5</v>
      </c>
      <c r="L19" s="87">
        <f t="shared" si="5"/>
        <v>19.2</v>
      </c>
      <c r="M19" s="87">
        <f t="shared" si="5"/>
        <v>16.3</v>
      </c>
      <c r="N19" s="87">
        <f t="shared" si="5"/>
        <v>10.9</v>
      </c>
      <c r="O19" s="87">
        <f t="shared" si="5"/>
        <v>90.5</v>
      </c>
      <c r="P19" s="66">
        <f t="shared" si="6"/>
        <v>13804</v>
      </c>
      <c r="Q19" s="87">
        <f t="shared" si="7"/>
        <v>20.9</v>
      </c>
      <c r="R19" s="87">
        <f t="shared" si="7"/>
        <v>18.7</v>
      </c>
      <c r="S19" s="87">
        <f t="shared" si="7"/>
        <v>19.8</v>
      </c>
      <c r="T19" s="87">
        <f t="shared" si="7"/>
        <v>17.2</v>
      </c>
      <c r="U19" s="87">
        <f t="shared" si="7"/>
        <v>12.6</v>
      </c>
      <c r="V19" s="87">
        <f t="shared" si="7"/>
        <v>89.2</v>
      </c>
      <c r="W19" s="66">
        <f t="shared" si="8"/>
        <v>30271</v>
      </c>
      <c r="Y19" s="73"/>
      <c r="Z19" s="73"/>
      <c r="AA19" s="73"/>
      <c r="AB19" s="73"/>
      <c r="AC19" s="73"/>
      <c r="AD19" s="73"/>
      <c r="AE19" s="73"/>
      <c r="AF19" s="73"/>
      <c r="AG19" s="73"/>
      <c r="AH19" s="73"/>
      <c r="AI19" s="73"/>
      <c r="AJ19" s="73"/>
      <c r="AK19" s="73"/>
      <c r="AL19" s="73"/>
      <c r="AM19" s="73"/>
      <c r="AN19" s="73"/>
      <c r="AO19" s="73"/>
      <c r="AP19" s="73"/>
      <c r="AQ19" s="73"/>
      <c r="AR19" s="73"/>
      <c r="AS19" s="73"/>
      <c r="AT19" s="73"/>
      <c r="AV19" s="78"/>
      <c r="AW19" s="89"/>
      <c r="AX19" s="89"/>
      <c r="AY19" s="89"/>
      <c r="AZ19" s="89"/>
      <c r="BA19" s="89"/>
      <c r="BB19" s="89"/>
      <c r="BC19" s="89"/>
      <c r="BD19" s="89"/>
      <c r="BE19" s="89"/>
      <c r="BF19" s="89"/>
      <c r="BG19" s="89"/>
      <c r="BH19" s="89"/>
      <c r="BI19" s="89"/>
      <c r="BJ19" s="89"/>
      <c r="BK19" s="89"/>
      <c r="BL19" s="89"/>
      <c r="BM19" s="89"/>
      <c r="BN19" s="89"/>
      <c r="BO19" s="89"/>
      <c r="BP19" s="89"/>
      <c r="BQ19" s="89"/>
    </row>
    <row r="20" spans="2:69" x14ac:dyDescent="0.2">
      <c r="B20" s="2" t="s">
        <v>14</v>
      </c>
      <c r="C20" s="87">
        <f t="shared" si="3"/>
        <v>21.2</v>
      </c>
      <c r="D20" s="87">
        <f t="shared" si="3"/>
        <v>20.6</v>
      </c>
      <c r="E20" s="87">
        <f t="shared" si="3"/>
        <v>20.6</v>
      </c>
      <c r="F20" s="87">
        <f t="shared" si="3"/>
        <v>15.8</v>
      </c>
      <c r="G20" s="87">
        <f t="shared" si="3"/>
        <v>10.8</v>
      </c>
      <c r="H20" s="87">
        <f t="shared" si="3"/>
        <v>89</v>
      </c>
      <c r="I20" s="66">
        <f t="shared" si="4"/>
        <v>6755</v>
      </c>
      <c r="J20" s="87">
        <f t="shared" si="5"/>
        <v>23.7</v>
      </c>
      <c r="K20" s="87">
        <f t="shared" si="5"/>
        <v>20.9</v>
      </c>
      <c r="L20" s="87">
        <f t="shared" si="5"/>
        <v>18.899999999999999</v>
      </c>
      <c r="M20" s="87">
        <f t="shared" si="5"/>
        <v>14</v>
      </c>
      <c r="N20" s="87">
        <f t="shared" si="5"/>
        <v>10.6</v>
      </c>
      <c r="O20" s="87">
        <f t="shared" si="5"/>
        <v>88.1</v>
      </c>
      <c r="P20" s="66">
        <f t="shared" si="6"/>
        <v>5452</v>
      </c>
      <c r="Q20" s="87">
        <f t="shared" si="7"/>
        <v>22.3</v>
      </c>
      <c r="R20" s="87">
        <f t="shared" si="7"/>
        <v>20.8</v>
      </c>
      <c r="S20" s="87">
        <f t="shared" si="7"/>
        <v>19.8</v>
      </c>
      <c r="T20" s="87">
        <f t="shared" si="7"/>
        <v>15</v>
      </c>
      <c r="U20" s="87">
        <f t="shared" si="7"/>
        <v>10.7</v>
      </c>
      <c r="V20" s="87">
        <f t="shared" si="7"/>
        <v>88.6</v>
      </c>
      <c r="W20" s="66">
        <f t="shared" si="8"/>
        <v>12207</v>
      </c>
      <c r="Y20" s="73"/>
      <c r="Z20" s="73"/>
      <c r="AA20" s="73"/>
      <c r="AB20" s="73"/>
      <c r="AC20" s="73"/>
      <c r="AD20" s="73"/>
      <c r="AE20" s="73"/>
      <c r="AF20" s="73"/>
      <c r="AG20" s="73"/>
      <c r="AH20" s="73"/>
      <c r="AI20" s="73"/>
      <c r="AJ20" s="73"/>
      <c r="AK20" s="73"/>
      <c r="AL20" s="73"/>
      <c r="AM20" s="73"/>
      <c r="AN20" s="73"/>
      <c r="AO20" s="73"/>
      <c r="AP20" s="73"/>
      <c r="AQ20" s="73"/>
      <c r="AR20" s="73"/>
      <c r="AS20" s="73"/>
      <c r="AT20" s="73"/>
      <c r="AV20" s="78"/>
      <c r="AW20" s="89"/>
      <c r="AX20" s="89"/>
      <c r="AY20" s="89"/>
      <c r="AZ20" s="89"/>
      <c r="BA20" s="89"/>
      <c r="BB20" s="89"/>
      <c r="BC20" s="89"/>
      <c r="BD20" s="89"/>
      <c r="BE20" s="89"/>
      <c r="BF20" s="89"/>
      <c r="BG20" s="89"/>
      <c r="BH20" s="89"/>
      <c r="BI20" s="89"/>
      <c r="BJ20" s="89"/>
      <c r="BK20" s="89"/>
      <c r="BL20" s="89"/>
      <c r="BM20" s="89"/>
      <c r="BN20" s="89"/>
      <c r="BO20" s="89"/>
      <c r="BP20" s="89"/>
      <c r="BQ20" s="89"/>
    </row>
    <row r="21" spans="2:69" x14ac:dyDescent="0.2">
      <c r="B21" s="2" t="s">
        <v>15</v>
      </c>
      <c r="C21" s="87">
        <f t="shared" si="3"/>
        <v>16</v>
      </c>
      <c r="D21" s="87">
        <f t="shared" si="3"/>
        <v>21.3</v>
      </c>
      <c r="E21" s="87">
        <f t="shared" si="3"/>
        <v>24.3</v>
      </c>
      <c r="F21" s="87">
        <f t="shared" si="3"/>
        <v>18.899999999999999</v>
      </c>
      <c r="G21" s="87">
        <f t="shared" si="3"/>
        <v>11.6</v>
      </c>
      <c r="H21" s="87">
        <f t="shared" si="3"/>
        <v>92.1</v>
      </c>
      <c r="I21" s="66">
        <f t="shared" si="4"/>
        <v>21781</v>
      </c>
      <c r="J21" s="87">
        <f t="shared" si="5"/>
        <v>18.5</v>
      </c>
      <c r="K21" s="87">
        <f t="shared" si="5"/>
        <v>22.7</v>
      </c>
      <c r="L21" s="87">
        <f t="shared" si="5"/>
        <v>23.2</v>
      </c>
      <c r="M21" s="87">
        <f t="shared" si="5"/>
        <v>18</v>
      </c>
      <c r="N21" s="87">
        <f t="shared" si="5"/>
        <v>10.6</v>
      </c>
      <c r="O21" s="87">
        <f t="shared" si="5"/>
        <v>93</v>
      </c>
      <c r="P21" s="66">
        <f t="shared" si="6"/>
        <v>23627</v>
      </c>
      <c r="Q21" s="87">
        <f t="shared" si="7"/>
        <v>17.3</v>
      </c>
      <c r="R21" s="87">
        <f t="shared" si="7"/>
        <v>22</v>
      </c>
      <c r="S21" s="87">
        <f t="shared" si="7"/>
        <v>23.7</v>
      </c>
      <c r="T21" s="87">
        <f t="shared" si="7"/>
        <v>18.399999999999999</v>
      </c>
      <c r="U21" s="87">
        <f t="shared" si="7"/>
        <v>11.1</v>
      </c>
      <c r="V21" s="87">
        <f t="shared" si="7"/>
        <v>92.6</v>
      </c>
      <c r="W21" s="66">
        <f t="shared" si="8"/>
        <v>45408</v>
      </c>
      <c r="Y21" s="73"/>
      <c r="Z21" s="73"/>
      <c r="AA21" s="73"/>
      <c r="AB21" s="73"/>
      <c r="AC21" s="73"/>
      <c r="AD21" s="73"/>
      <c r="AE21" s="73"/>
      <c r="AF21" s="73"/>
      <c r="AG21" s="73"/>
      <c r="AH21" s="73"/>
      <c r="AI21" s="73"/>
      <c r="AJ21" s="73"/>
      <c r="AK21" s="73"/>
      <c r="AL21" s="73"/>
      <c r="AM21" s="73"/>
      <c r="AN21" s="73"/>
      <c r="AO21" s="73"/>
      <c r="AP21" s="73"/>
      <c r="AQ21" s="73"/>
      <c r="AR21" s="73"/>
      <c r="AS21" s="73"/>
      <c r="AT21" s="73"/>
      <c r="AV21" s="78"/>
      <c r="AW21" s="89"/>
      <c r="AX21" s="89"/>
      <c r="AY21" s="89"/>
      <c r="AZ21" s="89"/>
      <c r="BA21" s="89"/>
      <c r="BB21" s="89"/>
      <c r="BC21" s="89"/>
      <c r="BD21" s="89"/>
      <c r="BE21" s="89"/>
      <c r="BF21" s="89"/>
      <c r="BG21" s="89"/>
      <c r="BH21" s="89"/>
      <c r="BI21" s="89"/>
      <c r="BJ21" s="89"/>
      <c r="BK21" s="89"/>
      <c r="BL21" s="89"/>
      <c r="BM21" s="89"/>
      <c r="BN21" s="89"/>
      <c r="BO21" s="89"/>
      <c r="BP21" s="89"/>
      <c r="BQ21" s="89"/>
    </row>
    <row r="22" spans="2:69" x14ac:dyDescent="0.2">
      <c r="B22" s="2" t="s">
        <v>16</v>
      </c>
      <c r="C22" s="87">
        <f t="shared" si="3"/>
        <v>11</v>
      </c>
      <c r="D22" s="87">
        <f t="shared" si="3"/>
        <v>13.2</v>
      </c>
      <c r="E22" s="87">
        <f t="shared" si="3"/>
        <v>17.5</v>
      </c>
      <c r="F22" s="87">
        <f t="shared" si="3"/>
        <v>17.899999999999999</v>
      </c>
      <c r="G22" s="87">
        <f t="shared" si="3"/>
        <v>17</v>
      </c>
      <c r="H22" s="87">
        <f t="shared" si="3"/>
        <v>76.7</v>
      </c>
      <c r="I22" s="66">
        <f t="shared" si="4"/>
        <v>8897</v>
      </c>
      <c r="J22" s="87">
        <f t="shared" si="5"/>
        <v>14.6</v>
      </c>
      <c r="K22" s="87">
        <f t="shared" si="5"/>
        <v>15.3</v>
      </c>
      <c r="L22" s="87">
        <f t="shared" si="5"/>
        <v>17.5</v>
      </c>
      <c r="M22" s="87">
        <f t="shared" si="5"/>
        <v>17.8</v>
      </c>
      <c r="N22" s="87">
        <f t="shared" si="5"/>
        <v>14.9</v>
      </c>
      <c r="O22" s="87">
        <f t="shared" si="5"/>
        <v>80.2</v>
      </c>
      <c r="P22" s="66">
        <f t="shared" si="6"/>
        <v>12592</v>
      </c>
      <c r="Q22" s="87">
        <f t="shared" si="7"/>
        <v>13.1</v>
      </c>
      <c r="R22" s="87">
        <f t="shared" si="7"/>
        <v>14.5</v>
      </c>
      <c r="S22" s="87">
        <f t="shared" si="7"/>
        <v>17.5</v>
      </c>
      <c r="T22" s="87">
        <f t="shared" si="7"/>
        <v>17.8</v>
      </c>
      <c r="U22" s="87">
        <f t="shared" si="7"/>
        <v>15.8</v>
      </c>
      <c r="V22" s="87">
        <f t="shared" si="7"/>
        <v>78.7</v>
      </c>
      <c r="W22" s="66">
        <f t="shared" si="8"/>
        <v>21489</v>
      </c>
      <c r="Y22" s="73"/>
      <c r="Z22" s="73"/>
      <c r="AA22" s="73"/>
      <c r="AB22" s="73"/>
      <c r="AC22" s="73"/>
      <c r="AD22" s="73"/>
      <c r="AE22" s="73"/>
      <c r="AF22" s="73"/>
      <c r="AG22" s="73"/>
      <c r="AH22" s="73"/>
      <c r="AI22" s="73"/>
      <c r="AJ22" s="73"/>
      <c r="AK22" s="73"/>
      <c r="AL22" s="73"/>
      <c r="AM22" s="73"/>
      <c r="AN22" s="73"/>
      <c r="AO22" s="73"/>
      <c r="AP22" s="73"/>
      <c r="AQ22" s="73"/>
      <c r="AR22" s="73"/>
      <c r="AS22" s="73"/>
      <c r="AT22" s="73"/>
      <c r="AV22" s="78"/>
      <c r="AW22" s="89"/>
      <c r="AX22" s="89"/>
      <c r="AY22" s="89"/>
      <c r="AZ22" s="89"/>
      <c r="BA22" s="89"/>
      <c r="BB22" s="89"/>
      <c r="BC22" s="89"/>
      <c r="BD22" s="89"/>
      <c r="BE22" s="89"/>
      <c r="BF22" s="89"/>
      <c r="BG22" s="89"/>
      <c r="BH22" s="89"/>
      <c r="BI22" s="89"/>
      <c r="BJ22" s="89"/>
      <c r="BK22" s="89"/>
      <c r="BL22" s="89"/>
      <c r="BM22" s="89"/>
      <c r="BN22" s="89"/>
      <c r="BO22" s="89"/>
      <c r="BP22" s="89"/>
      <c r="BQ22" s="89"/>
    </row>
    <row r="23" spans="2:69" x14ac:dyDescent="0.2">
      <c r="B23" s="2" t="s">
        <v>17</v>
      </c>
      <c r="C23" s="87">
        <f t="shared" ref="C23:H38" si="9">IF(OR(C65=1,C65=2),"x",ROUND(C65/$I65*100,1))</f>
        <v>7.8</v>
      </c>
      <c r="D23" s="87">
        <f t="shared" si="9"/>
        <v>12.2</v>
      </c>
      <c r="E23" s="87">
        <f t="shared" si="9"/>
        <v>17</v>
      </c>
      <c r="F23" s="87">
        <f t="shared" si="9"/>
        <v>20.100000000000001</v>
      </c>
      <c r="G23" s="87">
        <f t="shared" si="9"/>
        <v>18.2</v>
      </c>
      <c r="H23" s="87">
        <f t="shared" si="9"/>
        <v>75.2</v>
      </c>
      <c r="I23" s="66">
        <f t="shared" si="4"/>
        <v>21173</v>
      </c>
      <c r="J23" s="87">
        <f t="shared" ref="J23:O38" si="10">IF(OR(J65=1,J65=2),"x",ROUND(J65/$P65*100,1))</f>
        <v>14.4</v>
      </c>
      <c r="K23" s="87">
        <f t="shared" si="10"/>
        <v>16.2</v>
      </c>
      <c r="L23" s="87">
        <f t="shared" si="10"/>
        <v>19.2</v>
      </c>
      <c r="M23" s="87">
        <f t="shared" si="10"/>
        <v>17.899999999999999</v>
      </c>
      <c r="N23" s="87">
        <f t="shared" si="10"/>
        <v>14.8</v>
      </c>
      <c r="O23" s="87">
        <f t="shared" si="10"/>
        <v>82.6</v>
      </c>
      <c r="P23" s="66">
        <f t="shared" si="6"/>
        <v>50393</v>
      </c>
      <c r="Q23" s="87">
        <f t="shared" ref="Q23:V38" si="11">IF(OR(Q65=1,Q65=2),"x",ROUND(Q65/$W65*100,1))</f>
        <v>12.5</v>
      </c>
      <c r="R23" s="87">
        <f t="shared" si="11"/>
        <v>15</v>
      </c>
      <c r="S23" s="87">
        <f t="shared" si="11"/>
        <v>18.600000000000001</v>
      </c>
      <c r="T23" s="87">
        <f t="shared" si="11"/>
        <v>18.600000000000001</v>
      </c>
      <c r="U23" s="87">
        <f t="shared" si="11"/>
        <v>15.8</v>
      </c>
      <c r="V23" s="87">
        <f t="shared" si="11"/>
        <v>80.400000000000006</v>
      </c>
      <c r="W23" s="66">
        <f t="shared" si="8"/>
        <v>71566</v>
      </c>
      <c r="Y23" s="73"/>
      <c r="Z23" s="73"/>
      <c r="AA23" s="73"/>
      <c r="AB23" s="73"/>
      <c r="AC23" s="73"/>
      <c r="AD23" s="73"/>
      <c r="AE23" s="73"/>
      <c r="AF23" s="73"/>
      <c r="AG23" s="73"/>
      <c r="AH23" s="73"/>
      <c r="AI23" s="73"/>
      <c r="AJ23" s="73"/>
      <c r="AK23" s="73"/>
      <c r="AL23" s="73"/>
      <c r="AM23" s="73"/>
      <c r="AN23" s="73"/>
      <c r="AO23" s="73"/>
      <c r="AP23" s="73"/>
      <c r="AQ23" s="73"/>
      <c r="AR23" s="73"/>
      <c r="AS23" s="73"/>
      <c r="AT23" s="73"/>
      <c r="AV23" s="78"/>
      <c r="AW23" s="89"/>
      <c r="AX23" s="89"/>
      <c r="AY23" s="89"/>
      <c r="AZ23" s="89"/>
      <c r="BA23" s="89"/>
      <c r="BB23" s="89"/>
      <c r="BC23" s="89"/>
      <c r="BD23" s="89"/>
      <c r="BE23" s="89"/>
      <c r="BF23" s="89"/>
      <c r="BG23" s="89"/>
      <c r="BH23" s="89"/>
      <c r="BI23" s="89"/>
      <c r="BJ23" s="89"/>
      <c r="BK23" s="89"/>
      <c r="BL23" s="89"/>
      <c r="BM23" s="89"/>
      <c r="BN23" s="89"/>
      <c r="BO23" s="89"/>
      <c r="BP23" s="89"/>
      <c r="BQ23" s="89"/>
    </row>
    <row r="24" spans="2:69" x14ac:dyDescent="0.2">
      <c r="B24" s="2" t="s">
        <v>18</v>
      </c>
      <c r="C24" s="87">
        <f t="shared" si="9"/>
        <v>10.9</v>
      </c>
      <c r="D24" s="87">
        <f t="shared" si="9"/>
        <v>16.100000000000001</v>
      </c>
      <c r="E24" s="87">
        <f t="shared" si="9"/>
        <v>19.899999999999999</v>
      </c>
      <c r="F24" s="87">
        <f t="shared" si="9"/>
        <v>18.7</v>
      </c>
      <c r="G24" s="87">
        <f t="shared" si="9"/>
        <v>16.399999999999999</v>
      </c>
      <c r="H24" s="87">
        <f t="shared" si="9"/>
        <v>82</v>
      </c>
      <c r="I24" s="66">
        <f t="shared" si="4"/>
        <v>9148</v>
      </c>
      <c r="J24" s="87">
        <f t="shared" si="10"/>
        <v>17.899999999999999</v>
      </c>
      <c r="K24" s="87">
        <f t="shared" si="10"/>
        <v>18.7</v>
      </c>
      <c r="L24" s="87">
        <f t="shared" si="10"/>
        <v>19.600000000000001</v>
      </c>
      <c r="M24" s="87">
        <f t="shared" si="10"/>
        <v>17.7</v>
      </c>
      <c r="N24" s="87">
        <f t="shared" si="10"/>
        <v>12.9</v>
      </c>
      <c r="O24" s="87">
        <f t="shared" si="10"/>
        <v>86.6</v>
      </c>
      <c r="P24" s="66">
        <f t="shared" si="6"/>
        <v>25980</v>
      </c>
      <c r="Q24" s="87">
        <f t="shared" si="11"/>
        <v>16.100000000000001</v>
      </c>
      <c r="R24" s="87">
        <f t="shared" si="11"/>
        <v>18</v>
      </c>
      <c r="S24" s="87">
        <f t="shared" si="11"/>
        <v>19.600000000000001</v>
      </c>
      <c r="T24" s="87">
        <f t="shared" si="11"/>
        <v>17.899999999999999</v>
      </c>
      <c r="U24" s="87">
        <f t="shared" si="11"/>
        <v>13.8</v>
      </c>
      <c r="V24" s="87">
        <f t="shared" si="11"/>
        <v>85.4</v>
      </c>
      <c r="W24" s="66">
        <f t="shared" si="8"/>
        <v>35128</v>
      </c>
      <c r="Y24" s="73"/>
      <c r="Z24" s="73"/>
      <c r="AA24" s="73"/>
      <c r="AB24" s="73"/>
      <c r="AC24" s="73"/>
      <c r="AD24" s="73"/>
      <c r="AE24" s="73"/>
      <c r="AF24" s="73"/>
      <c r="AG24" s="73"/>
      <c r="AH24" s="73"/>
      <c r="AI24" s="73"/>
      <c r="AJ24" s="73"/>
      <c r="AK24" s="73"/>
      <c r="AL24" s="73"/>
      <c r="AM24" s="73"/>
      <c r="AN24" s="73"/>
      <c r="AO24" s="73"/>
      <c r="AP24" s="73"/>
      <c r="AQ24" s="73"/>
      <c r="AR24" s="73"/>
      <c r="AS24" s="73"/>
      <c r="AT24" s="73"/>
      <c r="AV24" s="78"/>
      <c r="AW24" s="89"/>
      <c r="AX24" s="89"/>
      <c r="AY24" s="89"/>
      <c r="AZ24" s="89"/>
      <c r="BA24" s="89"/>
      <c r="BB24" s="89"/>
      <c r="BC24" s="89"/>
      <c r="BD24" s="89"/>
      <c r="BE24" s="89"/>
      <c r="BF24" s="89"/>
      <c r="BG24" s="89"/>
      <c r="BH24" s="89"/>
      <c r="BI24" s="89"/>
      <c r="BJ24" s="89"/>
      <c r="BK24" s="89"/>
      <c r="BL24" s="89"/>
      <c r="BM24" s="89"/>
      <c r="BN24" s="89"/>
      <c r="BO24" s="89"/>
      <c r="BP24" s="89"/>
      <c r="BQ24" s="89"/>
    </row>
    <row r="25" spans="2:69" x14ac:dyDescent="0.2">
      <c r="B25" s="2" t="s">
        <v>19</v>
      </c>
      <c r="C25" s="87">
        <f t="shared" si="9"/>
        <v>11.6</v>
      </c>
      <c r="D25" s="87">
        <f t="shared" si="9"/>
        <v>14.4</v>
      </c>
      <c r="E25" s="87">
        <f t="shared" si="9"/>
        <v>18.100000000000001</v>
      </c>
      <c r="F25" s="87">
        <f t="shared" si="9"/>
        <v>18</v>
      </c>
      <c r="G25" s="87">
        <f t="shared" si="9"/>
        <v>15.8</v>
      </c>
      <c r="H25" s="87">
        <f t="shared" si="9"/>
        <v>77.900000000000006</v>
      </c>
      <c r="I25" s="66">
        <f t="shared" si="4"/>
        <v>4056</v>
      </c>
      <c r="J25" s="87">
        <f t="shared" si="10"/>
        <v>12.6</v>
      </c>
      <c r="K25" s="87">
        <f t="shared" si="10"/>
        <v>16.5</v>
      </c>
      <c r="L25" s="87">
        <f t="shared" si="10"/>
        <v>18.2</v>
      </c>
      <c r="M25" s="87">
        <f t="shared" si="10"/>
        <v>17.7</v>
      </c>
      <c r="N25" s="87">
        <f t="shared" si="10"/>
        <v>14.9</v>
      </c>
      <c r="O25" s="87">
        <f t="shared" si="10"/>
        <v>79.8</v>
      </c>
      <c r="P25" s="66">
        <f t="shared" si="6"/>
        <v>4756</v>
      </c>
      <c r="Q25" s="87">
        <f t="shared" si="11"/>
        <v>12.1</v>
      </c>
      <c r="R25" s="87">
        <f t="shared" si="11"/>
        <v>15.5</v>
      </c>
      <c r="S25" s="87">
        <f t="shared" si="11"/>
        <v>18.100000000000001</v>
      </c>
      <c r="T25" s="87">
        <f t="shared" si="11"/>
        <v>17.8</v>
      </c>
      <c r="U25" s="87">
        <f t="shared" si="11"/>
        <v>15.3</v>
      </c>
      <c r="V25" s="87">
        <f t="shared" si="11"/>
        <v>78.900000000000006</v>
      </c>
      <c r="W25" s="66">
        <f t="shared" si="8"/>
        <v>8812</v>
      </c>
      <c r="Y25" s="73"/>
      <c r="Z25" s="73"/>
      <c r="AA25" s="73"/>
      <c r="AB25" s="73"/>
      <c r="AC25" s="73"/>
      <c r="AD25" s="73"/>
      <c r="AE25" s="73"/>
      <c r="AF25" s="73"/>
      <c r="AG25" s="73"/>
      <c r="AH25" s="73"/>
      <c r="AI25" s="73"/>
      <c r="AJ25" s="73"/>
      <c r="AK25" s="73"/>
      <c r="AL25" s="73"/>
      <c r="AM25" s="73"/>
      <c r="AN25" s="73"/>
      <c r="AO25" s="73"/>
      <c r="AP25" s="73"/>
      <c r="AQ25" s="73"/>
      <c r="AR25" s="73"/>
      <c r="AS25" s="73"/>
      <c r="AT25" s="73"/>
      <c r="AV25" s="78"/>
      <c r="AW25" s="89"/>
      <c r="AX25" s="89"/>
      <c r="AY25" s="89"/>
      <c r="AZ25" s="89"/>
      <c r="BA25" s="89"/>
      <c r="BB25" s="89"/>
      <c r="BC25" s="89"/>
      <c r="BD25" s="89"/>
      <c r="BE25" s="89"/>
      <c r="BF25" s="89"/>
      <c r="BG25" s="89"/>
      <c r="BH25" s="89"/>
      <c r="BI25" s="89"/>
      <c r="BJ25" s="89"/>
      <c r="BK25" s="89"/>
      <c r="BL25" s="89"/>
      <c r="BM25" s="89"/>
      <c r="BN25" s="89"/>
      <c r="BO25" s="89"/>
      <c r="BP25" s="89"/>
      <c r="BQ25" s="89"/>
    </row>
    <row r="26" spans="2:69" x14ac:dyDescent="0.2">
      <c r="B26" s="2" t="s">
        <v>20</v>
      </c>
      <c r="C26" s="87">
        <f t="shared" si="9"/>
        <v>14.7</v>
      </c>
      <c r="D26" s="87">
        <f t="shared" si="9"/>
        <v>16.5</v>
      </c>
      <c r="E26" s="87">
        <f t="shared" si="9"/>
        <v>22.4</v>
      </c>
      <c r="F26" s="87">
        <f t="shared" si="9"/>
        <v>20.6</v>
      </c>
      <c r="G26" s="87">
        <f t="shared" si="9"/>
        <v>14.2</v>
      </c>
      <c r="H26" s="87">
        <f t="shared" si="9"/>
        <v>88.3</v>
      </c>
      <c r="I26" s="66">
        <f t="shared" si="4"/>
        <v>16308</v>
      </c>
      <c r="J26" s="87">
        <f t="shared" si="10"/>
        <v>20.8</v>
      </c>
      <c r="K26" s="87">
        <f t="shared" si="10"/>
        <v>22</v>
      </c>
      <c r="L26" s="87">
        <f t="shared" si="10"/>
        <v>23.8</v>
      </c>
      <c r="M26" s="87">
        <f t="shared" si="10"/>
        <v>17.399999999999999</v>
      </c>
      <c r="N26" s="87">
        <f t="shared" si="10"/>
        <v>9.5</v>
      </c>
      <c r="O26" s="87">
        <f t="shared" si="10"/>
        <v>93.5</v>
      </c>
      <c r="P26" s="66">
        <f t="shared" si="6"/>
        <v>35838</v>
      </c>
      <c r="Q26" s="87">
        <f t="shared" si="11"/>
        <v>18.899999999999999</v>
      </c>
      <c r="R26" s="87">
        <f t="shared" si="11"/>
        <v>20.3</v>
      </c>
      <c r="S26" s="87">
        <f t="shared" si="11"/>
        <v>23.4</v>
      </c>
      <c r="T26" s="87">
        <f t="shared" si="11"/>
        <v>18.399999999999999</v>
      </c>
      <c r="U26" s="87">
        <f t="shared" si="11"/>
        <v>11</v>
      </c>
      <c r="V26" s="87">
        <f t="shared" si="11"/>
        <v>91.9</v>
      </c>
      <c r="W26" s="66">
        <f t="shared" si="8"/>
        <v>52146</v>
      </c>
      <c r="Y26" s="73"/>
      <c r="Z26" s="73"/>
      <c r="AA26" s="73"/>
      <c r="AB26" s="73"/>
      <c r="AC26" s="73"/>
      <c r="AD26" s="73"/>
      <c r="AE26" s="73"/>
      <c r="AF26" s="73"/>
      <c r="AG26" s="73"/>
      <c r="AH26" s="73"/>
      <c r="AI26" s="73"/>
      <c r="AJ26" s="73"/>
      <c r="AK26" s="73"/>
      <c r="AL26" s="73"/>
      <c r="AM26" s="73"/>
      <c r="AN26" s="73"/>
      <c r="AO26" s="73"/>
      <c r="AP26" s="73"/>
      <c r="AQ26" s="73"/>
      <c r="AR26" s="73"/>
      <c r="AS26" s="73"/>
      <c r="AT26" s="73"/>
      <c r="AV26" s="78"/>
      <c r="AW26" s="89"/>
      <c r="AX26" s="89"/>
      <c r="AY26" s="89"/>
      <c r="AZ26" s="89"/>
      <c r="BA26" s="89"/>
      <c r="BB26" s="89"/>
      <c r="BC26" s="89"/>
      <c r="BD26" s="89"/>
      <c r="BE26" s="89"/>
      <c r="BF26" s="89"/>
      <c r="BG26" s="89"/>
      <c r="BH26" s="89"/>
      <c r="BI26" s="89"/>
      <c r="BJ26" s="89"/>
      <c r="BK26" s="89"/>
      <c r="BL26" s="89"/>
      <c r="BM26" s="89"/>
      <c r="BN26" s="89"/>
      <c r="BO26" s="89"/>
      <c r="BP26" s="89"/>
      <c r="BQ26" s="89"/>
    </row>
    <row r="27" spans="2:69" x14ac:dyDescent="0.2">
      <c r="B27" s="2" t="s">
        <v>21</v>
      </c>
      <c r="C27" s="87">
        <f t="shared" si="9"/>
        <v>12.8</v>
      </c>
      <c r="D27" s="87">
        <f t="shared" si="9"/>
        <v>22.6</v>
      </c>
      <c r="E27" s="87">
        <f t="shared" si="9"/>
        <v>29.2</v>
      </c>
      <c r="F27" s="87">
        <f t="shared" si="9"/>
        <v>20.3</v>
      </c>
      <c r="G27" s="87">
        <f t="shared" si="9"/>
        <v>10</v>
      </c>
      <c r="H27" s="87">
        <f t="shared" si="9"/>
        <v>94.9</v>
      </c>
      <c r="I27" s="66">
        <f t="shared" si="4"/>
        <v>5059</v>
      </c>
      <c r="J27" s="87">
        <f t="shared" si="10"/>
        <v>18.5</v>
      </c>
      <c r="K27" s="87">
        <f t="shared" si="10"/>
        <v>27.4</v>
      </c>
      <c r="L27" s="87">
        <f t="shared" si="10"/>
        <v>27.8</v>
      </c>
      <c r="M27" s="87">
        <f t="shared" si="10"/>
        <v>16.600000000000001</v>
      </c>
      <c r="N27" s="87">
        <f t="shared" si="10"/>
        <v>6.5</v>
      </c>
      <c r="O27" s="87">
        <f t="shared" si="10"/>
        <v>96.9</v>
      </c>
      <c r="P27" s="66">
        <f t="shared" si="6"/>
        <v>11156</v>
      </c>
      <c r="Q27" s="87">
        <f t="shared" si="11"/>
        <v>16.7</v>
      </c>
      <c r="R27" s="87">
        <f t="shared" si="11"/>
        <v>25.9</v>
      </c>
      <c r="S27" s="87">
        <f t="shared" si="11"/>
        <v>28.2</v>
      </c>
      <c r="T27" s="87">
        <f t="shared" si="11"/>
        <v>17.8</v>
      </c>
      <c r="U27" s="87">
        <f t="shared" si="11"/>
        <v>7.6</v>
      </c>
      <c r="V27" s="87">
        <f t="shared" si="11"/>
        <v>96.3</v>
      </c>
      <c r="W27" s="66">
        <f t="shared" si="8"/>
        <v>16215</v>
      </c>
      <c r="Y27" s="73"/>
      <c r="Z27" s="73"/>
      <c r="AA27" s="73"/>
      <c r="AB27" s="73"/>
      <c r="AC27" s="73"/>
      <c r="AD27" s="73"/>
      <c r="AE27" s="73"/>
      <c r="AF27" s="73"/>
      <c r="AG27" s="73"/>
      <c r="AH27" s="73"/>
      <c r="AI27" s="73"/>
      <c r="AJ27" s="73"/>
      <c r="AK27" s="73"/>
      <c r="AL27" s="73"/>
      <c r="AM27" s="73"/>
      <c r="AN27" s="73"/>
      <c r="AO27" s="73"/>
      <c r="AP27" s="73"/>
      <c r="AQ27" s="73"/>
      <c r="AR27" s="73"/>
      <c r="AS27" s="73"/>
      <c r="AT27" s="73"/>
      <c r="AV27" s="78"/>
      <c r="AW27" s="89"/>
      <c r="AX27" s="89"/>
      <c r="AY27" s="89"/>
      <c r="AZ27" s="89"/>
      <c r="BA27" s="89"/>
      <c r="BB27" s="89"/>
      <c r="BC27" s="89"/>
      <c r="BD27" s="89"/>
      <c r="BE27" s="89"/>
      <c r="BF27" s="89"/>
      <c r="BG27" s="89"/>
      <c r="BH27" s="89"/>
      <c r="BI27" s="89"/>
      <c r="BJ27" s="89"/>
      <c r="BK27" s="89"/>
      <c r="BL27" s="89"/>
      <c r="BM27" s="89"/>
      <c r="BN27" s="89"/>
      <c r="BO27" s="89"/>
      <c r="BP27" s="89"/>
      <c r="BQ27" s="89"/>
    </row>
    <row r="28" spans="2:69" x14ac:dyDescent="0.2">
      <c r="B28" s="2" t="s">
        <v>22</v>
      </c>
      <c r="C28" s="87">
        <f t="shared" si="9"/>
        <v>13.8</v>
      </c>
      <c r="D28" s="87">
        <f t="shared" si="9"/>
        <v>19.3</v>
      </c>
      <c r="E28" s="87">
        <f t="shared" si="9"/>
        <v>25.6</v>
      </c>
      <c r="F28" s="87">
        <f t="shared" si="9"/>
        <v>22.6</v>
      </c>
      <c r="G28" s="87">
        <f t="shared" si="9"/>
        <v>12.9</v>
      </c>
      <c r="H28" s="87">
        <f t="shared" si="9"/>
        <v>94.2</v>
      </c>
      <c r="I28" s="66">
        <f t="shared" si="4"/>
        <v>27369</v>
      </c>
      <c r="J28" s="87">
        <f t="shared" si="10"/>
        <v>15.6</v>
      </c>
      <c r="K28" s="87">
        <f t="shared" si="10"/>
        <v>21.5</v>
      </c>
      <c r="L28" s="87">
        <f t="shared" si="10"/>
        <v>26.8</v>
      </c>
      <c r="M28" s="87">
        <f t="shared" si="10"/>
        <v>21.5</v>
      </c>
      <c r="N28" s="87">
        <f t="shared" si="10"/>
        <v>10.4</v>
      </c>
      <c r="O28" s="87">
        <f t="shared" si="10"/>
        <v>95.8</v>
      </c>
      <c r="P28" s="66">
        <f t="shared" si="6"/>
        <v>61172</v>
      </c>
      <c r="Q28" s="87">
        <f t="shared" si="11"/>
        <v>15</v>
      </c>
      <c r="R28" s="87">
        <f t="shared" si="11"/>
        <v>20.8</v>
      </c>
      <c r="S28" s="87">
        <f t="shared" si="11"/>
        <v>26.4</v>
      </c>
      <c r="T28" s="87">
        <f t="shared" si="11"/>
        <v>21.9</v>
      </c>
      <c r="U28" s="87">
        <f t="shared" si="11"/>
        <v>11.2</v>
      </c>
      <c r="V28" s="87">
        <f t="shared" si="11"/>
        <v>95.3</v>
      </c>
      <c r="W28" s="66">
        <f t="shared" si="8"/>
        <v>88541</v>
      </c>
      <c r="Y28" s="73"/>
      <c r="Z28" s="73"/>
      <c r="AA28" s="73"/>
      <c r="AB28" s="73"/>
      <c r="AC28" s="73"/>
      <c r="AD28" s="73"/>
      <c r="AE28" s="73"/>
      <c r="AF28" s="73"/>
      <c r="AG28" s="73"/>
      <c r="AH28" s="73"/>
      <c r="AI28" s="73"/>
      <c r="AJ28" s="73"/>
      <c r="AK28" s="73"/>
      <c r="AL28" s="73"/>
      <c r="AM28" s="73"/>
      <c r="AN28" s="73"/>
      <c r="AO28" s="73"/>
      <c r="AP28" s="73"/>
      <c r="AQ28" s="73"/>
      <c r="AR28" s="73"/>
      <c r="AS28" s="73"/>
      <c r="AT28" s="73"/>
      <c r="AV28" s="78"/>
      <c r="AW28" s="89"/>
      <c r="AX28" s="89"/>
      <c r="AY28" s="89"/>
      <c r="AZ28" s="89"/>
      <c r="BA28" s="89"/>
      <c r="BB28" s="89"/>
      <c r="BC28" s="89"/>
      <c r="BD28" s="89"/>
      <c r="BE28" s="89"/>
      <c r="BF28" s="89"/>
      <c r="BG28" s="89"/>
      <c r="BH28" s="89"/>
      <c r="BI28" s="89"/>
      <c r="BJ28" s="89"/>
      <c r="BK28" s="89"/>
      <c r="BL28" s="89"/>
      <c r="BM28" s="89"/>
      <c r="BN28" s="89"/>
      <c r="BO28" s="89"/>
      <c r="BP28" s="89"/>
      <c r="BQ28" s="89"/>
    </row>
    <row r="29" spans="2:69" x14ac:dyDescent="0.2">
      <c r="B29" s="2" t="s">
        <v>51</v>
      </c>
      <c r="C29" s="87">
        <f t="shared" si="9"/>
        <v>8.9</v>
      </c>
      <c r="D29" s="87">
        <f t="shared" si="9"/>
        <v>19.600000000000001</v>
      </c>
      <c r="E29" s="87">
        <f t="shared" si="9"/>
        <v>27.1</v>
      </c>
      <c r="F29" s="87">
        <f t="shared" si="9"/>
        <v>22.9</v>
      </c>
      <c r="G29" s="87">
        <f t="shared" si="9"/>
        <v>12.9</v>
      </c>
      <c r="H29" s="87">
        <f t="shared" si="9"/>
        <v>91.4</v>
      </c>
      <c r="I29" s="66">
        <f t="shared" si="4"/>
        <v>14138</v>
      </c>
      <c r="J29" s="87">
        <f t="shared" si="10"/>
        <v>14.2</v>
      </c>
      <c r="K29" s="87">
        <f t="shared" si="10"/>
        <v>24.8</v>
      </c>
      <c r="L29" s="87">
        <f t="shared" si="10"/>
        <v>27.8</v>
      </c>
      <c r="M29" s="87">
        <f t="shared" si="10"/>
        <v>19</v>
      </c>
      <c r="N29" s="87">
        <f t="shared" si="10"/>
        <v>8.9</v>
      </c>
      <c r="O29" s="87">
        <f t="shared" si="10"/>
        <v>94.6</v>
      </c>
      <c r="P29" s="66">
        <f t="shared" si="6"/>
        <v>16918</v>
      </c>
      <c r="Q29" s="87">
        <f t="shared" si="11"/>
        <v>11.8</v>
      </c>
      <c r="R29" s="87">
        <f t="shared" si="11"/>
        <v>22.4</v>
      </c>
      <c r="S29" s="87">
        <f t="shared" si="11"/>
        <v>27.5</v>
      </c>
      <c r="T29" s="87">
        <f t="shared" si="11"/>
        <v>20.8</v>
      </c>
      <c r="U29" s="87">
        <f t="shared" si="11"/>
        <v>10.7</v>
      </c>
      <c r="V29" s="87">
        <f t="shared" si="11"/>
        <v>93.1</v>
      </c>
      <c r="W29" s="66">
        <f t="shared" si="8"/>
        <v>31056</v>
      </c>
      <c r="Y29" s="73"/>
      <c r="Z29" s="73"/>
      <c r="AA29" s="73"/>
      <c r="AB29" s="73"/>
      <c r="AC29" s="73"/>
      <c r="AD29" s="73"/>
      <c r="AE29" s="73"/>
      <c r="AF29" s="73"/>
      <c r="AG29" s="73"/>
      <c r="AH29" s="73"/>
      <c r="AI29" s="73"/>
      <c r="AJ29" s="73"/>
      <c r="AK29" s="73"/>
      <c r="AL29" s="73"/>
      <c r="AM29" s="73"/>
      <c r="AN29" s="73"/>
      <c r="AO29" s="73"/>
      <c r="AP29" s="73"/>
      <c r="AQ29" s="73"/>
      <c r="AR29" s="73"/>
      <c r="AS29" s="73"/>
      <c r="AT29" s="73"/>
      <c r="AV29" s="78"/>
      <c r="AW29" s="89"/>
      <c r="AX29" s="89"/>
      <c r="AY29" s="89"/>
      <c r="AZ29" s="89"/>
      <c r="BA29" s="89"/>
      <c r="BB29" s="89"/>
      <c r="BC29" s="89"/>
      <c r="BD29" s="89"/>
      <c r="BE29" s="89"/>
      <c r="BF29" s="89"/>
      <c r="BG29" s="89"/>
      <c r="BH29" s="89"/>
      <c r="BI29" s="89"/>
      <c r="BJ29" s="89"/>
      <c r="BK29" s="89"/>
      <c r="BL29" s="89"/>
      <c r="BM29" s="89"/>
      <c r="BN29" s="89"/>
      <c r="BO29" s="89"/>
      <c r="BP29" s="89"/>
      <c r="BQ29" s="89"/>
    </row>
    <row r="30" spans="2:69" x14ac:dyDescent="0.2">
      <c r="B30" s="2" t="s">
        <v>23</v>
      </c>
      <c r="C30" s="87">
        <f t="shared" si="9"/>
        <v>9.5</v>
      </c>
      <c r="D30" s="87">
        <f t="shared" si="9"/>
        <v>25.3</v>
      </c>
      <c r="E30" s="87">
        <f t="shared" si="9"/>
        <v>33.9</v>
      </c>
      <c r="F30" s="87">
        <f t="shared" si="9"/>
        <v>19.899999999999999</v>
      </c>
      <c r="G30" s="87">
        <f t="shared" si="9"/>
        <v>7</v>
      </c>
      <c r="H30" s="87">
        <f t="shared" si="9"/>
        <v>95.5</v>
      </c>
      <c r="I30" s="66">
        <f t="shared" si="4"/>
        <v>6108</v>
      </c>
      <c r="J30" s="87">
        <f t="shared" si="10"/>
        <v>13.5</v>
      </c>
      <c r="K30" s="87">
        <f t="shared" si="10"/>
        <v>29.2</v>
      </c>
      <c r="L30" s="87">
        <f t="shared" si="10"/>
        <v>30.9</v>
      </c>
      <c r="M30" s="87">
        <f t="shared" si="10"/>
        <v>16.7</v>
      </c>
      <c r="N30" s="87">
        <f t="shared" si="10"/>
        <v>5.8</v>
      </c>
      <c r="O30" s="87">
        <f t="shared" si="10"/>
        <v>96.2</v>
      </c>
      <c r="P30" s="66">
        <f t="shared" si="6"/>
        <v>7847</v>
      </c>
      <c r="Q30" s="87">
        <f t="shared" si="11"/>
        <v>11.8</v>
      </c>
      <c r="R30" s="87">
        <f t="shared" si="11"/>
        <v>27.5</v>
      </c>
      <c r="S30" s="87">
        <f t="shared" si="11"/>
        <v>32.200000000000003</v>
      </c>
      <c r="T30" s="87">
        <f t="shared" si="11"/>
        <v>18.100000000000001</v>
      </c>
      <c r="U30" s="87">
        <f t="shared" si="11"/>
        <v>6.3</v>
      </c>
      <c r="V30" s="87">
        <f t="shared" si="11"/>
        <v>95.9</v>
      </c>
      <c r="W30" s="66">
        <f t="shared" si="8"/>
        <v>13955</v>
      </c>
      <c r="Y30" s="73"/>
      <c r="Z30" s="73"/>
      <c r="AA30" s="73"/>
      <c r="AB30" s="73"/>
      <c r="AC30" s="73"/>
      <c r="AD30" s="73"/>
      <c r="AE30" s="73"/>
      <c r="AF30" s="73"/>
      <c r="AG30" s="73"/>
      <c r="AH30" s="73"/>
      <c r="AI30" s="73"/>
      <c r="AJ30" s="73"/>
      <c r="AK30" s="73"/>
      <c r="AL30" s="73"/>
      <c r="AM30" s="73"/>
      <c r="AN30" s="73"/>
      <c r="AO30" s="73"/>
      <c r="AP30" s="73"/>
      <c r="AQ30" s="73"/>
      <c r="AR30" s="73"/>
      <c r="AS30" s="73"/>
      <c r="AT30" s="73"/>
      <c r="AV30" s="78"/>
      <c r="AW30" s="89"/>
      <c r="AX30" s="89"/>
      <c r="AY30" s="89"/>
      <c r="AZ30" s="89"/>
      <c r="BA30" s="89"/>
      <c r="BB30" s="89"/>
      <c r="BC30" s="89"/>
      <c r="BD30" s="89"/>
      <c r="BE30" s="89"/>
      <c r="BF30" s="89"/>
      <c r="BG30" s="89"/>
      <c r="BH30" s="89"/>
      <c r="BI30" s="89"/>
      <c r="BJ30" s="89"/>
      <c r="BK30" s="89"/>
      <c r="BL30" s="89"/>
      <c r="BM30" s="89"/>
      <c r="BN30" s="89"/>
      <c r="BO30" s="89"/>
      <c r="BP30" s="89"/>
      <c r="BQ30" s="89"/>
    </row>
    <row r="31" spans="2:69" x14ac:dyDescent="0.2">
      <c r="B31" s="2" t="s">
        <v>24</v>
      </c>
      <c r="C31" s="87">
        <f t="shared" si="9"/>
        <v>26.9</v>
      </c>
      <c r="D31" s="87">
        <f t="shared" si="9"/>
        <v>18.3</v>
      </c>
      <c r="E31" s="87">
        <f t="shared" si="9"/>
        <v>18.8</v>
      </c>
      <c r="F31" s="87">
        <f t="shared" si="9"/>
        <v>15.4</v>
      </c>
      <c r="G31" s="87">
        <f t="shared" si="9"/>
        <v>10.7</v>
      </c>
      <c r="H31" s="87">
        <f t="shared" si="9"/>
        <v>90.2</v>
      </c>
      <c r="I31" s="66">
        <f t="shared" si="4"/>
        <v>4602</v>
      </c>
      <c r="J31" s="87">
        <f t="shared" si="10"/>
        <v>24.2</v>
      </c>
      <c r="K31" s="87">
        <f t="shared" si="10"/>
        <v>20</v>
      </c>
      <c r="L31" s="87">
        <f t="shared" si="10"/>
        <v>18.600000000000001</v>
      </c>
      <c r="M31" s="87">
        <f t="shared" si="10"/>
        <v>15.6</v>
      </c>
      <c r="N31" s="87">
        <f t="shared" si="10"/>
        <v>11.5</v>
      </c>
      <c r="O31" s="87">
        <f t="shared" si="10"/>
        <v>89.9</v>
      </c>
      <c r="P31" s="66">
        <f t="shared" si="6"/>
        <v>11262</v>
      </c>
      <c r="Q31" s="87">
        <f t="shared" si="11"/>
        <v>25</v>
      </c>
      <c r="R31" s="87">
        <f t="shared" si="11"/>
        <v>19.5</v>
      </c>
      <c r="S31" s="87">
        <f t="shared" si="11"/>
        <v>18.7</v>
      </c>
      <c r="T31" s="87">
        <f t="shared" si="11"/>
        <v>15.5</v>
      </c>
      <c r="U31" s="87">
        <f t="shared" si="11"/>
        <v>11.3</v>
      </c>
      <c r="V31" s="87">
        <f t="shared" si="11"/>
        <v>90</v>
      </c>
      <c r="W31" s="66">
        <f t="shared" si="8"/>
        <v>15864</v>
      </c>
      <c r="Y31" s="73"/>
      <c r="Z31" s="73"/>
      <c r="AA31" s="73"/>
      <c r="AB31" s="73"/>
      <c r="AC31" s="73"/>
      <c r="AD31" s="73"/>
      <c r="AE31" s="73"/>
      <c r="AF31" s="73"/>
      <c r="AG31" s="73"/>
      <c r="AH31" s="73"/>
      <c r="AI31" s="73"/>
      <c r="AJ31" s="73"/>
      <c r="AK31" s="73"/>
      <c r="AL31" s="73"/>
      <c r="AM31" s="73"/>
      <c r="AN31" s="73"/>
      <c r="AO31" s="73"/>
      <c r="AP31" s="73"/>
      <c r="AQ31" s="73"/>
      <c r="AR31" s="73"/>
      <c r="AS31" s="73"/>
      <c r="AT31" s="73"/>
      <c r="AV31" s="78"/>
      <c r="AW31" s="89"/>
      <c r="AX31" s="89"/>
      <c r="AY31" s="89"/>
      <c r="AZ31" s="89"/>
      <c r="BA31" s="89"/>
      <c r="BB31" s="89"/>
      <c r="BC31" s="89"/>
      <c r="BD31" s="89"/>
      <c r="BE31" s="89"/>
      <c r="BF31" s="89"/>
      <c r="BG31" s="89"/>
      <c r="BH31" s="89"/>
      <c r="BI31" s="89"/>
      <c r="BJ31" s="89"/>
      <c r="BK31" s="89"/>
      <c r="BL31" s="89"/>
      <c r="BM31" s="89"/>
      <c r="BN31" s="89"/>
      <c r="BO31" s="89"/>
      <c r="BP31" s="89"/>
      <c r="BQ31" s="89"/>
    </row>
    <row r="32" spans="2:69" x14ac:dyDescent="0.2">
      <c r="B32" s="2" t="s">
        <v>25</v>
      </c>
      <c r="C32" s="87">
        <f t="shared" si="9"/>
        <v>23.6</v>
      </c>
      <c r="D32" s="87">
        <f t="shared" si="9"/>
        <v>21.9</v>
      </c>
      <c r="E32" s="87">
        <f t="shared" si="9"/>
        <v>19.5</v>
      </c>
      <c r="F32" s="87">
        <f t="shared" si="9"/>
        <v>15.3</v>
      </c>
      <c r="G32" s="87">
        <f t="shared" si="9"/>
        <v>10.9</v>
      </c>
      <c r="H32" s="87">
        <f t="shared" si="9"/>
        <v>91.2</v>
      </c>
      <c r="I32" s="66">
        <f t="shared" si="4"/>
        <v>2339</v>
      </c>
      <c r="J32" s="87">
        <f t="shared" si="10"/>
        <v>22.1</v>
      </c>
      <c r="K32" s="87">
        <f t="shared" si="10"/>
        <v>21</v>
      </c>
      <c r="L32" s="87">
        <f t="shared" si="10"/>
        <v>20.3</v>
      </c>
      <c r="M32" s="87">
        <f t="shared" si="10"/>
        <v>16.2</v>
      </c>
      <c r="N32" s="87">
        <f t="shared" si="10"/>
        <v>11.7</v>
      </c>
      <c r="O32" s="87">
        <f t="shared" si="10"/>
        <v>91.2</v>
      </c>
      <c r="P32" s="66">
        <f t="shared" si="6"/>
        <v>4280</v>
      </c>
      <c r="Q32" s="87">
        <f t="shared" si="11"/>
        <v>22.6</v>
      </c>
      <c r="R32" s="87">
        <f t="shared" si="11"/>
        <v>21.3</v>
      </c>
      <c r="S32" s="87">
        <f t="shared" si="11"/>
        <v>20</v>
      </c>
      <c r="T32" s="87">
        <f t="shared" si="11"/>
        <v>15.9</v>
      </c>
      <c r="U32" s="87">
        <f t="shared" si="11"/>
        <v>11.4</v>
      </c>
      <c r="V32" s="87">
        <f t="shared" si="11"/>
        <v>91.2</v>
      </c>
      <c r="W32" s="66">
        <f t="shared" si="8"/>
        <v>6619</v>
      </c>
      <c r="Y32" s="73"/>
      <c r="Z32" s="73"/>
      <c r="AA32" s="73"/>
      <c r="AB32" s="73"/>
      <c r="AC32" s="73"/>
      <c r="AD32" s="73"/>
      <c r="AE32" s="73"/>
      <c r="AF32" s="73"/>
      <c r="AG32" s="73"/>
      <c r="AH32" s="73"/>
      <c r="AI32" s="73"/>
      <c r="AJ32" s="73"/>
      <c r="AK32" s="73"/>
      <c r="AL32" s="73"/>
      <c r="AM32" s="73"/>
      <c r="AN32" s="73"/>
      <c r="AO32" s="73"/>
      <c r="AP32" s="73"/>
      <c r="AQ32" s="73"/>
      <c r="AR32" s="73"/>
      <c r="AS32" s="73"/>
      <c r="AT32" s="73"/>
      <c r="AV32" s="78"/>
      <c r="AW32" s="89"/>
      <c r="AX32" s="89"/>
      <c r="AY32" s="89"/>
      <c r="AZ32" s="89"/>
      <c r="BA32" s="89"/>
      <c r="BB32" s="89"/>
      <c r="BC32" s="89"/>
      <c r="BD32" s="89"/>
      <c r="BE32" s="89"/>
      <c r="BF32" s="89"/>
      <c r="BG32" s="89"/>
      <c r="BH32" s="89"/>
      <c r="BI32" s="89"/>
      <c r="BJ32" s="89"/>
      <c r="BK32" s="89"/>
      <c r="BL32" s="89"/>
      <c r="BM32" s="89"/>
      <c r="BN32" s="89"/>
      <c r="BO32" s="89"/>
      <c r="BP32" s="89"/>
      <c r="BQ32" s="89"/>
    </row>
    <row r="33" spans="2:69" x14ac:dyDescent="0.2">
      <c r="B33" s="2" t="s">
        <v>26</v>
      </c>
      <c r="C33" s="87">
        <f t="shared" si="9"/>
        <v>23.5</v>
      </c>
      <c r="D33" s="87">
        <f t="shared" si="9"/>
        <v>21.9</v>
      </c>
      <c r="E33" s="87">
        <f t="shared" si="9"/>
        <v>19.600000000000001</v>
      </c>
      <c r="F33" s="87">
        <f t="shared" si="9"/>
        <v>16.3</v>
      </c>
      <c r="G33" s="87">
        <f t="shared" si="9"/>
        <v>10.5</v>
      </c>
      <c r="H33" s="87">
        <f t="shared" si="9"/>
        <v>91.9</v>
      </c>
      <c r="I33" s="66">
        <f t="shared" si="4"/>
        <v>1835</v>
      </c>
      <c r="J33" s="87">
        <f t="shared" si="10"/>
        <v>21.4</v>
      </c>
      <c r="K33" s="87">
        <f t="shared" si="10"/>
        <v>19.5</v>
      </c>
      <c r="L33" s="87">
        <f t="shared" si="10"/>
        <v>20.3</v>
      </c>
      <c r="M33" s="87">
        <f t="shared" si="10"/>
        <v>17.5</v>
      </c>
      <c r="N33" s="87">
        <f t="shared" si="10"/>
        <v>12</v>
      </c>
      <c r="O33" s="87">
        <f t="shared" si="10"/>
        <v>90.7</v>
      </c>
      <c r="P33" s="66">
        <f t="shared" si="6"/>
        <v>4622</v>
      </c>
      <c r="Q33" s="87">
        <f t="shared" si="11"/>
        <v>22</v>
      </c>
      <c r="R33" s="87">
        <f t="shared" si="11"/>
        <v>20.100000000000001</v>
      </c>
      <c r="S33" s="87">
        <f t="shared" si="11"/>
        <v>20.100000000000001</v>
      </c>
      <c r="T33" s="87">
        <f t="shared" si="11"/>
        <v>17.2</v>
      </c>
      <c r="U33" s="87">
        <f t="shared" si="11"/>
        <v>11.6</v>
      </c>
      <c r="V33" s="87">
        <f t="shared" si="11"/>
        <v>91</v>
      </c>
      <c r="W33" s="66">
        <f t="shared" si="8"/>
        <v>6457</v>
      </c>
      <c r="Y33" s="73"/>
      <c r="Z33" s="73"/>
      <c r="AA33" s="73"/>
      <c r="AB33" s="73"/>
      <c r="AC33" s="73"/>
      <c r="AD33" s="73"/>
      <c r="AE33" s="73"/>
      <c r="AF33" s="73"/>
      <c r="AG33" s="73"/>
      <c r="AH33" s="73"/>
      <c r="AI33" s="73"/>
      <c r="AJ33" s="73"/>
      <c r="AK33" s="73"/>
      <c r="AL33" s="73"/>
      <c r="AM33" s="73"/>
      <c r="AN33" s="73"/>
      <c r="AO33" s="73"/>
      <c r="AP33" s="73"/>
      <c r="AQ33" s="73"/>
      <c r="AR33" s="73"/>
      <c r="AS33" s="73"/>
      <c r="AT33" s="73"/>
      <c r="AV33" s="78"/>
      <c r="AW33" s="89"/>
      <c r="AX33" s="89"/>
      <c r="AY33" s="89"/>
      <c r="AZ33" s="89"/>
      <c r="BA33" s="89"/>
      <c r="BB33" s="89"/>
      <c r="BC33" s="89"/>
      <c r="BD33" s="89"/>
      <c r="BE33" s="89"/>
      <c r="BF33" s="89"/>
      <c r="BG33" s="89"/>
      <c r="BH33" s="89"/>
      <c r="BI33" s="89"/>
      <c r="BJ33" s="89"/>
      <c r="BK33" s="89"/>
      <c r="BL33" s="89"/>
      <c r="BM33" s="89"/>
      <c r="BN33" s="89"/>
      <c r="BO33" s="89"/>
      <c r="BP33" s="89"/>
      <c r="BQ33" s="89"/>
    </row>
    <row r="34" spans="2:69" x14ac:dyDescent="0.2">
      <c r="B34" s="2" t="s">
        <v>27</v>
      </c>
      <c r="C34" s="87">
        <f t="shared" si="9"/>
        <v>51.2</v>
      </c>
      <c r="D34" s="87">
        <f t="shared" si="9"/>
        <v>20.5</v>
      </c>
      <c r="E34" s="87">
        <f t="shared" si="9"/>
        <v>9.1999999999999993</v>
      </c>
      <c r="F34" s="87">
        <f t="shared" si="9"/>
        <v>7.3</v>
      </c>
      <c r="G34" s="87">
        <f t="shared" si="9"/>
        <v>3.5</v>
      </c>
      <c r="H34" s="87">
        <f t="shared" si="9"/>
        <v>91.8</v>
      </c>
      <c r="I34" s="66">
        <f t="shared" si="4"/>
        <v>1538</v>
      </c>
      <c r="J34" s="87">
        <f t="shared" si="10"/>
        <v>52.5</v>
      </c>
      <c r="K34" s="87">
        <f t="shared" si="10"/>
        <v>18.8</v>
      </c>
      <c r="L34" s="87">
        <f t="shared" si="10"/>
        <v>10.3</v>
      </c>
      <c r="M34" s="87">
        <f t="shared" si="10"/>
        <v>7.6</v>
      </c>
      <c r="N34" s="87">
        <f t="shared" si="10"/>
        <v>5.3</v>
      </c>
      <c r="O34" s="87">
        <f t="shared" si="10"/>
        <v>94.4</v>
      </c>
      <c r="P34" s="66">
        <f t="shared" si="6"/>
        <v>2167</v>
      </c>
      <c r="Q34" s="87">
        <f t="shared" si="11"/>
        <v>52</v>
      </c>
      <c r="R34" s="87">
        <f t="shared" si="11"/>
        <v>19.5</v>
      </c>
      <c r="S34" s="87">
        <f t="shared" si="11"/>
        <v>9.9</v>
      </c>
      <c r="T34" s="87">
        <f t="shared" si="11"/>
        <v>7.5</v>
      </c>
      <c r="U34" s="87">
        <f t="shared" si="11"/>
        <v>4.5</v>
      </c>
      <c r="V34" s="87">
        <f t="shared" si="11"/>
        <v>93.3</v>
      </c>
      <c r="W34" s="66">
        <f t="shared" si="8"/>
        <v>3705</v>
      </c>
      <c r="Y34" s="73"/>
      <c r="Z34" s="73"/>
      <c r="AA34" s="73"/>
      <c r="AB34" s="73"/>
      <c r="AC34" s="73"/>
      <c r="AD34" s="73"/>
      <c r="AE34" s="73"/>
      <c r="AF34" s="73"/>
      <c r="AG34" s="73"/>
      <c r="AH34" s="73"/>
      <c r="AI34" s="73"/>
      <c r="AJ34" s="73"/>
      <c r="AK34" s="73"/>
      <c r="AL34" s="73"/>
      <c r="AM34" s="73"/>
      <c r="AN34" s="73"/>
      <c r="AO34" s="73"/>
      <c r="AP34" s="73"/>
      <c r="AQ34" s="73"/>
      <c r="AR34" s="73"/>
      <c r="AS34" s="73"/>
      <c r="AT34" s="73"/>
      <c r="AV34" s="78"/>
      <c r="AW34" s="89"/>
      <c r="AX34" s="89"/>
      <c r="AY34" s="89"/>
      <c r="AZ34" s="89"/>
      <c r="BA34" s="89"/>
      <c r="BB34" s="89"/>
      <c r="BC34" s="89"/>
      <c r="BD34" s="89"/>
      <c r="BE34" s="89"/>
      <c r="BF34" s="89"/>
      <c r="BG34" s="89"/>
      <c r="BH34" s="89"/>
      <c r="BI34" s="89"/>
      <c r="BJ34" s="89"/>
      <c r="BK34" s="89"/>
      <c r="BL34" s="89"/>
      <c r="BM34" s="89"/>
      <c r="BN34" s="89"/>
      <c r="BO34" s="89"/>
      <c r="BP34" s="89"/>
      <c r="BQ34" s="89"/>
    </row>
    <row r="35" spans="2:69" x14ac:dyDescent="0.2">
      <c r="B35" s="2" t="s">
        <v>28</v>
      </c>
      <c r="C35" s="87">
        <f t="shared" si="9"/>
        <v>29</v>
      </c>
      <c r="D35" s="87">
        <f t="shared" si="9"/>
        <v>20</v>
      </c>
      <c r="E35" s="87">
        <f t="shared" si="9"/>
        <v>18</v>
      </c>
      <c r="F35" s="87">
        <f t="shared" si="9"/>
        <v>16</v>
      </c>
      <c r="G35" s="87">
        <f t="shared" si="9"/>
        <v>10</v>
      </c>
      <c r="H35" s="87">
        <f t="shared" si="9"/>
        <v>93</v>
      </c>
      <c r="I35" s="66">
        <f t="shared" si="4"/>
        <v>2552</v>
      </c>
      <c r="J35" s="87">
        <f t="shared" si="10"/>
        <v>34.299999999999997</v>
      </c>
      <c r="K35" s="87">
        <f t="shared" si="10"/>
        <v>22.6</v>
      </c>
      <c r="L35" s="87">
        <f t="shared" si="10"/>
        <v>19.100000000000001</v>
      </c>
      <c r="M35" s="87">
        <f t="shared" si="10"/>
        <v>12.3</v>
      </c>
      <c r="N35" s="87">
        <f t="shared" si="10"/>
        <v>6.9</v>
      </c>
      <c r="O35" s="87">
        <f t="shared" si="10"/>
        <v>95.2</v>
      </c>
      <c r="P35" s="66">
        <f t="shared" si="6"/>
        <v>3278</v>
      </c>
      <c r="Q35" s="87">
        <f t="shared" si="11"/>
        <v>32</v>
      </c>
      <c r="R35" s="87">
        <f t="shared" si="11"/>
        <v>21.5</v>
      </c>
      <c r="S35" s="87">
        <f t="shared" si="11"/>
        <v>18.600000000000001</v>
      </c>
      <c r="T35" s="87">
        <f t="shared" si="11"/>
        <v>13.9</v>
      </c>
      <c r="U35" s="87">
        <f t="shared" si="11"/>
        <v>8.3000000000000007</v>
      </c>
      <c r="V35" s="87">
        <f t="shared" si="11"/>
        <v>94.2</v>
      </c>
      <c r="W35" s="66">
        <f t="shared" si="8"/>
        <v>5830</v>
      </c>
      <c r="Y35" s="73"/>
      <c r="Z35" s="73"/>
      <c r="AA35" s="73"/>
      <c r="AB35" s="73"/>
      <c r="AC35" s="73"/>
      <c r="AD35" s="73"/>
      <c r="AE35" s="73"/>
      <c r="AF35" s="73"/>
      <c r="AG35" s="73"/>
      <c r="AH35" s="73"/>
      <c r="AI35" s="73"/>
      <c r="AJ35" s="73"/>
      <c r="AK35" s="73"/>
      <c r="AL35" s="73"/>
      <c r="AM35" s="73"/>
      <c r="AN35" s="73"/>
      <c r="AO35" s="73"/>
      <c r="AP35" s="73"/>
      <c r="AQ35" s="73"/>
      <c r="AR35" s="73"/>
      <c r="AS35" s="73"/>
      <c r="AT35" s="73"/>
      <c r="AV35" s="78"/>
      <c r="AW35" s="89"/>
      <c r="AX35" s="89"/>
      <c r="AY35" s="89"/>
      <c r="AZ35" s="89"/>
      <c r="BA35" s="89"/>
      <c r="BB35" s="89"/>
      <c r="BC35" s="89"/>
      <c r="BD35" s="89"/>
      <c r="BE35" s="89"/>
      <c r="BF35" s="89"/>
      <c r="BG35" s="89"/>
      <c r="BH35" s="89"/>
      <c r="BI35" s="89"/>
      <c r="BJ35" s="89"/>
      <c r="BK35" s="89"/>
      <c r="BL35" s="89"/>
      <c r="BM35" s="89"/>
      <c r="BN35" s="89"/>
      <c r="BO35" s="89"/>
      <c r="BP35" s="89"/>
      <c r="BQ35" s="89"/>
    </row>
    <row r="36" spans="2:69" x14ac:dyDescent="0.2">
      <c r="B36" s="2" t="s">
        <v>29</v>
      </c>
      <c r="C36" s="87">
        <f t="shared" si="9"/>
        <v>18.8</v>
      </c>
      <c r="D36" s="87">
        <f t="shared" si="9"/>
        <v>22.7</v>
      </c>
      <c r="E36" s="87">
        <f t="shared" si="9"/>
        <v>21.5</v>
      </c>
      <c r="F36" s="87">
        <f t="shared" si="9"/>
        <v>16.5</v>
      </c>
      <c r="G36" s="87">
        <f t="shared" si="9"/>
        <v>10.5</v>
      </c>
      <c r="H36" s="87">
        <f t="shared" si="9"/>
        <v>90</v>
      </c>
      <c r="I36" s="66">
        <f t="shared" si="4"/>
        <v>6167</v>
      </c>
      <c r="J36" s="87">
        <f t="shared" si="10"/>
        <v>22.2</v>
      </c>
      <c r="K36" s="87">
        <f t="shared" si="10"/>
        <v>24.4</v>
      </c>
      <c r="L36" s="87">
        <f t="shared" si="10"/>
        <v>21.9</v>
      </c>
      <c r="M36" s="87">
        <f t="shared" si="10"/>
        <v>15.7</v>
      </c>
      <c r="N36" s="87">
        <f t="shared" si="10"/>
        <v>8.9</v>
      </c>
      <c r="O36" s="87">
        <f t="shared" si="10"/>
        <v>93.1</v>
      </c>
      <c r="P36" s="66">
        <f t="shared" si="6"/>
        <v>12591</v>
      </c>
      <c r="Q36" s="87">
        <f t="shared" si="11"/>
        <v>21.1</v>
      </c>
      <c r="R36" s="87">
        <f t="shared" si="11"/>
        <v>23.8</v>
      </c>
      <c r="S36" s="87">
        <f t="shared" si="11"/>
        <v>21.8</v>
      </c>
      <c r="T36" s="87">
        <f t="shared" si="11"/>
        <v>15.9</v>
      </c>
      <c r="U36" s="87">
        <f t="shared" si="11"/>
        <v>9.5</v>
      </c>
      <c r="V36" s="87">
        <f t="shared" si="11"/>
        <v>92.1</v>
      </c>
      <c r="W36" s="66">
        <f t="shared" si="8"/>
        <v>18758</v>
      </c>
      <c r="Y36" s="73"/>
      <c r="Z36" s="73"/>
      <c r="AA36" s="73"/>
      <c r="AB36" s="73"/>
      <c r="AC36" s="73"/>
      <c r="AD36" s="73"/>
      <c r="AE36" s="73"/>
      <c r="AF36" s="73"/>
      <c r="AG36" s="73"/>
      <c r="AH36" s="73"/>
      <c r="AI36" s="73"/>
      <c r="AJ36" s="73"/>
      <c r="AK36" s="73"/>
      <c r="AL36" s="73"/>
      <c r="AM36" s="73"/>
      <c r="AN36" s="73"/>
      <c r="AO36" s="73"/>
      <c r="AP36" s="73"/>
      <c r="AQ36" s="73"/>
      <c r="AR36" s="73"/>
      <c r="AS36" s="73"/>
      <c r="AT36" s="73"/>
      <c r="AV36" s="78"/>
      <c r="AW36" s="89"/>
      <c r="AX36" s="89"/>
      <c r="AY36" s="89"/>
      <c r="AZ36" s="89"/>
      <c r="BA36" s="89"/>
      <c r="BB36" s="89"/>
      <c r="BC36" s="89"/>
      <c r="BD36" s="89"/>
      <c r="BE36" s="89"/>
      <c r="BF36" s="89"/>
      <c r="BG36" s="89"/>
      <c r="BH36" s="89"/>
      <c r="BI36" s="89"/>
      <c r="BJ36" s="89"/>
      <c r="BK36" s="89"/>
      <c r="BL36" s="89"/>
      <c r="BM36" s="89"/>
      <c r="BN36" s="89"/>
      <c r="BO36" s="89"/>
      <c r="BP36" s="89"/>
      <c r="BQ36" s="89"/>
    </row>
    <row r="37" spans="2:69" x14ac:dyDescent="0.2">
      <c r="B37" s="2" t="s">
        <v>30</v>
      </c>
      <c r="C37" s="87">
        <f t="shared" si="9"/>
        <v>11.7</v>
      </c>
      <c r="D37" s="87">
        <f t="shared" si="9"/>
        <v>16.2</v>
      </c>
      <c r="E37" s="87">
        <f t="shared" si="9"/>
        <v>21.5</v>
      </c>
      <c r="F37" s="87">
        <f t="shared" si="9"/>
        <v>22</v>
      </c>
      <c r="G37" s="87">
        <f t="shared" si="9"/>
        <v>16.7</v>
      </c>
      <c r="H37" s="87">
        <f t="shared" si="9"/>
        <v>88</v>
      </c>
      <c r="I37" s="66">
        <f t="shared" si="4"/>
        <v>7265</v>
      </c>
      <c r="J37" s="87">
        <f t="shared" si="10"/>
        <v>18.2</v>
      </c>
      <c r="K37" s="87">
        <f t="shared" si="10"/>
        <v>19.8</v>
      </c>
      <c r="L37" s="87">
        <f t="shared" si="10"/>
        <v>23</v>
      </c>
      <c r="M37" s="87">
        <f t="shared" si="10"/>
        <v>19.100000000000001</v>
      </c>
      <c r="N37" s="87">
        <f t="shared" si="10"/>
        <v>12.7</v>
      </c>
      <c r="O37" s="87">
        <f t="shared" si="10"/>
        <v>92.9</v>
      </c>
      <c r="P37" s="66">
        <f t="shared" si="6"/>
        <v>4479</v>
      </c>
      <c r="Q37" s="87">
        <f t="shared" si="11"/>
        <v>14.2</v>
      </c>
      <c r="R37" s="87">
        <f t="shared" si="11"/>
        <v>17.600000000000001</v>
      </c>
      <c r="S37" s="87">
        <f t="shared" si="11"/>
        <v>22.1</v>
      </c>
      <c r="T37" s="87">
        <f t="shared" si="11"/>
        <v>20.9</v>
      </c>
      <c r="U37" s="87">
        <f t="shared" si="11"/>
        <v>15.2</v>
      </c>
      <c r="V37" s="87">
        <f t="shared" si="11"/>
        <v>89.9</v>
      </c>
      <c r="W37" s="66">
        <f t="shared" si="8"/>
        <v>11744</v>
      </c>
      <c r="Y37" s="73"/>
      <c r="Z37" s="73"/>
      <c r="AA37" s="73"/>
      <c r="AB37" s="73"/>
      <c r="AC37" s="73"/>
      <c r="AD37" s="73"/>
      <c r="AE37" s="73"/>
      <c r="AF37" s="73"/>
      <c r="AG37" s="73"/>
      <c r="AH37" s="73"/>
      <c r="AI37" s="73"/>
      <c r="AJ37" s="73"/>
      <c r="AK37" s="73"/>
      <c r="AL37" s="73"/>
      <c r="AM37" s="73"/>
      <c r="AN37" s="73"/>
      <c r="AO37" s="73"/>
      <c r="AP37" s="73"/>
      <c r="AQ37" s="73"/>
      <c r="AR37" s="73"/>
      <c r="AS37" s="73"/>
      <c r="AT37" s="73"/>
      <c r="AV37" s="78"/>
      <c r="AW37" s="89"/>
      <c r="AX37" s="89"/>
      <c r="AY37" s="89"/>
      <c r="AZ37" s="89"/>
      <c r="BA37" s="89"/>
      <c r="BB37" s="89"/>
      <c r="BC37" s="89"/>
      <c r="BD37" s="89"/>
      <c r="BE37" s="89"/>
      <c r="BF37" s="89"/>
      <c r="BG37" s="89"/>
      <c r="BH37" s="89"/>
      <c r="BI37" s="89"/>
      <c r="BJ37" s="89"/>
      <c r="BK37" s="89"/>
      <c r="BL37" s="89"/>
      <c r="BM37" s="89"/>
      <c r="BN37" s="89"/>
      <c r="BO37" s="89"/>
      <c r="BP37" s="89"/>
      <c r="BQ37" s="89"/>
    </row>
    <row r="38" spans="2:69" x14ac:dyDescent="0.2">
      <c r="B38" s="2" t="s">
        <v>31</v>
      </c>
      <c r="C38" s="87">
        <f t="shared" si="9"/>
        <v>8.1</v>
      </c>
      <c r="D38" s="87">
        <f t="shared" si="9"/>
        <v>12.5</v>
      </c>
      <c r="E38" s="87">
        <f t="shared" si="9"/>
        <v>19.5</v>
      </c>
      <c r="F38" s="87">
        <f t="shared" si="9"/>
        <v>22.4</v>
      </c>
      <c r="G38" s="87">
        <f t="shared" si="9"/>
        <v>21.1</v>
      </c>
      <c r="H38" s="87">
        <f t="shared" si="9"/>
        <v>83.7</v>
      </c>
      <c r="I38" s="66">
        <f t="shared" si="4"/>
        <v>15792</v>
      </c>
      <c r="J38" s="87">
        <f t="shared" si="10"/>
        <v>16.100000000000001</v>
      </c>
      <c r="K38" s="87">
        <f t="shared" si="10"/>
        <v>18</v>
      </c>
      <c r="L38" s="87">
        <f t="shared" si="10"/>
        <v>21</v>
      </c>
      <c r="M38" s="87">
        <f t="shared" si="10"/>
        <v>19.399999999999999</v>
      </c>
      <c r="N38" s="87">
        <f t="shared" si="10"/>
        <v>15.2</v>
      </c>
      <c r="O38" s="87">
        <f t="shared" si="10"/>
        <v>89.7</v>
      </c>
      <c r="P38" s="66">
        <f t="shared" si="6"/>
        <v>11267</v>
      </c>
      <c r="Q38" s="87">
        <f t="shared" si="11"/>
        <v>11.4</v>
      </c>
      <c r="R38" s="87">
        <f t="shared" si="11"/>
        <v>14.8</v>
      </c>
      <c r="S38" s="87">
        <f t="shared" si="11"/>
        <v>20.2</v>
      </c>
      <c r="T38" s="87">
        <f t="shared" si="11"/>
        <v>21.2</v>
      </c>
      <c r="U38" s="87">
        <f t="shared" si="11"/>
        <v>18.7</v>
      </c>
      <c r="V38" s="87">
        <f t="shared" si="11"/>
        <v>86.2</v>
      </c>
      <c r="W38" s="66">
        <f t="shared" si="8"/>
        <v>27059</v>
      </c>
      <c r="Y38" s="73"/>
      <c r="Z38" s="73"/>
      <c r="AA38" s="73"/>
      <c r="AB38" s="73"/>
      <c r="AC38" s="73"/>
      <c r="AD38" s="73"/>
      <c r="AE38" s="73"/>
      <c r="AF38" s="73"/>
      <c r="AG38" s="73"/>
      <c r="AH38" s="73"/>
      <c r="AI38" s="73"/>
      <c r="AJ38" s="73"/>
      <c r="AK38" s="73"/>
      <c r="AL38" s="73"/>
      <c r="AM38" s="73"/>
      <c r="AN38" s="73"/>
      <c r="AO38" s="73"/>
      <c r="AP38" s="73"/>
      <c r="AQ38" s="73"/>
      <c r="AR38" s="73"/>
      <c r="AS38" s="73"/>
      <c r="AT38" s="73"/>
      <c r="AV38" s="78"/>
      <c r="AW38" s="89"/>
      <c r="AX38" s="89"/>
      <c r="AY38" s="89"/>
      <c r="AZ38" s="89"/>
      <c r="BA38" s="89"/>
      <c r="BB38" s="89"/>
      <c r="BC38" s="89"/>
      <c r="BD38" s="89"/>
      <c r="BE38" s="89"/>
      <c r="BF38" s="89"/>
      <c r="BG38" s="89"/>
      <c r="BH38" s="89"/>
      <c r="BI38" s="89"/>
      <c r="BJ38" s="89"/>
      <c r="BK38" s="89"/>
      <c r="BL38" s="89"/>
      <c r="BM38" s="89"/>
      <c r="BN38" s="89"/>
      <c r="BO38" s="89"/>
      <c r="BP38" s="89"/>
      <c r="BQ38" s="89"/>
    </row>
    <row r="39" spans="2:69" x14ac:dyDescent="0.2">
      <c r="B39" s="2" t="s">
        <v>32</v>
      </c>
      <c r="C39" s="87">
        <f t="shared" ref="C39:H40" si="12">IF(OR(C81=1,C81=2),"x",ROUND(C81/$I81*100,1))</f>
        <v>8</v>
      </c>
      <c r="D39" s="87">
        <f t="shared" si="12"/>
        <v>11.9</v>
      </c>
      <c r="E39" s="87">
        <f t="shared" si="12"/>
        <v>17.3</v>
      </c>
      <c r="F39" s="87">
        <f t="shared" si="12"/>
        <v>20.399999999999999</v>
      </c>
      <c r="G39" s="87">
        <f t="shared" si="12"/>
        <v>19.600000000000001</v>
      </c>
      <c r="H39" s="87">
        <f t="shared" si="12"/>
        <v>77.2</v>
      </c>
      <c r="I39" s="66">
        <f t="shared" si="4"/>
        <v>49825</v>
      </c>
      <c r="J39" s="87">
        <f t="shared" ref="J39:O40" si="13">IF(OR(J81=1,J81=2),"x",ROUND(J81/$P81*100,1))</f>
        <v>9.3000000000000007</v>
      </c>
      <c r="K39" s="87">
        <f t="shared" si="13"/>
        <v>13.5</v>
      </c>
      <c r="L39" s="87">
        <f t="shared" si="13"/>
        <v>18.8</v>
      </c>
      <c r="M39" s="87">
        <f t="shared" si="13"/>
        <v>20.399999999999999</v>
      </c>
      <c r="N39" s="87">
        <f t="shared" si="13"/>
        <v>18.8</v>
      </c>
      <c r="O39" s="87">
        <f t="shared" si="13"/>
        <v>80.7</v>
      </c>
      <c r="P39" s="66">
        <f t="shared" si="6"/>
        <v>58765</v>
      </c>
      <c r="Q39" s="87">
        <f t="shared" ref="Q39:V40" si="14">IF(OR(Q81=1,Q81=2),"x",ROUND(Q81/$W81*100,1))</f>
        <v>8.6999999999999993</v>
      </c>
      <c r="R39" s="87">
        <f t="shared" si="14"/>
        <v>12.8</v>
      </c>
      <c r="S39" s="87">
        <f t="shared" si="14"/>
        <v>18.100000000000001</v>
      </c>
      <c r="T39" s="87">
        <f t="shared" si="14"/>
        <v>20.399999999999999</v>
      </c>
      <c r="U39" s="87">
        <f t="shared" si="14"/>
        <v>19.2</v>
      </c>
      <c r="V39" s="87">
        <f t="shared" si="14"/>
        <v>79.099999999999994</v>
      </c>
      <c r="W39" s="66">
        <f t="shared" si="8"/>
        <v>108590</v>
      </c>
      <c r="Y39" s="73"/>
      <c r="Z39" s="73"/>
      <c r="AA39" s="73"/>
      <c r="AB39" s="73"/>
      <c r="AC39" s="73"/>
      <c r="AD39" s="73"/>
      <c r="AE39" s="73"/>
      <c r="AF39" s="73"/>
      <c r="AG39" s="73"/>
      <c r="AH39" s="73"/>
      <c r="AI39" s="73"/>
      <c r="AJ39" s="73"/>
      <c r="AK39" s="73"/>
      <c r="AL39" s="73"/>
      <c r="AM39" s="73"/>
      <c r="AN39" s="73"/>
      <c r="AO39" s="73"/>
      <c r="AP39" s="73"/>
      <c r="AQ39" s="73"/>
      <c r="AR39" s="73"/>
      <c r="AS39" s="73"/>
      <c r="AT39" s="73"/>
      <c r="AV39" s="78"/>
      <c r="AW39" s="89"/>
      <c r="AX39" s="89"/>
      <c r="AY39" s="89"/>
      <c r="AZ39" s="89"/>
      <c r="BA39" s="89"/>
      <c r="BB39" s="89"/>
      <c r="BC39" s="89"/>
      <c r="BD39" s="89"/>
      <c r="BE39" s="89"/>
      <c r="BF39" s="89"/>
      <c r="BG39" s="89"/>
      <c r="BH39" s="89"/>
      <c r="BI39" s="89"/>
      <c r="BJ39" s="89"/>
      <c r="BK39" s="89"/>
      <c r="BL39" s="89"/>
      <c r="BM39" s="89"/>
      <c r="BN39" s="89"/>
      <c r="BO39" s="89"/>
      <c r="BP39" s="89"/>
      <c r="BQ39" s="89"/>
    </row>
    <row r="40" spans="2:69" x14ac:dyDescent="0.2">
      <c r="B40" s="2" t="s">
        <v>63</v>
      </c>
      <c r="C40" s="87">
        <f t="shared" si="12"/>
        <v>14.2</v>
      </c>
      <c r="D40" s="87">
        <f t="shared" si="12"/>
        <v>15.9</v>
      </c>
      <c r="E40" s="87">
        <f t="shared" si="12"/>
        <v>19.5</v>
      </c>
      <c r="F40" s="87">
        <f t="shared" si="12"/>
        <v>18.8</v>
      </c>
      <c r="G40" s="87">
        <f t="shared" si="12"/>
        <v>15.2</v>
      </c>
      <c r="H40" s="87">
        <f t="shared" si="12"/>
        <v>83.6</v>
      </c>
      <c r="I40" s="66">
        <f t="shared" si="4"/>
        <v>429360</v>
      </c>
      <c r="J40" s="87">
        <f t="shared" si="13"/>
        <v>17.100000000000001</v>
      </c>
      <c r="K40" s="87">
        <f t="shared" si="13"/>
        <v>18.899999999999999</v>
      </c>
      <c r="L40" s="87">
        <f t="shared" si="13"/>
        <v>20.9</v>
      </c>
      <c r="M40" s="87">
        <f t="shared" si="13"/>
        <v>18</v>
      </c>
      <c r="N40" s="87">
        <f t="shared" si="13"/>
        <v>12.9</v>
      </c>
      <c r="O40" s="87">
        <f t="shared" si="13"/>
        <v>87.8</v>
      </c>
      <c r="P40" s="66">
        <f t="shared" si="6"/>
        <v>514517</v>
      </c>
      <c r="Q40" s="87">
        <f t="shared" si="14"/>
        <v>15.8</v>
      </c>
      <c r="R40" s="87">
        <f t="shared" si="14"/>
        <v>17.600000000000001</v>
      </c>
      <c r="S40" s="87">
        <f t="shared" si="14"/>
        <v>20.2</v>
      </c>
      <c r="T40" s="87">
        <f t="shared" si="14"/>
        <v>18.3</v>
      </c>
      <c r="U40" s="87">
        <f t="shared" si="14"/>
        <v>14</v>
      </c>
      <c r="V40" s="87">
        <f t="shared" si="14"/>
        <v>85.9</v>
      </c>
      <c r="W40" s="66">
        <f t="shared" si="8"/>
        <v>943877</v>
      </c>
      <c r="Y40" s="73"/>
      <c r="Z40" s="73"/>
      <c r="AA40" s="73"/>
      <c r="AB40" s="73"/>
      <c r="AC40" s="73"/>
      <c r="AD40" s="73"/>
      <c r="AE40" s="73"/>
      <c r="AF40" s="73"/>
      <c r="AG40" s="73"/>
      <c r="AH40" s="73"/>
      <c r="AI40" s="73"/>
      <c r="AJ40" s="73"/>
      <c r="AK40" s="73"/>
      <c r="AL40" s="73"/>
      <c r="AM40" s="73"/>
      <c r="AN40" s="73"/>
      <c r="AO40" s="73"/>
      <c r="AP40" s="73"/>
      <c r="AQ40" s="73"/>
      <c r="AR40" s="73"/>
      <c r="AS40" s="73"/>
      <c r="AT40" s="73"/>
      <c r="AV40" s="78"/>
      <c r="AW40" s="89"/>
      <c r="AX40" s="89"/>
      <c r="AY40" s="89"/>
      <c r="AZ40" s="89"/>
      <c r="BA40" s="89"/>
      <c r="BB40" s="89"/>
      <c r="BC40" s="89"/>
      <c r="BD40" s="89"/>
      <c r="BE40" s="89"/>
      <c r="BF40" s="89"/>
      <c r="BG40" s="89"/>
      <c r="BH40" s="89"/>
      <c r="BI40" s="89"/>
      <c r="BJ40" s="89"/>
      <c r="BK40" s="89"/>
      <c r="BL40" s="89"/>
      <c r="BM40" s="89"/>
      <c r="BN40" s="89"/>
      <c r="BO40" s="89"/>
      <c r="BP40" s="89"/>
      <c r="BQ40" s="89"/>
    </row>
    <row r="41" spans="2:69" x14ac:dyDescent="0.2">
      <c r="AW41" s="89"/>
      <c r="AX41" s="89"/>
      <c r="AY41" s="89"/>
      <c r="AZ41" s="89"/>
      <c r="BA41" s="89"/>
      <c r="BB41" s="89"/>
      <c r="BC41" s="89"/>
      <c r="BD41" s="89"/>
      <c r="BE41" s="89"/>
      <c r="BF41" s="89"/>
      <c r="BG41" s="89"/>
      <c r="BH41" s="89"/>
      <c r="BI41" s="89"/>
      <c r="BJ41" s="89"/>
      <c r="BK41" s="89"/>
      <c r="BL41" s="89"/>
      <c r="BM41" s="89"/>
      <c r="BN41" s="89"/>
      <c r="BO41" s="89"/>
      <c r="BP41" s="89"/>
      <c r="BQ41" s="89"/>
    </row>
    <row r="42" spans="2:69" x14ac:dyDescent="0.2">
      <c r="AW42" s="89"/>
      <c r="AX42" s="89"/>
      <c r="AY42" s="89"/>
      <c r="AZ42" s="89"/>
      <c r="BA42" s="89"/>
      <c r="BB42" s="89"/>
      <c r="BC42" s="89"/>
      <c r="BD42" s="89"/>
      <c r="BE42" s="89"/>
      <c r="BF42" s="89"/>
      <c r="BG42" s="89"/>
      <c r="BH42" s="89"/>
      <c r="BI42" s="89"/>
      <c r="BJ42" s="89"/>
      <c r="BK42" s="89"/>
      <c r="BL42" s="89"/>
      <c r="BM42" s="89"/>
      <c r="BN42" s="89"/>
      <c r="BO42" s="89"/>
      <c r="BP42" s="89"/>
      <c r="BQ42" s="89"/>
    </row>
    <row r="46" spans="2:69" x14ac:dyDescent="0.2">
      <c r="B46" s="25"/>
      <c r="C46" s="26" t="s">
        <v>42</v>
      </c>
      <c r="D46" s="25"/>
      <c r="E46" s="25"/>
      <c r="F46" s="25"/>
      <c r="G46" s="25"/>
      <c r="H46" s="25"/>
      <c r="I46" s="25"/>
      <c r="J46" s="26" t="s">
        <v>43</v>
      </c>
      <c r="K46" s="25"/>
      <c r="L46" s="25"/>
      <c r="M46" s="25"/>
      <c r="N46" s="25"/>
      <c r="O46" s="25"/>
      <c r="P46" s="25"/>
      <c r="Q46" s="26" t="s">
        <v>54</v>
      </c>
      <c r="R46" s="25"/>
      <c r="S46" s="25"/>
      <c r="T46" s="25"/>
      <c r="U46" s="25"/>
      <c r="V46" s="25"/>
      <c r="W46" s="25"/>
    </row>
    <row r="47" spans="2:69" x14ac:dyDescent="0.2">
      <c r="B47" s="25"/>
      <c r="C47" s="26" t="s">
        <v>33</v>
      </c>
      <c r="D47" s="26" t="s">
        <v>34</v>
      </c>
      <c r="E47" s="26" t="s">
        <v>35</v>
      </c>
      <c r="F47" s="26" t="s">
        <v>36</v>
      </c>
      <c r="G47" s="26" t="s">
        <v>37</v>
      </c>
      <c r="H47" s="26" t="s">
        <v>47</v>
      </c>
      <c r="I47" s="26" t="s">
        <v>58</v>
      </c>
      <c r="J47" s="26" t="s">
        <v>33</v>
      </c>
      <c r="K47" s="26" t="s">
        <v>34</v>
      </c>
      <c r="L47" s="26" t="s">
        <v>35</v>
      </c>
      <c r="M47" s="26" t="s">
        <v>36</v>
      </c>
      <c r="N47" s="26" t="s">
        <v>37</v>
      </c>
      <c r="O47" s="26" t="s">
        <v>47</v>
      </c>
      <c r="P47" s="26" t="s">
        <v>58</v>
      </c>
      <c r="Q47" s="26" t="s">
        <v>33</v>
      </c>
      <c r="R47" s="26" t="s">
        <v>34</v>
      </c>
      <c r="S47" s="26" t="s">
        <v>35</v>
      </c>
      <c r="T47" s="26" t="s">
        <v>36</v>
      </c>
      <c r="U47" s="26" t="s">
        <v>37</v>
      </c>
      <c r="V47" s="27" t="s">
        <v>47</v>
      </c>
      <c r="W47" s="27" t="s">
        <v>58</v>
      </c>
    </row>
    <row r="48" spans="2:69" x14ac:dyDescent="0.2">
      <c r="B48" s="26" t="s">
        <v>0</v>
      </c>
      <c r="C48" s="31">
        <v>3588</v>
      </c>
      <c r="D48" s="31">
        <v>3652</v>
      </c>
      <c r="E48" s="31">
        <v>4153</v>
      </c>
      <c r="F48" s="31">
        <v>4282</v>
      </c>
      <c r="G48" s="31">
        <v>4290</v>
      </c>
      <c r="H48" s="31">
        <v>19965</v>
      </c>
      <c r="I48" s="31">
        <v>25247</v>
      </c>
      <c r="J48" s="31">
        <v>5760</v>
      </c>
      <c r="K48" s="31">
        <v>5561</v>
      </c>
      <c r="L48" s="31">
        <v>5949</v>
      </c>
      <c r="M48" s="31">
        <v>5719</v>
      </c>
      <c r="N48" s="31">
        <v>5440</v>
      </c>
      <c r="O48" s="31">
        <v>28429</v>
      </c>
      <c r="P48" s="31">
        <v>34553</v>
      </c>
      <c r="Q48" s="31">
        <v>9348</v>
      </c>
      <c r="R48" s="31">
        <v>9213</v>
      </c>
      <c r="S48" s="31">
        <v>10102</v>
      </c>
      <c r="T48" s="31">
        <v>10001</v>
      </c>
      <c r="U48" s="31">
        <v>9730</v>
      </c>
      <c r="V48" s="31">
        <v>48394</v>
      </c>
      <c r="W48" s="31">
        <v>59800</v>
      </c>
    </row>
    <row r="49" spans="2:23" x14ac:dyDescent="0.2">
      <c r="B49" s="26" t="s">
        <v>1</v>
      </c>
      <c r="C49" s="31">
        <v>4112</v>
      </c>
      <c r="D49" s="31">
        <v>3694</v>
      </c>
      <c r="E49" s="31">
        <v>3739</v>
      </c>
      <c r="F49" s="31">
        <v>3427</v>
      </c>
      <c r="G49" s="31">
        <v>3087</v>
      </c>
      <c r="H49" s="31">
        <v>18059</v>
      </c>
      <c r="I49" s="31">
        <v>21963</v>
      </c>
      <c r="J49" s="31">
        <v>4006</v>
      </c>
      <c r="K49" s="31">
        <v>4044</v>
      </c>
      <c r="L49" s="31">
        <v>3726</v>
      </c>
      <c r="M49" s="31">
        <v>3307</v>
      </c>
      <c r="N49" s="31">
        <v>2829</v>
      </c>
      <c r="O49" s="31">
        <v>17912</v>
      </c>
      <c r="P49" s="31">
        <v>21142</v>
      </c>
      <c r="Q49" s="31">
        <v>8118</v>
      </c>
      <c r="R49" s="31">
        <v>7738</v>
      </c>
      <c r="S49" s="31">
        <v>7465</v>
      </c>
      <c r="T49" s="31">
        <v>6734</v>
      </c>
      <c r="U49" s="31">
        <v>5916</v>
      </c>
      <c r="V49" s="31">
        <v>35971</v>
      </c>
      <c r="W49" s="31">
        <v>43105</v>
      </c>
    </row>
    <row r="50" spans="2:23" x14ac:dyDescent="0.2">
      <c r="B50" s="26" t="s">
        <v>2</v>
      </c>
      <c r="C50" s="31">
        <v>4481</v>
      </c>
      <c r="D50" s="31">
        <v>3678</v>
      </c>
      <c r="E50" s="31">
        <v>3798</v>
      </c>
      <c r="F50" s="31">
        <v>3763</v>
      </c>
      <c r="G50" s="31">
        <v>3332</v>
      </c>
      <c r="H50" s="31">
        <v>19052</v>
      </c>
      <c r="I50" s="31">
        <v>23311</v>
      </c>
      <c r="J50" s="31">
        <v>1849</v>
      </c>
      <c r="K50" s="31">
        <v>1416</v>
      </c>
      <c r="L50" s="31">
        <v>1246</v>
      </c>
      <c r="M50" s="31">
        <v>1107</v>
      </c>
      <c r="N50" s="31">
        <v>865</v>
      </c>
      <c r="O50" s="31">
        <v>6483</v>
      </c>
      <c r="P50" s="31">
        <v>7459</v>
      </c>
      <c r="Q50" s="31">
        <v>6330</v>
      </c>
      <c r="R50" s="31">
        <v>5094</v>
      </c>
      <c r="S50" s="31">
        <v>5044</v>
      </c>
      <c r="T50" s="31">
        <v>4870</v>
      </c>
      <c r="U50" s="31">
        <v>4197</v>
      </c>
      <c r="V50" s="31">
        <v>25535</v>
      </c>
      <c r="W50" s="31">
        <v>30770</v>
      </c>
    </row>
    <row r="51" spans="2:23" x14ac:dyDescent="0.2">
      <c r="B51" s="26" t="s">
        <v>3</v>
      </c>
      <c r="C51" s="31">
        <v>798</v>
      </c>
      <c r="D51" s="31">
        <v>739</v>
      </c>
      <c r="E51" s="31">
        <v>921</v>
      </c>
      <c r="F51" s="31">
        <v>895</v>
      </c>
      <c r="G51" s="31">
        <v>794</v>
      </c>
      <c r="H51" s="31">
        <v>4147</v>
      </c>
      <c r="I51" s="31">
        <v>5025</v>
      </c>
      <c r="J51" s="31">
        <v>405</v>
      </c>
      <c r="K51" s="31">
        <v>397</v>
      </c>
      <c r="L51" s="31">
        <v>485</v>
      </c>
      <c r="M51" s="31">
        <v>440</v>
      </c>
      <c r="N51" s="31">
        <v>396</v>
      </c>
      <c r="O51" s="31">
        <v>2123</v>
      </c>
      <c r="P51" s="31">
        <v>2561</v>
      </c>
      <c r="Q51" s="31">
        <v>1203</v>
      </c>
      <c r="R51" s="31">
        <v>1136</v>
      </c>
      <c r="S51" s="31">
        <v>1406</v>
      </c>
      <c r="T51" s="31">
        <v>1335</v>
      </c>
      <c r="U51" s="31">
        <v>1190</v>
      </c>
      <c r="V51" s="31">
        <v>6270</v>
      </c>
      <c r="W51" s="31">
        <v>7586</v>
      </c>
    </row>
    <row r="52" spans="2:23" x14ac:dyDescent="0.2">
      <c r="B52" s="26" t="s">
        <v>4</v>
      </c>
      <c r="C52" s="31">
        <v>8557</v>
      </c>
      <c r="D52" s="31">
        <v>5148</v>
      </c>
      <c r="E52" s="31">
        <v>5240</v>
      </c>
      <c r="F52" s="31">
        <v>5338</v>
      </c>
      <c r="G52" s="31">
        <v>4800</v>
      </c>
      <c r="H52" s="31">
        <v>29083</v>
      </c>
      <c r="I52" s="31">
        <v>36844</v>
      </c>
      <c r="J52" s="31">
        <v>6700</v>
      </c>
      <c r="K52" s="31">
        <v>4256</v>
      </c>
      <c r="L52" s="31">
        <v>4055</v>
      </c>
      <c r="M52" s="31">
        <v>3609</v>
      </c>
      <c r="N52" s="31">
        <v>3193</v>
      </c>
      <c r="O52" s="31">
        <v>21813</v>
      </c>
      <c r="P52" s="31">
        <v>26052</v>
      </c>
      <c r="Q52" s="31">
        <v>15257</v>
      </c>
      <c r="R52" s="31">
        <v>9404</v>
      </c>
      <c r="S52" s="31">
        <v>9295</v>
      </c>
      <c r="T52" s="31">
        <v>8947</v>
      </c>
      <c r="U52" s="31">
        <v>7993</v>
      </c>
      <c r="V52" s="31">
        <v>50896</v>
      </c>
      <c r="W52" s="31">
        <v>62896</v>
      </c>
    </row>
    <row r="53" spans="2:23" x14ac:dyDescent="0.2">
      <c r="B53" s="26" t="s">
        <v>5</v>
      </c>
      <c r="C53" s="31">
        <v>1150</v>
      </c>
      <c r="D53" s="31">
        <v>566</v>
      </c>
      <c r="E53" s="31">
        <v>502</v>
      </c>
      <c r="F53" s="31">
        <v>328</v>
      </c>
      <c r="G53" s="31">
        <v>241</v>
      </c>
      <c r="H53" s="31">
        <v>2787</v>
      </c>
      <c r="I53" s="31">
        <v>3079</v>
      </c>
      <c r="J53" s="31">
        <v>741</v>
      </c>
      <c r="K53" s="31">
        <v>375</v>
      </c>
      <c r="L53" s="31">
        <v>269</v>
      </c>
      <c r="M53" s="31">
        <v>184</v>
      </c>
      <c r="N53" s="31">
        <v>116</v>
      </c>
      <c r="O53" s="31">
        <v>1685</v>
      </c>
      <c r="P53" s="31">
        <v>1833</v>
      </c>
      <c r="Q53" s="31">
        <v>1891</v>
      </c>
      <c r="R53" s="31">
        <v>941</v>
      </c>
      <c r="S53" s="31">
        <v>771</v>
      </c>
      <c r="T53" s="31">
        <v>512</v>
      </c>
      <c r="U53" s="31">
        <v>357</v>
      </c>
      <c r="V53" s="31">
        <v>4472</v>
      </c>
      <c r="W53" s="31">
        <v>4912</v>
      </c>
    </row>
    <row r="54" spans="2:23" x14ac:dyDescent="0.2">
      <c r="B54" s="26" t="s">
        <v>6</v>
      </c>
      <c r="C54" s="31">
        <v>963</v>
      </c>
      <c r="D54" s="31">
        <v>1574</v>
      </c>
      <c r="E54" s="31">
        <v>2226</v>
      </c>
      <c r="F54" s="31">
        <v>2377</v>
      </c>
      <c r="G54" s="31">
        <v>2001</v>
      </c>
      <c r="H54" s="31">
        <v>9141</v>
      </c>
      <c r="I54" s="31">
        <v>10916</v>
      </c>
      <c r="J54" s="31">
        <v>1204</v>
      </c>
      <c r="K54" s="31">
        <v>1516</v>
      </c>
      <c r="L54" s="31">
        <v>1795</v>
      </c>
      <c r="M54" s="31">
        <v>1560</v>
      </c>
      <c r="N54" s="31">
        <v>1178</v>
      </c>
      <c r="O54" s="31">
        <v>7253</v>
      </c>
      <c r="P54" s="31">
        <v>8063</v>
      </c>
      <c r="Q54" s="31">
        <v>2167</v>
      </c>
      <c r="R54" s="31">
        <v>3090</v>
      </c>
      <c r="S54" s="31">
        <v>4021</v>
      </c>
      <c r="T54" s="31">
        <v>3937</v>
      </c>
      <c r="U54" s="31">
        <v>3179</v>
      </c>
      <c r="V54" s="31">
        <v>16394</v>
      </c>
      <c r="W54" s="31">
        <v>18979</v>
      </c>
    </row>
    <row r="55" spans="2:23" x14ac:dyDescent="0.2">
      <c r="B55" s="2" t="s">
        <v>168</v>
      </c>
      <c r="C55" s="31">
        <v>641</v>
      </c>
      <c r="D55" s="31">
        <v>905</v>
      </c>
      <c r="E55" s="31">
        <v>1182</v>
      </c>
      <c r="F55" s="31">
        <v>1278</v>
      </c>
      <c r="G55" s="31">
        <v>1135</v>
      </c>
      <c r="H55" s="31">
        <v>5141</v>
      </c>
      <c r="I55" s="31">
        <v>6622</v>
      </c>
      <c r="J55" s="31">
        <v>72</v>
      </c>
      <c r="K55" s="31">
        <v>87</v>
      </c>
      <c r="L55" s="31">
        <v>126</v>
      </c>
      <c r="M55" s="31">
        <v>131</v>
      </c>
      <c r="N55" s="31">
        <v>110</v>
      </c>
      <c r="O55" s="31">
        <v>526</v>
      </c>
      <c r="P55" s="31">
        <v>697</v>
      </c>
      <c r="Q55" s="31">
        <v>713</v>
      </c>
      <c r="R55" s="31">
        <v>992</v>
      </c>
      <c r="S55" s="31">
        <v>1308</v>
      </c>
      <c r="T55" s="31">
        <v>1409</v>
      </c>
      <c r="U55" s="31">
        <v>1245</v>
      </c>
      <c r="V55" s="31">
        <v>5667</v>
      </c>
      <c r="W55" s="31">
        <v>7319</v>
      </c>
    </row>
    <row r="56" spans="2:23" x14ac:dyDescent="0.2">
      <c r="B56" s="26" t="s">
        <v>8</v>
      </c>
      <c r="C56" s="31">
        <v>351</v>
      </c>
      <c r="D56" s="31">
        <v>970</v>
      </c>
      <c r="E56" s="31">
        <v>1719</v>
      </c>
      <c r="F56" s="31">
        <v>2285</v>
      </c>
      <c r="G56" s="31">
        <v>2313</v>
      </c>
      <c r="H56" s="31">
        <v>7638</v>
      </c>
      <c r="I56" s="31">
        <v>10169</v>
      </c>
      <c r="J56" s="31">
        <v>355</v>
      </c>
      <c r="K56" s="31">
        <v>759</v>
      </c>
      <c r="L56" s="31">
        <v>1039</v>
      </c>
      <c r="M56" s="31">
        <v>1332</v>
      </c>
      <c r="N56" s="31">
        <v>1239</v>
      </c>
      <c r="O56" s="31">
        <v>4724</v>
      </c>
      <c r="P56" s="31">
        <v>5888</v>
      </c>
      <c r="Q56" s="31">
        <v>706</v>
      </c>
      <c r="R56" s="31">
        <v>1729</v>
      </c>
      <c r="S56" s="31">
        <v>2758</v>
      </c>
      <c r="T56" s="31">
        <v>3617</v>
      </c>
      <c r="U56" s="31">
        <v>3552</v>
      </c>
      <c r="V56" s="31">
        <v>12362</v>
      </c>
      <c r="W56" s="31">
        <v>16057</v>
      </c>
    </row>
    <row r="57" spans="2:23" x14ac:dyDescent="0.2">
      <c r="B57" s="26" t="s">
        <v>9</v>
      </c>
      <c r="C57" s="31">
        <v>3</v>
      </c>
      <c r="D57" s="31">
        <v>3</v>
      </c>
      <c r="E57" s="31">
        <v>9</v>
      </c>
      <c r="F57" s="31">
        <v>9</v>
      </c>
      <c r="G57" s="31">
        <v>15</v>
      </c>
      <c r="H57" s="31">
        <v>39</v>
      </c>
      <c r="I57" s="31">
        <v>48</v>
      </c>
      <c r="J57" s="31">
        <v>72</v>
      </c>
      <c r="K57" s="31">
        <v>75</v>
      </c>
      <c r="L57" s="31">
        <v>78</v>
      </c>
      <c r="M57" s="31">
        <v>72</v>
      </c>
      <c r="N57" s="31">
        <v>53</v>
      </c>
      <c r="O57" s="31">
        <v>350</v>
      </c>
      <c r="P57" s="31">
        <v>387</v>
      </c>
      <c r="Q57" s="31">
        <v>75</v>
      </c>
      <c r="R57" s="31">
        <v>78</v>
      </c>
      <c r="S57" s="31">
        <v>87</v>
      </c>
      <c r="T57" s="31">
        <v>81</v>
      </c>
      <c r="U57" s="31">
        <v>68</v>
      </c>
      <c r="V57" s="31">
        <v>389</v>
      </c>
      <c r="W57" s="31">
        <v>435</v>
      </c>
    </row>
    <row r="58" spans="2:23" x14ac:dyDescent="0.2">
      <c r="B58" s="26" t="s">
        <v>10</v>
      </c>
      <c r="C58" s="31">
        <v>285</v>
      </c>
      <c r="D58" s="31">
        <v>396</v>
      </c>
      <c r="E58" s="31">
        <v>631</v>
      </c>
      <c r="F58" s="31">
        <v>872</v>
      </c>
      <c r="G58" s="31">
        <v>871</v>
      </c>
      <c r="H58" s="31">
        <v>3055</v>
      </c>
      <c r="I58" s="31">
        <v>4495</v>
      </c>
      <c r="J58" s="31">
        <v>187</v>
      </c>
      <c r="K58" s="31">
        <v>293</v>
      </c>
      <c r="L58" s="31">
        <v>357</v>
      </c>
      <c r="M58" s="31">
        <v>497</v>
      </c>
      <c r="N58" s="31">
        <v>555</v>
      </c>
      <c r="O58" s="31">
        <v>1889</v>
      </c>
      <c r="P58" s="31">
        <v>2710</v>
      </c>
      <c r="Q58" s="31">
        <v>472</v>
      </c>
      <c r="R58" s="31">
        <v>689</v>
      </c>
      <c r="S58" s="31">
        <v>988</v>
      </c>
      <c r="T58" s="31">
        <v>1369</v>
      </c>
      <c r="U58" s="31">
        <v>1426</v>
      </c>
      <c r="V58" s="31">
        <v>4944</v>
      </c>
      <c r="W58" s="31">
        <v>7205</v>
      </c>
    </row>
    <row r="59" spans="2:23" x14ac:dyDescent="0.2">
      <c r="B59" s="26" t="s">
        <v>11</v>
      </c>
      <c r="C59" s="31">
        <v>2106</v>
      </c>
      <c r="D59" s="31">
        <v>3656</v>
      </c>
      <c r="E59" s="31">
        <v>4603</v>
      </c>
      <c r="F59" s="31">
        <v>4363</v>
      </c>
      <c r="G59" s="31">
        <v>3244</v>
      </c>
      <c r="H59" s="31">
        <v>17972</v>
      </c>
      <c r="I59" s="31">
        <v>21007</v>
      </c>
      <c r="J59" s="31">
        <v>1955</v>
      </c>
      <c r="K59" s="31">
        <v>2899</v>
      </c>
      <c r="L59" s="31">
        <v>3407</v>
      </c>
      <c r="M59" s="31">
        <v>3006</v>
      </c>
      <c r="N59" s="31">
        <v>2149</v>
      </c>
      <c r="O59" s="31">
        <v>13416</v>
      </c>
      <c r="P59" s="31">
        <v>15547</v>
      </c>
      <c r="Q59" s="31">
        <v>4061</v>
      </c>
      <c r="R59" s="31">
        <v>6555</v>
      </c>
      <c r="S59" s="31">
        <v>8010</v>
      </c>
      <c r="T59" s="31">
        <v>7369</v>
      </c>
      <c r="U59" s="31">
        <v>5393</v>
      </c>
      <c r="V59" s="31">
        <v>31388</v>
      </c>
      <c r="W59" s="31">
        <v>36554</v>
      </c>
    </row>
    <row r="60" spans="2:23" x14ac:dyDescent="0.2">
      <c r="B60" s="26" t="s">
        <v>12</v>
      </c>
      <c r="C60" s="31">
        <v>2273</v>
      </c>
      <c r="D60" s="31">
        <v>2052</v>
      </c>
      <c r="E60" s="31">
        <v>2159</v>
      </c>
      <c r="F60" s="31">
        <v>1915</v>
      </c>
      <c r="G60" s="31">
        <v>1470</v>
      </c>
      <c r="H60" s="31">
        <v>9869</v>
      </c>
      <c r="I60" s="31">
        <v>11460</v>
      </c>
      <c r="J60" s="31">
        <v>1232</v>
      </c>
      <c r="K60" s="31">
        <v>1028</v>
      </c>
      <c r="L60" s="31">
        <v>957</v>
      </c>
      <c r="M60" s="31">
        <v>833</v>
      </c>
      <c r="N60" s="31">
        <v>644</v>
      </c>
      <c r="O60" s="31">
        <v>4694</v>
      </c>
      <c r="P60" s="31">
        <v>5379</v>
      </c>
      <c r="Q60" s="31">
        <v>3505</v>
      </c>
      <c r="R60" s="31">
        <v>3080</v>
      </c>
      <c r="S60" s="31">
        <v>3116</v>
      </c>
      <c r="T60" s="31">
        <v>2748</v>
      </c>
      <c r="U60" s="31">
        <v>2114</v>
      </c>
      <c r="V60" s="31">
        <v>14563</v>
      </c>
      <c r="W60" s="31">
        <v>16839</v>
      </c>
    </row>
    <row r="61" spans="2:23" x14ac:dyDescent="0.2">
      <c r="B61" s="26" t="s">
        <v>13</v>
      </c>
      <c r="C61" s="31">
        <v>2947</v>
      </c>
      <c r="D61" s="31">
        <v>2961</v>
      </c>
      <c r="E61" s="31">
        <v>3336</v>
      </c>
      <c r="F61" s="31">
        <v>2948</v>
      </c>
      <c r="G61" s="31">
        <v>2302</v>
      </c>
      <c r="H61" s="31">
        <v>14494</v>
      </c>
      <c r="I61" s="31">
        <v>16467</v>
      </c>
      <c r="J61" s="31">
        <v>3394</v>
      </c>
      <c r="K61" s="31">
        <v>2696</v>
      </c>
      <c r="L61" s="31">
        <v>2657</v>
      </c>
      <c r="M61" s="31">
        <v>2252</v>
      </c>
      <c r="N61" s="31">
        <v>1500</v>
      </c>
      <c r="O61" s="31">
        <v>12499</v>
      </c>
      <c r="P61" s="31">
        <v>13804</v>
      </c>
      <c r="Q61" s="31">
        <v>6341</v>
      </c>
      <c r="R61" s="31">
        <v>5657</v>
      </c>
      <c r="S61" s="31">
        <v>5993</v>
      </c>
      <c r="T61" s="31">
        <v>5200</v>
      </c>
      <c r="U61" s="31">
        <v>3802</v>
      </c>
      <c r="V61" s="31">
        <v>26993</v>
      </c>
      <c r="W61" s="31">
        <v>30271</v>
      </c>
    </row>
    <row r="62" spans="2:23" x14ac:dyDescent="0.2">
      <c r="B62" s="26" t="s">
        <v>14</v>
      </c>
      <c r="C62" s="31">
        <v>1430</v>
      </c>
      <c r="D62" s="31">
        <v>1394</v>
      </c>
      <c r="E62" s="31">
        <v>1391</v>
      </c>
      <c r="F62" s="31">
        <v>1070</v>
      </c>
      <c r="G62" s="31">
        <v>730</v>
      </c>
      <c r="H62" s="31">
        <v>6015</v>
      </c>
      <c r="I62" s="31">
        <v>6755</v>
      </c>
      <c r="J62" s="31">
        <v>1293</v>
      </c>
      <c r="K62" s="31">
        <v>1142</v>
      </c>
      <c r="L62" s="31">
        <v>1028</v>
      </c>
      <c r="M62" s="31">
        <v>762</v>
      </c>
      <c r="N62" s="31">
        <v>580</v>
      </c>
      <c r="O62" s="31">
        <v>4805</v>
      </c>
      <c r="P62" s="31">
        <v>5452</v>
      </c>
      <c r="Q62" s="31">
        <v>2723</v>
      </c>
      <c r="R62" s="31">
        <v>2536</v>
      </c>
      <c r="S62" s="31">
        <v>2419</v>
      </c>
      <c r="T62" s="31">
        <v>1832</v>
      </c>
      <c r="U62" s="31">
        <v>1310</v>
      </c>
      <c r="V62" s="31">
        <v>10820</v>
      </c>
      <c r="W62" s="31">
        <v>12207</v>
      </c>
    </row>
    <row r="63" spans="2:23" x14ac:dyDescent="0.2">
      <c r="B63" s="26" t="s">
        <v>15</v>
      </c>
      <c r="C63" s="31">
        <v>3495</v>
      </c>
      <c r="D63" s="31">
        <v>4634</v>
      </c>
      <c r="E63" s="31">
        <v>5285</v>
      </c>
      <c r="F63" s="31">
        <v>4123</v>
      </c>
      <c r="G63" s="31">
        <v>2518</v>
      </c>
      <c r="H63" s="31">
        <v>20055</v>
      </c>
      <c r="I63" s="31">
        <v>21781</v>
      </c>
      <c r="J63" s="31">
        <v>4368</v>
      </c>
      <c r="K63" s="31">
        <v>5373</v>
      </c>
      <c r="L63" s="31">
        <v>5481</v>
      </c>
      <c r="M63" s="31">
        <v>4244</v>
      </c>
      <c r="N63" s="31">
        <v>2511</v>
      </c>
      <c r="O63" s="31">
        <v>21977</v>
      </c>
      <c r="P63" s="31">
        <v>23627</v>
      </c>
      <c r="Q63" s="31">
        <v>7863</v>
      </c>
      <c r="R63" s="31">
        <v>10007</v>
      </c>
      <c r="S63" s="31">
        <v>10766</v>
      </c>
      <c r="T63" s="31">
        <v>8367</v>
      </c>
      <c r="U63" s="31">
        <v>5029</v>
      </c>
      <c r="V63" s="31">
        <v>42032</v>
      </c>
      <c r="W63" s="31">
        <v>45408</v>
      </c>
    </row>
    <row r="64" spans="2:23" x14ac:dyDescent="0.2">
      <c r="B64" s="26" t="s">
        <v>16</v>
      </c>
      <c r="C64" s="31">
        <v>980</v>
      </c>
      <c r="D64" s="31">
        <v>1177</v>
      </c>
      <c r="E64" s="31">
        <v>1561</v>
      </c>
      <c r="F64" s="31">
        <v>1593</v>
      </c>
      <c r="G64" s="31">
        <v>1509</v>
      </c>
      <c r="H64" s="31">
        <v>6820</v>
      </c>
      <c r="I64" s="31">
        <v>8897</v>
      </c>
      <c r="J64" s="31">
        <v>1837</v>
      </c>
      <c r="K64" s="31">
        <v>1931</v>
      </c>
      <c r="L64" s="31">
        <v>2209</v>
      </c>
      <c r="M64" s="31">
        <v>2240</v>
      </c>
      <c r="N64" s="31">
        <v>1881</v>
      </c>
      <c r="O64" s="31">
        <v>10098</v>
      </c>
      <c r="P64" s="31">
        <v>12592</v>
      </c>
      <c r="Q64" s="31">
        <v>2817</v>
      </c>
      <c r="R64" s="31">
        <v>3108</v>
      </c>
      <c r="S64" s="31">
        <v>3770</v>
      </c>
      <c r="T64" s="31">
        <v>3833</v>
      </c>
      <c r="U64" s="31">
        <v>3390</v>
      </c>
      <c r="V64" s="31">
        <v>16918</v>
      </c>
      <c r="W64" s="31">
        <v>21489</v>
      </c>
    </row>
    <row r="65" spans="2:23" x14ac:dyDescent="0.2">
      <c r="B65" s="26" t="s">
        <v>17</v>
      </c>
      <c r="C65" s="31">
        <v>1645</v>
      </c>
      <c r="D65" s="31">
        <v>2576</v>
      </c>
      <c r="E65" s="31">
        <v>3592</v>
      </c>
      <c r="F65" s="31">
        <v>4254</v>
      </c>
      <c r="G65" s="31">
        <v>3863</v>
      </c>
      <c r="H65" s="31">
        <v>15930</v>
      </c>
      <c r="I65" s="31">
        <v>21173</v>
      </c>
      <c r="J65" s="31">
        <v>7266</v>
      </c>
      <c r="K65" s="31">
        <v>8158</v>
      </c>
      <c r="L65" s="31">
        <v>9696</v>
      </c>
      <c r="M65" s="31">
        <v>9027</v>
      </c>
      <c r="N65" s="31">
        <v>7464</v>
      </c>
      <c r="O65" s="31">
        <v>41611</v>
      </c>
      <c r="P65" s="31">
        <v>50393</v>
      </c>
      <c r="Q65" s="31">
        <v>8911</v>
      </c>
      <c r="R65" s="31">
        <v>10734</v>
      </c>
      <c r="S65" s="31">
        <v>13288</v>
      </c>
      <c r="T65" s="31">
        <v>13281</v>
      </c>
      <c r="U65" s="31">
        <v>11327</v>
      </c>
      <c r="V65" s="31">
        <v>57541</v>
      </c>
      <c r="W65" s="31">
        <v>71566</v>
      </c>
    </row>
    <row r="66" spans="2:23" x14ac:dyDescent="0.2">
      <c r="B66" s="26" t="s">
        <v>18</v>
      </c>
      <c r="C66" s="31">
        <v>1000</v>
      </c>
      <c r="D66" s="31">
        <v>1476</v>
      </c>
      <c r="E66" s="31">
        <v>1818</v>
      </c>
      <c r="F66" s="31">
        <v>1707</v>
      </c>
      <c r="G66" s="31">
        <v>1502</v>
      </c>
      <c r="H66" s="31">
        <v>7503</v>
      </c>
      <c r="I66" s="31">
        <v>9148</v>
      </c>
      <c r="J66" s="31">
        <v>4640</v>
      </c>
      <c r="K66" s="31">
        <v>4848</v>
      </c>
      <c r="L66" s="31">
        <v>5082</v>
      </c>
      <c r="M66" s="31">
        <v>4596</v>
      </c>
      <c r="N66" s="31">
        <v>3343</v>
      </c>
      <c r="O66" s="31">
        <v>22509</v>
      </c>
      <c r="P66" s="31">
        <v>25980</v>
      </c>
      <c r="Q66" s="31">
        <v>5640</v>
      </c>
      <c r="R66" s="31">
        <v>6324</v>
      </c>
      <c r="S66" s="31">
        <v>6900</v>
      </c>
      <c r="T66" s="31">
        <v>6303</v>
      </c>
      <c r="U66" s="31">
        <v>4845</v>
      </c>
      <c r="V66" s="31">
        <v>30012</v>
      </c>
      <c r="W66" s="31">
        <v>35128</v>
      </c>
    </row>
    <row r="67" spans="2:23" x14ac:dyDescent="0.2">
      <c r="B67" s="26" t="s">
        <v>19</v>
      </c>
      <c r="C67" s="31">
        <v>469</v>
      </c>
      <c r="D67" s="31">
        <v>585</v>
      </c>
      <c r="E67" s="31">
        <v>733</v>
      </c>
      <c r="F67" s="31">
        <v>729</v>
      </c>
      <c r="G67" s="31">
        <v>642</v>
      </c>
      <c r="H67" s="31">
        <v>3158</v>
      </c>
      <c r="I67" s="31">
        <v>4056</v>
      </c>
      <c r="J67" s="31">
        <v>600</v>
      </c>
      <c r="K67" s="31">
        <v>783</v>
      </c>
      <c r="L67" s="31">
        <v>865</v>
      </c>
      <c r="M67" s="31">
        <v>840</v>
      </c>
      <c r="N67" s="31">
        <v>708</v>
      </c>
      <c r="O67" s="31">
        <v>3796</v>
      </c>
      <c r="P67" s="31">
        <v>4756</v>
      </c>
      <c r="Q67" s="31">
        <v>1069</v>
      </c>
      <c r="R67" s="31">
        <v>1368</v>
      </c>
      <c r="S67" s="31">
        <v>1598</v>
      </c>
      <c r="T67" s="31">
        <v>1569</v>
      </c>
      <c r="U67" s="31">
        <v>1350</v>
      </c>
      <c r="V67" s="31">
        <v>6954</v>
      </c>
      <c r="W67" s="31">
        <v>8812</v>
      </c>
    </row>
    <row r="68" spans="2:23" x14ac:dyDescent="0.2">
      <c r="B68" s="26" t="s">
        <v>20</v>
      </c>
      <c r="C68" s="31">
        <v>2395</v>
      </c>
      <c r="D68" s="31">
        <v>2686</v>
      </c>
      <c r="E68" s="31">
        <v>3658</v>
      </c>
      <c r="F68" s="31">
        <v>3356</v>
      </c>
      <c r="G68" s="31">
        <v>2309</v>
      </c>
      <c r="H68" s="31">
        <v>14404</v>
      </c>
      <c r="I68" s="31">
        <v>16308</v>
      </c>
      <c r="J68" s="31">
        <v>7445</v>
      </c>
      <c r="K68" s="31">
        <v>7882</v>
      </c>
      <c r="L68" s="31">
        <v>8547</v>
      </c>
      <c r="M68" s="31">
        <v>6232</v>
      </c>
      <c r="N68" s="31">
        <v>3416</v>
      </c>
      <c r="O68" s="31">
        <v>33522</v>
      </c>
      <c r="P68" s="31">
        <v>35838</v>
      </c>
      <c r="Q68" s="31">
        <v>9840</v>
      </c>
      <c r="R68" s="31">
        <v>10568</v>
      </c>
      <c r="S68" s="31">
        <v>12205</v>
      </c>
      <c r="T68" s="31">
        <v>9588</v>
      </c>
      <c r="U68" s="31">
        <v>5725</v>
      </c>
      <c r="V68" s="31">
        <v>47926</v>
      </c>
      <c r="W68" s="31">
        <v>52146</v>
      </c>
    </row>
    <row r="69" spans="2:23" x14ac:dyDescent="0.2">
      <c r="B69" s="26" t="s">
        <v>21</v>
      </c>
      <c r="C69" s="31">
        <v>648</v>
      </c>
      <c r="D69" s="31">
        <v>1141</v>
      </c>
      <c r="E69" s="31">
        <v>1477</v>
      </c>
      <c r="F69" s="31">
        <v>1027</v>
      </c>
      <c r="G69" s="31">
        <v>508</v>
      </c>
      <c r="H69" s="31">
        <v>4801</v>
      </c>
      <c r="I69" s="31">
        <v>5059</v>
      </c>
      <c r="J69" s="31">
        <v>2064</v>
      </c>
      <c r="K69" s="31">
        <v>3058</v>
      </c>
      <c r="L69" s="31">
        <v>3100</v>
      </c>
      <c r="M69" s="31">
        <v>1857</v>
      </c>
      <c r="N69" s="31">
        <v>727</v>
      </c>
      <c r="O69" s="31">
        <v>10806</v>
      </c>
      <c r="P69" s="31">
        <v>11156</v>
      </c>
      <c r="Q69" s="31">
        <v>2712</v>
      </c>
      <c r="R69" s="31">
        <v>4199</v>
      </c>
      <c r="S69" s="31">
        <v>4577</v>
      </c>
      <c r="T69" s="31">
        <v>2884</v>
      </c>
      <c r="U69" s="31">
        <v>1235</v>
      </c>
      <c r="V69" s="31">
        <v>15607</v>
      </c>
      <c r="W69" s="31">
        <v>16215</v>
      </c>
    </row>
    <row r="70" spans="2:23" x14ac:dyDescent="0.2">
      <c r="B70" s="26" t="s">
        <v>22</v>
      </c>
      <c r="C70" s="31">
        <v>3770</v>
      </c>
      <c r="D70" s="31">
        <v>5295</v>
      </c>
      <c r="E70" s="31">
        <v>7007</v>
      </c>
      <c r="F70" s="31">
        <v>6193</v>
      </c>
      <c r="G70" s="31">
        <v>3524</v>
      </c>
      <c r="H70" s="31">
        <v>25789</v>
      </c>
      <c r="I70" s="31">
        <v>27369</v>
      </c>
      <c r="J70" s="31">
        <v>9533</v>
      </c>
      <c r="K70" s="31">
        <v>13140</v>
      </c>
      <c r="L70" s="31">
        <v>16380</v>
      </c>
      <c r="M70" s="31">
        <v>13173</v>
      </c>
      <c r="N70" s="31">
        <v>6376</v>
      </c>
      <c r="O70" s="31">
        <v>58602</v>
      </c>
      <c r="P70" s="31">
        <v>61172</v>
      </c>
      <c r="Q70" s="31">
        <v>13303</v>
      </c>
      <c r="R70" s="31">
        <v>18435</v>
      </c>
      <c r="S70" s="31">
        <v>23387</v>
      </c>
      <c r="T70" s="31">
        <v>19366</v>
      </c>
      <c r="U70" s="31">
        <v>9900</v>
      </c>
      <c r="V70" s="31">
        <v>84391</v>
      </c>
      <c r="W70" s="31">
        <v>88541</v>
      </c>
    </row>
    <row r="71" spans="2:23" x14ac:dyDescent="0.2">
      <c r="B71" s="26" t="s">
        <v>51</v>
      </c>
      <c r="C71" s="31">
        <v>1256</v>
      </c>
      <c r="D71" s="31">
        <v>2764</v>
      </c>
      <c r="E71" s="31">
        <v>3833</v>
      </c>
      <c r="F71" s="31">
        <v>3239</v>
      </c>
      <c r="G71" s="31">
        <v>1826</v>
      </c>
      <c r="H71" s="31">
        <v>12918</v>
      </c>
      <c r="I71" s="31">
        <v>14138</v>
      </c>
      <c r="J71" s="31">
        <v>2394</v>
      </c>
      <c r="K71" s="31">
        <v>4199</v>
      </c>
      <c r="L71" s="31">
        <v>4702</v>
      </c>
      <c r="M71" s="31">
        <v>3206</v>
      </c>
      <c r="N71" s="31">
        <v>1500</v>
      </c>
      <c r="O71" s="31">
        <v>16001</v>
      </c>
      <c r="P71" s="31">
        <v>16918</v>
      </c>
      <c r="Q71" s="31">
        <v>3650</v>
      </c>
      <c r="R71" s="31">
        <v>6963</v>
      </c>
      <c r="S71" s="31">
        <v>8535</v>
      </c>
      <c r="T71" s="31">
        <v>6445</v>
      </c>
      <c r="U71" s="31">
        <v>3326</v>
      </c>
      <c r="V71" s="31">
        <v>28919</v>
      </c>
      <c r="W71" s="31">
        <v>31056</v>
      </c>
    </row>
    <row r="72" spans="2:23" x14ac:dyDescent="0.2">
      <c r="B72" s="26" t="s">
        <v>23</v>
      </c>
      <c r="C72" s="31">
        <v>583</v>
      </c>
      <c r="D72" s="31">
        <v>1545</v>
      </c>
      <c r="E72" s="31">
        <v>2070</v>
      </c>
      <c r="F72" s="31">
        <v>1213</v>
      </c>
      <c r="G72" s="31">
        <v>425</v>
      </c>
      <c r="H72" s="31">
        <v>5836</v>
      </c>
      <c r="I72" s="31">
        <v>6108</v>
      </c>
      <c r="J72" s="31">
        <v>1061</v>
      </c>
      <c r="K72" s="31">
        <v>2295</v>
      </c>
      <c r="L72" s="31">
        <v>2423</v>
      </c>
      <c r="M72" s="31">
        <v>1311</v>
      </c>
      <c r="N72" s="31">
        <v>456</v>
      </c>
      <c r="O72" s="31">
        <v>7546</v>
      </c>
      <c r="P72" s="31">
        <v>7847</v>
      </c>
      <c r="Q72" s="31">
        <v>1644</v>
      </c>
      <c r="R72" s="31">
        <v>3840</v>
      </c>
      <c r="S72" s="31">
        <v>4493</v>
      </c>
      <c r="T72" s="31">
        <v>2524</v>
      </c>
      <c r="U72" s="31">
        <v>881</v>
      </c>
      <c r="V72" s="31">
        <v>13382</v>
      </c>
      <c r="W72" s="31">
        <v>13955</v>
      </c>
    </row>
    <row r="73" spans="2:23" x14ac:dyDescent="0.2">
      <c r="B73" s="26" t="s">
        <v>24</v>
      </c>
      <c r="C73" s="31">
        <v>1240</v>
      </c>
      <c r="D73" s="31">
        <v>841</v>
      </c>
      <c r="E73" s="31">
        <v>867</v>
      </c>
      <c r="F73" s="31">
        <v>711</v>
      </c>
      <c r="G73" s="31">
        <v>491</v>
      </c>
      <c r="H73" s="31">
        <v>4150</v>
      </c>
      <c r="I73" s="31">
        <v>4602</v>
      </c>
      <c r="J73" s="31">
        <v>2724</v>
      </c>
      <c r="K73" s="31">
        <v>2253</v>
      </c>
      <c r="L73" s="31">
        <v>2095</v>
      </c>
      <c r="M73" s="31">
        <v>1752</v>
      </c>
      <c r="N73" s="31">
        <v>1300</v>
      </c>
      <c r="O73" s="31">
        <v>10124</v>
      </c>
      <c r="P73" s="31">
        <v>11262</v>
      </c>
      <c r="Q73" s="31">
        <v>3964</v>
      </c>
      <c r="R73" s="31">
        <v>3094</v>
      </c>
      <c r="S73" s="31">
        <v>2962</v>
      </c>
      <c r="T73" s="31">
        <v>2463</v>
      </c>
      <c r="U73" s="31">
        <v>1791</v>
      </c>
      <c r="V73" s="31">
        <v>14274</v>
      </c>
      <c r="W73" s="31">
        <v>15864</v>
      </c>
    </row>
    <row r="74" spans="2:23" x14ac:dyDescent="0.2">
      <c r="B74" s="26" t="s">
        <v>25</v>
      </c>
      <c r="C74" s="31">
        <v>551</v>
      </c>
      <c r="D74" s="31">
        <v>512</v>
      </c>
      <c r="E74" s="31">
        <v>455</v>
      </c>
      <c r="F74" s="31">
        <v>359</v>
      </c>
      <c r="G74" s="31">
        <v>255</v>
      </c>
      <c r="H74" s="31">
        <v>2132</v>
      </c>
      <c r="I74" s="31">
        <v>2339</v>
      </c>
      <c r="J74" s="31">
        <v>945</v>
      </c>
      <c r="K74" s="31">
        <v>899</v>
      </c>
      <c r="L74" s="31">
        <v>867</v>
      </c>
      <c r="M74" s="31">
        <v>693</v>
      </c>
      <c r="N74" s="31">
        <v>499</v>
      </c>
      <c r="O74" s="31">
        <v>3903</v>
      </c>
      <c r="P74" s="31">
        <v>4280</v>
      </c>
      <c r="Q74" s="31">
        <v>1496</v>
      </c>
      <c r="R74" s="31">
        <v>1411</v>
      </c>
      <c r="S74" s="31">
        <v>1322</v>
      </c>
      <c r="T74" s="31">
        <v>1052</v>
      </c>
      <c r="U74" s="31">
        <v>754</v>
      </c>
      <c r="V74" s="31">
        <v>6035</v>
      </c>
      <c r="W74" s="31">
        <v>6619</v>
      </c>
    </row>
    <row r="75" spans="2:23" x14ac:dyDescent="0.2">
      <c r="B75" s="26" t="s">
        <v>26</v>
      </c>
      <c r="C75" s="31">
        <v>432</v>
      </c>
      <c r="D75" s="31">
        <v>401</v>
      </c>
      <c r="E75" s="31">
        <v>360</v>
      </c>
      <c r="F75" s="31">
        <v>300</v>
      </c>
      <c r="G75" s="31">
        <v>193</v>
      </c>
      <c r="H75" s="31">
        <v>1686</v>
      </c>
      <c r="I75" s="31">
        <v>1835</v>
      </c>
      <c r="J75" s="31">
        <v>991</v>
      </c>
      <c r="K75" s="31">
        <v>900</v>
      </c>
      <c r="L75" s="31">
        <v>938</v>
      </c>
      <c r="M75" s="31">
        <v>809</v>
      </c>
      <c r="N75" s="31">
        <v>554</v>
      </c>
      <c r="O75" s="31">
        <v>4192</v>
      </c>
      <c r="P75" s="31">
        <v>4622</v>
      </c>
      <c r="Q75" s="31">
        <v>1423</v>
      </c>
      <c r="R75" s="31">
        <v>1301</v>
      </c>
      <c r="S75" s="31">
        <v>1298</v>
      </c>
      <c r="T75" s="31">
        <v>1109</v>
      </c>
      <c r="U75" s="31">
        <v>747</v>
      </c>
      <c r="V75" s="31">
        <v>5878</v>
      </c>
      <c r="W75" s="31">
        <v>6457</v>
      </c>
    </row>
    <row r="76" spans="2:23" x14ac:dyDescent="0.2">
      <c r="B76" s="26" t="s">
        <v>27</v>
      </c>
      <c r="C76" s="31">
        <v>788</v>
      </c>
      <c r="D76" s="31">
        <v>316</v>
      </c>
      <c r="E76" s="31">
        <v>142</v>
      </c>
      <c r="F76" s="31">
        <v>112</v>
      </c>
      <c r="G76" s="31">
        <v>54</v>
      </c>
      <c r="H76" s="31">
        <v>1412</v>
      </c>
      <c r="I76" s="31">
        <v>1538</v>
      </c>
      <c r="J76" s="31">
        <v>1137</v>
      </c>
      <c r="K76" s="31">
        <v>407</v>
      </c>
      <c r="L76" s="31">
        <v>223</v>
      </c>
      <c r="M76" s="31">
        <v>165</v>
      </c>
      <c r="N76" s="31">
        <v>114</v>
      </c>
      <c r="O76" s="31">
        <v>2046</v>
      </c>
      <c r="P76" s="31">
        <v>2167</v>
      </c>
      <c r="Q76" s="31">
        <v>1925</v>
      </c>
      <c r="R76" s="31">
        <v>723</v>
      </c>
      <c r="S76" s="31">
        <v>365</v>
      </c>
      <c r="T76" s="31">
        <v>277</v>
      </c>
      <c r="U76" s="31">
        <v>168</v>
      </c>
      <c r="V76" s="31">
        <v>3458</v>
      </c>
      <c r="W76" s="31">
        <v>3705</v>
      </c>
    </row>
    <row r="77" spans="2:23" x14ac:dyDescent="0.2">
      <c r="B77" s="26" t="s">
        <v>28</v>
      </c>
      <c r="C77" s="31">
        <v>739</v>
      </c>
      <c r="D77" s="31">
        <v>510</v>
      </c>
      <c r="E77" s="31">
        <v>460</v>
      </c>
      <c r="F77" s="31">
        <v>409</v>
      </c>
      <c r="G77" s="31">
        <v>255</v>
      </c>
      <c r="H77" s="31">
        <v>2373</v>
      </c>
      <c r="I77" s="31">
        <v>2552</v>
      </c>
      <c r="J77" s="31">
        <v>1124</v>
      </c>
      <c r="K77" s="31">
        <v>742</v>
      </c>
      <c r="L77" s="31">
        <v>625</v>
      </c>
      <c r="M77" s="31">
        <v>403</v>
      </c>
      <c r="N77" s="31">
        <v>226</v>
      </c>
      <c r="O77" s="31">
        <v>3120</v>
      </c>
      <c r="P77" s="31">
        <v>3278</v>
      </c>
      <c r="Q77" s="31">
        <v>1863</v>
      </c>
      <c r="R77" s="31">
        <v>1252</v>
      </c>
      <c r="S77" s="31">
        <v>1085</v>
      </c>
      <c r="T77" s="31">
        <v>812</v>
      </c>
      <c r="U77" s="31">
        <v>481</v>
      </c>
      <c r="V77" s="31">
        <v>5493</v>
      </c>
      <c r="W77" s="31">
        <v>5830</v>
      </c>
    </row>
    <row r="78" spans="2:23" x14ac:dyDescent="0.2">
      <c r="B78" s="26" t="s">
        <v>29</v>
      </c>
      <c r="C78" s="31">
        <v>1160</v>
      </c>
      <c r="D78" s="31">
        <v>1397</v>
      </c>
      <c r="E78" s="31">
        <v>1327</v>
      </c>
      <c r="F78" s="31">
        <v>1016</v>
      </c>
      <c r="G78" s="31">
        <v>650</v>
      </c>
      <c r="H78" s="31">
        <v>5550</v>
      </c>
      <c r="I78" s="31">
        <v>6167</v>
      </c>
      <c r="J78" s="31">
        <v>2797</v>
      </c>
      <c r="K78" s="31">
        <v>3076</v>
      </c>
      <c r="L78" s="31">
        <v>2755</v>
      </c>
      <c r="M78" s="31">
        <v>1972</v>
      </c>
      <c r="N78" s="31">
        <v>1123</v>
      </c>
      <c r="O78" s="31">
        <v>11723</v>
      </c>
      <c r="P78" s="31">
        <v>12591</v>
      </c>
      <c r="Q78" s="31">
        <v>3957</v>
      </c>
      <c r="R78" s="31">
        <v>4473</v>
      </c>
      <c r="S78" s="31">
        <v>4082</v>
      </c>
      <c r="T78" s="31">
        <v>2988</v>
      </c>
      <c r="U78" s="31">
        <v>1773</v>
      </c>
      <c r="V78" s="31">
        <v>17273</v>
      </c>
      <c r="W78" s="31">
        <v>18758</v>
      </c>
    </row>
    <row r="79" spans="2:23" x14ac:dyDescent="0.2">
      <c r="B79" s="26" t="s">
        <v>30</v>
      </c>
      <c r="C79" s="31">
        <v>848</v>
      </c>
      <c r="D79" s="31">
        <v>1175</v>
      </c>
      <c r="E79" s="31">
        <v>1559</v>
      </c>
      <c r="F79" s="31">
        <v>1595</v>
      </c>
      <c r="G79" s="31">
        <v>1215</v>
      </c>
      <c r="H79" s="31">
        <v>6392</v>
      </c>
      <c r="I79" s="31">
        <v>7265</v>
      </c>
      <c r="J79" s="31">
        <v>815</v>
      </c>
      <c r="K79" s="31">
        <v>888</v>
      </c>
      <c r="L79" s="31">
        <v>1032</v>
      </c>
      <c r="M79" s="31">
        <v>857</v>
      </c>
      <c r="N79" s="31">
        <v>571</v>
      </c>
      <c r="O79" s="31">
        <v>4163</v>
      </c>
      <c r="P79" s="31">
        <v>4479</v>
      </c>
      <c r="Q79" s="31">
        <v>1663</v>
      </c>
      <c r="R79" s="31">
        <v>2063</v>
      </c>
      <c r="S79" s="31">
        <v>2591</v>
      </c>
      <c r="T79" s="31">
        <v>2452</v>
      </c>
      <c r="U79" s="31">
        <v>1786</v>
      </c>
      <c r="V79" s="31">
        <v>10555</v>
      </c>
      <c r="W79" s="31">
        <v>11744</v>
      </c>
    </row>
    <row r="80" spans="2:23" x14ac:dyDescent="0.2">
      <c r="B80" s="26" t="s">
        <v>31</v>
      </c>
      <c r="C80" s="31">
        <v>1276</v>
      </c>
      <c r="D80" s="31">
        <v>1978</v>
      </c>
      <c r="E80" s="31">
        <v>3082</v>
      </c>
      <c r="F80" s="31">
        <v>3540</v>
      </c>
      <c r="G80" s="31">
        <v>3339</v>
      </c>
      <c r="H80" s="31">
        <v>13215</v>
      </c>
      <c r="I80" s="31">
        <v>15792</v>
      </c>
      <c r="J80" s="31">
        <v>1809</v>
      </c>
      <c r="K80" s="31">
        <v>2032</v>
      </c>
      <c r="L80" s="31">
        <v>2371</v>
      </c>
      <c r="M80" s="31">
        <v>2190</v>
      </c>
      <c r="N80" s="31">
        <v>1710</v>
      </c>
      <c r="O80" s="31">
        <v>10112</v>
      </c>
      <c r="P80" s="31">
        <v>11267</v>
      </c>
      <c r="Q80" s="31">
        <v>3085</v>
      </c>
      <c r="R80" s="31">
        <v>4010</v>
      </c>
      <c r="S80" s="31">
        <v>5453</v>
      </c>
      <c r="T80" s="31">
        <v>5730</v>
      </c>
      <c r="U80" s="31">
        <v>5049</v>
      </c>
      <c r="V80" s="31">
        <v>23327</v>
      </c>
      <c r="W80" s="31">
        <v>27059</v>
      </c>
    </row>
    <row r="81" spans="2:23" x14ac:dyDescent="0.2">
      <c r="B81" s="26" t="s">
        <v>32</v>
      </c>
      <c r="C81" s="31">
        <v>4004</v>
      </c>
      <c r="D81" s="31">
        <v>5930</v>
      </c>
      <c r="E81" s="31">
        <v>8618</v>
      </c>
      <c r="F81" s="31">
        <v>10146</v>
      </c>
      <c r="G81" s="31">
        <v>9765</v>
      </c>
      <c r="H81" s="31">
        <v>38463</v>
      </c>
      <c r="I81" s="31">
        <v>49825</v>
      </c>
      <c r="J81" s="31">
        <v>5462</v>
      </c>
      <c r="K81" s="31">
        <v>7919</v>
      </c>
      <c r="L81" s="31">
        <v>11029</v>
      </c>
      <c r="M81" s="31">
        <v>11979</v>
      </c>
      <c r="N81" s="31">
        <v>11050</v>
      </c>
      <c r="O81" s="31">
        <v>47439</v>
      </c>
      <c r="P81" s="31">
        <v>58765</v>
      </c>
      <c r="Q81" s="31">
        <v>9466</v>
      </c>
      <c r="R81" s="31">
        <v>13849</v>
      </c>
      <c r="S81" s="31">
        <v>19647</v>
      </c>
      <c r="T81" s="31">
        <v>22125</v>
      </c>
      <c r="U81" s="31">
        <v>20815</v>
      </c>
      <c r="V81" s="31">
        <v>85902</v>
      </c>
      <c r="W81" s="31">
        <v>108590</v>
      </c>
    </row>
    <row r="82" spans="2:23" x14ac:dyDescent="0.2">
      <c r="B82" s="26" t="s">
        <v>63</v>
      </c>
      <c r="C82" s="31">
        <v>60964</v>
      </c>
      <c r="D82" s="31">
        <v>68327</v>
      </c>
      <c r="E82" s="31">
        <v>83513</v>
      </c>
      <c r="F82" s="31">
        <v>80772</v>
      </c>
      <c r="G82" s="31">
        <v>65468</v>
      </c>
      <c r="H82" s="31">
        <v>359044</v>
      </c>
      <c r="I82" s="31">
        <v>429360</v>
      </c>
      <c r="J82" s="31">
        <v>88237</v>
      </c>
      <c r="K82" s="31">
        <v>97327</v>
      </c>
      <c r="L82" s="31">
        <v>107594</v>
      </c>
      <c r="M82" s="31">
        <v>92357</v>
      </c>
      <c r="N82" s="31">
        <v>66376</v>
      </c>
      <c r="O82" s="31">
        <v>451891</v>
      </c>
      <c r="P82" s="31">
        <v>514517</v>
      </c>
      <c r="Q82" s="31">
        <v>149201</v>
      </c>
      <c r="R82" s="31">
        <v>165654</v>
      </c>
      <c r="S82" s="31">
        <v>191107</v>
      </c>
      <c r="T82" s="31">
        <v>173129</v>
      </c>
      <c r="U82" s="31">
        <v>131844</v>
      </c>
      <c r="V82" s="31">
        <v>810935</v>
      </c>
      <c r="W82" s="31">
        <v>943877</v>
      </c>
    </row>
  </sheetData>
  <phoneticPr fontId="3"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3:BQ82"/>
  <sheetViews>
    <sheetView showGridLines="0" topLeftCell="A22" workbookViewId="0">
      <selection activeCell="C69" sqref="C69"/>
    </sheetView>
  </sheetViews>
  <sheetFormatPr defaultColWidth="9.140625" defaultRowHeight="11.25" x14ac:dyDescent="0.2"/>
  <cols>
    <col min="1" max="1" width="9.140625" style="7"/>
    <col min="2" max="2" width="21.5703125" style="7" bestFit="1" customWidth="1"/>
    <col min="3" max="16384" width="9.140625" style="7"/>
  </cols>
  <sheetData>
    <row r="3" spans="1:69" x14ac:dyDescent="0.2">
      <c r="C3" s="2" t="s">
        <v>39</v>
      </c>
      <c r="D3" s="3"/>
      <c r="E3" s="3"/>
      <c r="F3" s="3"/>
      <c r="G3" s="3"/>
      <c r="H3" s="3"/>
      <c r="I3" s="3"/>
      <c r="J3" s="2" t="s">
        <v>40</v>
      </c>
      <c r="K3" s="3"/>
      <c r="L3" s="3"/>
      <c r="M3" s="3"/>
      <c r="N3" s="3"/>
      <c r="O3" s="3"/>
      <c r="P3" s="3"/>
      <c r="Q3" s="2" t="s">
        <v>54</v>
      </c>
      <c r="R3" s="3"/>
      <c r="S3" s="3"/>
      <c r="T3" s="3"/>
      <c r="U3" s="3"/>
      <c r="V3" s="3"/>
      <c r="W3" s="3"/>
      <c r="Y3" s="73"/>
      <c r="Z3" s="73"/>
      <c r="AA3" s="73"/>
      <c r="AB3" s="73"/>
      <c r="AC3" s="73"/>
      <c r="AD3" s="73"/>
      <c r="AE3" s="73"/>
      <c r="AF3" s="73"/>
      <c r="AG3" s="73"/>
      <c r="AH3" s="73"/>
      <c r="AI3" s="73"/>
      <c r="AJ3" s="73"/>
      <c r="AK3" s="73"/>
      <c r="AL3" s="73"/>
      <c r="AM3" s="73"/>
      <c r="AN3" s="73"/>
      <c r="AO3" s="73"/>
      <c r="AP3" s="73"/>
      <c r="AQ3" s="73"/>
      <c r="AR3" s="73"/>
      <c r="AS3" s="73"/>
      <c r="AT3" s="73"/>
      <c r="AV3" s="78"/>
      <c r="AW3" s="78"/>
      <c r="AX3" s="78"/>
      <c r="AY3" s="78"/>
      <c r="AZ3" s="78"/>
      <c r="BA3" s="78"/>
      <c r="BB3" s="78"/>
      <c r="BC3" s="78"/>
      <c r="BD3" s="78"/>
      <c r="BE3" s="78"/>
      <c r="BF3" s="78"/>
      <c r="BG3" s="78"/>
      <c r="BH3" s="78"/>
      <c r="BI3" s="78"/>
      <c r="BJ3" s="78"/>
      <c r="BK3" s="78"/>
      <c r="BL3" s="78"/>
      <c r="BM3" s="78"/>
      <c r="BN3" s="78"/>
      <c r="BO3" s="78"/>
      <c r="BP3" s="78"/>
      <c r="BQ3" s="78"/>
    </row>
    <row r="4" spans="1:69" x14ac:dyDescent="0.2">
      <c r="C4" s="2" t="s">
        <v>33</v>
      </c>
      <c r="D4" s="2" t="s">
        <v>34</v>
      </c>
      <c r="E4" s="2" t="s">
        <v>35</v>
      </c>
      <c r="F4" s="2" t="s">
        <v>36</v>
      </c>
      <c r="G4" s="2" t="s">
        <v>37</v>
      </c>
      <c r="H4" s="2" t="s">
        <v>47</v>
      </c>
      <c r="I4" s="2" t="s">
        <v>58</v>
      </c>
      <c r="J4" s="2" t="s">
        <v>33</v>
      </c>
      <c r="K4" s="2" t="s">
        <v>34</v>
      </c>
      <c r="L4" s="2" t="s">
        <v>35</v>
      </c>
      <c r="M4" s="2" t="s">
        <v>36</v>
      </c>
      <c r="N4" s="2" t="s">
        <v>37</v>
      </c>
      <c r="O4" s="2" t="s">
        <v>47</v>
      </c>
      <c r="P4" s="2" t="s">
        <v>58</v>
      </c>
      <c r="Q4" s="2" t="s">
        <v>33</v>
      </c>
      <c r="R4" s="2" t="s">
        <v>34</v>
      </c>
      <c r="S4" s="2" t="s">
        <v>35</v>
      </c>
      <c r="T4" s="2" t="s">
        <v>36</v>
      </c>
      <c r="U4" s="2" t="s">
        <v>37</v>
      </c>
      <c r="V4" s="3" t="s">
        <v>47</v>
      </c>
      <c r="W4" s="3" t="s">
        <v>58</v>
      </c>
      <c r="Y4" s="73"/>
      <c r="Z4" s="73"/>
      <c r="AA4" s="73"/>
      <c r="AB4" s="73"/>
      <c r="AC4" s="73"/>
      <c r="AD4" s="73"/>
      <c r="AE4" s="73"/>
      <c r="AF4" s="73"/>
      <c r="AG4" s="73"/>
      <c r="AH4" s="73"/>
      <c r="AI4" s="73"/>
      <c r="AJ4" s="73"/>
      <c r="AK4" s="73"/>
      <c r="AL4" s="73"/>
      <c r="AM4" s="73"/>
      <c r="AN4" s="73"/>
      <c r="AO4" s="73"/>
      <c r="AP4" s="73"/>
      <c r="AQ4" s="73"/>
      <c r="AR4" s="73"/>
      <c r="AS4" s="73"/>
      <c r="AT4" s="73"/>
      <c r="AV4" s="78"/>
      <c r="AW4" s="78"/>
      <c r="AX4" s="78"/>
      <c r="AY4" s="78"/>
      <c r="AZ4" s="78"/>
      <c r="BA4" s="78"/>
      <c r="BB4" s="78"/>
      <c r="BC4" s="78"/>
      <c r="BD4" s="78"/>
      <c r="BE4" s="78"/>
      <c r="BF4" s="78"/>
      <c r="BG4" s="78"/>
      <c r="BH4" s="78"/>
      <c r="BI4" s="78"/>
      <c r="BJ4" s="78"/>
      <c r="BK4" s="78"/>
      <c r="BL4" s="78"/>
      <c r="BM4" s="78"/>
      <c r="BN4" s="78"/>
      <c r="BO4" s="78"/>
      <c r="BP4" s="78"/>
      <c r="BQ4" s="78"/>
    </row>
    <row r="5" spans="1:69" x14ac:dyDescent="0.2">
      <c r="Y5" s="73"/>
      <c r="Z5" s="73"/>
      <c r="AA5" s="73"/>
      <c r="AB5" s="73"/>
      <c r="AC5" s="73"/>
      <c r="AD5" s="73"/>
      <c r="AE5" s="73"/>
      <c r="AF5" s="73"/>
      <c r="AG5" s="73"/>
      <c r="AH5" s="73"/>
      <c r="AI5" s="73"/>
      <c r="AJ5" s="73"/>
      <c r="AK5" s="73"/>
      <c r="AL5" s="73"/>
      <c r="AM5" s="73"/>
      <c r="AN5" s="73"/>
      <c r="AO5" s="73"/>
      <c r="AP5" s="73"/>
      <c r="AQ5" s="73"/>
      <c r="AR5" s="73"/>
      <c r="AS5" s="73"/>
      <c r="AT5" s="73"/>
      <c r="AV5" s="78"/>
      <c r="AW5" s="78"/>
      <c r="AX5" s="78"/>
      <c r="AY5" s="78"/>
      <c r="AZ5" s="78"/>
      <c r="BA5" s="78"/>
      <c r="BB5" s="78"/>
      <c r="BC5" s="78"/>
      <c r="BD5" s="78"/>
      <c r="BE5" s="78"/>
      <c r="BF5" s="78"/>
      <c r="BG5" s="78"/>
      <c r="BH5" s="78"/>
      <c r="BI5" s="78"/>
      <c r="BJ5" s="78"/>
      <c r="BK5" s="78"/>
      <c r="BL5" s="78"/>
      <c r="BM5" s="78"/>
      <c r="BN5" s="78"/>
      <c r="BO5" s="78"/>
      <c r="BP5" s="78"/>
      <c r="BQ5" s="78"/>
    </row>
    <row r="6" spans="1:69" x14ac:dyDescent="0.2">
      <c r="A6" s="2"/>
      <c r="B6" s="2" t="s">
        <v>0</v>
      </c>
      <c r="C6" s="87">
        <f>IF(OR(C48=1,C48=2),"x",ROUND(C48/$I48*100,1))</f>
        <v>14.2</v>
      </c>
      <c r="D6" s="87">
        <f t="shared" ref="D6:H6" si="0">IF(OR(D48=1,D48=2),"x",ROUND(D48/$I48*100,1))</f>
        <v>13.9</v>
      </c>
      <c r="E6" s="87">
        <f t="shared" si="0"/>
        <v>16.8</v>
      </c>
      <c r="F6" s="87">
        <f t="shared" si="0"/>
        <v>17.399999999999999</v>
      </c>
      <c r="G6" s="87">
        <f t="shared" si="0"/>
        <v>17</v>
      </c>
      <c r="H6" s="87">
        <f t="shared" si="0"/>
        <v>79.3</v>
      </c>
      <c r="I6" s="66">
        <f>ROUND(I48,0)</f>
        <v>24993</v>
      </c>
      <c r="J6" s="87">
        <f>IF(OR(J48=1,J48=2),"x",ROUND(J48/$P48*100,1))</f>
        <v>16.600000000000001</v>
      </c>
      <c r="K6" s="87">
        <f t="shared" ref="K6:O6" si="1">IF(OR(K48=1,K48=2),"x",ROUND(K48/$P48*100,1))</f>
        <v>15.5</v>
      </c>
      <c r="L6" s="87">
        <f t="shared" si="1"/>
        <v>17.2</v>
      </c>
      <c r="M6" s="87">
        <f t="shared" si="1"/>
        <v>17.100000000000001</v>
      </c>
      <c r="N6" s="87">
        <f t="shared" si="1"/>
        <v>16</v>
      </c>
      <c r="O6" s="87">
        <f t="shared" si="1"/>
        <v>82.4</v>
      </c>
      <c r="P6" s="66">
        <f>ROUND(P48,0)</f>
        <v>32712</v>
      </c>
      <c r="Q6" s="87">
        <f>IF(OR(Q48=1,Q48=2),"x",ROUND(Q48/$W48*100,1))</f>
        <v>15.5</v>
      </c>
      <c r="R6" s="87">
        <f t="shared" ref="R6:V6" si="2">IF(OR(R48=1,R48=2),"x",ROUND(R48/$W48*100,1))</f>
        <v>14.8</v>
      </c>
      <c r="S6" s="87">
        <f t="shared" si="2"/>
        <v>17</v>
      </c>
      <c r="T6" s="87">
        <f t="shared" si="2"/>
        <v>17.2</v>
      </c>
      <c r="U6" s="87">
        <f t="shared" si="2"/>
        <v>16.399999999999999</v>
      </c>
      <c r="V6" s="87">
        <f t="shared" si="2"/>
        <v>81</v>
      </c>
      <c r="W6" s="66">
        <f>ROUND(W48,0)</f>
        <v>57705</v>
      </c>
      <c r="Y6" s="73"/>
      <c r="Z6" s="73"/>
      <c r="AA6" s="73"/>
      <c r="AB6" s="73"/>
      <c r="AC6" s="73"/>
      <c r="AD6" s="73"/>
      <c r="AE6" s="73"/>
      <c r="AF6" s="73"/>
      <c r="AG6" s="73"/>
      <c r="AH6" s="73"/>
      <c r="AI6" s="73"/>
      <c r="AJ6" s="73"/>
      <c r="AK6" s="73"/>
      <c r="AL6" s="73"/>
      <c r="AM6" s="73"/>
      <c r="AN6" s="73"/>
      <c r="AO6" s="73"/>
      <c r="AP6" s="73"/>
      <c r="AQ6" s="73"/>
      <c r="AR6" s="73"/>
      <c r="AS6" s="73"/>
      <c r="AT6" s="73"/>
      <c r="AV6" s="78"/>
      <c r="AW6" s="89"/>
      <c r="AX6" s="89"/>
      <c r="AY6" s="89"/>
      <c r="AZ6" s="89"/>
      <c r="BA6" s="89"/>
      <c r="BB6" s="89"/>
      <c r="BC6" s="89"/>
      <c r="BD6" s="89"/>
      <c r="BE6" s="89"/>
      <c r="BF6" s="89"/>
      <c r="BG6" s="89"/>
      <c r="BH6" s="89"/>
      <c r="BI6" s="89"/>
      <c r="BJ6" s="89"/>
      <c r="BK6" s="89"/>
      <c r="BL6" s="89"/>
      <c r="BM6" s="89"/>
      <c r="BN6" s="89"/>
      <c r="BO6" s="89"/>
      <c r="BP6" s="89"/>
      <c r="BQ6" s="89"/>
    </row>
    <row r="7" spans="1:69" x14ac:dyDescent="0.2">
      <c r="B7" s="2" t="s">
        <v>1</v>
      </c>
      <c r="C7" s="87">
        <f t="shared" ref="C7:H22" si="3">IF(OR(C49=1,C49=2),"x",ROUND(C49/$I49*100,1))</f>
        <v>17.3</v>
      </c>
      <c r="D7" s="87">
        <f t="shared" si="3"/>
        <v>16.3</v>
      </c>
      <c r="E7" s="87">
        <f t="shared" si="3"/>
        <v>17.100000000000001</v>
      </c>
      <c r="F7" s="87">
        <f t="shared" si="3"/>
        <v>16.600000000000001</v>
      </c>
      <c r="G7" s="87">
        <f t="shared" si="3"/>
        <v>15.1</v>
      </c>
      <c r="H7" s="87">
        <f t="shared" si="3"/>
        <v>82.5</v>
      </c>
      <c r="I7" s="66">
        <f t="shared" ref="I7:I40" si="4">ROUND(I49,0)</f>
        <v>22228</v>
      </c>
      <c r="J7" s="87">
        <f t="shared" ref="J7:O22" si="5">IF(OR(J49=1,J49=2),"x",ROUND(J49/$P49*100,1))</f>
        <v>18.100000000000001</v>
      </c>
      <c r="K7" s="87">
        <f t="shared" si="5"/>
        <v>17.5</v>
      </c>
      <c r="L7" s="87">
        <f t="shared" si="5"/>
        <v>17.899999999999999</v>
      </c>
      <c r="M7" s="87">
        <f t="shared" si="5"/>
        <v>16.7</v>
      </c>
      <c r="N7" s="87">
        <f t="shared" si="5"/>
        <v>14</v>
      </c>
      <c r="O7" s="87">
        <f t="shared" si="5"/>
        <v>84.2</v>
      </c>
      <c r="P7" s="66">
        <f t="shared" ref="P7:P40" si="6">ROUND(P49,0)</f>
        <v>21096</v>
      </c>
      <c r="Q7" s="87">
        <f t="shared" ref="Q7:V22" si="7">IF(OR(Q49=1,Q49=2),"x",ROUND(Q49/$W49*100,1))</f>
        <v>17.7</v>
      </c>
      <c r="R7" s="87">
        <f t="shared" si="7"/>
        <v>16.899999999999999</v>
      </c>
      <c r="S7" s="87">
        <f t="shared" si="7"/>
        <v>17.5</v>
      </c>
      <c r="T7" s="87">
        <f t="shared" si="7"/>
        <v>16.600000000000001</v>
      </c>
      <c r="U7" s="87">
        <f t="shared" si="7"/>
        <v>14.6</v>
      </c>
      <c r="V7" s="87">
        <f t="shared" si="7"/>
        <v>83.3</v>
      </c>
      <c r="W7" s="66">
        <f t="shared" ref="W7:W40" si="8">ROUND(W49,0)</f>
        <v>43324</v>
      </c>
      <c r="Y7" s="73"/>
      <c r="Z7" s="73"/>
      <c r="AA7" s="73"/>
      <c r="AB7" s="73"/>
      <c r="AC7" s="73"/>
      <c r="AD7" s="73"/>
      <c r="AE7" s="73"/>
      <c r="AF7" s="73"/>
      <c r="AG7" s="73"/>
      <c r="AH7" s="73"/>
      <c r="AI7" s="73"/>
      <c r="AJ7" s="73"/>
      <c r="AK7" s="73"/>
      <c r="AL7" s="73"/>
      <c r="AM7" s="73"/>
      <c r="AN7" s="73"/>
      <c r="AO7" s="73"/>
      <c r="AP7" s="73"/>
      <c r="AQ7" s="73"/>
      <c r="AR7" s="73"/>
      <c r="AS7" s="73"/>
      <c r="AT7" s="73"/>
      <c r="AV7" s="78"/>
      <c r="AW7" s="89"/>
      <c r="AX7" s="89"/>
      <c r="AY7" s="89"/>
      <c r="AZ7" s="89"/>
      <c r="BA7" s="89"/>
      <c r="BB7" s="89"/>
      <c r="BC7" s="89"/>
      <c r="BD7" s="89"/>
      <c r="BE7" s="89"/>
      <c r="BF7" s="89"/>
      <c r="BG7" s="89"/>
      <c r="BH7" s="89"/>
      <c r="BI7" s="89"/>
      <c r="BJ7" s="89"/>
      <c r="BK7" s="89"/>
      <c r="BL7" s="89"/>
      <c r="BM7" s="89"/>
      <c r="BN7" s="89"/>
      <c r="BO7" s="89"/>
      <c r="BP7" s="89"/>
      <c r="BQ7" s="89"/>
    </row>
    <row r="8" spans="1:69" x14ac:dyDescent="0.2">
      <c r="B8" s="2" t="s">
        <v>2</v>
      </c>
      <c r="C8" s="87">
        <f t="shared" si="3"/>
        <v>18.899999999999999</v>
      </c>
      <c r="D8" s="87">
        <f t="shared" si="3"/>
        <v>15.7</v>
      </c>
      <c r="E8" s="87">
        <f t="shared" si="3"/>
        <v>16.5</v>
      </c>
      <c r="F8" s="87">
        <f t="shared" si="3"/>
        <v>16.3</v>
      </c>
      <c r="G8" s="87">
        <f t="shared" si="3"/>
        <v>14.3</v>
      </c>
      <c r="H8" s="87">
        <f t="shared" si="3"/>
        <v>81.7</v>
      </c>
      <c r="I8" s="66">
        <f t="shared" si="4"/>
        <v>23658</v>
      </c>
      <c r="J8" s="87">
        <f t="shared" si="5"/>
        <v>24.5</v>
      </c>
      <c r="K8" s="87">
        <f t="shared" si="5"/>
        <v>18.5</v>
      </c>
      <c r="L8" s="87">
        <f t="shared" si="5"/>
        <v>16.899999999999999</v>
      </c>
      <c r="M8" s="87">
        <f t="shared" si="5"/>
        <v>15.7</v>
      </c>
      <c r="N8" s="87">
        <f t="shared" si="5"/>
        <v>11.4</v>
      </c>
      <c r="O8" s="87">
        <f t="shared" si="5"/>
        <v>87</v>
      </c>
      <c r="P8" s="66">
        <f t="shared" si="6"/>
        <v>7446</v>
      </c>
      <c r="Q8" s="87">
        <f t="shared" si="7"/>
        <v>20.3</v>
      </c>
      <c r="R8" s="87">
        <f t="shared" si="7"/>
        <v>16.399999999999999</v>
      </c>
      <c r="S8" s="87">
        <f t="shared" si="7"/>
        <v>16.600000000000001</v>
      </c>
      <c r="T8" s="87">
        <f t="shared" si="7"/>
        <v>16.100000000000001</v>
      </c>
      <c r="U8" s="87">
        <f t="shared" si="7"/>
        <v>13.6</v>
      </c>
      <c r="V8" s="87">
        <f t="shared" si="7"/>
        <v>82.9</v>
      </c>
      <c r="W8" s="66">
        <f t="shared" si="8"/>
        <v>31104</v>
      </c>
      <c r="Y8" s="73"/>
      <c r="Z8" s="73"/>
      <c r="AA8" s="73"/>
      <c r="AB8" s="73"/>
      <c r="AC8" s="73"/>
      <c r="AD8" s="73"/>
      <c r="AE8" s="73"/>
      <c r="AF8" s="73"/>
      <c r="AG8" s="73"/>
      <c r="AH8" s="73"/>
      <c r="AI8" s="73"/>
      <c r="AJ8" s="73"/>
      <c r="AK8" s="73"/>
      <c r="AL8" s="73"/>
      <c r="AM8" s="73"/>
      <c r="AN8" s="73"/>
      <c r="AO8" s="73"/>
      <c r="AP8" s="73"/>
      <c r="AQ8" s="73"/>
      <c r="AR8" s="73"/>
      <c r="AS8" s="73"/>
      <c r="AT8" s="73"/>
      <c r="AV8" s="78"/>
      <c r="AW8" s="89"/>
      <c r="AX8" s="89"/>
      <c r="AY8" s="89"/>
      <c r="AZ8" s="89"/>
      <c r="BA8" s="89"/>
      <c r="BB8" s="89"/>
      <c r="BC8" s="89"/>
      <c r="BD8" s="89"/>
      <c r="BE8" s="89"/>
      <c r="BF8" s="89"/>
      <c r="BG8" s="89"/>
      <c r="BH8" s="89"/>
      <c r="BI8" s="89"/>
      <c r="BJ8" s="89"/>
      <c r="BK8" s="89"/>
      <c r="BL8" s="89"/>
      <c r="BM8" s="89"/>
      <c r="BN8" s="89"/>
      <c r="BO8" s="89"/>
      <c r="BP8" s="89"/>
      <c r="BQ8" s="89"/>
    </row>
    <row r="9" spans="1:69" x14ac:dyDescent="0.2">
      <c r="B9" s="2" t="s">
        <v>3</v>
      </c>
      <c r="C9" s="87">
        <f t="shared" si="3"/>
        <v>16.7</v>
      </c>
      <c r="D9" s="87">
        <f t="shared" si="3"/>
        <v>15.2</v>
      </c>
      <c r="E9" s="87">
        <f t="shared" si="3"/>
        <v>17.899999999999999</v>
      </c>
      <c r="F9" s="87">
        <f t="shared" si="3"/>
        <v>17.899999999999999</v>
      </c>
      <c r="G9" s="87">
        <f t="shared" si="3"/>
        <v>15.6</v>
      </c>
      <c r="H9" s="87">
        <f t="shared" si="3"/>
        <v>83.4</v>
      </c>
      <c r="I9" s="66">
        <f t="shared" si="4"/>
        <v>4949</v>
      </c>
      <c r="J9" s="87">
        <f t="shared" si="5"/>
        <v>16.7</v>
      </c>
      <c r="K9" s="87">
        <f t="shared" si="5"/>
        <v>15.7</v>
      </c>
      <c r="L9" s="87">
        <f t="shared" si="5"/>
        <v>18.100000000000001</v>
      </c>
      <c r="M9" s="87">
        <f t="shared" si="5"/>
        <v>18.899999999999999</v>
      </c>
      <c r="N9" s="87">
        <f t="shared" si="5"/>
        <v>14.5</v>
      </c>
      <c r="O9" s="87">
        <f t="shared" si="5"/>
        <v>83.9</v>
      </c>
      <c r="P9" s="66">
        <f t="shared" si="6"/>
        <v>2508</v>
      </c>
      <c r="Q9" s="87">
        <f t="shared" si="7"/>
        <v>16.7</v>
      </c>
      <c r="R9" s="87">
        <f t="shared" si="7"/>
        <v>15.4</v>
      </c>
      <c r="S9" s="87">
        <f t="shared" si="7"/>
        <v>18</v>
      </c>
      <c r="T9" s="87">
        <f t="shared" si="7"/>
        <v>18.3</v>
      </c>
      <c r="U9" s="87">
        <f t="shared" si="7"/>
        <v>15.2</v>
      </c>
      <c r="V9" s="87">
        <f t="shared" si="7"/>
        <v>83.5</v>
      </c>
      <c r="W9" s="66">
        <f t="shared" si="8"/>
        <v>7457</v>
      </c>
      <c r="Y9" s="73"/>
      <c r="Z9" s="73"/>
      <c r="AA9" s="73"/>
      <c r="AB9" s="73"/>
      <c r="AC9" s="73"/>
      <c r="AD9" s="73"/>
      <c r="AE9" s="73"/>
      <c r="AF9" s="73"/>
      <c r="AG9" s="73"/>
      <c r="AH9" s="73"/>
      <c r="AI9" s="73"/>
      <c r="AJ9" s="73"/>
      <c r="AK9" s="73"/>
      <c r="AL9" s="73"/>
      <c r="AM9" s="73"/>
      <c r="AN9" s="73"/>
      <c r="AO9" s="73"/>
      <c r="AP9" s="73"/>
      <c r="AQ9" s="73"/>
      <c r="AR9" s="73"/>
      <c r="AS9" s="73"/>
      <c r="AT9" s="73"/>
      <c r="AV9" s="78"/>
      <c r="AW9" s="89"/>
      <c r="AX9" s="89"/>
      <c r="AY9" s="89"/>
      <c r="AZ9" s="89"/>
      <c r="BA9" s="89"/>
      <c r="BB9" s="89"/>
      <c r="BC9" s="89"/>
      <c r="BD9" s="89"/>
      <c r="BE9" s="89"/>
      <c r="BF9" s="89"/>
      <c r="BG9" s="89"/>
      <c r="BH9" s="89"/>
      <c r="BI9" s="89"/>
      <c r="BJ9" s="89"/>
      <c r="BK9" s="89"/>
      <c r="BL9" s="89"/>
      <c r="BM9" s="89"/>
      <c r="BN9" s="89"/>
      <c r="BO9" s="89"/>
      <c r="BP9" s="89"/>
      <c r="BQ9" s="89"/>
    </row>
    <row r="10" spans="1:69" x14ac:dyDescent="0.2">
      <c r="B10" s="2" t="s">
        <v>4</v>
      </c>
      <c r="C10" s="87">
        <f t="shared" si="3"/>
        <v>22.2</v>
      </c>
      <c r="D10" s="87">
        <f t="shared" si="3"/>
        <v>14.9</v>
      </c>
      <c r="E10" s="87">
        <f t="shared" si="3"/>
        <v>14.9</v>
      </c>
      <c r="F10" s="87">
        <f t="shared" si="3"/>
        <v>14.4</v>
      </c>
      <c r="G10" s="87">
        <f t="shared" si="3"/>
        <v>13.1</v>
      </c>
      <c r="H10" s="87">
        <f t="shared" si="3"/>
        <v>79.599999999999994</v>
      </c>
      <c r="I10" s="66">
        <f t="shared" si="4"/>
        <v>38325</v>
      </c>
      <c r="J10" s="87">
        <f t="shared" si="5"/>
        <v>25.5</v>
      </c>
      <c r="K10" s="87">
        <f t="shared" si="5"/>
        <v>16.899999999999999</v>
      </c>
      <c r="L10" s="87">
        <f t="shared" si="5"/>
        <v>16</v>
      </c>
      <c r="M10" s="87">
        <f t="shared" si="5"/>
        <v>14.3</v>
      </c>
      <c r="N10" s="87">
        <f t="shared" si="5"/>
        <v>11.7</v>
      </c>
      <c r="O10" s="87">
        <f t="shared" si="5"/>
        <v>84.4</v>
      </c>
      <c r="P10" s="66">
        <f t="shared" si="6"/>
        <v>27883</v>
      </c>
      <c r="Q10" s="87">
        <f t="shared" si="7"/>
        <v>23.6</v>
      </c>
      <c r="R10" s="87">
        <f t="shared" si="7"/>
        <v>15.7</v>
      </c>
      <c r="S10" s="87">
        <f t="shared" si="7"/>
        <v>15.4</v>
      </c>
      <c r="T10" s="87">
        <f t="shared" si="7"/>
        <v>14.4</v>
      </c>
      <c r="U10" s="87">
        <f t="shared" si="7"/>
        <v>12.5</v>
      </c>
      <c r="V10" s="87">
        <f t="shared" si="7"/>
        <v>81.599999999999994</v>
      </c>
      <c r="W10" s="66">
        <f t="shared" si="8"/>
        <v>66208</v>
      </c>
      <c r="Y10" s="73"/>
      <c r="Z10" s="73"/>
      <c r="AA10" s="73"/>
      <c r="AB10" s="73"/>
      <c r="AC10" s="73"/>
      <c r="AD10" s="73"/>
      <c r="AE10" s="73"/>
      <c r="AF10" s="73"/>
      <c r="AG10" s="73"/>
      <c r="AH10" s="73"/>
      <c r="AI10" s="73"/>
      <c r="AJ10" s="73"/>
      <c r="AK10" s="73"/>
      <c r="AL10" s="73"/>
      <c r="AM10" s="73"/>
      <c r="AN10" s="73"/>
      <c r="AO10" s="73"/>
      <c r="AP10" s="73"/>
      <c r="AQ10" s="73"/>
      <c r="AR10" s="73"/>
      <c r="AS10" s="73"/>
      <c r="AT10" s="73"/>
      <c r="AV10" s="78"/>
      <c r="AW10" s="89"/>
      <c r="AX10" s="89"/>
      <c r="AY10" s="89"/>
      <c r="AZ10" s="89"/>
      <c r="BA10" s="89"/>
      <c r="BB10" s="89"/>
      <c r="BC10" s="89"/>
      <c r="BD10" s="89"/>
      <c r="BE10" s="89"/>
      <c r="BF10" s="89"/>
      <c r="BG10" s="89"/>
      <c r="BH10" s="89"/>
      <c r="BI10" s="89"/>
      <c r="BJ10" s="89"/>
      <c r="BK10" s="89"/>
      <c r="BL10" s="89"/>
      <c r="BM10" s="89"/>
      <c r="BN10" s="89"/>
      <c r="BO10" s="89"/>
      <c r="BP10" s="89"/>
      <c r="BQ10" s="89"/>
    </row>
    <row r="11" spans="1:69" x14ac:dyDescent="0.2">
      <c r="B11" s="2" t="s">
        <v>5</v>
      </c>
      <c r="C11" s="87">
        <f t="shared" si="3"/>
        <v>35.799999999999997</v>
      </c>
      <c r="D11" s="87">
        <f t="shared" si="3"/>
        <v>20</v>
      </c>
      <c r="E11" s="87">
        <f t="shared" si="3"/>
        <v>16.2</v>
      </c>
      <c r="F11" s="87">
        <f t="shared" si="3"/>
        <v>11.4</v>
      </c>
      <c r="G11" s="87">
        <f t="shared" si="3"/>
        <v>7.8</v>
      </c>
      <c r="H11" s="87">
        <f t="shared" si="3"/>
        <v>91.1</v>
      </c>
      <c r="I11" s="66">
        <f t="shared" si="4"/>
        <v>3567</v>
      </c>
      <c r="J11" s="87">
        <f t="shared" si="5"/>
        <v>40.700000000000003</v>
      </c>
      <c r="K11" s="87">
        <f t="shared" si="5"/>
        <v>20.5</v>
      </c>
      <c r="L11" s="87">
        <f t="shared" si="5"/>
        <v>15.5</v>
      </c>
      <c r="M11" s="87">
        <f t="shared" si="5"/>
        <v>10.1</v>
      </c>
      <c r="N11" s="87">
        <f t="shared" si="5"/>
        <v>6.8</v>
      </c>
      <c r="O11" s="87">
        <f t="shared" si="5"/>
        <v>93.6</v>
      </c>
      <c r="P11" s="66">
        <f t="shared" si="6"/>
        <v>2087</v>
      </c>
      <c r="Q11" s="87">
        <f t="shared" si="7"/>
        <v>37.6</v>
      </c>
      <c r="R11" s="87">
        <f t="shared" si="7"/>
        <v>20.2</v>
      </c>
      <c r="S11" s="87">
        <f t="shared" si="7"/>
        <v>15.9</v>
      </c>
      <c r="T11" s="87">
        <f t="shared" si="7"/>
        <v>10.9</v>
      </c>
      <c r="U11" s="87">
        <f t="shared" si="7"/>
        <v>7.4</v>
      </c>
      <c r="V11" s="87">
        <f t="shared" si="7"/>
        <v>92.1</v>
      </c>
      <c r="W11" s="66">
        <f t="shared" si="8"/>
        <v>5654</v>
      </c>
      <c r="Y11" s="73"/>
      <c r="Z11" s="73"/>
      <c r="AA11" s="73"/>
      <c r="AB11" s="73"/>
      <c r="AC11" s="73"/>
      <c r="AD11" s="73"/>
      <c r="AE11" s="73"/>
      <c r="AF11" s="73"/>
      <c r="AG11" s="73"/>
      <c r="AH11" s="73"/>
      <c r="AI11" s="73"/>
      <c r="AJ11" s="73"/>
      <c r="AK11" s="73"/>
      <c r="AL11" s="73"/>
      <c r="AM11" s="73"/>
      <c r="AN11" s="73"/>
      <c r="AO11" s="73"/>
      <c r="AP11" s="73"/>
      <c r="AQ11" s="73"/>
      <c r="AR11" s="73"/>
      <c r="AS11" s="73"/>
      <c r="AT11" s="73"/>
      <c r="AV11" s="78"/>
      <c r="AW11" s="89"/>
      <c r="AX11" s="89"/>
      <c r="AY11" s="89"/>
      <c r="AZ11" s="89"/>
      <c r="BA11" s="89"/>
      <c r="BB11" s="89"/>
      <c r="BC11" s="89"/>
      <c r="BD11" s="89"/>
      <c r="BE11" s="89"/>
      <c r="BF11" s="89"/>
      <c r="BG11" s="89"/>
      <c r="BH11" s="89"/>
      <c r="BI11" s="89"/>
      <c r="BJ11" s="89"/>
      <c r="BK11" s="89"/>
      <c r="BL11" s="89"/>
      <c r="BM11" s="89"/>
      <c r="BN11" s="89"/>
      <c r="BO11" s="89"/>
      <c r="BP11" s="89"/>
      <c r="BQ11" s="89"/>
    </row>
    <row r="12" spans="1:69" x14ac:dyDescent="0.2">
      <c r="B12" s="2" t="s">
        <v>6</v>
      </c>
      <c r="C12" s="87">
        <f t="shared" si="3"/>
        <v>9.1999999999999993</v>
      </c>
      <c r="D12" s="87">
        <f t="shared" si="3"/>
        <v>14.6</v>
      </c>
      <c r="E12" s="87">
        <f t="shared" si="3"/>
        <v>20.7</v>
      </c>
      <c r="F12" s="87">
        <f t="shared" si="3"/>
        <v>22</v>
      </c>
      <c r="G12" s="87">
        <f t="shared" si="3"/>
        <v>17.7</v>
      </c>
      <c r="H12" s="87">
        <f t="shared" si="3"/>
        <v>84.1</v>
      </c>
      <c r="I12" s="66">
        <f t="shared" si="4"/>
        <v>11287</v>
      </c>
      <c r="J12" s="87">
        <f t="shared" si="5"/>
        <v>14.1</v>
      </c>
      <c r="K12" s="87">
        <f t="shared" si="5"/>
        <v>18.600000000000001</v>
      </c>
      <c r="L12" s="87">
        <f t="shared" si="5"/>
        <v>23</v>
      </c>
      <c r="M12" s="87">
        <f t="shared" si="5"/>
        <v>20.399999999999999</v>
      </c>
      <c r="N12" s="87">
        <f t="shared" si="5"/>
        <v>14.5</v>
      </c>
      <c r="O12" s="87">
        <f t="shared" si="5"/>
        <v>90.6</v>
      </c>
      <c r="P12" s="66">
        <f t="shared" si="6"/>
        <v>8280</v>
      </c>
      <c r="Q12" s="87">
        <f t="shared" si="7"/>
        <v>11.2</v>
      </c>
      <c r="R12" s="87">
        <f t="shared" si="7"/>
        <v>16.3</v>
      </c>
      <c r="S12" s="87">
        <f t="shared" si="7"/>
        <v>21.6</v>
      </c>
      <c r="T12" s="87">
        <f t="shared" si="7"/>
        <v>21.4</v>
      </c>
      <c r="U12" s="87">
        <f t="shared" si="7"/>
        <v>16.3</v>
      </c>
      <c r="V12" s="87">
        <f t="shared" si="7"/>
        <v>86.9</v>
      </c>
      <c r="W12" s="66">
        <f t="shared" si="8"/>
        <v>19567</v>
      </c>
      <c r="Y12" s="73"/>
      <c r="Z12" s="73"/>
      <c r="AA12" s="73"/>
      <c r="AB12" s="73"/>
      <c r="AC12" s="73"/>
      <c r="AD12" s="73"/>
      <c r="AE12" s="73"/>
      <c r="AF12" s="73"/>
      <c r="AG12" s="73"/>
      <c r="AH12" s="73"/>
      <c r="AI12" s="73"/>
      <c r="AJ12" s="73"/>
      <c r="AK12" s="73"/>
      <c r="AL12" s="73"/>
      <c r="AM12" s="73"/>
      <c r="AN12" s="73"/>
      <c r="AO12" s="73"/>
      <c r="AP12" s="73"/>
      <c r="AQ12" s="73"/>
      <c r="AR12" s="73"/>
      <c r="AS12" s="73"/>
      <c r="AT12" s="73"/>
      <c r="AV12" s="78"/>
      <c r="AW12" s="89"/>
      <c r="AX12" s="89"/>
      <c r="AY12" s="89"/>
      <c r="AZ12" s="89"/>
      <c r="BA12" s="89"/>
      <c r="BB12" s="89"/>
      <c r="BC12" s="89"/>
      <c r="BD12" s="89"/>
      <c r="BE12" s="89"/>
      <c r="BF12" s="89"/>
      <c r="BG12" s="89"/>
      <c r="BH12" s="89"/>
      <c r="BI12" s="89"/>
      <c r="BJ12" s="89"/>
      <c r="BK12" s="89"/>
      <c r="BL12" s="89"/>
      <c r="BM12" s="89"/>
      <c r="BN12" s="89"/>
      <c r="BO12" s="89"/>
      <c r="BP12" s="89"/>
      <c r="BQ12" s="89"/>
    </row>
    <row r="13" spans="1:69" x14ac:dyDescent="0.2">
      <c r="B13" s="2" t="s">
        <v>168</v>
      </c>
      <c r="C13" s="87">
        <f t="shared" si="3"/>
        <v>9.6999999999999993</v>
      </c>
      <c r="D13" s="87">
        <f t="shared" si="3"/>
        <v>15.1</v>
      </c>
      <c r="E13" s="87">
        <f t="shared" si="3"/>
        <v>18.5</v>
      </c>
      <c r="F13" s="87">
        <f t="shared" si="3"/>
        <v>19</v>
      </c>
      <c r="G13" s="87">
        <f t="shared" si="3"/>
        <v>17.100000000000001</v>
      </c>
      <c r="H13" s="87">
        <f t="shared" si="3"/>
        <v>79.400000000000006</v>
      </c>
      <c r="I13" s="66">
        <f t="shared" si="4"/>
        <v>5867</v>
      </c>
      <c r="J13" s="87">
        <f t="shared" si="5"/>
        <v>11.1</v>
      </c>
      <c r="K13" s="87">
        <f t="shared" si="5"/>
        <v>14.7</v>
      </c>
      <c r="L13" s="87">
        <f t="shared" si="5"/>
        <v>16.7</v>
      </c>
      <c r="M13" s="87">
        <f t="shared" si="5"/>
        <v>18.2</v>
      </c>
      <c r="N13" s="87">
        <f t="shared" si="5"/>
        <v>18.7</v>
      </c>
      <c r="O13" s="87">
        <f t="shared" si="5"/>
        <v>79.5</v>
      </c>
      <c r="P13" s="66">
        <f t="shared" si="6"/>
        <v>604</v>
      </c>
      <c r="Q13" s="87">
        <f t="shared" si="7"/>
        <v>9.8000000000000007</v>
      </c>
      <c r="R13" s="87">
        <f t="shared" si="7"/>
        <v>15.1</v>
      </c>
      <c r="S13" s="87">
        <f t="shared" si="7"/>
        <v>18.3</v>
      </c>
      <c r="T13" s="87">
        <f t="shared" si="7"/>
        <v>18.899999999999999</v>
      </c>
      <c r="U13" s="87">
        <f t="shared" si="7"/>
        <v>17.2</v>
      </c>
      <c r="V13" s="87">
        <f t="shared" si="7"/>
        <v>79.400000000000006</v>
      </c>
      <c r="W13" s="66">
        <f t="shared" si="8"/>
        <v>6471</v>
      </c>
      <c r="Y13" s="73"/>
      <c r="Z13" s="73"/>
      <c r="AA13" s="73"/>
      <c r="AB13" s="73"/>
      <c r="AC13" s="73"/>
      <c r="AD13" s="73"/>
      <c r="AE13" s="73"/>
      <c r="AF13" s="73"/>
      <c r="AG13" s="73"/>
      <c r="AH13" s="73"/>
      <c r="AI13" s="73"/>
      <c r="AJ13" s="73"/>
      <c r="AK13" s="73"/>
      <c r="AL13" s="73"/>
      <c r="AM13" s="73"/>
      <c r="AN13" s="73"/>
      <c r="AO13" s="73"/>
      <c r="AP13" s="73"/>
      <c r="AQ13" s="73"/>
      <c r="AR13" s="73"/>
      <c r="AS13" s="73"/>
      <c r="AT13" s="73"/>
      <c r="AV13" s="78"/>
      <c r="AW13" s="89"/>
      <c r="AX13" s="89"/>
      <c r="AY13" s="89"/>
      <c r="AZ13" s="89"/>
      <c r="BA13" s="89"/>
      <c r="BB13" s="89"/>
      <c r="BC13" s="89"/>
      <c r="BD13" s="89"/>
      <c r="BE13" s="89"/>
      <c r="BF13" s="89"/>
      <c r="BG13" s="89"/>
      <c r="BH13" s="89"/>
      <c r="BI13" s="89"/>
      <c r="BJ13" s="89"/>
      <c r="BK13" s="89"/>
      <c r="BL13" s="89"/>
      <c r="BM13" s="89"/>
      <c r="BN13" s="89"/>
      <c r="BO13" s="89"/>
      <c r="BP13" s="89"/>
      <c r="BQ13" s="89"/>
    </row>
    <row r="14" spans="1:69" x14ac:dyDescent="0.2">
      <c r="B14" s="2" t="s">
        <v>8</v>
      </c>
      <c r="C14" s="87">
        <f t="shared" si="3"/>
        <v>3.7</v>
      </c>
      <c r="D14" s="87">
        <f t="shared" si="3"/>
        <v>10.5</v>
      </c>
      <c r="E14" s="87">
        <f t="shared" si="3"/>
        <v>18.3</v>
      </c>
      <c r="F14" s="87">
        <f t="shared" si="3"/>
        <v>23.6</v>
      </c>
      <c r="G14" s="87">
        <f t="shared" si="3"/>
        <v>22.4</v>
      </c>
      <c r="H14" s="87">
        <f t="shared" si="3"/>
        <v>78.400000000000006</v>
      </c>
      <c r="I14" s="66">
        <f t="shared" si="4"/>
        <v>9249</v>
      </c>
      <c r="J14" s="87">
        <f t="shared" si="5"/>
        <v>6.4</v>
      </c>
      <c r="K14" s="87">
        <f t="shared" si="5"/>
        <v>14.7</v>
      </c>
      <c r="L14" s="87">
        <f t="shared" si="5"/>
        <v>20.9</v>
      </c>
      <c r="M14" s="87">
        <f t="shared" si="5"/>
        <v>21.8</v>
      </c>
      <c r="N14" s="87">
        <f t="shared" si="5"/>
        <v>19</v>
      </c>
      <c r="O14" s="87">
        <f t="shared" si="5"/>
        <v>82.7</v>
      </c>
      <c r="P14" s="66">
        <f t="shared" si="6"/>
        <v>5329</v>
      </c>
      <c r="Q14" s="87">
        <f t="shared" si="7"/>
        <v>4.7</v>
      </c>
      <c r="R14" s="87">
        <f t="shared" si="7"/>
        <v>12</v>
      </c>
      <c r="S14" s="87">
        <f t="shared" si="7"/>
        <v>19.2</v>
      </c>
      <c r="T14" s="87">
        <f t="shared" si="7"/>
        <v>22.9</v>
      </c>
      <c r="U14" s="87">
        <f t="shared" si="7"/>
        <v>21.1</v>
      </c>
      <c r="V14" s="87">
        <f t="shared" si="7"/>
        <v>80</v>
      </c>
      <c r="W14" s="66">
        <f t="shared" si="8"/>
        <v>14578</v>
      </c>
      <c r="Y14" s="73"/>
      <c r="Z14" s="73"/>
      <c r="AA14" s="73"/>
      <c r="AB14" s="73"/>
      <c r="AC14" s="73"/>
      <c r="AD14" s="73"/>
      <c r="AE14" s="73"/>
      <c r="AF14" s="73"/>
      <c r="AG14" s="73"/>
      <c r="AH14" s="73"/>
      <c r="AI14" s="73"/>
      <c r="AJ14" s="73"/>
      <c r="AK14" s="73"/>
      <c r="AL14" s="73"/>
      <c r="AM14" s="73"/>
      <c r="AN14" s="73"/>
      <c r="AO14" s="73"/>
      <c r="AP14" s="73"/>
      <c r="AQ14" s="73"/>
      <c r="AR14" s="73"/>
      <c r="AS14" s="73"/>
      <c r="AT14" s="73"/>
      <c r="AV14" s="78"/>
      <c r="AW14" s="89"/>
      <c r="AX14" s="89"/>
      <c r="AY14" s="89"/>
      <c r="AZ14" s="89"/>
      <c r="BA14" s="89"/>
      <c r="BB14" s="89"/>
      <c r="BC14" s="89"/>
      <c r="BD14" s="89"/>
      <c r="BE14" s="89"/>
      <c r="BF14" s="89"/>
      <c r="BG14" s="89"/>
      <c r="BH14" s="89"/>
      <c r="BI14" s="89"/>
      <c r="BJ14" s="89"/>
      <c r="BK14" s="89"/>
      <c r="BL14" s="89"/>
      <c r="BM14" s="89"/>
      <c r="BN14" s="89"/>
      <c r="BO14" s="89"/>
      <c r="BP14" s="89"/>
      <c r="BQ14" s="89"/>
    </row>
    <row r="15" spans="1:69" x14ac:dyDescent="0.2">
      <c r="B15" s="2" t="s">
        <v>9</v>
      </c>
      <c r="C15" s="87" t="str">
        <f t="shared" si="3"/>
        <v>x</v>
      </c>
      <c r="D15" s="87">
        <f t="shared" si="3"/>
        <v>6</v>
      </c>
      <c r="E15" s="87">
        <f t="shared" si="3"/>
        <v>12</v>
      </c>
      <c r="F15" s="87">
        <f t="shared" si="3"/>
        <v>24</v>
      </c>
      <c r="G15" s="87">
        <f t="shared" si="3"/>
        <v>32</v>
      </c>
      <c r="H15" s="87">
        <f t="shared" si="3"/>
        <v>76</v>
      </c>
      <c r="I15" s="66">
        <f t="shared" si="4"/>
        <v>50</v>
      </c>
      <c r="J15" s="87">
        <f t="shared" si="5"/>
        <v>15.2</v>
      </c>
      <c r="K15" s="87">
        <f t="shared" si="5"/>
        <v>22.4</v>
      </c>
      <c r="L15" s="87">
        <f t="shared" si="5"/>
        <v>20.9</v>
      </c>
      <c r="M15" s="87">
        <f t="shared" si="5"/>
        <v>23.3</v>
      </c>
      <c r="N15" s="87">
        <f t="shared" si="5"/>
        <v>10.7</v>
      </c>
      <c r="O15" s="87">
        <f t="shared" si="5"/>
        <v>92.5</v>
      </c>
      <c r="P15" s="66">
        <f t="shared" si="6"/>
        <v>335</v>
      </c>
      <c r="Q15" s="87">
        <f t="shared" si="7"/>
        <v>13.5</v>
      </c>
      <c r="R15" s="87">
        <f t="shared" si="7"/>
        <v>20.3</v>
      </c>
      <c r="S15" s="87">
        <f t="shared" si="7"/>
        <v>19.7</v>
      </c>
      <c r="T15" s="87">
        <f t="shared" si="7"/>
        <v>23.4</v>
      </c>
      <c r="U15" s="87">
        <f t="shared" si="7"/>
        <v>13.5</v>
      </c>
      <c r="V15" s="87">
        <f t="shared" si="7"/>
        <v>90.4</v>
      </c>
      <c r="W15" s="66">
        <f t="shared" si="8"/>
        <v>385</v>
      </c>
      <c r="Y15" s="73"/>
      <c r="Z15" s="73"/>
      <c r="AA15" s="73"/>
      <c r="AB15" s="73"/>
      <c r="AC15" s="73"/>
      <c r="AD15" s="73"/>
      <c r="AE15" s="73"/>
      <c r="AF15" s="73"/>
      <c r="AG15" s="73"/>
      <c r="AH15" s="73"/>
      <c r="AI15" s="73"/>
      <c r="AJ15" s="73"/>
      <c r="AK15" s="73"/>
      <c r="AL15" s="73"/>
      <c r="AM15" s="73"/>
      <c r="AN15" s="73"/>
      <c r="AO15" s="73"/>
      <c r="AP15" s="73"/>
      <c r="AQ15" s="73"/>
      <c r="AR15" s="73"/>
      <c r="AS15" s="73"/>
      <c r="AT15" s="73"/>
      <c r="AV15" s="78"/>
      <c r="AW15" s="89"/>
      <c r="AX15" s="89"/>
      <c r="AY15" s="89"/>
      <c r="AZ15" s="89"/>
      <c r="BA15" s="89"/>
      <c r="BB15" s="89"/>
      <c r="BC15" s="89"/>
      <c r="BD15" s="89"/>
      <c r="BE15" s="89"/>
      <c r="BF15" s="89"/>
      <c r="BG15" s="89"/>
      <c r="BH15" s="89"/>
      <c r="BI15" s="89"/>
      <c r="BJ15" s="89"/>
      <c r="BK15" s="89"/>
      <c r="BL15" s="89"/>
      <c r="BM15" s="89"/>
      <c r="BN15" s="89"/>
      <c r="BO15" s="89"/>
      <c r="BP15" s="89"/>
      <c r="BQ15" s="89"/>
    </row>
    <row r="16" spans="1:69" x14ac:dyDescent="0.2">
      <c r="B16" s="2" t="s">
        <v>10</v>
      </c>
      <c r="C16" s="87">
        <f t="shared" si="3"/>
        <v>6.3</v>
      </c>
      <c r="D16" s="87">
        <f t="shared" si="3"/>
        <v>11.1</v>
      </c>
      <c r="E16" s="87">
        <f t="shared" si="3"/>
        <v>15.8</v>
      </c>
      <c r="F16" s="87">
        <f t="shared" si="3"/>
        <v>18.7</v>
      </c>
      <c r="G16" s="87">
        <f t="shared" si="3"/>
        <v>19</v>
      </c>
      <c r="H16" s="87">
        <f t="shared" si="3"/>
        <v>70.8</v>
      </c>
      <c r="I16" s="66">
        <f t="shared" si="4"/>
        <v>4358</v>
      </c>
      <c r="J16" s="87">
        <f t="shared" si="5"/>
        <v>7.9</v>
      </c>
      <c r="K16" s="87">
        <f t="shared" si="5"/>
        <v>11.2</v>
      </c>
      <c r="L16" s="87">
        <f t="shared" si="5"/>
        <v>14.8</v>
      </c>
      <c r="M16" s="87">
        <f t="shared" si="5"/>
        <v>17.8</v>
      </c>
      <c r="N16" s="87">
        <f t="shared" si="5"/>
        <v>19.899999999999999</v>
      </c>
      <c r="O16" s="87">
        <f t="shared" si="5"/>
        <v>71.599999999999994</v>
      </c>
      <c r="P16" s="66">
        <f t="shared" si="6"/>
        <v>2873</v>
      </c>
      <c r="Q16" s="87">
        <f t="shared" si="7"/>
        <v>6.9</v>
      </c>
      <c r="R16" s="87">
        <f t="shared" si="7"/>
        <v>11.1</v>
      </c>
      <c r="S16" s="87">
        <f t="shared" si="7"/>
        <v>15.4</v>
      </c>
      <c r="T16" s="87">
        <f t="shared" si="7"/>
        <v>18.399999999999999</v>
      </c>
      <c r="U16" s="87">
        <f t="shared" si="7"/>
        <v>19.3</v>
      </c>
      <c r="V16" s="87">
        <f t="shared" si="7"/>
        <v>71.2</v>
      </c>
      <c r="W16" s="66">
        <f t="shared" si="8"/>
        <v>7231</v>
      </c>
      <c r="Y16" s="73"/>
      <c r="Z16" s="73"/>
      <c r="AA16" s="73"/>
      <c r="AB16" s="73"/>
      <c r="AC16" s="73"/>
      <c r="AD16" s="73"/>
      <c r="AE16" s="73"/>
      <c r="AF16" s="73"/>
      <c r="AG16" s="73"/>
      <c r="AH16" s="73"/>
      <c r="AI16" s="73"/>
      <c r="AJ16" s="73"/>
      <c r="AK16" s="73"/>
      <c r="AL16" s="73"/>
      <c r="AM16" s="73"/>
      <c r="AN16" s="73"/>
      <c r="AO16" s="73"/>
      <c r="AP16" s="73"/>
      <c r="AQ16" s="73"/>
      <c r="AR16" s="73"/>
      <c r="AS16" s="73"/>
      <c r="AT16" s="73"/>
      <c r="AV16" s="78"/>
      <c r="AW16" s="89"/>
      <c r="AX16" s="89"/>
      <c r="AY16" s="89"/>
      <c r="AZ16" s="89"/>
      <c r="BA16" s="89"/>
      <c r="BB16" s="89"/>
      <c r="BC16" s="89"/>
      <c r="BD16" s="89"/>
      <c r="BE16" s="89"/>
      <c r="BF16" s="89"/>
      <c r="BG16" s="89"/>
      <c r="BH16" s="89"/>
      <c r="BI16" s="89"/>
      <c r="BJ16" s="89"/>
      <c r="BK16" s="89"/>
      <c r="BL16" s="89"/>
      <c r="BM16" s="89"/>
      <c r="BN16" s="89"/>
      <c r="BO16" s="89"/>
      <c r="BP16" s="89"/>
      <c r="BQ16" s="89"/>
    </row>
    <row r="17" spans="2:69" x14ac:dyDescent="0.2">
      <c r="B17" s="2" t="s">
        <v>11</v>
      </c>
      <c r="C17" s="87">
        <f t="shared" si="3"/>
        <v>10.1</v>
      </c>
      <c r="D17" s="87">
        <f t="shared" si="3"/>
        <v>16.899999999999999</v>
      </c>
      <c r="E17" s="87">
        <f t="shared" si="3"/>
        <v>22.8</v>
      </c>
      <c r="F17" s="87">
        <f t="shared" si="3"/>
        <v>21.2</v>
      </c>
      <c r="G17" s="87">
        <f t="shared" si="3"/>
        <v>14.9</v>
      </c>
      <c r="H17" s="87">
        <f t="shared" si="3"/>
        <v>85.9</v>
      </c>
      <c r="I17" s="66">
        <f t="shared" si="4"/>
        <v>21288</v>
      </c>
      <c r="J17" s="87">
        <f t="shared" si="5"/>
        <v>12.7</v>
      </c>
      <c r="K17" s="87">
        <f t="shared" si="5"/>
        <v>17.8</v>
      </c>
      <c r="L17" s="87">
        <f t="shared" si="5"/>
        <v>21.1</v>
      </c>
      <c r="M17" s="87">
        <f t="shared" si="5"/>
        <v>19.899999999999999</v>
      </c>
      <c r="N17" s="87">
        <f t="shared" si="5"/>
        <v>14.5</v>
      </c>
      <c r="O17" s="87">
        <f t="shared" si="5"/>
        <v>85.9</v>
      </c>
      <c r="P17" s="66">
        <f t="shared" si="6"/>
        <v>15797</v>
      </c>
      <c r="Q17" s="87">
        <f t="shared" si="7"/>
        <v>11.2</v>
      </c>
      <c r="R17" s="87">
        <f t="shared" si="7"/>
        <v>17.3</v>
      </c>
      <c r="S17" s="87">
        <f t="shared" si="7"/>
        <v>22.1</v>
      </c>
      <c r="T17" s="87">
        <f t="shared" si="7"/>
        <v>20.7</v>
      </c>
      <c r="U17" s="87">
        <f t="shared" si="7"/>
        <v>14.7</v>
      </c>
      <c r="V17" s="87">
        <f t="shared" si="7"/>
        <v>85.9</v>
      </c>
      <c r="W17" s="66">
        <f t="shared" si="8"/>
        <v>37085</v>
      </c>
      <c r="Y17" s="73"/>
      <c r="Z17" s="73"/>
      <c r="AA17" s="73"/>
      <c r="AB17" s="73"/>
      <c r="AC17" s="73"/>
      <c r="AD17" s="73"/>
      <c r="AE17" s="73"/>
      <c r="AF17" s="73"/>
      <c r="AG17" s="73"/>
      <c r="AH17" s="73"/>
      <c r="AI17" s="73"/>
      <c r="AJ17" s="73"/>
      <c r="AK17" s="73"/>
      <c r="AL17" s="73"/>
      <c r="AM17" s="73"/>
      <c r="AN17" s="73"/>
      <c r="AO17" s="73"/>
      <c r="AP17" s="73"/>
      <c r="AQ17" s="73"/>
      <c r="AR17" s="73"/>
      <c r="AS17" s="73"/>
      <c r="AT17" s="73"/>
      <c r="AV17" s="78"/>
      <c r="AW17" s="89"/>
      <c r="AX17" s="89"/>
      <c r="AY17" s="89"/>
      <c r="AZ17" s="89"/>
      <c r="BA17" s="89"/>
      <c r="BB17" s="89"/>
      <c r="BC17" s="89"/>
      <c r="BD17" s="89"/>
      <c r="BE17" s="89"/>
      <c r="BF17" s="89"/>
      <c r="BG17" s="89"/>
      <c r="BH17" s="89"/>
      <c r="BI17" s="89"/>
      <c r="BJ17" s="89"/>
      <c r="BK17" s="89"/>
      <c r="BL17" s="89"/>
      <c r="BM17" s="89"/>
      <c r="BN17" s="89"/>
      <c r="BO17" s="89"/>
      <c r="BP17" s="89"/>
      <c r="BQ17" s="89"/>
    </row>
    <row r="18" spans="2:69" x14ac:dyDescent="0.2">
      <c r="B18" s="2" t="s">
        <v>12</v>
      </c>
      <c r="C18" s="87">
        <f t="shared" si="3"/>
        <v>19.600000000000001</v>
      </c>
      <c r="D18" s="87">
        <f t="shared" si="3"/>
        <v>18.899999999999999</v>
      </c>
      <c r="E18" s="87">
        <f t="shared" si="3"/>
        <v>19.600000000000001</v>
      </c>
      <c r="F18" s="87">
        <f t="shared" si="3"/>
        <v>16.8</v>
      </c>
      <c r="G18" s="87">
        <f t="shared" si="3"/>
        <v>12.2</v>
      </c>
      <c r="H18" s="87">
        <f t="shared" si="3"/>
        <v>87</v>
      </c>
      <c r="I18" s="66">
        <f t="shared" si="4"/>
        <v>12506</v>
      </c>
      <c r="J18" s="87">
        <f t="shared" si="5"/>
        <v>23.1</v>
      </c>
      <c r="K18" s="87">
        <f t="shared" si="5"/>
        <v>19.100000000000001</v>
      </c>
      <c r="L18" s="87">
        <f t="shared" si="5"/>
        <v>18.2</v>
      </c>
      <c r="M18" s="87">
        <f t="shared" si="5"/>
        <v>15.5</v>
      </c>
      <c r="N18" s="87">
        <f t="shared" si="5"/>
        <v>11.7</v>
      </c>
      <c r="O18" s="87">
        <f t="shared" si="5"/>
        <v>87.5</v>
      </c>
      <c r="P18" s="66">
        <f t="shared" si="6"/>
        <v>6000</v>
      </c>
      <c r="Q18" s="87">
        <f t="shared" si="7"/>
        <v>20.7</v>
      </c>
      <c r="R18" s="87">
        <f t="shared" si="7"/>
        <v>18.899999999999999</v>
      </c>
      <c r="S18" s="87">
        <f t="shared" si="7"/>
        <v>19.100000000000001</v>
      </c>
      <c r="T18" s="87">
        <f t="shared" si="7"/>
        <v>16.399999999999999</v>
      </c>
      <c r="U18" s="87">
        <f t="shared" si="7"/>
        <v>12</v>
      </c>
      <c r="V18" s="87">
        <f t="shared" si="7"/>
        <v>87.2</v>
      </c>
      <c r="W18" s="66">
        <f t="shared" si="8"/>
        <v>18506</v>
      </c>
      <c r="Y18" s="73"/>
      <c r="Z18" s="73"/>
      <c r="AA18" s="73"/>
      <c r="AB18" s="73"/>
      <c r="AC18" s="73"/>
      <c r="AD18" s="73"/>
      <c r="AE18" s="73"/>
      <c r="AF18" s="73"/>
      <c r="AG18" s="73"/>
      <c r="AH18" s="73"/>
      <c r="AI18" s="73"/>
      <c r="AJ18" s="73"/>
      <c r="AK18" s="73"/>
      <c r="AL18" s="73"/>
      <c r="AM18" s="73"/>
      <c r="AN18" s="73"/>
      <c r="AO18" s="73"/>
      <c r="AP18" s="73"/>
      <c r="AQ18" s="73"/>
      <c r="AR18" s="73"/>
      <c r="AS18" s="73"/>
      <c r="AT18" s="73"/>
      <c r="AV18" s="78"/>
      <c r="AW18" s="89"/>
      <c r="AX18" s="89"/>
      <c r="AY18" s="89"/>
      <c r="AZ18" s="89"/>
      <c r="BA18" s="89"/>
      <c r="BB18" s="89"/>
      <c r="BC18" s="89"/>
      <c r="BD18" s="89"/>
      <c r="BE18" s="89"/>
      <c r="BF18" s="89"/>
      <c r="BG18" s="89"/>
      <c r="BH18" s="89"/>
      <c r="BI18" s="89"/>
      <c r="BJ18" s="89"/>
      <c r="BK18" s="89"/>
      <c r="BL18" s="89"/>
      <c r="BM18" s="89"/>
      <c r="BN18" s="89"/>
      <c r="BO18" s="89"/>
      <c r="BP18" s="89"/>
      <c r="BQ18" s="89"/>
    </row>
    <row r="19" spans="2:69" x14ac:dyDescent="0.2">
      <c r="B19" s="2" t="s">
        <v>13</v>
      </c>
      <c r="C19" s="87">
        <f t="shared" si="3"/>
        <v>17.8</v>
      </c>
      <c r="D19" s="87">
        <f t="shared" si="3"/>
        <v>17.2</v>
      </c>
      <c r="E19" s="87">
        <f t="shared" si="3"/>
        <v>20.399999999999999</v>
      </c>
      <c r="F19" s="87">
        <f t="shared" si="3"/>
        <v>18.100000000000001</v>
      </c>
      <c r="G19" s="87">
        <f t="shared" si="3"/>
        <v>14.5</v>
      </c>
      <c r="H19" s="87">
        <f t="shared" si="3"/>
        <v>88</v>
      </c>
      <c r="I19" s="66">
        <f t="shared" si="4"/>
        <v>16525</v>
      </c>
      <c r="J19" s="87">
        <f t="shared" si="5"/>
        <v>25.5</v>
      </c>
      <c r="K19" s="87">
        <f t="shared" si="5"/>
        <v>19</v>
      </c>
      <c r="L19" s="87">
        <f t="shared" si="5"/>
        <v>19.2</v>
      </c>
      <c r="M19" s="87">
        <f t="shared" si="5"/>
        <v>15.7</v>
      </c>
      <c r="N19" s="87">
        <f t="shared" si="5"/>
        <v>11.3</v>
      </c>
      <c r="O19" s="87">
        <f t="shared" si="5"/>
        <v>90.7</v>
      </c>
      <c r="P19" s="66">
        <f t="shared" si="6"/>
        <v>13976</v>
      </c>
      <c r="Q19" s="87">
        <f t="shared" si="7"/>
        <v>21.3</v>
      </c>
      <c r="R19" s="87">
        <f t="shared" si="7"/>
        <v>18</v>
      </c>
      <c r="S19" s="87">
        <f t="shared" si="7"/>
        <v>19.899999999999999</v>
      </c>
      <c r="T19" s="87">
        <f t="shared" si="7"/>
        <v>17</v>
      </c>
      <c r="U19" s="87">
        <f t="shared" si="7"/>
        <v>13</v>
      </c>
      <c r="V19" s="87">
        <f t="shared" si="7"/>
        <v>89.2</v>
      </c>
      <c r="W19" s="66">
        <f t="shared" si="8"/>
        <v>30501</v>
      </c>
      <c r="Y19" s="73"/>
      <c r="Z19" s="73"/>
      <c r="AA19" s="73"/>
      <c r="AB19" s="73"/>
      <c r="AC19" s="73"/>
      <c r="AD19" s="73"/>
      <c r="AE19" s="73"/>
      <c r="AF19" s="73"/>
      <c r="AG19" s="73"/>
      <c r="AH19" s="73"/>
      <c r="AI19" s="73"/>
      <c r="AJ19" s="73"/>
      <c r="AK19" s="73"/>
      <c r="AL19" s="73"/>
      <c r="AM19" s="73"/>
      <c r="AN19" s="73"/>
      <c r="AO19" s="73"/>
      <c r="AP19" s="73"/>
      <c r="AQ19" s="73"/>
      <c r="AR19" s="73"/>
      <c r="AS19" s="73"/>
      <c r="AT19" s="73"/>
      <c r="AV19" s="78"/>
      <c r="AW19" s="89"/>
      <c r="AX19" s="89"/>
      <c r="AY19" s="89"/>
      <c r="AZ19" s="89"/>
      <c r="BA19" s="89"/>
      <c r="BB19" s="89"/>
      <c r="BC19" s="89"/>
      <c r="BD19" s="89"/>
      <c r="BE19" s="89"/>
      <c r="BF19" s="89"/>
      <c r="BG19" s="89"/>
      <c r="BH19" s="89"/>
      <c r="BI19" s="89"/>
      <c r="BJ19" s="89"/>
      <c r="BK19" s="89"/>
      <c r="BL19" s="89"/>
      <c r="BM19" s="89"/>
      <c r="BN19" s="89"/>
      <c r="BO19" s="89"/>
      <c r="BP19" s="89"/>
      <c r="BQ19" s="89"/>
    </row>
    <row r="20" spans="2:69" x14ac:dyDescent="0.2">
      <c r="B20" s="2" t="s">
        <v>14</v>
      </c>
      <c r="C20" s="87">
        <f t="shared" si="3"/>
        <v>20.2</v>
      </c>
      <c r="D20" s="87">
        <f t="shared" si="3"/>
        <v>20</v>
      </c>
      <c r="E20" s="87">
        <f t="shared" si="3"/>
        <v>20.2</v>
      </c>
      <c r="F20" s="87">
        <f t="shared" si="3"/>
        <v>16.8</v>
      </c>
      <c r="G20" s="87">
        <f t="shared" si="3"/>
        <v>11.9</v>
      </c>
      <c r="H20" s="87">
        <f t="shared" si="3"/>
        <v>89.1</v>
      </c>
      <c r="I20" s="66">
        <f t="shared" si="4"/>
        <v>6830</v>
      </c>
      <c r="J20" s="87">
        <f t="shared" si="5"/>
        <v>24.3</v>
      </c>
      <c r="K20" s="87">
        <f t="shared" si="5"/>
        <v>19</v>
      </c>
      <c r="L20" s="87">
        <f t="shared" si="5"/>
        <v>18.899999999999999</v>
      </c>
      <c r="M20" s="87">
        <f t="shared" si="5"/>
        <v>15.2</v>
      </c>
      <c r="N20" s="87">
        <f t="shared" si="5"/>
        <v>11.1</v>
      </c>
      <c r="O20" s="87">
        <f t="shared" si="5"/>
        <v>88.5</v>
      </c>
      <c r="P20" s="66">
        <f t="shared" si="6"/>
        <v>5740</v>
      </c>
      <c r="Q20" s="87">
        <f t="shared" si="7"/>
        <v>22.1</v>
      </c>
      <c r="R20" s="87">
        <f t="shared" si="7"/>
        <v>19.5</v>
      </c>
      <c r="S20" s="87">
        <f t="shared" si="7"/>
        <v>19.600000000000001</v>
      </c>
      <c r="T20" s="87">
        <f t="shared" si="7"/>
        <v>16.100000000000001</v>
      </c>
      <c r="U20" s="87">
        <f t="shared" si="7"/>
        <v>11.5</v>
      </c>
      <c r="V20" s="87">
        <f t="shared" si="7"/>
        <v>88.8</v>
      </c>
      <c r="W20" s="66">
        <f t="shared" si="8"/>
        <v>12570</v>
      </c>
      <c r="Y20" s="73"/>
      <c r="Z20" s="73"/>
      <c r="AA20" s="73"/>
      <c r="AB20" s="73"/>
      <c r="AC20" s="73"/>
      <c r="AD20" s="73"/>
      <c r="AE20" s="73"/>
      <c r="AF20" s="73"/>
      <c r="AG20" s="73"/>
      <c r="AH20" s="73"/>
      <c r="AI20" s="73"/>
      <c r="AJ20" s="73"/>
      <c r="AK20" s="73"/>
      <c r="AL20" s="73"/>
      <c r="AM20" s="73"/>
      <c r="AN20" s="73"/>
      <c r="AO20" s="73"/>
      <c r="AP20" s="73"/>
      <c r="AQ20" s="73"/>
      <c r="AR20" s="73"/>
      <c r="AS20" s="73"/>
      <c r="AT20" s="73"/>
      <c r="AV20" s="78"/>
      <c r="AW20" s="89"/>
      <c r="AX20" s="89"/>
      <c r="AY20" s="89"/>
      <c r="AZ20" s="89"/>
      <c r="BA20" s="89"/>
      <c r="BB20" s="89"/>
      <c r="BC20" s="89"/>
      <c r="BD20" s="89"/>
      <c r="BE20" s="89"/>
      <c r="BF20" s="89"/>
      <c r="BG20" s="89"/>
      <c r="BH20" s="89"/>
      <c r="BI20" s="89"/>
      <c r="BJ20" s="89"/>
      <c r="BK20" s="89"/>
      <c r="BL20" s="89"/>
      <c r="BM20" s="89"/>
      <c r="BN20" s="89"/>
      <c r="BO20" s="89"/>
      <c r="BP20" s="89"/>
      <c r="BQ20" s="89"/>
    </row>
    <row r="21" spans="2:69" x14ac:dyDescent="0.2">
      <c r="B21" s="2" t="s">
        <v>15</v>
      </c>
      <c r="C21" s="87">
        <f t="shared" si="3"/>
        <v>15.3</v>
      </c>
      <c r="D21" s="87">
        <f t="shared" si="3"/>
        <v>21.5</v>
      </c>
      <c r="E21" s="87">
        <f t="shared" si="3"/>
        <v>23.5</v>
      </c>
      <c r="F21" s="87">
        <f t="shared" si="3"/>
        <v>19.5</v>
      </c>
      <c r="G21" s="87">
        <f t="shared" si="3"/>
        <v>12.4</v>
      </c>
      <c r="H21" s="87">
        <f t="shared" si="3"/>
        <v>92.1</v>
      </c>
      <c r="I21" s="66">
        <f t="shared" si="4"/>
        <v>21308</v>
      </c>
      <c r="J21" s="87">
        <f t="shared" si="5"/>
        <v>17.7</v>
      </c>
      <c r="K21" s="87">
        <f t="shared" si="5"/>
        <v>23</v>
      </c>
      <c r="L21" s="87">
        <f t="shared" si="5"/>
        <v>23.8</v>
      </c>
      <c r="M21" s="87">
        <f t="shared" si="5"/>
        <v>17.899999999999999</v>
      </c>
      <c r="N21" s="87">
        <f t="shared" si="5"/>
        <v>10.5</v>
      </c>
      <c r="O21" s="87">
        <f t="shared" si="5"/>
        <v>92.9</v>
      </c>
      <c r="P21" s="66">
        <f t="shared" si="6"/>
        <v>23314</v>
      </c>
      <c r="Q21" s="87">
        <f t="shared" si="7"/>
        <v>16.600000000000001</v>
      </c>
      <c r="R21" s="87">
        <f t="shared" si="7"/>
        <v>22.3</v>
      </c>
      <c r="S21" s="87">
        <f t="shared" si="7"/>
        <v>23.6</v>
      </c>
      <c r="T21" s="87">
        <f t="shared" si="7"/>
        <v>18.7</v>
      </c>
      <c r="U21" s="87">
        <f t="shared" si="7"/>
        <v>11.4</v>
      </c>
      <c r="V21" s="87">
        <f t="shared" si="7"/>
        <v>92.6</v>
      </c>
      <c r="W21" s="66">
        <f t="shared" si="8"/>
        <v>44622</v>
      </c>
      <c r="Y21" s="73"/>
      <c r="Z21" s="73"/>
      <c r="AA21" s="73"/>
      <c r="AB21" s="73"/>
      <c r="AC21" s="73"/>
      <c r="AD21" s="73"/>
      <c r="AE21" s="73"/>
      <c r="AF21" s="73"/>
      <c r="AG21" s="73"/>
      <c r="AH21" s="73"/>
      <c r="AI21" s="73"/>
      <c r="AJ21" s="73"/>
      <c r="AK21" s="73"/>
      <c r="AL21" s="73"/>
      <c r="AM21" s="73"/>
      <c r="AN21" s="73"/>
      <c r="AO21" s="73"/>
      <c r="AP21" s="73"/>
      <c r="AQ21" s="73"/>
      <c r="AR21" s="73"/>
      <c r="AS21" s="73"/>
      <c r="AT21" s="73"/>
      <c r="AV21" s="78"/>
      <c r="AW21" s="89"/>
      <c r="AX21" s="89"/>
      <c r="AY21" s="89"/>
      <c r="AZ21" s="89"/>
      <c r="BA21" s="89"/>
      <c r="BB21" s="89"/>
      <c r="BC21" s="89"/>
      <c r="BD21" s="89"/>
      <c r="BE21" s="89"/>
      <c r="BF21" s="89"/>
      <c r="BG21" s="89"/>
      <c r="BH21" s="89"/>
      <c r="BI21" s="89"/>
      <c r="BJ21" s="89"/>
      <c r="BK21" s="89"/>
      <c r="BL21" s="89"/>
      <c r="BM21" s="89"/>
      <c r="BN21" s="89"/>
      <c r="BO21" s="89"/>
      <c r="BP21" s="89"/>
      <c r="BQ21" s="89"/>
    </row>
    <row r="22" spans="2:69" x14ac:dyDescent="0.2">
      <c r="B22" s="2" t="s">
        <v>16</v>
      </c>
      <c r="C22" s="87">
        <f t="shared" si="3"/>
        <v>10.7</v>
      </c>
      <c r="D22" s="87">
        <f t="shared" si="3"/>
        <v>13.2</v>
      </c>
      <c r="E22" s="87">
        <f t="shared" si="3"/>
        <v>17.7</v>
      </c>
      <c r="F22" s="87">
        <f t="shared" si="3"/>
        <v>19.100000000000001</v>
      </c>
      <c r="G22" s="87">
        <f t="shared" si="3"/>
        <v>17.3</v>
      </c>
      <c r="H22" s="87">
        <f t="shared" si="3"/>
        <v>77.900000000000006</v>
      </c>
      <c r="I22" s="66">
        <f t="shared" si="4"/>
        <v>9408</v>
      </c>
      <c r="J22" s="87">
        <f t="shared" si="5"/>
        <v>14</v>
      </c>
      <c r="K22" s="87">
        <f t="shared" si="5"/>
        <v>15.1</v>
      </c>
      <c r="L22" s="87">
        <f t="shared" si="5"/>
        <v>17.899999999999999</v>
      </c>
      <c r="M22" s="87">
        <f t="shared" si="5"/>
        <v>17.100000000000001</v>
      </c>
      <c r="N22" s="87">
        <f t="shared" si="5"/>
        <v>15.6</v>
      </c>
      <c r="O22" s="87">
        <f t="shared" si="5"/>
        <v>79.599999999999994</v>
      </c>
      <c r="P22" s="66">
        <f t="shared" si="6"/>
        <v>13190</v>
      </c>
      <c r="Q22" s="87">
        <f t="shared" si="7"/>
        <v>12.6</v>
      </c>
      <c r="R22" s="87">
        <f t="shared" si="7"/>
        <v>14.3</v>
      </c>
      <c r="S22" s="87">
        <f t="shared" si="7"/>
        <v>17.8</v>
      </c>
      <c r="T22" s="87">
        <f t="shared" si="7"/>
        <v>17.899999999999999</v>
      </c>
      <c r="U22" s="87">
        <f t="shared" si="7"/>
        <v>16.3</v>
      </c>
      <c r="V22" s="87">
        <f t="shared" si="7"/>
        <v>78.900000000000006</v>
      </c>
      <c r="W22" s="66">
        <f t="shared" si="8"/>
        <v>22598</v>
      </c>
      <c r="Y22" s="73"/>
      <c r="Z22" s="73"/>
      <c r="AA22" s="73"/>
      <c r="AB22" s="73"/>
      <c r="AC22" s="73"/>
      <c r="AD22" s="73"/>
      <c r="AE22" s="73"/>
      <c r="AF22" s="73"/>
      <c r="AG22" s="73"/>
      <c r="AH22" s="73"/>
      <c r="AI22" s="73"/>
      <c r="AJ22" s="73"/>
      <c r="AK22" s="73"/>
      <c r="AL22" s="73"/>
      <c r="AM22" s="73"/>
      <c r="AN22" s="73"/>
      <c r="AO22" s="73"/>
      <c r="AP22" s="73"/>
      <c r="AQ22" s="73"/>
      <c r="AR22" s="73"/>
      <c r="AS22" s="73"/>
      <c r="AT22" s="73"/>
      <c r="AV22" s="78"/>
      <c r="AW22" s="89"/>
      <c r="AX22" s="89"/>
      <c r="AY22" s="89"/>
      <c r="AZ22" s="89"/>
      <c r="BA22" s="89"/>
      <c r="BB22" s="89"/>
      <c r="BC22" s="89"/>
      <c r="BD22" s="89"/>
      <c r="BE22" s="89"/>
      <c r="BF22" s="89"/>
      <c r="BG22" s="89"/>
      <c r="BH22" s="89"/>
      <c r="BI22" s="89"/>
      <c r="BJ22" s="89"/>
      <c r="BK22" s="89"/>
      <c r="BL22" s="89"/>
      <c r="BM22" s="89"/>
      <c r="BN22" s="89"/>
      <c r="BO22" s="89"/>
      <c r="BP22" s="89"/>
      <c r="BQ22" s="89"/>
    </row>
    <row r="23" spans="2:69" x14ac:dyDescent="0.2">
      <c r="B23" s="2" t="s">
        <v>17</v>
      </c>
      <c r="C23" s="87">
        <f t="shared" ref="C23:H38" si="9">IF(OR(C65=1,C65=2),"x",ROUND(C65/$I65*100,1))</f>
        <v>6.8</v>
      </c>
      <c r="D23" s="87">
        <f t="shared" si="9"/>
        <v>12.4</v>
      </c>
      <c r="E23" s="87">
        <f t="shared" si="9"/>
        <v>18</v>
      </c>
      <c r="F23" s="87">
        <f t="shared" si="9"/>
        <v>19.600000000000001</v>
      </c>
      <c r="G23" s="87">
        <f t="shared" si="9"/>
        <v>17.8</v>
      </c>
      <c r="H23" s="87">
        <f t="shared" si="9"/>
        <v>74.599999999999994</v>
      </c>
      <c r="I23" s="66">
        <f t="shared" si="4"/>
        <v>21085</v>
      </c>
      <c r="J23" s="87">
        <f t="shared" ref="J23:O38" si="10">IF(OR(J65=1,J65=2),"x",ROUND(J65/$P65*100,1))</f>
        <v>13.9</v>
      </c>
      <c r="K23" s="87">
        <f t="shared" si="10"/>
        <v>17.7</v>
      </c>
      <c r="L23" s="87">
        <f t="shared" si="10"/>
        <v>20</v>
      </c>
      <c r="M23" s="87">
        <f t="shared" si="10"/>
        <v>17.600000000000001</v>
      </c>
      <c r="N23" s="87">
        <f t="shared" si="10"/>
        <v>14.1</v>
      </c>
      <c r="O23" s="87">
        <f t="shared" si="10"/>
        <v>83.2</v>
      </c>
      <c r="P23" s="66">
        <f t="shared" si="6"/>
        <v>49659</v>
      </c>
      <c r="Q23" s="87">
        <f t="shared" ref="Q23:V38" si="11">IF(OR(Q65=1,Q65=2),"x",ROUND(Q65/$W65*100,1))</f>
        <v>11.7</v>
      </c>
      <c r="R23" s="87">
        <f t="shared" si="11"/>
        <v>16.100000000000001</v>
      </c>
      <c r="S23" s="87">
        <f t="shared" si="11"/>
        <v>19.399999999999999</v>
      </c>
      <c r="T23" s="87">
        <f t="shared" si="11"/>
        <v>18.2</v>
      </c>
      <c r="U23" s="87">
        <f t="shared" si="11"/>
        <v>15.2</v>
      </c>
      <c r="V23" s="87">
        <f t="shared" si="11"/>
        <v>80.599999999999994</v>
      </c>
      <c r="W23" s="66">
        <f t="shared" si="8"/>
        <v>70744</v>
      </c>
      <c r="Y23" s="73"/>
      <c r="Z23" s="73"/>
      <c r="AA23" s="73"/>
      <c r="AB23" s="73"/>
      <c r="AC23" s="73"/>
      <c r="AD23" s="73"/>
      <c r="AE23" s="73"/>
      <c r="AF23" s="73"/>
      <c r="AG23" s="73"/>
      <c r="AH23" s="73"/>
      <c r="AI23" s="73"/>
      <c r="AJ23" s="73"/>
      <c r="AK23" s="73"/>
      <c r="AL23" s="73"/>
      <c r="AM23" s="73"/>
      <c r="AN23" s="73"/>
      <c r="AO23" s="73"/>
      <c r="AP23" s="73"/>
      <c r="AQ23" s="73"/>
      <c r="AR23" s="73"/>
      <c r="AS23" s="73"/>
      <c r="AT23" s="73"/>
      <c r="AV23" s="78"/>
      <c r="AW23" s="89"/>
      <c r="AX23" s="89"/>
      <c r="AY23" s="89"/>
      <c r="AZ23" s="89"/>
      <c r="BA23" s="89"/>
      <c r="BB23" s="89"/>
      <c r="BC23" s="89"/>
      <c r="BD23" s="89"/>
      <c r="BE23" s="89"/>
      <c r="BF23" s="89"/>
      <c r="BG23" s="89"/>
      <c r="BH23" s="89"/>
      <c r="BI23" s="89"/>
      <c r="BJ23" s="89"/>
      <c r="BK23" s="89"/>
      <c r="BL23" s="89"/>
      <c r="BM23" s="89"/>
      <c r="BN23" s="89"/>
      <c r="BO23" s="89"/>
      <c r="BP23" s="89"/>
      <c r="BQ23" s="89"/>
    </row>
    <row r="24" spans="2:69" x14ac:dyDescent="0.2">
      <c r="B24" s="2" t="s">
        <v>18</v>
      </c>
      <c r="C24" s="87">
        <f t="shared" si="9"/>
        <v>10.5</v>
      </c>
      <c r="D24" s="87">
        <f t="shared" si="9"/>
        <v>15.1</v>
      </c>
      <c r="E24" s="87">
        <f t="shared" si="9"/>
        <v>19.5</v>
      </c>
      <c r="F24" s="87">
        <f t="shared" si="9"/>
        <v>19.5</v>
      </c>
      <c r="G24" s="87">
        <f t="shared" si="9"/>
        <v>16.899999999999999</v>
      </c>
      <c r="H24" s="87">
        <f t="shared" si="9"/>
        <v>81.5</v>
      </c>
      <c r="I24" s="66">
        <f t="shared" si="4"/>
        <v>9534</v>
      </c>
      <c r="J24" s="87">
        <f t="shared" si="10"/>
        <v>17.100000000000001</v>
      </c>
      <c r="K24" s="87">
        <f t="shared" si="10"/>
        <v>19</v>
      </c>
      <c r="L24" s="87">
        <f t="shared" si="10"/>
        <v>20.100000000000001</v>
      </c>
      <c r="M24" s="87">
        <f t="shared" si="10"/>
        <v>17.5</v>
      </c>
      <c r="N24" s="87">
        <f t="shared" si="10"/>
        <v>13.1</v>
      </c>
      <c r="O24" s="87">
        <f t="shared" si="10"/>
        <v>86.8</v>
      </c>
      <c r="P24" s="66">
        <f t="shared" si="6"/>
        <v>26698</v>
      </c>
      <c r="Q24" s="87">
        <f t="shared" si="11"/>
        <v>15.4</v>
      </c>
      <c r="R24" s="87">
        <f t="shared" si="11"/>
        <v>18</v>
      </c>
      <c r="S24" s="87">
        <f t="shared" si="11"/>
        <v>19.899999999999999</v>
      </c>
      <c r="T24" s="87">
        <f t="shared" si="11"/>
        <v>18.100000000000001</v>
      </c>
      <c r="U24" s="87">
        <f t="shared" si="11"/>
        <v>14.1</v>
      </c>
      <c r="V24" s="87">
        <f t="shared" si="11"/>
        <v>85.4</v>
      </c>
      <c r="W24" s="66">
        <f t="shared" si="8"/>
        <v>36232</v>
      </c>
      <c r="Y24" s="73"/>
      <c r="Z24" s="73"/>
      <c r="AA24" s="73"/>
      <c r="AB24" s="73"/>
      <c r="AC24" s="73"/>
      <c r="AD24" s="73"/>
      <c r="AE24" s="73"/>
      <c r="AF24" s="73"/>
      <c r="AG24" s="73"/>
      <c r="AH24" s="73"/>
      <c r="AI24" s="73"/>
      <c r="AJ24" s="73"/>
      <c r="AK24" s="73"/>
      <c r="AL24" s="73"/>
      <c r="AM24" s="73"/>
      <c r="AN24" s="73"/>
      <c r="AO24" s="73"/>
      <c r="AP24" s="73"/>
      <c r="AQ24" s="73"/>
      <c r="AR24" s="73"/>
      <c r="AS24" s="73"/>
      <c r="AT24" s="73"/>
      <c r="AV24" s="78"/>
      <c r="AW24" s="89"/>
      <c r="AX24" s="89"/>
      <c r="AY24" s="89"/>
      <c r="AZ24" s="89"/>
      <c r="BA24" s="89"/>
      <c r="BB24" s="89"/>
      <c r="BC24" s="89"/>
      <c r="BD24" s="89"/>
      <c r="BE24" s="89"/>
      <c r="BF24" s="89"/>
      <c r="BG24" s="89"/>
      <c r="BH24" s="89"/>
      <c r="BI24" s="89"/>
      <c r="BJ24" s="89"/>
      <c r="BK24" s="89"/>
      <c r="BL24" s="89"/>
      <c r="BM24" s="89"/>
      <c r="BN24" s="89"/>
      <c r="BO24" s="89"/>
      <c r="BP24" s="89"/>
      <c r="BQ24" s="89"/>
    </row>
    <row r="25" spans="2:69" x14ac:dyDescent="0.2">
      <c r="B25" s="2" t="s">
        <v>19</v>
      </c>
      <c r="C25" s="87">
        <f t="shared" si="9"/>
        <v>10.3</v>
      </c>
      <c r="D25" s="87">
        <f t="shared" si="9"/>
        <v>13.1</v>
      </c>
      <c r="E25" s="87">
        <f t="shared" si="9"/>
        <v>19.100000000000001</v>
      </c>
      <c r="F25" s="87">
        <f t="shared" si="9"/>
        <v>20.100000000000001</v>
      </c>
      <c r="G25" s="87">
        <f t="shared" si="9"/>
        <v>17.100000000000001</v>
      </c>
      <c r="H25" s="87">
        <f t="shared" si="9"/>
        <v>79.599999999999994</v>
      </c>
      <c r="I25" s="66">
        <f t="shared" si="4"/>
        <v>4224</v>
      </c>
      <c r="J25" s="87">
        <f t="shared" si="10"/>
        <v>11.6</v>
      </c>
      <c r="K25" s="87">
        <f t="shared" si="10"/>
        <v>15.2</v>
      </c>
      <c r="L25" s="87">
        <f t="shared" si="10"/>
        <v>19.2</v>
      </c>
      <c r="M25" s="87">
        <f t="shared" si="10"/>
        <v>20.5</v>
      </c>
      <c r="N25" s="87">
        <f t="shared" si="10"/>
        <v>15</v>
      </c>
      <c r="O25" s="87">
        <f t="shared" si="10"/>
        <v>81.400000000000006</v>
      </c>
      <c r="P25" s="66">
        <f t="shared" si="6"/>
        <v>5246</v>
      </c>
      <c r="Q25" s="87">
        <f t="shared" si="11"/>
        <v>11</v>
      </c>
      <c r="R25" s="87">
        <f t="shared" si="11"/>
        <v>14.3</v>
      </c>
      <c r="S25" s="87">
        <f t="shared" si="11"/>
        <v>19.100000000000001</v>
      </c>
      <c r="T25" s="87">
        <f t="shared" si="11"/>
        <v>20.3</v>
      </c>
      <c r="U25" s="87">
        <f t="shared" si="11"/>
        <v>15.9</v>
      </c>
      <c r="V25" s="87">
        <f t="shared" si="11"/>
        <v>80.599999999999994</v>
      </c>
      <c r="W25" s="66">
        <f t="shared" si="8"/>
        <v>9470</v>
      </c>
      <c r="Y25" s="73"/>
      <c r="Z25" s="73"/>
      <c r="AA25" s="73"/>
      <c r="AB25" s="73"/>
      <c r="AC25" s="73"/>
      <c r="AD25" s="73"/>
      <c r="AE25" s="73"/>
      <c r="AF25" s="73"/>
      <c r="AG25" s="73"/>
      <c r="AH25" s="73"/>
      <c r="AI25" s="73"/>
      <c r="AJ25" s="73"/>
      <c r="AK25" s="73"/>
      <c r="AL25" s="73"/>
      <c r="AM25" s="73"/>
      <c r="AN25" s="73"/>
      <c r="AO25" s="73"/>
      <c r="AP25" s="73"/>
      <c r="AQ25" s="73"/>
      <c r="AR25" s="73"/>
      <c r="AS25" s="73"/>
      <c r="AT25" s="73"/>
      <c r="AV25" s="78"/>
      <c r="AW25" s="89"/>
      <c r="AX25" s="89"/>
      <c r="AY25" s="89"/>
      <c r="AZ25" s="89"/>
      <c r="BA25" s="89"/>
      <c r="BB25" s="89"/>
      <c r="BC25" s="89"/>
      <c r="BD25" s="89"/>
      <c r="BE25" s="89"/>
      <c r="BF25" s="89"/>
      <c r="BG25" s="89"/>
      <c r="BH25" s="89"/>
      <c r="BI25" s="89"/>
      <c r="BJ25" s="89"/>
      <c r="BK25" s="89"/>
      <c r="BL25" s="89"/>
      <c r="BM25" s="89"/>
      <c r="BN25" s="89"/>
      <c r="BO25" s="89"/>
      <c r="BP25" s="89"/>
      <c r="BQ25" s="89"/>
    </row>
    <row r="26" spans="2:69" x14ac:dyDescent="0.2">
      <c r="B26" s="2" t="s">
        <v>20</v>
      </c>
      <c r="C26" s="87">
        <f t="shared" si="9"/>
        <v>15.7</v>
      </c>
      <c r="D26" s="87">
        <f t="shared" si="9"/>
        <v>18.100000000000001</v>
      </c>
      <c r="E26" s="87">
        <f t="shared" si="9"/>
        <v>22.3</v>
      </c>
      <c r="F26" s="87">
        <f t="shared" si="9"/>
        <v>19.399999999999999</v>
      </c>
      <c r="G26" s="87">
        <f t="shared" si="9"/>
        <v>12.5</v>
      </c>
      <c r="H26" s="87">
        <f t="shared" si="9"/>
        <v>88</v>
      </c>
      <c r="I26" s="66">
        <f t="shared" si="4"/>
        <v>16170</v>
      </c>
      <c r="J26" s="87">
        <f t="shared" si="10"/>
        <v>22.7</v>
      </c>
      <c r="K26" s="87">
        <f t="shared" si="10"/>
        <v>23.1</v>
      </c>
      <c r="L26" s="87">
        <f t="shared" si="10"/>
        <v>23.5</v>
      </c>
      <c r="M26" s="87">
        <f t="shared" si="10"/>
        <v>15.6</v>
      </c>
      <c r="N26" s="87">
        <f t="shared" si="10"/>
        <v>8.6</v>
      </c>
      <c r="O26" s="87">
        <f t="shared" si="10"/>
        <v>93.4</v>
      </c>
      <c r="P26" s="66">
        <f t="shared" si="6"/>
        <v>36807</v>
      </c>
      <c r="Q26" s="87">
        <f t="shared" si="11"/>
        <v>20.5</v>
      </c>
      <c r="R26" s="87">
        <f t="shared" si="11"/>
        <v>21.6</v>
      </c>
      <c r="S26" s="87">
        <f t="shared" si="11"/>
        <v>23.1</v>
      </c>
      <c r="T26" s="87">
        <f t="shared" si="11"/>
        <v>16.8</v>
      </c>
      <c r="U26" s="87">
        <f t="shared" si="11"/>
        <v>9.8000000000000007</v>
      </c>
      <c r="V26" s="87">
        <f t="shared" si="11"/>
        <v>91.8</v>
      </c>
      <c r="W26" s="66">
        <f t="shared" si="8"/>
        <v>52977</v>
      </c>
      <c r="Y26" s="73"/>
      <c r="Z26" s="73"/>
      <c r="AA26" s="73"/>
      <c r="AB26" s="73"/>
      <c r="AC26" s="73"/>
      <c r="AD26" s="73"/>
      <c r="AE26" s="73"/>
      <c r="AF26" s="73"/>
      <c r="AG26" s="73"/>
      <c r="AH26" s="73"/>
      <c r="AI26" s="73"/>
      <c r="AJ26" s="73"/>
      <c r="AK26" s="73"/>
      <c r="AL26" s="73"/>
      <c r="AM26" s="73"/>
      <c r="AN26" s="73"/>
      <c r="AO26" s="73"/>
      <c r="AP26" s="73"/>
      <c r="AQ26" s="73"/>
      <c r="AR26" s="73"/>
      <c r="AS26" s="73"/>
      <c r="AT26" s="73"/>
      <c r="AV26" s="78"/>
      <c r="AW26" s="89"/>
      <c r="AX26" s="89"/>
      <c r="AY26" s="89"/>
      <c r="AZ26" s="89"/>
      <c r="BA26" s="89"/>
      <c r="BB26" s="89"/>
      <c r="BC26" s="89"/>
      <c r="BD26" s="89"/>
      <c r="BE26" s="89"/>
      <c r="BF26" s="89"/>
      <c r="BG26" s="89"/>
      <c r="BH26" s="89"/>
      <c r="BI26" s="89"/>
      <c r="BJ26" s="89"/>
      <c r="BK26" s="89"/>
      <c r="BL26" s="89"/>
      <c r="BM26" s="89"/>
      <c r="BN26" s="89"/>
      <c r="BO26" s="89"/>
      <c r="BP26" s="89"/>
      <c r="BQ26" s="89"/>
    </row>
    <row r="27" spans="2:69" x14ac:dyDescent="0.2">
      <c r="B27" s="2" t="s">
        <v>21</v>
      </c>
      <c r="C27" s="87">
        <f t="shared" si="9"/>
        <v>12.3</v>
      </c>
      <c r="D27" s="87">
        <f t="shared" si="9"/>
        <v>23.4</v>
      </c>
      <c r="E27" s="87">
        <f t="shared" si="9"/>
        <v>28.4</v>
      </c>
      <c r="F27" s="87">
        <f t="shared" si="9"/>
        <v>21.7</v>
      </c>
      <c r="G27" s="87">
        <f t="shared" si="9"/>
        <v>10.1</v>
      </c>
      <c r="H27" s="87">
        <f t="shared" si="9"/>
        <v>96</v>
      </c>
      <c r="I27" s="66">
        <f t="shared" si="4"/>
        <v>5106</v>
      </c>
      <c r="J27" s="87">
        <f t="shared" si="10"/>
        <v>17.399999999999999</v>
      </c>
      <c r="K27" s="87">
        <f t="shared" si="10"/>
        <v>27.8</v>
      </c>
      <c r="L27" s="87">
        <f t="shared" si="10"/>
        <v>28.9</v>
      </c>
      <c r="M27" s="87">
        <f t="shared" si="10"/>
        <v>16.399999999999999</v>
      </c>
      <c r="N27" s="87">
        <f t="shared" si="10"/>
        <v>6.7</v>
      </c>
      <c r="O27" s="87">
        <f t="shared" si="10"/>
        <v>97.2</v>
      </c>
      <c r="P27" s="66">
        <f t="shared" si="6"/>
        <v>11096</v>
      </c>
      <c r="Q27" s="87">
        <f t="shared" si="11"/>
        <v>15.8</v>
      </c>
      <c r="R27" s="87">
        <f t="shared" si="11"/>
        <v>26.4</v>
      </c>
      <c r="S27" s="87">
        <f t="shared" si="11"/>
        <v>28.7</v>
      </c>
      <c r="T27" s="87">
        <f t="shared" si="11"/>
        <v>18.100000000000001</v>
      </c>
      <c r="U27" s="87">
        <f t="shared" si="11"/>
        <v>7.8</v>
      </c>
      <c r="V27" s="87">
        <f t="shared" si="11"/>
        <v>96.8</v>
      </c>
      <c r="W27" s="66">
        <f t="shared" si="8"/>
        <v>16202</v>
      </c>
      <c r="Y27" s="73"/>
      <c r="Z27" s="73"/>
      <c r="AA27" s="73"/>
      <c r="AB27" s="73"/>
      <c r="AC27" s="73"/>
      <c r="AD27" s="73"/>
      <c r="AE27" s="73"/>
      <c r="AF27" s="73"/>
      <c r="AG27" s="73"/>
      <c r="AH27" s="73"/>
      <c r="AI27" s="73"/>
      <c r="AJ27" s="73"/>
      <c r="AK27" s="73"/>
      <c r="AL27" s="73"/>
      <c r="AM27" s="73"/>
      <c r="AN27" s="73"/>
      <c r="AO27" s="73"/>
      <c r="AP27" s="73"/>
      <c r="AQ27" s="73"/>
      <c r="AR27" s="73"/>
      <c r="AS27" s="73"/>
      <c r="AT27" s="73"/>
      <c r="AV27" s="78"/>
      <c r="AW27" s="89"/>
      <c r="AX27" s="89"/>
      <c r="AY27" s="89"/>
      <c r="AZ27" s="89"/>
      <c r="BA27" s="89"/>
      <c r="BB27" s="89"/>
      <c r="BC27" s="89"/>
      <c r="BD27" s="89"/>
      <c r="BE27" s="89"/>
      <c r="BF27" s="89"/>
      <c r="BG27" s="89"/>
      <c r="BH27" s="89"/>
      <c r="BI27" s="89"/>
      <c r="BJ27" s="89"/>
      <c r="BK27" s="89"/>
      <c r="BL27" s="89"/>
      <c r="BM27" s="89"/>
      <c r="BN27" s="89"/>
      <c r="BO27" s="89"/>
      <c r="BP27" s="89"/>
      <c r="BQ27" s="89"/>
    </row>
    <row r="28" spans="2:69" x14ac:dyDescent="0.2">
      <c r="B28" s="2" t="s">
        <v>22</v>
      </c>
      <c r="C28" s="87">
        <f t="shared" si="9"/>
        <v>13.5</v>
      </c>
      <c r="D28" s="87">
        <f t="shared" si="9"/>
        <v>19.899999999999999</v>
      </c>
      <c r="E28" s="87">
        <f t="shared" si="9"/>
        <v>26.3</v>
      </c>
      <c r="F28" s="87">
        <f t="shared" si="9"/>
        <v>22.4</v>
      </c>
      <c r="G28" s="87">
        <f t="shared" si="9"/>
        <v>12</v>
      </c>
      <c r="H28" s="87">
        <f t="shared" si="9"/>
        <v>94.2</v>
      </c>
      <c r="I28" s="66">
        <f t="shared" si="4"/>
        <v>27811</v>
      </c>
      <c r="J28" s="87">
        <f t="shared" si="10"/>
        <v>15</v>
      </c>
      <c r="K28" s="87">
        <f t="shared" si="10"/>
        <v>21.7</v>
      </c>
      <c r="L28" s="87">
        <f t="shared" si="10"/>
        <v>27.9</v>
      </c>
      <c r="M28" s="87">
        <f t="shared" si="10"/>
        <v>21.6</v>
      </c>
      <c r="N28" s="87">
        <f t="shared" si="10"/>
        <v>10</v>
      </c>
      <c r="O28" s="87">
        <f t="shared" si="10"/>
        <v>96.2</v>
      </c>
      <c r="P28" s="66">
        <f t="shared" si="6"/>
        <v>61800</v>
      </c>
      <c r="Q28" s="87">
        <f t="shared" si="11"/>
        <v>14.6</v>
      </c>
      <c r="R28" s="87">
        <f t="shared" si="11"/>
        <v>21.1</v>
      </c>
      <c r="S28" s="87">
        <f t="shared" si="11"/>
        <v>27.4</v>
      </c>
      <c r="T28" s="87">
        <f t="shared" si="11"/>
        <v>21.8</v>
      </c>
      <c r="U28" s="87">
        <f t="shared" si="11"/>
        <v>10.6</v>
      </c>
      <c r="V28" s="87">
        <f t="shared" si="11"/>
        <v>95.5</v>
      </c>
      <c r="W28" s="66">
        <f t="shared" si="8"/>
        <v>89611</v>
      </c>
      <c r="Y28" s="73"/>
      <c r="Z28" s="73"/>
      <c r="AA28" s="73"/>
      <c r="AB28" s="73"/>
      <c r="AC28" s="73"/>
      <c r="AD28" s="73"/>
      <c r="AE28" s="73"/>
      <c r="AF28" s="73"/>
      <c r="AG28" s="73"/>
      <c r="AH28" s="73"/>
      <c r="AI28" s="73"/>
      <c r="AJ28" s="73"/>
      <c r="AK28" s="73"/>
      <c r="AL28" s="73"/>
      <c r="AM28" s="73"/>
      <c r="AN28" s="73"/>
      <c r="AO28" s="73"/>
      <c r="AP28" s="73"/>
      <c r="AQ28" s="73"/>
      <c r="AR28" s="73"/>
      <c r="AS28" s="73"/>
      <c r="AT28" s="73"/>
      <c r="AV28" s="78"/>
      <c r="AW28" s="89"/>
      <c r="AX28" s="89"/>
      <c r="AY28" s="89"/>
      <c r="AZ28" s="89"/>
      <c r="BA28" s="89"/>
      <c r="BB28" s="89"/>
      <c r="BC28" s="89"/>
      <c r="BD28" s="89"/>
      <c r="BE28" s="89"/>
      <c r="BF28" s="89"/>
      <c r="BG28" s="89"/>
      <c r="BH28" s="89"/>
      <c r="BI28" s="89"/>
      <c r="BJ28" s="89"/>
      <c r="BK28" s="89"/>
      <c r="BL28" s="89"/>
      <c r="BM28" s="89"/>
      <c r="BN28" s="89"/>
      <c r="BO28" s="89"/>
      <c r="BP28" s="89"/>
      <c r="BQ28" s="89"/>
    </row>
    <row r="29" spans="2:69" x14ac:dyDescent="0.2">
      <c r="B29" s="2" t="s">
        <v>51</v>
      </c>
      <c r="C29" s="87">
        <f t="shared" si="9"/>
        <v>9.6</v>
      </c>
      <c r="D29" s="87">
        <f t="shared" si="9"/>
        <v>20.100000000000001</v>
      </c>
      <c r="E29" s="87">
        <f t="shared" si="9"/>
        <v>26.5</v>
      </c>
      <c r="F29" s="87">
        <f t="shared" si="9"/>
        <v>23</v>
      </c>
      <c r="G29" s="87">
        <f t="shared" si="9"/>
        <v>12.7</v>
      </c>
      <c r="H29" s="87">
        <f t="shared" si="9"/>
        <v>91.9</v>
      </c>
      <c r="I29" s="66">
        <f t="shared" si="4"/>
        <v>14165</v>
      </c>
      <c r="J29" s="87">
        <f t="shared" si="10"/>
        <v>13.6</v>
      </c>
      <c r="K29" s="87">
        <f t="shared" si="10"/>
        <v>25.1</v>
      </c>
      <c r="L29" s="87">
        <f t="shared" si="10"/>
        <v>28.1</v>
      </c>
      <c r="M29" s="87">
        <f t="shared" si="10"/>
        <v>19</v>
      </c>
      <c r="N29" s="87">
        <f t="shared" si="10"/>
        <v>9.1999999999999993</v>
      </c>
      <c r="O29" s="87">
        <f t="shared" si="10"/>
        <v>95</v>
      </c>
      <c r="P29" s="66">
        <f t="shared" si="6"/>
        <v>17364</v>
      </c>
      <c r="Q29" s="87">
        <f t="shared" si="11"/>
        <v>11.8</v>
      </c>
      <c r="R29" s="87">
        <f t="shared" si="11"/>
        <v>22.8</v>
      </c>
      <c r="S29" s="87">
        <f t="shared" si="11"/>
        <v>27.4</v>
      </c>
      <c r="T29" s="87">
        <f t="shared" si="11"/>
        <v>20.8</v>
      </c>
      <c r="U29" s="87">
        <f t="shared" si="11"/>
        <v>10.7</v>
      </c>
      <c r="V29" s="87">
        <f t="shared" si="11"/>
        <v>93.6</v>
      </c>
      <c r="W29" s="66">
        <f t="shared" si="8"/>
        <v>31529</v>
      </c>
      <c r="Y29" s="73"/>
      <c r="Z29" s="73"/>
      <c r="AA29" s="73"/>
      <c r="AB29" s="73"/>
      <c r="AC29" s="73"/>
      <c r="AD29" s="73"/>
      <c r="AE29" s="73"/>
      <c r="AF29" s="73"/>
      <c r="AG29" s="73"/>
      <c r="AH29" s="73"/>
      <c r="AI29" s="73"/>
      <c r="AJ29" s="73"/>
      <c r="AK29" s="73"/>
      <c r="AL29" s="73"/>
      <c r="AM29" s="73"/>
      <c r="AN29" s="73"/>
      <c r="AO29" s="73"/>
      <c r="AP29" s="73"/>
      <c r="AQ29" s="73"/>
      <c r="AR29" s="73"/>
      <c r="AS29" s="73"/>
      <c r="AT29" s="73"/>
      <c r="AV29" s="78"/>
      <c r="AW29" s="89"/>
      <c r="AX29" s="89"/>
      <c r="AY29" s="89"/>
      <c r="AZ29" s="89"/>
      <c r="BA29" s="89"/>
      <c r="BB29" s="89"/>
      <c r="BC29" s="89"/>
      <c r="BD29" s="89"/>
      <c r="BE29" s="89"/>
      <c r="BF29" s="89"/>
      <c r="BG29" s="89"/>
      <c r="BH29" s="89"/>
      <c r="BI29" s="89"/>
      <c r="BJ29" s="89"/>
      <c r="BK29" s="89"/>
      <c r="BL29" s="89"/>
      <c r="BM29" s="89"/>
      <c r="BN29" s="89"/>
      <c r="BO29" s="89"/>
      <c r="BP29" s="89"/>
      <c r="BQ29" s="89"/>
    </row>
    <row r="30" spans="2:69" x14ac:dyDescent="0.2">
      <c r="B30" s="2" t="s">
        <v>23</v>
      </c>
      <c r="C30" s="87">
        <f t="shared" si="9"/>
        <v>7.9</v>
      </c>
      <c r="D30" s="87">
        <f t="shared" si="9"/>
        <v>25.4</v>
      </c>
      <c r="E30" s="87">
        <f t="shared" si="9"/>
        <v>34.200000000000003</v>
      </c>
      <c r="F30" s="87">
        <f t="shared" si="9"/>
        <v>19.2</v>
      </c>
      <c r="G30" s="87">
        <f t="shared" si="9"/>
        <v>7.5</v>
      </c>
      <c r="H30" s="87">
        <f t="shared" si="9"/>
        <v>94.2</v>
      </c>
      <c r="I30" s="66">
        <f t="shared" si="4"/>
        <v>6266</v>
      </c>
      <c r="J30" s="87">
        <f t="shared" si="10"/>
        <v>12.4</v>
      </c>
      <c r="K30" s="87">
        <f t="shared" si="10"/>
        <v>28.2</v>
      </c>
      <c r="L30" s="87">
        <f t="shared" si="10"/>
        <v>31.6</v>
      </c>
      <c r="M30" s="87">
        <f t="shared" si="10"/>
        <v>17.2</v>
      </c>
      <c r="N30" s="87">
        <f t="shared" si="10"/>
        <v>6.3</v>
      </c>
      <c r="O30" s="87">
        <f t="shared" si="10"/>
        <v>95.7</v>
      </c>
      <c r="P30" s="66">
        <f t="shared" si="6"/>
        <v>8000</v>
      </c>
      <c r="Q30" s="87">
        <f t="shared" si="11"/>
        <v>10.4</v>
      </c>
      <c r="R30" s="87">
        <f t="shared" si="11"/>
        <v>27</v>
      </c>
      <c r="S30" s="87">
        <f t="shared" si="11"/>
        <v>32.700000000000003</v>
      </c>
      <c r="T30" s="87">
        <f t="shared" si="11"/>
        <v>18.100000000000001</v>
      </c>
      <c r="U30" s="87">
        <f t="shared" si="11"/>
        <v>6.9</v>
      </c>
      <c r="V30" s="87">
        <f t="shared" si="11"/>
        <v>95.1</v>
      </c>
      <c r="W30" s="66">
        <f t="shared" si="8"/>
        <v>14266</v>
      </c>
      <c r="Y30" s="73"/>
      <c r="Z30" s="73"/>
      <c r="AA30" s="73"/>
      <c r="AB30" s="73"/>
      <c r="AC30" s="73"/>
      <c r="AD30" s="73"/>
      <c r="AE30" s="73"/>
      <c r="AF30" s="73"/>
      <c r="AG30" s="73"/>
      <c r="AH30" s="73"/>
      <c r="AI30" s="73"/>
      <c r="AJ30" s="73"/>
      <c r="AK30" s="73"/>
      <c r="AL30" s="73"/>
      <c r="AM30" s="73"/>
      <c r="AN30" s="73"/>
      <c r="AO30" s="73"/>
      <c r="AP30" s="73"/>
      <c r="AQ30" s="73"/>
      <c r="AR30" s="73"/>
      <c r="AS30" s="73"/>
      <c r="AT30" s="73"/>
      <c r="AV30" s="78"/>
      <c r="AW30" s="89"/>
      <c r="AX30" s="89"/>
      <c r="AY30" s="89"/>
      <c r="AZ30" s="89"/>
      <c r="BA30" s="89"/>
      <c r="BB30" s="89"/>
      <c r="BC30" s="89"/>
      <c r="BD30" s="89"/>
      <c r="BE30" s="89"/>
      <c r="BF30" s="89"/>
      <c r="BG30" s="89"/>
      <c r="BH30" s="89"/>
      <c r="BI30" s="89"/>
      <c r="BJ30" s="89"/>
      <c r="BK30" s="89"/>
      <c r="BL30" s="89"/>
      <c r="BM30" s="89"/>
      <c r="BN30" s="89"/>
      <c r="BO30" s="89"/>
      <c r="BP30" s="89"/>
      <c r="BQ30" s="89"/>
    </row>
    <row r="31" spans="2:69" x14ac:dyDescent="0.2">
      <c r="B31" s="2" t="s">
        <v>24</v>
      </c>
      <c r="C31" s="87">
        <f t="shared" si="9"/>
        <v>26.9</v>
      </c>
      <c r="D31" s="87">
        <f t="shared" si="9"/>
        <v>20.7</v>
      </c>
      <c r="E31" s="87">
        <f t="shared" si="9"/>
        <v>19</v>
      </c>
      <c r="F31" s="87">
        <f t="shared" si="9"/>
        <v>14.8</v>
      </c>
      <c r="G31" s="87">
        <f t="shared" si="9"/>
        <v>9.8000000000000007</v>
      </c>
      <c r="H31" s="87">
        <f t="shared" si="9"/>
        <v>91.3</v>
      </c>
      <c r="I31" s="66">
        <f t="shared" si="4"/>
        <v>4172</v>
      </c>
      <c r="J31" s="87">
        <f t="shared" si="10"/>
        <v>24.4</v>
      </c>
      <c r="K31" s="87">
        <f t="shared" si="10"/>
        <v>19.7</v>
      </c>
      <c r="L31" s="87">
        <f t="shared" si="10"/>
        <v>18.399999999999999</v>
      </c>
      <c r="M31" s="87">
        <f t="shared" si="10"/>
        <v>15.6</v>
      </c>
      <c r="N31" s="87">
        <f t="shared" si="10"/>
        <v>12.3</v>
      </c>
      <c r="O31" s="87">
        <f t="shared" si="10"/>
        <v>90.4</v>
      </c>
      <c r="P31" s="66">
        <f t="shared" si="6"/>
        <v>10152</v>
      </c>
      <c r="Q31" s="87">
        <f t="shared" si="11"/>
        <v>25.2</v>
      </c>
      <c r="R31" s="87">
        <f t="shared" si="11"/>
        <v>20</v>
      </c>
      <c r="S31" s="87">
        <f t="shared" si="11"/>
        <v>18.600000000000001</v>
      </c>
      <c r="T31" s="87">
        <f t="shared" si="11"/>
        <v>15.4</v>
      </c>
      <c r="U31" s="87">
        <f t="shared" si="11"/>
        <v>11.6</v>
      </c>
      <c r="V31" s="87">
        <f t="shared" si="11"/>
        <v>90.7</v>
      </c>
      <c r="W31" s="66">
        <f t="shared" si="8"/>
        <v>14324</v>
      </c>
      <c r="Y31" s="73"/>
      <c r="Z31" s="73"/>
      <c r="AA31" s="73"/>
      <c r="AB31" s="73"/>
      <c r="AC31" s="73"/>
      <c r="AD31" s="73"/>
      <c r="AE31" s="73"/>
      <c r="AF31" s="73"/>
      <c r="AG31" s="73"/>
      <c r="AH31" s="73"/>
      <c r="AI31" s="73"/>
      <c r="AJ31" s="73"/>
      <c r="AK31" s="73"/>
      <c r="AL31" s="73"/>
      <c r="AM31" s="73"/>
      <c r="AN31" s="73"/>
      <c r="AO31" s="73"/>
      <c r="AP31" s="73"/>
      <c r="AQ31" s="73"/>
      <c r="AR31" s="73"/>
      <c r="AS31" s="73"/>
      <c r="AT31" s="73"/>
      <c r="AV31" s="78"/>
      <c r="AW31" s="89"/>
      <c r="AX31" s="89"/>
      <c r="AY31" s="89"/>
      <c r="AZ31" s="89"/>
      <c r="BA31" s="89"/>
      <c r="BB31" s="89"/>
      <c r="BC31" s="89"/>
      <c r="BD31" s="89"/>
      <c r="BE31" s="89"/>
      <c r="BF31" s="89"/>
      <c r="BG31" s="89"/>
      <c r="BH31" s="89"/>
      <c r="BI31" s="89"/>
      <c r="BJ31" s="89"/>
      <c r="BK31" s="89"/>
      <c r="BL31" s="89"/>
      <c r="BM31" s="89"/>
      <c r="BN31" s="89"/>
      <c r="BO31" s="89"/>
      <c r="BP31" s="89"/>
      <c r="BQ31" s="89"/>
    </row>
    <row r="32" spans="2:69" x14ac:dyDescent="0.2">
      <c r="B32" s="2" t="s">
        <v>25</v>
      </c>
      <c r="C32" s="87">
        <f t="shared" si="9"/>
        <v>22.7</v>
      </c>
      <c r="D32" s="87">
        <f t="shared" si="9"/>
        <v>20.9</v>
      </c>
      <c r="E32" s="87">
        <f t="shared" si="9"/>
        <v>18.7</v>
      </c>
      <c r="F32" s="87">
        <f t="shared" si="9"/>
        <v>17.2</v>
      </c>
      <c r="G32" s="87">
        <f t="shared" si="9"/>
        <v>11.9</v>
      </c>
      <c r="H32" s="87">
        <f t="shared" si="9"/>
        <v>91.4</v>
      </c>
      <c r="I32" s="66">
        <f t="shared" si="4"/>
        <v>2235</v>
      </c>
      <c r="J32" s="87">
        <f t="shared" si="10"/>
        <v>23.9</v>
      </c>
      <c r="K32" s="87">
        <f t="shared" si="10"/>
        <v>20.100000000000001</v>
      </c>
      <c r="L32" s="87">
        <f t="shared" si="10"/>
        <v>19.399999999999999</v>
      </c>
      <c r="M32" s="87">
        <f t="shared" si="10"/>
        <v>17.399999999999999</v>
      </c>
      <c r="N32" s="87">
        <f t="shared" si="10"/>
        <v>11.5</v>
      </c>
      <c r="O32" s="87">
        <f t="shared" si="10"/>
        <v>92.3</v>
      </c>
      <c r="P32" s="66">
        <f t="shared" si="6"/>
        <v>3620</v>
      </c>
      <c r="Q32" s="87">
        <f t="shared" si="11"/>
        <v>23.4</v>
      </c>
      <c r="R32" s="87">
        <f t="shared" si="11"/>
        <v>20.399999999999999</v>
      </c>
      <c r="S32" s="87">
        <f t="shared" si="11"/>
        <v>19.2</v>
      </c>
      <c r="T32" s="87">
        <f t="shared" si="11"/>
        <v>17.3</v>
      </c>
      <c r="U32" s="87">
        <f t="shared" si="11"/>
        <v>11.6</v>
      </c>
      <c r="V32" s="87">
        <f t="shared" si="11"/>
        <v>92</v>
      </c>
      <c r="W32" s="66">
        <f t="shared" si="8"/>
        <v>5855</v>
      </c>
      <c r="Y32" s="73"/>
      <c r="Z32" s="73"/>
      <c r="AA32" s="73"/>
      <c r="AB32" s="73"/>
      <c r="AC32" s="73"/>
      <c r="AD32" s="73"/>
      <c r="AE32" s="73"/>
      <c r="AF32" s="73"/>
      <c r="AG32" s="73"/>
      <c r="AH32" s="73"/>
      <c r="AI32" s="73"/>
      <c r="AJ32" s="73"/>
      <c r="AK32" s="73"/>
      <c r="AL32" s="73"/>
      <c r="AM32" s="73"/>
      <c r="AN32" s="73"/>
      <c r="AO32" s="73"/>
      <c r="AP32" s="73"/>
      <c r="AQ32" s="73"/>
      <c r="AR32" s="73"/>
      <c r="AS32" s="73"/>
      <c r="AT32" s="73"/>
      <c r="AV32" s="78"/>
      <c r="AW32" s="89"/>
      <c r="AX32" s="89"/>
      <c r="AY32" s="89"/>
      <c r="AZ32" s="89"/>
      <c r="BA32" s="89"/>
      <c r="BB32" s="89"/>
      <c r="BC32" s="89"/>
      <c r="BD32" s="89"/>
      <c r="BE32" s="89"/>
      <c r="BF32" s="89"/>
      <c r="BG32" s="89"/>
      <c r="BH32" s="89"/>
      <c r="BI32" s="89"/>
      <c r="BJ32" s="89"/>
      <c r="BK32" s="89"/>
      <c r="BL32" s="89"/>
      <c r="BM32" s="89"/>
      <c r="BN32" s="89"/>
      <c r="BO32" s="89"/>
      <c r="BP32" s="89"/>
      <c r="BQ32" s="89"/>
    </row>
    <row r="33" spans="2:69" x14ac:dyDescent="0.2">
      <c r="B33" s="2" t="s">
        <v>26</v>
      </c>
      <c r="C33" s="87">
        <f t="shared" si="9"/>
        <v>24.1</v>
      </c>
      <c r="D33" s="87">
        <f t="shared" si="9"/>
        <v>21.3</v>
      </c>
      <c r="E33" s="87">
        <f t="shared" si="9"/>
        <v>19.7</v>
      </c>
      <c r="F33" s="87">
        <f t="shared" si="9"/>
        <v>15.6</v>
      </c>
      <c r="G33" s="87">
        <f t="shared" si="9"/>
        <v>11</v>
      </c>
      <c r="H33" s="87">
        <f t="shared" si="9"/>
        <v>91.7</v>
      </c>
      <c r="I33" s="66">
        <f t="shared" si="4"/>
        <v>1912</v>
      </c>
      <c r="J33" s="87">
        <f t="shared" si="10"/>
        <v>21.1</v>
      </c>
      <c r="K33" s="87">
        <f t="shared" si="10"/>
        <v>19.3</v>
      </c>
      <c r="L33" s="87">
        <f t="shared" si="10"/>
        <v>20.100000000000001</v>
      </c>
      <c r="M33" s="87">
        <f t="shared" si="10"/>
        <v>18.2</v>
      </c>
      <c r="N33" s="87">
        <f t="shared" si="10"/>
        <v>11.9</v>
      </c>
      <c r="O33" s="87">
        <f t="shared" si="10"/>
        <v>90.6</v>
      </c>
      <c r="P33" s="66">
        <f t="shared" si="6"/>
        <v>4645</v>
      </c>
      <c r="Q33" s="87">
        <f t="shared" si="11"/>
        <v>22</v>
      </c>
      <c r="R33" s="87">
        <f t="shared" si="11"/>
        <v>19.899999999999999</v>
      </c>
      <c r="S33" s="87">
        <f t="shared" si="11"/>
        <v>20</v>
      </c>
      <c r="T33" s="87">
        <f t="shared" si="11"/>
        <v>17.399999999999999</v>
      </c>
      <c r="U33" s="87">
        <f t="shared" si="11"/>
        <v>11.6</v>
      </c>
      <c r="V33" s="87">
        <f t="shared" si="11"/>
        <v>90.9</v>
      </c>
      <c r="W33" s="66">
        <f t="shared" si="8"/>
        <v>6557</v>
      </c>
      <c r="Y33" s="73"/>
      <c r="Z33" s="73"/>
      <c r="AA33" s="73"/>
      <c r="AB33" s="73"/>
      <c r="AC33" s="73"/>
      <c r="AD33" s="73"/>
      <c r="AE33" s="73"/>
      <c r="AF33" s="73"/>
      <c r="AG33" s="73"/>
      <c r="AH33" s="73"/>
      <c r="AI33" s="73"/>
      <c r="AJ33" s="73"/>
      <c r="AK33" s="73"/>
      <c r="AL33" s="73"/>
      <c r="AM33" s="73"/>
      <c r="AN33" s="73"/>
      <c r="AO33" s="73"/>
      <c r="AP33" s="73"/>
      <c r="AQ33" s="73"/>
      <c r="AR33" s="73"/>
      <c r="AS33" s="73"/>
      <c r="AT33" s="73"/>
      <c r="AV33" s="78"/>
      <c r="AW33" s="89"/>
      <c r="AX33" s="89"/>
      <c r="AY33" s="89"/>
      <c r="AZ33" s="89"/>
      <c r="BA33" s="89"/>
      <c r="BB33" s="89"/>
      <c r="BC33" s="89"/>
      <c r="BD33" s="89"/>
      <c r="BE33" s="89"/>
      <c r="BF33" s="89"/>
      <c r="BG33" s="89"/>
      <c r="BH33" s="89"/>
      <c r="BI33" s="89"/>
      <c r="BJ33" s="89"/>
      <c r="BK33" s="89"/>
      <c r="BL33" s="89"/>
      <c r="BM33" s="89"/>
      <c r="BN33" s="89"/>
      <c r="BO33" s="89"/>
      <c r="BP33" s="89"/>
      <c r="BQ33" s="89"/>
    </row>
    <row r="34" spans="2:69" x14ac:dyDescent="0.2">
      <c r="B34" s="2" t="s">
        <v>27</v>
      </c>
      <c r="C34" s="87">
        <f t="shared" si="9"/>
        <v>50.2</v>
      </c>
      <c r="D34" s="87">
        <f t="shared" si="9"/>
        <v>22.1</v>
      </c>
      <c r="E34" s="87">
        <f t="shared" si="9"/>
        <v>9.8000000000000007</v>
      </c>
      <c r="F34" s="87">
        <f t="shared" si="9"/>
        <v>5.9</v>
      </c>
      <c r="G34" s="87">
        <f t="shared" si="9"/>
        <v>4.7</v>
      </c>
      <c r="H34" s="87">
        <f t="shared" si="9"/>
        <v>92.7</v>
      </c>
      <c r="I34" s="66">
        <f t="shared" si="4"/>
        <v>1500</v>
      </c>
      <c r="J34" s="87">
        <f t="shared" si="10"/>
        <v>51.3</v>
      </c>
      <c r="K34" s="87">
        <f t="shared" si="10"/>
        <v>18.8</v>
      </c>
      <c r="L34" s="87">
        <f t="shared" si="10"/>
        <v>11.7</v>
      </c>
      <c r="M34" s="87">
        <f t="shared" si="10"/>
        <v>7.3</v>
      </c>
      <c r="N34" s="87">
        <f t="shared" si="10"/>
        <v>5.0999999999999996</v>
      </c>
      <c r="O34" s="87">
        <f t="shared" si="10"/>
        <v>94.3</v>
      </c>
      <c r="P34" s="66">
        <f t="shared" si="6"/>
        <v>1975</v>
      </c>
      <c r="Q34" s="87">
        <f t="shared" si="11"/>
        <v>50.8</v>
      </c>
      <c r="R34" s="87">
        <f t="shared" si="11"/>
        <v>20.3</v>
      </c>
      <c r="S34" s="87">
        <f t="shared" si="11"/>
        <v>10.9</v>
      </c>
      <c r="T34" s="87">
        <f t="shared" si="11"/>
        <v>6.7</v>
      </c>
      <c r="U34" s="87">
        <f t="shared" si="11"/>
        <v>4.9000000000000004</v>
      </c>
      <c r="V34" s="87">
        <f t="shared" si="11"/>
        <v>93.6</v>
      </c>
      <c r="W34" s="66">
        <f t="shared" si="8"/>
        <v>3475</v>
      </c>
      <c r="Y34" s="73"/>
      <c r="Z34" s="73"/>
      <c r="AA34" s="73"/>
      <c r="AB34" s="73"/>
      <c r="AC34" s="73"/>
      <c r="AD34" s="73"/>
      <c r="AE34" s="73"/>
      <c r="AF34" s="73"/>
      <c r="AG34" s="73"/>
      <c r="AH34" s="73"/>
      <c r="AI34" s="73"/>
      <c r="AJ34" s="73"/>
      <c r="AK34" s="73"/>
      <c r="AL34" s="73"/>
      <c r="AM34" s="73"/>
      <c r="AN34" s="73"/>
      <c r="AO34" s="73"/>
      <c r="AP34" s="73"/>
      <c r="AQ34" s="73"/>
      <c r="AR34" s="73"/>
      <c r="AS34" s="73"/>
      <c r="AT34" s="73"/>
      <c r="AV34" s="78"/>
      <c r="AW34" s="89"/>
      <c r="AX34" s="89"/>
      <c r="AY34" s="89"/>
      <c r="AZ34" s="89"/>
      <c r="BA34" s="89"/>
      <c r="BB34" s="89"/>
      <c r="BC34" s="89"/>
      <c r="BD34" s="89"/>
      <c r="BE34" s="89"/>
      <c r="BF34" s="89"/>
      <c r="BG34" s="89"/>
      <c r="BH34" s="89"/>
      <c r="BI34" s="89"/>
      <c r="BJ34" s="89"/>
      <c r="BK34" s="89"/>
      <c r="BL34" s="89"/>
      <c r="BM34" s="89"/>
      <c r="BN34" s="89"/>
      <c r="BO34" s="89"/>
      <c r="BP34" s="89"/>
      <c r="BQ34" s="89"/>
    </row>
    <row r="35" spans="2:69" x14ac:dyDescent="0.2">
      <c r="B35" s="2" t="s">
        <v>28</v>
      </c>
      <c r="C35" s="87">
        <f t="shared" si="9"/>
        <v>25.8</v>
      </c>
      <c r="D35" s="87">
        <f t="shared" si="9"/>
        <v>21.4</v>
      </c>
      <c r="E35" s="87">
        <f t="shared" si="9"/>
        <v>20.8</v>
      </c>
      <c r="F35" s="87">
        <f t="shared" si="9"/>
        <v>15.9</v>
      </c>
      <c r="G35" s="87">
        <f t="shared" si="9"/>
        <v>9.8000000000000007</v>
      </c>
      <c r="H35" s="87">
        <f t="shared" si="9"/>
        <v>93.6</v>
      </c>
      <c r="I35" s="66">
        <f t="shared" si="4"/>
        <v>2584</v>
      </c>
      <c r="J35" s="87">
        <f t="shared" si="10"/>
        <v>32.200000000000003</v>
      </c>
      <c r="K35" s="87">
        <f t="shared" si="10"/>
        <v>23.4</v>
      </c>
      <c r="L35" s="87">
        <f t="shared" si="10"/>
        <v>19.600000000000001</v>
      </c>
      <c r="M35" s="87">
        <f t="shared" si="10"/>
        <v>12.3</v>
      </c>
      <c r="N35" s="87">
        <f t="shared" si="10"/>
        <v>7.4</v>
      </c>
      <c r="O35" s="87">
        <f t="shared" si="10"/>
        <v>94.9</v>
      </c>
      <c r="P35" s="66">
        <f t="shared" si="6"/>
        <v>2990</v>
      </c>
      <c r="Q35" s="87">
        <f t="shared" si="11"/>
        <v>29.2</v>
      </c>
      <c r="R35" s="87">
        <f t="shared" si="11"/>
        <v>22.5</v>
      </c>
      <c r="S35" s="87">
        <f t="shared" si="11"/>
        <v>20.2</v>
      </c>
      <c r="T35" s="87">
        <f t="shared" si="11"/>
        <v>14</v>
      </c>
      <c r="U35" s="87">
        <f t="shared" si="11"/>
        <v>8.5</v>
      </c>
      <c r="V35" s="87">
        <f t="shared" si="11"/>
        <v>94.3</v>
      </c>
      <c r="W35" s="66">
        <f t="shared" si="8"/>
        <v>5574</v>
      </c>
      <c r="Y35" s="73"/>
      <c r="Z35" s="73"/>
      <c r="AA35" s="73"/>
      <c r="AB35" s="73"/>
      <c r="AC35" s="73"/>
      <c r="AD35" s="73"/>
      <c r="AE35" s="73"/>
      <c r="AF35" s="73"/>
      <c r="AG35" s="73"/>
      <c r="AH35" s="73"/>
      <c r="AI35" s="73"/>
      <c r="AJ35" s="73"/>
      <c r="AK35" s="73"/>
      <c r="AL35" s="73"/>
      <c r="AM35" s="73"/>
      <c r="AN35" s="73"/>
      <c r="AO35" s="73"/>
      <c r="AP35" s="73"/>
      <c r="AQ35" s="73"/>
      <c r="AR35" s="73"/>
      <c r="AS35" s="73"/>
      <c r="AT35" s="73"/>
      <c r="AV35" s="78"/>
      <c r="AW35" s="89"/>
      <c r="AX35" s="89"/>
      <c r="AY35" s="89"/>
      <c r="AZ35" s="89"/>
      <c r="BA35" s="89"/>
      <c r="BB35" s="89"/>
      <c r="BC35" s="89"/>
      <c r="BD35" s="89"/>
      <c r="BE35" s="89"/>
      <c r="BF35" s="89"/>
      <c r="BG35" s="89"/>
      <c r="BH35" s="89"/>
      <c r="BI35" s="89"/>
      <c r="BJ35" s="89"/>
      <c r="BK35" s="89"/>
      <c r="BL35" s="89"/>
      <c r="BM35" s="89"/>
      <c r="BN35" s="89"/>
      <c r="BO35" s="89"/>
      <c r="BP35" s="89"/>
      <c r="BQ35" s="89"/>
    </row>
    <row r="36" spans="2:69" x14ac:dyDescent="0.2">
      <c r="B36" s="2" t="s">
        <v>29</v>
      </c>
      <c r="C36" s="87">
        <f t="shared" si="9"/>
        <v>18.399999999999999</v>
      </c>
      <c r="D36" s="87">
        <f t="shared" si="9"/>
        <v>20.9</v>
      </c>
      <c r="E36" s="87">
        <f t="shared" si="9"/>
        <v>22.1</v>
      </c>
      <c r="F36" s="87">
        <f t="shared" si="9"/>
        <v>17.5</v>
      </c>
      <c r="G36" s="87">
        <f t="shared" si="9"/>
        <v>11.1</v>
      </c>
      <c r="H36" s="87">
        <f t="shared" si="9"/>
        <v>89.9</v>
      </c>
      <c r="I36" s="66">
        <f t="shared" si="4"/>
        <v>6318</v>
      </c>
      <c r="J36" s="87">
        <f t="shared" si="10"/>
        <v>20.9</v>
      </c>
      <c r="K36" s="87">
        <f t="shared" si="10"/>
        <v>23.7</v>
      </c>
      <c r="L36" s="87">
        <f t="shared" si="10"/>
        <v>22.4</v>
      </c>
      <c r="M36" s="87">
        <f t="shared" si="10"/>
        <v>15.9</v>
      </c>
      <c r="N36" s="87">
        <f t="shared" si="10"/>
        <v>9.8000000000000007</v>
      </c>
      <c r="O36" s="87">
        <f t="shared" si="10"/>
        <v>92.6</v>
      </c>
      <c r="P36" s="66">
        <f t="shared" si="6"/>
        <v>12807</v>
      </c>
      <c r="Q36" s="87">
        <f t="shared" si="11"/>
        <v>20</v>
      </c>
      <c r="R36" s="87">
        <f t="shared" si="11"/>
        <v>22.7</v>
      </c>
      <c r="S36" s="87">
        <f t="shared" si="11"/>
        <v>22.3</v>
      </c>
      <c r="T36" s="87">
        <f t="shared" si="11"/>
        <v>16.399999999999999</v>
      </c>
      <c r="U36" s="87">
        <f t="shared" si="11"/>
        <v>10.199999999999999</v>
      </c>
      <c r="V36" s="87">
        <f t="shared" si="11"/>
        <v>91.7</v>
      </c>
      <c r="W36" s="66">
        <f t="shared" si="8"/>
        <v>19125</v>
      </c>
      <c r="Y36" s="73"/>
      <c r="Z36" s="73"/>
      <c r="AA36" s="73"/>
      <c r="AB36" s="73"/>
      <c r="AC36" s="73"/>
      <c r="AD36" s="73"/>
      <c r="AE36" s="73"/>
      <c r="AF36" s="73"/>
      <c r="AG36" s="73"/>
      <c r="AH36" s="73"/>
      <c r="AI36" s="73"/>
      <c r="AJ36" s="73"/>
      <c r="AK36" s="73"/>
      <c r="AL36" s="73"/>
      <c r="AM36" s="73"/>
      <c r="AN36" s="73"/>
      <c r="AO36" s="73"/>
      <c r="AP36" s="73"/>
      <c r="AQ36" s="73"/>
      <c r="AR36" s="73"/>
      <c r="AS36" s="73"/>
      <c r="AT36" s="73"/>
      <c r="AV36" s="78"/>
      <c r="AW36" s="89"/>
      <c r="AX36" s="89"/>
      <c r="AY36" s="89"/>
      <c r="AZ36" s="89"/>
      <c r="BA36" s="89"/>
      <c r="BB36" s="89"/>
      <c r="BC36" s="89"/>
      <c r="BD36" s="89"/>
      <c r="BE36" s="89"/>
      <c r="BF36" s="89"/>
      <c r="BG36" s="89"/>
      <c r="BH36" s="89"/>
      <c r="BI36" s="89"/>
      <c r="BJ36" s="89"/>
      <c r="BK36" s="89"/>
      <c r="BL36" s="89"/>
      <c r="BM36" s="89"/>
      <c r="BN36" s="89"/>
      <c r="BO36" s="89"/>
      <c r="BP36" s="89"/>
      <c r="BQ36" s="89"/>
    </row>
    <row r="37" spans="2:69" x14ac:dyDescent="0.2">
      <c r="B37" s="2" t="s">
        <v>30</v>
      </c>
      <c r="C37" s="87">
        <f t="shared" si="9"/>
        <v>11.7</v>
      </c>
      <c r="D37" s="87">
        <f t="shared" si="9"/>
        <v>16.3</v>
      </c>
      <c r="E37" s="87">
        <f t="shared" si="9"/>
        <v>23.1</v>
      </c>
      <c r="F37" s="87">
        <f t="shared" si="9"/>
        <v>23.2</v>
      </c>
      <c r="G37" s="87">
        <f t="shared" si="9"/>
        <v>15.3</v>
      </c>
      <c r="H37" s="87">
        <f t="shared" si="9"/>
        <v>89.7</v>
      </c>
      <c r="I37" s="66">
        <f t="shared" si="4"/>
        <v>6985</v>
      </c>
      <c r="J37" s="87">
        <f t="shared" si="10"/>
        <v>16.8</v>
      </c>
      <c r="K37" s="87">
        <f t="shared" si="10"/>
        <v>20.100000000000001</v>
      </c>
      <c r="L37" s="87">
        <f t="shared" si="10"/>
        <v>23.5</v>
      </c>
      <c r="M37" s="87">
        <f t="shared" si="10"/>
        <v>20.100000000000001</v>
      </c>
      <c r="N37" s="87">
        <f t="shared" si="10"/>
        <v>13.4</v>
      </c>
      <c r="O37" s="87">
        <f t="shared" si="10"/>
        <v>93.9</v>
      </c>
      <c r="P37" s="66">
        <f t="shared" si="6"/>
        <v>4204</v>
      </c>
      <c r="Q37" s="87">
        <f t="shared" si="11"/>
        <v>13.6</v>
      </c>
      <c r="R37" s="87">
        <f t="shared" si="11"/>
        <v>17.7</v>
      </c>
      <c r="S37" s="87">
        <f t="shared" si="11"/>
        <v>23.3</v>
      </c>
      <c r="T37" s="87">
        <f t="shared" si="11"/>
        <v>22.1</v>
      </c>
      <c r="U37" s="87">
        <f t="shared" si="11"/>
        <v>14.6</v>
      </c>
      <c r="V37" s="87">
        <f t="shared" si="11"/>
        <v>91.3</v>
      </c>
      <c r="W37" s="66">
        <f t="shared" si="8"/>
        <v>11189</v>
      </c>
      <c r="Y37" s="73"/>
      <c r="Z37" s="73"/>
      <c r="AA37" s="73"/>
      <c r="AB37" s="73"/>
      <c r="AC37" s="73"/>
      <c r="AD37" s="73"/>
      <c r="AE37" s="73"/>
      <c r="AF37" s="73"/>
      <c r="AG37" s="73"/>
      <c r="AH37" s="73"/>
      <c r="AI37" s="73"/>
      <c r="AJ37" s="73"/>
      <c r="AK37" s="73"/>
      <c r="AL37" s="73"/>
      <c r="AM37" s="73"/>
      <c r="AN37" s="73"/>
      <c r="AO37" s="73"/>
      <c r="AP37" s="73"/>
      <c r="AQ37" s="73"/>
      <c r="AR37" s="73"/>
      <c r="AS37" s="73"/>
      <c r="AT37" s="73"/>
      <c r="AV37" s="78"/>
      <c r="AW37" s="89"/>
      <c r="AX37" s="89"/>
      <c r="AY37" s="89"/>
      <c r="AZ37" s="89"/>
      <c r="BA37" s="89"/>
      <c r="BB37" s="89"/>
      <c r="BC37" s="89"/>
      <c r="BD37" s="89"/>
      <c r="BE37" s="89"/>
      <c r="BF37" s="89"/>
      <c r="BG37" s="89"/>
      <c r="BH37" s="89"/>
      <c r="BI37" s="89"/>
      <c r="BJ37" s="89"/>
      <c r="BK37" s="89"/>
      <c r="BL37" s="89"/>
      <c r="BM37" s="89"/>
      <c r="BN37" s="89"/>
      <c r="BO37" s="89"/>
      <c r="BP37" s="89"/>
      <c r="BQ37" s="89"/>
    </row>
    <row r="38" spans="2:69" x14ac:dyDescent="0.2">
      <c r="B38" s="2" t="s">
        <v>31</v>
      </c>
      <c r="C38" s="87">
        <f t="shared" si="9"/>
        <v>8.6999999999999993</v>
      </c>
      <c r="D38" s="87">
        <f t="shared" si="9"/>
        <v>13.1</v>
      </c>
      <c r="E38" s="87">
        <f t="shared" si="9"/>
        <v>18.7</v>
      </c>
      <c r="F38" s="87">
        <f t="shared" si="9"/>
        <v>22.1</v>
      </c>
      <c r="G38" s="87">
        <f t="shared" si="9"/>
        <v>21.3</v>
      </c>
      <c r="H38" s="87">
        <f t="shared" si="9"/>
        <v>83.9</v>
      </c>
      <c r="I38" s="66">
        <f t="shared" si="4"/>
        <v>15471</v>
      </c>
      <c r="J38" s="87">
        <f t="shared" si="10"/>
        <v>17.3</v>
      </c>
      <c r="K38" s="87">
        <f t="shared" si="10"/>
        <v>18.5</v>
      </c>
      <c r="L38" s="87">
        <f t="shared" si="10"/>
        <v>20.100000000000001</v>
      </c>
      <c r="M38" s="87">
        <f t="shared" si="10"/>
        <v>19.7</v>
      </c>
      <c r="N38" s="87">
        <f t="shared" si="10"/>
        <v>14.7</v>
      </c>
      <c r="O38" s="87">
        <f t="shared" si="10"/>
        <v>90.3</v>
      </c>
      <c r="P38" s="66">
        <f t="shared" si="6"/>
        <v>10783</v>
      </c>
      <c r="Q38" s="87">
        <f t="shared" si="11"/>
        <v>12.2</v>
      </c>
      <c r="R38" s="87">
        <f t="shared" si="11"/>
        <v>15.3</v>
      </c>
      <c r="S38" s="87">
        <f t="shared" si="11"/>
        <v>19.3</v>
      </c>
      <c r="T38" s="87">
        <f t="shared" si="11"/>
        <v>21.1</v>
      </c>
      <c r="U38" s="87">
        <f t="shared" si="11"/>
        <v>18.600000000000001</v>
      </c>
      <c r="V38" s="87">
        <f t="shared" si="11"/>
        <v>86.5</v>
      </c>
      <c r="W38" s="66">
        <f t="shared" si="8"/>
        <v>26254</v>
      </c>
      <c r="Y38" s="73"/>
      <c r="Z38" s="73"/>
      <c r="AA38" s="73"/>
      <c r="AB38" s="73"/>
      <c r="AC38" s="73"/>
      <c r="AD38" s="73"/>
      <c r="AE38" s="73"/>
      <c r="AF38" s="73"/>
      <c r="AG38" s="73"/>
      <c r="AH38" s="73"/>
      <c r="AI38" s="73"/>
      <c r="AJ38" s="73"/>
      <c r="AK38" s="73"/>
      <c r="AL38" s="73"/>
      <c r="AM38" s="73"/>
      <c r="AN38" s="73"/>
      <c r="AO38" s="73"/>
      <c r="AP38" s="73"/>
      <c r="AQ38" s="73"/>
      <c r="AR38" s="73"/>
      <c r="AS38" s="73"/>
      <c r="AT38" s="73"/>
      <c r="AV38" s="78"/>
      <c r="AW38" s="89"/>
      <c r="AX38" s="89"/>
      <c r="AY38" s="89"/>
      <c r="AZ38" s="89"/>
      <c r="BA38" s="89"/>
      <c r="BB38" s="89"/>
      <c r="BC38" s="89"/>
      <c r="BD38" s="89"/>
      <c r="BE38" s="89"/>
      <c r="BF38" s="89"/>
      <c r="BG38" s="89"/>
      <c r="BH38" s="89"/>
      <c r="BI38" s="89"/>
      <c r="BJ38" s="89"/>
      <c r="BK38" s="89"/>
      <c r="BL38" s="89"/>
      <c r="BM38" s="89"/>
      <c r="BN38" s="89"/>
      <c r="BO38" s="89"/>
      <c r="BP38" s="89"/>
      <c r="BQ38" s="89"/>
    </row>
    <row r="39" spans="2:69" x14ac:dyDescent="0.2">
      <c r="B39" s="2" t="s">
        <v>32</v>
      </c>
      <c r="C39" s="87">
        <f t="shared" ref="C39:H40" si="12">IF(OR(C81=1,C81=2),"x",ROUND(C81/$I81*100,1))</f>
        <v>7.7</v>
      </c>
      <c r="D39" s="87">
        <f t="shared" si="12"/>
        <v>12.2</v>
      </c>
      <c r="E39" s="87">
        <f t="shared" si="12"/>
        <v>17.5</v>
      </c>
      <c r="F39" s="87">
        <f t="shared" si="12"/>
        <v>20.3</v>
      </c>
      <c r="G39" s="87">
        <f t="shared" si="12"/>
        <v>19.3</v>
      </c>
      <c r="H39" s="87">
        <f t="shared" si="12"/>
        <v>77</v>
      </c>
      <c r="I39" s="66">
        <f t="shared" si="4"/>
        <v>45129</v>
      </c>
      <c r="J39" s="87">
        <f t="shared" ref="J39:O40" si="13">IF(OR(J81=1,J81=2),"x",ROUND(J81/$P81*100,1))</f>
        <v>9.3000000000000007</v>
      </c>
      <c r="K39" s="87">
        <f t="shared" si="13"/>
        <v>14.2</v>
      </c>
      <c r="L39" s="87">
        <f t="shared" si="13"/>
        <v>19.100000000000001</v>
      </c>
      <c r="M39" s="87">
        <f t="shared" si="13"/>
        <v>20.100000000000001</v>
      </c>
      <c r="N39" s="87">
        <f t="shared" si="13"/>
        <v>18.8</v>
      </c>
      <c r="O39" s="87">
        <f t="shared" si="13"/>
        <v>81.5</v>
      </c>
      <c r="P39" s="66">
        <f t="shared" si="6"/>
        <v>53258</v>
      </c>
      <c r="Q39" s="87">
        <f t="shared" ref="Q39:V40" si="14">IF(OR(Q81=1,Q81=2),"x",ROUND(Q81/$W81*100,1))</f>
        <v>8.6</v>
      </c>
      <c r="R39" s="87">
        <f t="shared" si="14"/>
        <v>13.3</v>
      </c>
      <c r="S39" s="87">
        <f t="shared" si="14"/>
        <v>18.3</v>
      </c>
      <c r="T39" s="87">
        <f t="shared" si="14"/>
        <v>20.2</v>
      </c>
      <c r="U39" s="87">
        <f t="shared" si="14"/>
        <v>19</v>
      </c>
      <c r="V39" s="87">
        <f t="shared" si="14"/>
        <v>79.400000000000006</v>
      </c>
      <c r="W39" s="66">
        <f t="shared" si="8"/>
        <v>98387</v>
      </c>
      <c r="Y39" s="73"/>
      <c r="Z39" s="73"/>
      <c r="AA39" s="73"/>
      <c r="AB39" s="73"/>
      <c r="AC39" s="73"/>
      <c r="AD39" s="73"/>
      <c r="AE39" s="73"/>
      <c r="AF39" s="73"/>
      <c r="AG39" s="73"/>
      <c r="AH39" s="73"/>
      <c r="AI39" s="73"/>
      <c r="AJ39" s="73"/>
      <c r="AK39" s="73"/>
      <c r="AL39" s="73"/>
      <c r="AM39" s="73"/>
      <c r="AN39" s="73"/>
      <c r="AO39" s="73"/>
      <c r="AP39" s="73"/>
      <c r="AQ39" s="73"/>
      <c r="AR39" s="73"/>
      <c r="AS39" s="73"/>
      <c r="AT39" s="73"/>
      <c r="AV39" s="78"/>
      <c r="AW39" s="89"/>
      <c r="AX39" s="89"/>
      <c r="AY39" s="89"/>
      <c r="AZ39" s="89"/>
      <c r="BA39" s="89"/>
      <c r="BB39" s="89"/>
      <c r="BC39" s="89"/>
      <c r="BD39" s="89"/>
      <c r="BE39" s="89"/>
      <c r="BF39" s="89"/>
      <c r="BG39" s="89"/>
      <c r="BH39" s="89"/>
      <c r="BI39" s="89"/>
      <c r="BJ39" s="89"/>
      <c r="BK39" s="89"/>
      <c r="BL39" s="89"/>
      <c r="BM39" s="89"/>
      <c r="BN39" s="89"/>
      <c r="BO39" s="89"/>
      <c r="BP39" s="89"/>
      <c r="BQ39" s="89"/>
    </row>
    <row r="40" spans="2:69" x14ac:dyDescent="0.2">
      <c r="B40" s="2" t="s">
        <v>63</v>
      </c>
      <c r="C40" s="87">
        <f t="shared" si="12"/>
        <v>14</v>
      </c>
      <c r="D40" s="87">
        <f t="shared" si="12"/>
        <v>16.2</v>
      </c>
      <c r="E40" s="87">
        <f t="shared" si="12"/>
        <v>19.8</v>
      </c>
      <c r="F40" s="87">
        <f t="shared" si="12"/>
        <v>18.899999999999999</v>
      </c>
      <c r="G40" s="87">
        <f t="shared" si="12"/>
        <v>15.1</v>
      </c>
      <c r="H40" s="87">
        <f t="shared" si="12"/>
        <v>84</v>
      </c>
      <c r="I40" s="66">
        <f t="shared" si="4"/>
        <v>427063</v>
      </c>
      <c r="J40" s="87">
        <f t="shared" si="13"/>
        <v>17.100000000000001</v>
      </c>
      <c r="K40" s="87">
        <f t="shared" si="13"/>
        <v>19.2</v>
      </c>
      <c r="L40" s="87">
        <f t="shared" si="13"/>
        <v>21.3</v>
      </c>
      <c r="M40" s="87">
        <f t="shared" si="13"/>
        <v>17.899999999999999</v>
      </c>
      <c r="N40" s="87">
        <f t="shared" si="13"/>
        <v>12.7</v>
      </c>
      <c r="O40" s="87">
        <f t="shared" si="13"/>
        <v>88.2</v>
      </c>
      <c r="P40" s="66">
        <f t="shared" si="6"/>
        <v>510274</v>
      </c>
      <c r="Q40" s="87">
        <f t="shared" si="14"/>
        <v>15.7</v>
      </c>
      <c r="R40" s="87">
        <f t="shared" si="14"/>
        <v>17.8</v>
      </c>
      <c r="S40" s="87">
        <f t="shared" si="14"/>
        <v>20.6</v>
      </c>
      <c r="T40" s="87">
        <f t="shared" si="14"/>
        <v>18.399999999999999</v>
      </c>
      <c r="U40" s="87">
        <f t="shared" si="14"/>
        <v>13.8</v>
      </c>
      <c r="V40" s="87">
        <f t="shared" si="14"/>
        <v>86.3</v>
      </c>
      <c r="W40" s="66">
        <f t="shared" si="8"/>
        <v>937337</v>
      </c>
      <c r="Y40" s="73"/>
      <c r="Z40" s="73"/>
      <c r="AA40" s="73"/>
      <c r="AB40" s="73"/>
      <c r="AC40" s="73"/>
      <c r="AD40" s="73"/>
      <c r="AE40" s="73"/>
      <c r="AF40" s="73"/>
      <c r="AG40" s="73"/>
      <c r="AH40" s="73"/>
      <c r="AI40" s="73"/>
      <c r="AJ40" s="73"/>
      <c r="AK40" s="73"/>
      <c r="AL40" s="73"/>
      <c r="AM40" s="73"/>
      <c r="AN40" s="73"/>
      <c r="AO40" s="73"/>
      <c r="AP40" s="73"/>
      <c r="AQ40" s="73"/>
      <c r="AR40" s="73"/>
      <c r="AS40" s="73"/>
      <c r="AT40" s="73"/>
      <c r="AV40" s="78"/>
      <c r="AW40" s="89"/>
      <c r="AX40" s="89"/>
      <c r="AY40" s="89"/>
      <c r="AZ40" s="89"/>
      <c r="BA40" s="89"/>
      <c r="BB40" s="89"/>
      <c r="BC40" s="89"/>
      <c r="BD40" s="89"/>
      <c r="BE40" s="89"/>
      <c r="BF40" s="89"/>
      <c r="BG40" s="89"/>
      <c r="BH40" s="89"/>
      <c r="BI40" s="89"/>
      <c r="BJ40" s="89"/>
      <c r="BK40" s="89"/>
      <c r="BL40" s="89"/>
      <c r="BM40" s="89"/>
      <c r="BN40" s="89"/>
      <c r="BO40" s="89"/>
      <c r="BP40" s="89"/>
      <c r="BQ40" s="89"/>
    </row>
    <row r="41" spans="2:69" x14ac:dyDescent="0.2">
      <c r="AW41" s="89"/>
      <c r="AX41" s="89"/>
      <c r="AY41" s="89"/>
      <c r="AZ41" s="89"/>
      <c r="BA41" s="89"/>
      <c r="BB41" s="89"/>
      <c r="BC41" s="89"/>
      <c r="BD41" s="89"/>
      <c r="BE41" s="89"/>
      <c r="BF41" s="89"/>
      <c r="BG41" s="89"/>
      <c r="BH41" s="89"/>
      <c r="BI41" s="89"/>
      <c r="BJ41" s="89"/>
      <c r="BK41" s="89"/>
      <c r="BL41" s="89"/>
      <c r="BM41" s="89"/>
      <c r="BN41" s="89"/>
      <c r="BO41" s="89"/>
      <c r="BP41" s="89"/>
      <c r="BQ41" s="89"/>
    </row>
    <row r="42" spans="2:69" x14ac:dyDescent="0.2">
      <c r="AW42" s="89"/>
      <c r="AX42" s="89"/>
      <c r="AY42" s="89"/>
      <c r="AZ42" s="89"/>
      <c r="BA42" s="89"/>
      <c r="BB42" s="89"/>
      <c r="BC42" s="89"/>
      <c r="BD42" s="89"/>
      <c r="BE42" s="89"/>
      <c r="BF42" s="89"/>
      <c r="BG42" s="89"/>
      <c r="BH42" s="89"/>
      <c r="BI42" s="89"/>
      <c r="BJ42" s="89"/>
      <c r="BK42" s="89"/>
      <c r="BL42" s="89"/>
      <c r="BM42" s="89"/>
      <c r="BN42" s="89"/>
      <c r="BO42" s="89"/>
      <c r="BP42" s="89"/>
      <c r="BQ42" s="89"/>
    </row>
    <row r="43" spans="2:69" x14ac:dyDescent="0.2">
      <c r="AW43" s="89"/>
      <c r="AX43" s="89"/>
      <c r="AY43" s="89"/>
      <c r="AZ43" s="89"/>
      <c r="BA43" s="89"/>
      <c r="BB43" s="89"/>
      <c r="BC43" s="89"/>
      <c r="BD43" s="89"/>
      <c r="BE43" s="89"/>
      <c r="BF43" s="89"/>
      <c r="BG43" s="89"/>
      <c r="BH43" s="89"/>
      <c r="BI43" s="89"/>
      <c r="BJ43" s="89"/>
      <c r="BK43" s="89"/>
      <c r="BL43" s="89"/>
      <c r="BM43" s="89"/>
      <c r="BN43" s="89"/>
      <c r="BO43" s="89"/>
      <c r="BP43" s="89"/>
      <c r="BQ43" s="89"/>
    </row>
    <row r="44" spans="2:69" x14ac:dyDescent="0.2">
      <c r="AW44" s="89"/>
      <c r="AX44" s="89"/>
      <c r="AY44" s="89"/>
      <c r="AZ44" s="89"/>
      <c r="BA44" s="89"/>
      <c r="BB44" s="89"/>
      <c r="BC44" s="89"/>
      <c r="BD44" s="89"/>
      <c r="BE44" s="89"/>
      <c r="BF44" s="89"/>
      <c r="BG44" s="89"/>
      <c r="BH44" s="89"/>
      <c r="BI44" s="89"/>
      <c r="BJ44" s="89"/>
      <c r="BK44" s="89"/>
      <c r="BL44" s="89"/>
      <c r="BM44" s="89"/>
      <c r="BN44" s="89"/>
      <c r="BO44" s="89"/>
      <c r="BP44" s="89"/>
      <c r="BQ44" s="89"/>
    </row>
    <row r="45" spans="2:69" x14ac:dyDescent="0.2">
      <c r="AW45" s="89"/>
      <c r="AX45" s="89"/>
      <c r="AY45" s="89"/>
      <c r="AZ45" s="89"/>
      <c r="BA45" s="89"/>
      <c r="BB45" s="89"/>
      <c r="BC45" s="89"/>
      <c r="BD45" s="89"/>
      <c r="BE45" s="89"/>
      <c r="BF45" s="89"/>
      <c r="BG45" s="89"/>
      <c r="BH45" s="89"/>
      <c r="BI45" s="89"/>
      <c r="BJ45" s="89"/>
      <c r="BK45" s="89"/>
      <c r="BL45" s="89"/>
      <c r="BM45" s="89"/>
      <c r="BN45" s="89"/>
      <c r="BO45" s="89"/>
      <c r="BP45" s="89"/>
      <c r="BQ45" s="89"/>
    </row>
    <row r="46" spans="2:69" x14ac:dyDescent="0.2">
      <c r="B46" s="25"/>
      <c r="C46" s="26" t="s">
        <v>42</v>
      </c>
      <c r="D46" s="25"/>
      <c r="E46" s="25"/>
      <c r="F46" s="25"/>
      <c r="G46" s="25"/>
      <c r="H46" s="25"/>
      <c r="I46" s="25"/>
      <c r="J46" s="26" t="s">
        <v>43</v>
      </c>
      <c r="K46" s="25"/>
      <c r="L46" s="25"/>
      <c r="M46" s="25"/>
      <c r="N46" s="25"/>
      <c r="O46" s="25"/>
      <c r="P46" s="25"/>
      <c r="Q46" s="26" t="s">
        <v>54</v>
      </c>
      <c r="R46" s="25"/>
      <c r="S46" s="25"/>
      <c r="T46" s="25"/>
      <c r="U46" s="25"/>
      <c r="V46" s="25"/>
      <c r="W46" s="25"/>
      <c r="AW46" s="89"/>
      <c r="AX46" s="89"/>
      <c r="AY46" s="89"/>
      <c r="AZ46" s="89"/>
      <c r="BA46" s="89"/>
      <c r="BB46" s="89"/>
      <c r="BC46" s="89"/>
      <c r="BD46" s="89"/>
      <c r="BE46" s="89"/>
      <c r="BF46" s="89"/>
      <c r="BG46" s="89"/>
      <c r="BH46" s="89"/>
      <c r="BI46" s="89"/>
      <c r="BJ46" s="89"/>
      <c r="BK46" s="89"/>
      <c r="BL46" s="89"/>
      <c r="BM46" s="89"/>
      <c r="BN46" s="89"/>
      <c r="BO46" s="89"/>
      <c r="BP46" s="89"/>
      <c r="BQ46" s="89"/>
    </row>
    <row r="47" spans="2:69" x14ac:dyDescent="0.2">
      <c r="B47" s="25"/>
      <c r="C47" s="26" t="s">
        <v>33</v>
      </c>
      <c r="D47" s="26" t="s">
        <v>34</v>
      </c>
      <c r="E47" s="26" t="s">
        <v>35</v>
      </c>
      <c r="F47" s="26" t="s">
        <v>36</v>
      </c>
      <c r="G47" s="26" t="s">
        <v>37</v>
      </c>
      <c r="H47" s="26" t="s">
        <v>47</v>
      </c>
      <c r="I47" s="26" t="s">
        <v>58</v>
      </c>
      <c r="J47" s="26" t="s">
        <v>33</v>
      </c>
      <c r="K47" s="26" t="s">
        <v>34</v>
      </c>
      <c r="L47" s="26" t="s">
        <v>35</v>
      </c>
      <c r="M47" s="26" t="s">
        <v>36</v>
      </c>
      <c r="N47" s="26" t="s">
        <v>37</v>
      </c>
      <c r="O47" s="26" t="s">
        <v>47</v>
      </c>
      <c r="P47" s="26" t="s">
        <v>58</v>
      </c>
      <c r="Q47" s="26" t="s">
        <v>33</v>
      </c>
      <c r="R47" s="26" t="s">
        <v>34</v>
      </c>
      <c r="S47" s="26" t="s">
        <v>35</v>
      </c>
      <c r="T47" s="26" t="s">
        <v>36</v>
      </c>
      <c r="U47" s="26" t="s">
        <v>37</v>
      </c>
      <c r="V47" s="27" t="s">
        <v>47</v>
      </c>
      <c r="W47" s="27" t="s">
        <v>58</v>
      </c>
      <c r="AW47" s="89"/>
      <c r="AX47" s="89"/>
      <c r="AY47" s="89"/>
      <c r="AZ47" s="89"/>
      <c r="BA47" s="89"/>
      <c r="BB47" s="89"/>
      <c r="BC47" s="89"/>
      <c r="BD47" s="89"/>
      <c r="BE47" s="89"/>
      <c r="BF47" s="89"/>
      <c r="BG47" s="89"/>
      <c r="BH47" s="89"/>
      <c r="BI47" s="89"/>
      <c r="BJ47" s="89"/>
      <c r="BK47" s="89"/>
      <c r="BL47" s="89"/>
      <c r="BM47" s="89"/>
      <c r="BN47" s="89"/>
      <c r="BO47" s="89"/>
      <c r="BP47" s="89"/>
      <c r="BQ47" s="89"/>
    </row>
    <row r="48" spans="2:69" x14ac:dyDescent="0.2">
      <c r="B48" s="26" t="s">
        <v>0</v>
      </c>
      <c r="C48" s="31">
        <v>3548</v>
      </c>
      <c r="D48" s="31">
        <v>3483</v>
      </c>
      <c r="E48" s="31">
        <v>4205</v>
      </c>
      <c r="F48" s="31">
        <v>4342</v>
      </c>
      <c r="G48" s="31">
        <v>4243</v>
      </c>
      <c r="H48" s="31">
        <v>19821</v>
      </c>
      <c r="I48" s="31">
        <v>24993</v>
      </c>
      <c r="J48" s="31">
        <v>5415</v>
      </c>
      <c r="K48" s="31">
        <v>5081</v>
      </c>
      <c r="L48" s="31">
        <v>5622</v>
      </c>
      <c r="M48" s="31">
        <v>5603</v>
      </c>
      <c r="N48" s="31">
        <v>5220</v>
      </c>
      <c r="O48" s="31">
        <v>26941</v>
      </c>
      <c r="P48" s="31">
        <v>32712</v>
      </c>
      <c r="Q48" s="31">
        <v>8963</v>
      </c>
      <c r="R48" s="31">
        <v>8564</v>
      </c>
      <c r="S48" s="31">
        <v>9827</v>
      </c>
      <c r="T48" s="31">
        <v>9945</v>
      </c>
      <c r="U48" s="31">
        <v>9463</v>
      </c>
      <c r="V48" s="31">
        <v>46762</v>
      </c>
      <c r="W48" s="31">
        <v>57705</v>
      </c>
      <c r="AW48" s="89"/>
      <c r="AX48" s="89"/>
      <c r="AY48" s="89"/>
      <c r="AZ48" s="89"/>
      <c r="BA48" s="89"/>
      <c r="BB48" s="89"/>
      <c r="BC48" s="89"/>
      <c r="BD48" s="89"/>
      <c r="BE48" s="89"/>
      <c r="BF48" s="89"/>
      <c r="BG48" s="89"/>
      <c r="BH48" s="89"/>
      <c r="BI48" s="89"/>
      <c r="BJ48" s="89"/>
      <c r="BK48" s="89"/>
      <c r="BL48" s="89"/>
      <c r="BM48" s="89"/>
      <c r="BN48" s="89"/>
      <c r="BO48" s="89"/>
      <c r="BP48" s="89"/>
      <c r="BQ48" s="89"/>
    </row>
    <row r="49" spans="2:69" x14ac:dyDescent="0.2">
      <c r="B49" s="26" t="s">
        <v>1</v>
      </c>
      <c r="C49" s="31">
        <v>3856</v>
      </c>
      <c r="D49" s="31">
        <v>3624</v>
      </c>
      <c r="E49" s="31">
        <v>3805</v>
      </c>
      <c r="F49" s="31">
        <v>3679</v>
      </c>
      <c r="G49" s="31">
        <v>3365</v>
      </c>
      <c r="H49" s="31">
        <v>18329</v>
      </c>
      <c r="I49" s="31">
        <v>22228</v>
      </c>
      <c r="J49" s="31">
        <v>3819</v>
      </c>
      <c r="K49" s="31">
        <v>3700</v>
      </c>
      <c r="L49" s="31">
        <v>3771</v>
      </c>
      <c r="M49" s="31">
        <v>3530</v>
      </c>
      <c r="N49" s="31">
        <v>2949</v>
      </c>
      <c r="O49" s="31">
        <v>17769</v>
      </c>
      <c r="P49" s="31">
        <v>21096</v>
      </c>
      <c r="Q49" s="31">
        <v>7675</v>
      </c>
      <c r="R49" s="31">
        <v>7324</v>
      </c>
      <c r="S49" s="31">
        <v>7576</v>
      </c>
      <c r="T49" s="31">
        <v>7209</v>
      </c>
      <c r="U49" s="31">
        <v>6314</v>
      </c>
      <c r="V49" s="31">
        <v>36098</v>
      </c>
      <c r="W49" s="31">
        <v>43324</v>
      </c>
      <c r="AW49" s="89"/>
      <c r="AX49" s="89"/>
      <c r="AY49" s="89"/>
      <c r="AZ49" s="89"/>
      <c r="BA49" s="89"/>
      <c r="BB49" s="89"/>
      <c r="BC49" s="89"/>
      <c r="BD49" s="89"/>
      <c r="BE49" s="89"/>
      <c r="BF49" s="89"/>
      <c r="BG49" s="89"/>
      <c r="BH49" s="89"/>
      <c r="BI49" s="89"/>
      <c r="BJ49" s="89"/>
      <c r="BK49" s="89"/>
      <c r="BL49" s="89"/>
      <c r="BM49" s="89"/>
      <c r="BN49" s="89"/>
      <c r="BO49" s="89"/>
      <c r="BP49" s="89"/>
      <c r="BQ49" s="89"/>
    </row>
    <row r="50" spans="2:69" x14ac:dyDescent="0.2">
      <c r="B50" s="26" t="s">
        <v>2</v>
      </c>
      <c r="C50" s="31">
        <v>4479</v>
      </c>
      <c r="D50" s="31">
        <v>3710</v>
      </c>
      <c r="E50" s="31">
        <v>3902</v>
      </c>
      <c r="F50" s="31">
        <v>3850</v>
      </c>
      <c r="G50" s="31">
        <v>3377</v>
      </c>
      <c r="H50" s="31">
        <v>19318</v>
      </c>
      <c r="I50" s="31">
        <v>23658</v>
      </c>
      <c r="J50" s="31">
        <v>1826</v>
      </c>
      <c r="K50" s="31">
        <v>1376</v>
      </c>
      <c r="L50" s="31">
        <v>1262</v>
      </c>
      <c r="M50" s="31">
        <v>1168</v>
      </c>
      <c r="N50" s="31">
        <v>849</v>
      </c>
      <c r="O50" s="31">
        <v>6481</v>
      </c>
      <c r="P50" s="31">
        <v>7446</v>
      </c>
      <c r="Q50" s="31">
        <v>6305</v>
      </c>
      <c r="R50" s="31">
        <v>5086</v>
      </c>
      <c r="S50" s="31">
        <v>5164</v>
      </c>
      <c r="T50" s="31">
        <v>5018</v>
      </c>
      <c r="U50" s="31">
        <v>4226</v>
      </c>
      <c r="V50" s="31">
        <v>25799</v>
      </c>
      <c r="W50" s="31">
        <v>31104</v>
      </c>
    </row>
    <row r="51" spans="2:69" x14ac:dyDescent="0.2">
      <c r="B51" s="26" t="s">
        <v>3</v>
      </c>
      <c r="C51" s="31">
        <v>825</v>
      </c>
      <c r="D51" s="31">
        <v>754</v>
      </c>
      <c r="E51" s="31">
        <v>885</v>
      </c>
      <c r="F51" s="31">
        <v>888</v>
      </c>
      <c r="G51" s="31">
        <v>773</v>
      </c>
      <c r="H51" s="31">
        <v>4125</v>
      </c>
      <c r="I51" s="31">
        <v>4949</v>
      </c>
      <c r="J51" s="31">
        <v>420</v>
      </c>
      <c r="K51" s="31">
        <v>393</v>
      </c>
      <c r="L51" s="31">
        <v>455</v>
      </c>
      <c r="M51" s="31">
        <v>473</v>
      </c>
      <c r="N51" s="31">
        <v>364</v>
      </c>
      <c r="O51" s="31">
        <v>2105</v>
      </c>
      <c r="P51" s="31">
        <v>2508</v>
      </c>
      <c r="Q51" s="31">
        <v>1245</v>
      </c>
      <c r="R51" s="31">
        <v>1147</v>
      </c>
      <c r="S51" s="31">
        <v>1340</v>
      </c>
      <c r="T51" s="31">
        <v>1361</v>
      </c>
      <c r="U51" s="31">
        <v>1137</v>
      </c>
      <c r="V51" s="31">
        <v>6230</v>
      </c>
      <c r="W51" s="31">
        <v>7457</v>
      </c>
    </row>
    <row r="52" spans="2:69" x14ac:dyDescent="0.2">
      <c r="B52" s="26" t="s">
        <v>4</v>
      </c>
      <c r="C52" s="31">
        <v>8521</v>
      </c>
      <c r="D52" s="31">
        <v>5702</v>
      </c>
      <c r="E52" s="31">
        <v>5725</v>
      </c>
      <c r="F52" s="31">
        <v>5518</v>
      </c>
      <c r="G52" s="31">
        <v>5035</v>
      </c>
      <c r="H52" s="31">
        <v>30501</v>
      </c>
      <c r="I52" s="31">
        <v>38325</v>
      </c>
      <c r="J52" s="31">
        <v>7104</v>
      </c>
      <c r="K52" s="31">
        <v>4710</v>
      </c>
      <c r="L52" s="31">
        <v>4471</v>
      </c>
      <c r="M52" s="31">
        <v>4001</v>
      </c>
      <c r="N52" s="31">
        <v>3249</v>
      </c>
      <c r="O52" s="31">
        <v>23535</v>
      </c>
      <c r="P52" s="31">
        <v>27883</v>
      </c>
      <c r="Q52" s="31">
        <v>15625</v>
      </c>
      <c r="R52" s="31">
        <v>10412</v>
      </c>
      <c r="S52" s="31">
        <v>10196</v>
      </c>
      <c r="T52" s="31">
        <v>9519</v>
      </c>
      <c r="U52" s="31">
        <v>8284</v>
      </c>
      <c r="V52" s="31">
        <v>54036</v>
      </c>
      <c r="W52" s="31">
        <v>66208</v>
      </c>
    </row>
    <row r="53" spans="2:69" x14ac:dyDescent="0.2">
      <c r="B53" s="26" t="s">
        <v>5</v>
      </c>
      <c r="C53" s="31">
        <v>1277</v>
      </c>
      <c r="D53" s="31">
        <v>713</v>
      </c>
      <c r="E53" s="31">
        <v>577</v>
      </c>
      <c r="F53" s="31">
        <v>406</v>
      </c>
      <c r="G53" s="31">
        <v>278</v>
      </c>
      <c r="H53" s="31">
        <v>3251</v>
      </c>
      <c r="I53" s="31">
        <v>3567</v>
      </c>
      <c r="J53" s="31">
        <v>850</v>
      </c>
      <c r="K53" s="31">
        <v>427</v>
      </c>
      <c r="L53" s="31">
        <v>324</v>
      </c>
      <c r="M53" s="31">
        <v>211</v>
      </c>
      <c r="N53" s="31">
        <v>142</v>
      </c>
      <c r="O53" s="31">
        <v>1954</v>
      </c>
      <c r="P53" s="31">
        <v>2087</v>
      </c>
      <c r="Q53" s="31">
        <v>2127</v>
      </c>
      <c r="R53" s="31">
        <v>1140</v>
      </c>
      <c r="S53" s="31">
        <v>901</v>
      </c>
      <c r="T53" s="31">
        <v>617</v>
      </c>
      <c r="U53" s="31">
        <v>420</v>
      </c>
      <c r="V53" s="31">
        <v>5205</v>
      </c>
      <c r="W53" s="31">
        <v>5654</v>
      </c>
    </row>
    <row r="54" spans="2:69" x14ac:dyDescent="0.2">
      <c r="B54" s="26" t="s">
        <v>6</v>
      </c>
      <c r="C54" s="31">
        <v>1033</v>
      </c>
      <c r="D54" s="31">
        <v>1652</v>
      </c>
      <c r="E54" s="31">
        <v>2332</v>
      </c>
      <c r="F54" s="31">
        <v>2487</v>
      </c>
      <c r="G54" s="31">
        <v>1993</v>
      </c>
      <c r="H54" s="31">
        <v>9497</v>
      </c>
      <c r="I54" s="31">
        <v>11287</v>
      </c>
      <c r="J54" s="31">
        <v>1167</v>
      </c>
      <c r="K54" s="31">
        <v>1540</v>
      </c>
      <c r="L54" s="31">
        <v>1904</v>
      </c>
      <c r="M54" s="31">
        <v>1692</v>
      </c>
      <c r="N54" s="31">
        <v>1202</v>
      </c>
      <c r="O54" s="31">
        <v>7505</v>
      </c>
      <c r="P54" s="31">
        <v>8280</v>
      </c>
      <c r="Q54" s="31">
        <v>2200</v>
      </c>
      <c r="R54" s="31">
        <v>3192</v>
      </c>
      <c r="S54" s="31">
        <v>4236</v>
      </c>
      <c r="T54" s="31">
        <v>4179</v>
      </c>
      <c r="U54" s="31">
        <v>3195</v>
      </c>
      <c r="V54" s="31">
        <v>17002</v>
      </c>
      <c r="W54" s="31">
        <v>19567</v>
      </c>
    </row>
    <row r="55" spans="2:69" x14ac:dyDescent="0.2">
      <c r="B55" s="2" t="s">
        <v>168</v>
      </c>
      <c r="C55" s="31">
        <v>568</v>
      </c>
      <c r="D55" s="31">
        <v>888</v>
      </c>
      <c r="E55" s="31">
        <v>1084</v>
      </c>
      <c r="F55" s="31">
        <v>1113</v>
      </c>
      <c r="G55" s="31">
        <v>1003</v>
      </c>
      <c r="H55" s="31">
        <v>4656</v>
      </c>
      <c r="I55" s="31">
        <v>5867</v>
      </c>
      <c r="J55" s="31">
        <v>67</v>
      </c>
      <c r="K55" s="31">
        <v>89</v>
      </c>
      <c r="L55" s="31">
        <v>101</v>
      </c>
      <c r="M55" s="31">
        <v>110</v>
      </c>
      <c r="N55" s="31">
        <v>113</v>
      </c>
      <c r="O55" s="31">
        <v>480</v>
      </c>
      <c r="P55" s="31">
        <v>604</v>
      </c>
      <c r="Q55" s="31">
        <v>635</v>
      </c>
      <c r="R55" s="31">
        <v>977</v>
      </c>
      <c r="S55" s="31">
        <v>1185</v>
      </c>
      <c r="T55" s="31">
        <v>1223</v>
      </c>
      <c r="U55" s="31">
        <v>1116</v>
      </c>
      <c r="V55" s="31">
        <v>5136</v>
      </c>
      <c r="W55" s="31">
        <v>6471</v>
      </c>
    </row>
    <row r="56" spans="2:69" x14ac:dyDescent="0.2">
      <c r="B56" s="26" t="s">
        <v>8</v>
      </c>
      <c r="C56" s="31">
        <v>345</v>
      </c>
      <c r="D56" s="31">
        <v>973</v>
      </c>
      <c r="E56" s="31">
        <v>1689</v>
      </c>
      <c r="F56" s="31">
        <v>2180</v>
      </c>
      <c r="G56" s="31">
        <v>2068</v>
      </c>
      <c r="H56" s="31">
        <v>7255</v>
      </c>
      <c r="I56" s="31">
        <v>9249</v>
      </c>
      <c r="J56" s="31">
        <v>339</v>
      </c>
      <c r="K56" s="31">
        <v>781</v>
      </c>
      <c r="L56" s="31">
        <v>1112</v>
      </c>
      <c r="M56" s="31">
        <v>1161</v>
      </c>
      <c r="N56" s="31">
        <v>1014</v>
      </c>
      <c r="O56" s="31">
        <v>4407</v>
      </c>
      <c r="P56" s="31">
        <v>5329</v>
      </c>
      <c r="Q56" s="31">
        <v>684</v>
      </c>
      <c r="R56" s="31">
        <v>1754</v>
      </c>
      <c r="S56" s="31">
        <v>2801</v>
      </c>
      <c r="T56" s="31">
        <v>3341</v>
      </c>
      <c r="U56" s="31">
        <v>3082</v>
      </c>
      <c r="V56" s="31">
        <v>11662</v>
      </c>
      <c r="W56" s="31">
        <v>14578</v>
      </c>
    </row>
    <row r="57" spans="2:69" x14ac:dyDescent="0.2">
      <c r="B57" s="26" t="s">
        <v>9</v>
      </c>
      <c r="C57" s="31">
        <v>1</v>
      </c>
      <c r="D57" s="31">
        <v>3</v>
      </c>
      <c r="E57" s="31">
        <v>6</v>
      </c>
      <c r="F57" s="31">
        <v>12</v>
      </c>
      <c r="G57" s="31">
        <v>16</v>
      </c>
      <c r="H57" s="31">
        <v>38</v>
      </c>
      <c r="I57" s="31">
        <v>50</v>
      </c>
      <c r="J57" s="31">
        <v>51</v>
      </c>
      <c r="K57" s="31">
        <v>75</v>
      </c>
      <c r="L57" s="31">
        <v>70</v>
      </c>
      <c r="M57" s="31">
        <v>78</v>
      </c>
      <c r="N57" s="31">
        <v>36</v>
      </c>
      <c r="O57" s="31">
        <v>310</v>
      </c>
      <c r="P57" s="31">
        <v>335</v>
      </c>
      <c r="Q57" s="31">
        <v>52</v>
      </c>
      <c r="R57" s="31">
        <v>78</v>
      </c>
      <c r="S57" s="31">
        <v>76</v>
      </c>
      <c r="T57" s="31">
        <v>90</v>
      </c>
      <c r="U57" s="31">
        <v>52</v>
      </c>
      <c r="V57" s="31">
        <v>348</v>
      </c>
      <c r="W57" s="31">
        <v>385</v>
      </c>
    </row>
    <row r="58" spans="2:69" x14ac:dyDescent="0.2">
      <c r="B58" s="26" t="s">
        <v>10</v>
      </c>
      <c r="C58" s="31">
        <v>274</v>
      </c>
      <c r="D58" s="31">
        <v>482</v>
      </c>
      <c r="E58" s="31">
        <v>688</v>
      </c>
      <c r="F58" s="31">
        <v>817</v>
      </c>
      <c r="G58" s="31">
        <v>826</v>
      </c>
      <c r="H58" s="31">
        <v>3087</v>
      </c>
      <c r="I58" s="31">
        <v>4358</v>
      </c>
      <c r="J58" s="31">
        <v>228</v>
      </c>
      <c r="K58" s="31">
        <v>322</v>
      </c>
      <c r="L58" s="31">
        <v>426</v>
      </c>
      <c r="M58" s="31">
        <v>511</v>
      </c>
      <c r="N58" s="31">
        <v>571</v>
      </c>
      <c r="O58" s="31">
        <v>2058</v>
      </c>
      <c r="P58" s="31">
        <v>2873</v>
      </c>
      <c r="Q58" s="31">
        <v>502</v>
      </c>
      <c r="R58" s="31">
        <v>804</v>
      </c>
      <c r="S58" s="31">
        <v>1114</v>
      </c>
      <c r="T58" s="31">
        <v>1328</v>
      </c>
      <c r="U58" s="31">
        <v>1397</v>
      </c>
      <c r="V58" s="31">
        <v>5145</v>
      </c>
      <c r="W58" s="31">
        <v>7231</v>
      </c>
    </row>
    <row r="59" spans="2:69" x14ac:dyDescent="0.2">
      <c r="B59" s="26" t="s">
        <v>11</v>
      </c>
      <c r="C59" s="31">
        <v>2142</v>
      </c>
      <c r="D59" s="31">
        <v>3606</v>
      </c>
      <c r="E59" s="31">
        <v>4854</v>
      </c>
      <c r="F59" s="31">
        <v>4522</v>
      </c>
      <c r="G59" s="31">
        <v>3165</v>
      </c>
      <c r="H59" s="31">
        <v>18289</v>
      </c>
      <c r="I59" s="31">
        <v>21288</v>
      </c>
      <c r="J59" s="31">
        <v>2002</v>
      </c>
      <c r="K59" s="31">
        <v>2816</v>
      </c>
      <c r="L59" s="31">
        <v>3327</v>
      </c>
      <c r="M59" s="31">
        <v>3139</v>
      </c>
      <c r="N59" s="31">
        <v>2288</v>
      </c>
      <c r="O59" s="31">
        <v>13572</v>
      </c>
      <c r="P59" s="31">
        <v>15797</v>
      </c>
      <c r="Q59" s="31">
        <v>4144</v>
      </c>
      <c r="R59" s="31">
        <v>6422</v>
      </c>
      <c r="S59" s="31">
        <v>8181</v>
      </c>
      <c r="T59" s="31">
        <v>7661</v>
      </c>
      <c r="U59" s="31">
        <v>5453</v>
      </c>
      <c r="V59" s="31">
        <v>31861</v>
      </c>
      <c r="W59" s="31">
        <v>37085</v>
      </c>
    </row>
    <row r="60" spans="2:69" x14ac:dyDescent="0.2">
      <c r="B60" s="26" t="s">
        <v>12</v>
      </c>
      <c r="C60" s="31">
        <v>2452</v>
      </c>
      <c r="D60" s="31">
        <v>2362</v>
      </c>
      <c r="E60" s="31">
        <v>2446</v>
      </c>
      <c r="F60" s="31">
        <v>2102</v>
      </c>
      <c r="G60" s="31">
        <v>1522</v>
      </c>
      <c r="H60" s="31">
        <v>10884</v>
      </c>
      <c r="I60" s="31">
        <v>12506</v>
      </c>
      <c r="J60" s="31">
        <v>1386</v>
      </c>
      <c r="K60" s="31">
        <v>1144</v>
      </c>
      <c r="L60" s="31">
        <v>1089</v>
      </c>
      <c r="M60" s="31">
        <v>927</v>
      </c>
      <c r="N60" s="31">
        <v>704</v>
      </c>
      <c r="O60" s="31">
        <v>5250</v>
      </c>
      <c r="P60" s="31">
        <v>6000</v>
      </c>
      <c r="Q60" s="31">
        <v>3838</v>
      </c>
      <c r="R60" s="31">
        <v>3506</v>
      </c>
      <c r="S60" s="31">
        <v>3535</v>
      </c>
      <c r="T60" s="31">
        <v>3029</v>
      </c>
      <c r="U60" s="31">
        <v>2226</v>
      </c>
      <c r="V60" s="31">
        <v>16134</v>
      </c>
      <c r="W60" s="31">
        <v>18506</v>
      </c>
    </row>
    <row r="61" spans="2:69" x14ac:dyDescent="0.2">
      <c r="B61" s="26" t="s">
        <v>13</v>
      </c>
      <c r="C61" s="31">
        <v>2939</v>
      </c>
      <c r="D61" s="31">
        <v>2841</v>
      </c>
      <c r="E61" s="31">
        <v>3375</v>
      </c>
      <c r="F61" s="31">
        <v>2993</v>
      </c>
      <c r="G61" s="31">
        <v>2397</v>
      </c>
      <c r="H61" s="31">
        <v>14545</v>
      </c>
      <c r="I61" s="31">
        <v>16525</v>
      </c>
      <c r="J61" s="31">
        <v>3566</v>
      </c>
      <c r="K61" s="31">
        <v>2651</v>
      </c>
      <c r="L61" s="31">
        <v>2683</v>
      </c>
      <c r="M61" s="31">
        <v>2195</v>
      </c>
      <c r="N61" s="31">
        <v>1576</v>
      </c>
      <c r="O61" s="31">
        <v>12671</v>
      </c>
      <c r="P61" s="31">
        <v>13976</v>
      </c>
      <c r="Q61" s="31">
        <v>6505</v>
      </c>
      <c r="R61" s="31">
        <v>5492</v>
      </c>
      <c r="S61" s="31">
        <v>6058</v>
      </c>
      <c r="T61" s="31">
        <v>5188</v>
      </c>
      <c r="U61" s="31">
        <v>3973</v>
      </c>
      <c r="V61" s="31">
        <v>27216</v>
      </c>
      <c r="W61" s="31">
        <v>30501</v>
      </c>
    </row>
    <row r="62" spans="2:69" x14ac:dyDescent="0.2">
      <c r="B62" s="26" t="s">
        <v>14</v>
      </c>
      <c r="C62" s="31">
        <v>1383</v>
      </c>
      <c r="D62" s="31">
        <v>1364</v>
      </c>
      <c r="E62" s="31">
        <v>1377</v>
      </c>
      <c r="F62" s="31">
        <v>1148</v>
      </c>
      <c r="G62" s="31">
        <v>815</v>
      </c>
      <c r="H62" s="31">
        <v>6087</v>
      </c>
      <c r="I62" s="31">
        <v>6830</v>
      </c>
      <c r="J62" s="31">
        <v>1395</v>
      </c>
      <c r="K62" s="31">
        <v>1093</v>
      </c>
      <c r="L62" s="31">
        <v>1086</v>
      </c>
      <c r="M62" s="31">
        <v>870</v>
      </c>
      <c r="N62" s="31">
        <v>636</v>
      </c>
      <c r="O62" s="31">
        <v>5080</v>
      </c>
      <c r="P62" s="31">
        <v>5740</v>
      </c>
      <c r="Q62" s="31">
        <v>2778</v>
      </c>
      <c r="R62" s="31">
        <v>2457</v>
      </c>
      <c r="S62" s="31">
        <v>2463</v>
      </c>
      <c r="T62" s="31">
        <v>2018</v>
      </c>
      <c r="U62" s="31">
        <v>1451</v>
      </c>
      <c r="V62" s="31">
        <v>11167</v>
      </c>
      <c r="W62" s="31">
        <v>12570</v>
      </c>
    </row>
    <row r="63" spans="2:69" x14ac:dyDescent="0.2">
      <c r="B63" s="26" t="s">
        <v>15</v>
      </c>
      <c r="C63" s="31">
        <v>3269</v>
      </c>
      <c r="D63" s="31">
        <v>4580</v>
      </c>
      <c r="E63" s="31">
        <v>4997</v>
      </c>
      <c r="F63" s="31">
        <v>4155</v>
      </c>
      <c r="G63" s="31">
        <v>2633</v>
      </c>
      <c r="H63" s="31">
        <v>19634</v>
      </c>
      <c r="I63" s="31">
        <v>21308</v>
      </c>
      <c r="J63" s="31">
        <v>4131</v>
      </c>
      <c r="K63" s="31">
        <v>5359</v>
      </c>
      <c r="L63" s="31">
        <v>5554</v>
      </c>
      <c r="M63" s="31">
        <v>4171</v>
      </c>
      <c r="N63" s="31">
        <v>2455</v>
      </c>
      <c r="O63" s="31">
        <v>21670</v>
      </c>
      <c r="P63" s="31">
        <v>23314</v>
      </c>
      <c r="Q63" s="31">
        <v>7400</v>
      </c>
      <c r="R63" s="31">
        <v>9939</v>
      </c>
      <c r="S63" s="31">
        <v>10551</v>
      </c>
      <c r="T63" s="31">
        <v>8326</v>
      </c>
      <c r="U63" s="31">
        <v>5088</v>
      </c>
      <c r="V63" s="31">
        <v>41304</v>
      </c>
      <c r="W63" s="31">
        <v>44622</v>
      </c>
    </row>
    <row r="64" spans="2:69" x14ac:dyDescent="0.2">
      <c r="B64" s="26" t="s">
        <v>16</v>
      </c>
      <c r="C64" s="31">
        <v>1004</v>
      </c>
      <c r="D64" s="31">
        <v>1240</v>
      </c>
      <c r="E64" s="31">
        <v>1668</v>
      </c>
      <c r="F64" s="31">
        <v>1795</v>
      </c>
      <c r="G64" s="31">
        <v>1624</v>
      </c>
      <c r="H64" s="31">
        <v>7331</v>
      </c>
      <c r="I64" s="31">
        <v>9408</v>
      </c>
      <c r="J64" s="31">
        <v>1843</v>
      </c>
      <c r="K64" s="31">
        <v>1987</v>
      </c>
      <c r="L64" s="31">
        <v>2356</v>
      </c>
      <c r="M64" s="31">
        <v>2254</v>
      </c>
      <c r="N64" s="31">
        <v>2062</v>
      </c>
      <c r="O64" s="31">
        <v>10502</v>
      </c>
      <c r="P64" s="31">
        <v>13190</v>
      </c>
      <c r="Q64" s="31">
        <v>2847</v>
      </c>
      <c r="R64" s="31">
        <v>3227</v>
      </c>
      <c r="S64" s="31">
        <v>4024</v>
      </c>
      <c r="T64" s="31">
        <v>4049</v>
      </c>
      <c r="U64" s="31">
        <v>3686</v>
      </c>
      <c r="V64" s="31">
        <v>17833</v>
      </c>
      <c r="W64" s="31">
        <v>22598</v>
      </c>
    </row>
    <row r="65" spans="2:23" x14ac:dyDescent="0.2">
      <c r="B65" s="26" t="s">
        <v>17</v>
      </c>
      <c r="C65" s="31">
        <v>1429</v>
      </c>
      <c r="D65" s="31">
        <v>2614</v>
      </c>
      <c r="E65" s="31">
        <v>3803</v>
      </c>
      <c r="F65" s="31">
        <v>4134</v>
      </c>
      <c r="G65" s="31">
        <v>3752</v>
      </c>
      <c r="H65" s="31">
        <v>15732</v>
      </c>
      <c r="I65" s="31">
        <v>21085</v>
      </c>
      <c r="J65" s="31">
        <v>6879</v>
      </c>
      <c r="K65" s="31">
        <v>8788</v>
      </c>
      <c r="L65" s="31">
        <v>9938</v>
      </c>
      <c r="M65" s="31">
        <v>8721</v>
      </c>
      <c r="N65" s="31">
        <v>6992</v>
      </c>
      <c r="O65" s="31">
        <v>41318</v>
      </c>
      <c r="P65" s="31">
        <v>49659</v>
      </c>
      <c r="Q65" s="31">
        <v>8308</v>
      </c>
      <c r="R65" s="31">
        <v>11402</v>
      </c>
      <c r="S65" s="31">
        <v>13741</v>
      </c>
      <c r="T65" s="31">
        <v>12855</v>
      </c>
      <c r="U65" s="31">
        <v>10744</v>
      </c>
      <c r="V65" s="31">
        <v>57050</v>
      </c>
      <c r="W65" s="31">
        <v>70744</v>
      </c>
    </row>
    <row r="66" spans="2:23" x14ac:dyDescent="0.2">
      <c r="B66" s="26" t="s">
        <v>18</v>
      </c>
      <c r="C66" s="31">
        <v>997</v>
      </c>
      <c r="D66" s="31">
        <v>1440</v>
      </c>
      <c r="E66" s="31">
        <v>1861</v>
      </c>
      <c r="F66" s="31">
        <v>1860</v>
      </c>
      <c r="G66" s="31">
        <v>1612</v>
      </c>
      <c r="H66" s="31">
        <v>7770</v>
      </c>
      <c r="I66" s="31">
        <v>9534</v>
      </c>
      <c r="J66" s="31">
        <v>4575</v>
      </c>
      <c r="K66" s="31">
        <v>5075</v>
      </c>
      <c r="L66" s="31">
        <v>5363</v>
      </c>
      <c r="M66" s="31">
        <v>4682</v>
      </c>
      <c r="N66" s="31">
        <v>3490</v>
      </c>
      <c r="O66" s="31">
        <v>23185</v>
      </c>
      <c r="P66" s="31">
        <v>26698</v>
      </c>
      <c r="Q66" s="31">
        <v>5572</v>
      </c>
      <c r="R66" s="31">
        <v>6515</v>
      </c>
      <c r="S66" s="31">
        <v>7224</v>
      </c>
      <c r="T66" s="31">
        <v>6542</v>
      </c>
      <c r="U66" s="31">
        <v>5102</v>
      </c>
      <c r="V66" s="31">
        <v>30955</v>
      </c>
      <c r="W66" s="31">
        <v>36232</v>
      </c>
    </row>
    <row r="67" spans="2:23" x14ac:dyDescent="0.2">
      <c r="B67" s="26" t="s">
        <v>19</v>
      </c>
      <c r="C67" s="31">
        <v>434</v>
      </c>
      <c r="D67" s="31">
        <v>553</v>
      </c>
      <c r="E67" s="31">
        <v>806</v>
      </c>
      <c r="F67" s="31">
        <v>849</v>
      </c>
      <c r="G67" s="31">
        <v>721</v>
      </c>
      <c r="H67" s="31">
        <v>3363</v>
      </c>
      <c r="I67" s="31">
        <v>4224</v>
      </c>
      <c r="J67" s="31">
        <v>610</v>
      </c>
      <c r="K67" s="31">
        <v>797</v>
      </c>
      <c r="L67" s="31">
        <v>1005</v>
      </c>
      <c r="M67" s="31">
        <v>1074</v>
      </c>
      <c r="N67" s="31">
        <v>786</v>
      </c>
      <c r="O67" s="31">
        <v>4272</v>
      </c>
      <c r="P67" s="31">
        <v>5246</v>
      </c>
      <c r="Q67" s="31">
        <v>1044</v>
      </c>
      <c r="R67" s="31">
        <v>1350</v>
      </c>
      <c r="S67" s="31">
        <v>1811</v>
      </c>
      <c r="T67" s="31">
        <v>1923</v>
      </c>
      <c r="U67" s="31">
        <v>1507</v>
      </c>
      <c r="V67" s="31">
        <v>7635</v>
      </c>
      <c r="W67" s="31">
        <v>9470</v>
      </c>
    </row>
    <row r="68" spans="2:23" x14ac:dyDescent="0.2">
      <c r="B68" s="26" t="s">
        <v>20</v>
      </c>
      <c r="C68" s="31">
        <v>2532</v>
      </c>
      <c r="D68" s="31">
        <v>2919</v>
      </c>
      <c r="E68" s="31">
        <v>3608</v>
      </c>
      <c r="F68" s="31">
        <v>3134</v>
      </c>
      <c r="G68" s="31">
        <v>2029</v>
      </c>
      <c r="H68" s="31">
        <v>14222</v>
      </c>
      <c r="I68" s="31">
        <v>16170</v>
      </c>
      <c r="J68" s="31">
        <v>8339</v>
      </c>
      <c r="K68" s="31">
        <v>8499</v>
      </c>
      <c r="L68" s="31">
        <v>8645</v>
      </c>
      <c r="M68" s="31">
        <v>5755</v>
      </c>
      <c r="N68" s="31">
        <v>3154</v>
      </c>
      <c r="O68" s="31">
        <v>34392</v>
      </c>
      <c r="P68" s="31">
        <v>36807</v>
      </c>
      <c r="Q68" s="31">
        <v>10871</v>
      </c>
      <c r="R68" s="31">
        <v>11418</v>
      </c>
      <c r="S68" s="31">
        <v>12253</v>
      </c>
      <c r="T68" s="31">
        <v>8889</v>
      </c>
      <c r="U68" s="31">
        <v>5183</v>
      </c>
      <c r="V68" s="31">
        <v>48614</v>
      </c>
      <c r="W68" s="31">
        <v>52977</v>
      </c>
    </row>
    <row r="69" spans="2:23" x14ac:dyDescent="0.2">
      <c r="B69" s="26" t="s">
        <v>21</v>
      </c>
      <c r="C69" s="31">
        <v>629</v>
      </c>
      <c r="D69" s="31">
        <v>1195</v>
      </c>
      <c r="E69" s="31">
        <v>1452</v>
      </c>
      <c r="F69" s="31">
        <v>1110</v>
      </c>
      <c r="G69" s="31">
        <v>514</v>
      </c>
      <c r="H69" s="31">
        <v>4900</v>
      </c>
      <c r="I69" s="31">
        <v>5106</v>
      </c>
      <c r="J69" s="31">
        <v>1933</v>
      </c>
      <c r="K69" s="31">
        <v>3089</v>
      </c>
      <c r="L69" s="31">
        <v>3205</v>
      </c>
      <c r="M69" s="31">
        <v>1816</v>
      </c>
      <c r="N69" s="31">
        <v>745</v>
      </c>
      <c r="O69" s="31">
        <v>10788</v>
      </c>
      <c r="P69" s="31">
        <v>11096</v>
      </c>
      <c r="Q69" s="31">
        <v>2562</v>
      </c>
      <c r="R69" s="31">
        <v>4284</v>
      </c>
      <c r="S69" s="31">
        <v>4657</v>
      </c>
      <c r="T69" s="31">
        <v>2926</v>
      </c>
      <c r="U69" s="31">
        <v>1259</v>
      </c>
      <c r="V69" s="31">
        <v>15688</v>
      </c>
      <c r="W69" s="31">
        <v>16202</v>
      </c>
    </row>
    <row r="70" spans="2:23" x14ac:dyDescent="0.2">
      <c r="B70" s="26" t="s">
        <v>22</v>
      </c>
      <c r="C70" s="31">
        <v>3762</v>
      </c>
      <c r="D70" s="31">
        <v>5528</v>
      </c>
      <c r="E70" s="31">
        <v>7325</v>
      </c>
      <c r="F70" s="31">
        <v>6238</v>
      </c>
      <c r="G70" s="31">
        <v>3332</v>
      </c>
      <c r="H70" s="31">
        <v>26185</v>
      </c>
      <c r="I70" s="31">
        <v>27811</v>
      </c>
      <c r="J70" s="31">
        <v>9296</v>
      </c>
      <c r="K70" s="31">
        <v>13398</v>
      </c>
      <c r="L70" s="31">
        <v>17230</v>
      </c>
      <c r="M70" s="31">
        <v>13330</v>
      </c>
      <c r="N70" s="31">
        <v>6173</v>
      </c>
      <c r="O70" s="31">
        <v>59427</v>
      </c>
      <c r="P70" s="31">
        <v>61800</v>
      </c>
      <c r="Q70" s="31">
        <v>13058</v>
      </c>
      <c r="R70" s="31">
        <v>18926</v>
      </c>
      <c r="S70" s="31">
        <v>24555</v>
      </c>
      <c r="T70" s="31">
        <v>19568</v>
      </c>
      <c r="U70" s="31">
        <v>9505</v>
      </c>
      <c r="V70" s="31">
        <v>85612</v>
      </c>
      <c r="W70" s="31">
        <v>89611</v>
      </c>
    </row>
    <row r="71" spans="2:23" x14ac:dyDescent="0.2">
      <c r="B71" s="26" t="s">
        <v>51</v>
      </c>
      <c r="C71" s="31">
        <v>1362</v>
      </c>
      <c r="D71" s="31">
        <v>2847</v>
      </c>
      <c r="E71" s="31">
        <v>3747</v>
      </c>
      <c r="F71" s="31">
        <v>3255</v>
      </c>
      <c r="G71" s="31">
        <v>1800</v>
      </c>
      <c r="H71" s="31">
        <v>13011</v>
      </c>
      <c r="I71" s="31">
        <v>14165</v>
      </c>
      <c r="J71" s="31">
        <v>2364</v>
      </c>
      <c r="K71" s="31">
        <v>4357</v>
      </c>
      <c r="L71" s="31">
        <v>4880</v>
      </c>
      <c r="M71" s="31">
        <v>3298</v>
      </c>
      <c r="N71" s="31">
        <v>1589</v>
      </c>
      <c r="O71" s="31">
        <v>16488</v>
      </c>
      <c r="P71" s="31">
        <v>17364</v>
      </c>
      <c r="Q71" s="31">
        <v>3726</v>
      </c>
      <c r="R71" s="31">
        <v>7204</v>
      </c>
      <c r="S71" s="31">
        <v>8627</v>
      </c>
      <c r="T71" s="31">
        <v>6553</v>
      </c>
      <c r="U71" s="31">
        <v>3389</v>
      </c>
      <c r="V71" s="31">
        <v>29499</v>
      </c>
      <c r="W71" s="31">
        <v>31529</v>
      </c>
    </row>
    <row r="72" spans="2:23" x14ac:dyDescent="0.2">
      <c r="B72" s="26" t="s">
        <v>23</v>
      </c>
      <c r="C72" s="31">
        <v>492</v>
      </c>
      <c r="D72" s="31">
        <v>1594</v>
      </c>
      <c r="E72" s="31">
        <v>2142</v>
      </c>
      <c r="F72" s="31">
        <v>1205</v>
      </c>
      <c r="G72" s="31">
        <v>472</v>
      </c>
      <c r="H72" s="31">
        <v>5905</v>
      </c>
      <c r="I72" s="31">
        <v>6266</v>
      </c>
      <c r="J72" s="31">
        <v>992</v>
      </c>
      <c r="K72" s="31">
        <v>2257</v>
      </c>
      <c r="L72" s="31">
        <v>2529</v>
      </c>
      <c r="M72" s="31">
        <v>1373</v>
      </c>
      <c r="N72" s="31">
        <v>507</v>
      </c>
      <c r="O72" s="31">
        <v>7658</v>
      </c>
      <c r="P72" s="31">
        <v>8000</v>
      </c>
      <c r="Q72" s="31">
        <v>1484</v>
      </c>
      <c r="R72" s="31">
        <v>3851</v>
      </c>
      <c r="S72" s="31">
        <v>4671</v>
      </c>
      <c r="T72" s="31">
        <v>2578</v>
      </c>
      <c r="U72" s="31">
        <v>979</v>
      </c>
      <c r="V72" s="31">
        <v>13563</v>
      </c>
      <c r="W72" s="31">
        <v>14266</v>
      </c>
    </row>
    <row r="73" spans="2:23" x14ac:dyDescent="0.2">
      <c r="B73" s="26" t="s">
        <v>24</v>
      </c>
      <c r="C73" s="31">
        <v>1123</v>
      </c>
      <c r="D73" s="31">
        <v>865</v>
      </c>
      <c r="E73" s="31">
        <v>794</v>
      </c>
      <c r="F73" s="31">
        <v>619</v>
      </c>
      <c r="G73" s="31">
        <v>408</v>
      </c>
      <c r="H73" s="31">
        <v>3809</v>
      </c>
      <c r="I73" s="31">
        <v>4172</v>
      </c>
      <c r="J73" s="31">
        <v>2482</v>
      </c>
      <c r="K73" s="31">
        <v>1997</v>
      </c>
      <c r="L73" s="31">
        <v>1867</v>
      </c>
      <c r="M73" s="31">
        <v>1580</v>
      </c>
      <c r="N73" s="31">
        <v>1252</v>
      </c>
      <c r="O73" s="31">
        <v>9178</v>
      </c>
      <c r="P73" s="31">
        <v>10152</v>
      </c>
      <c r="Q73" s="31">
        <v>3605</v>
      </c>
      <c r="R73" s="31">
        <v>2862</v>
      </c>
      <c r="S73" s="31">
        <v>2661</v>
      </c>
      <c r="T73" s="31">
        <v>2199</v>
      </c>
      <c r="U73" s="31">
        <v>1660</v>
      </c>
      <c r="V73" s="31">
        <v>12987</v>
      </c>
      <c r="W73" s="31">
        <v>14324</v>
      </c>
    </row>
    <row r="74" spans="2:23" x14ac:dyDescent="0.2">
      <c r="B74" s="26" t="s">
        <v>25</v>
      </c>
      <c r="C74" s="31">
        <v>507</v>
      </c>
      <c r="D74" s="31">
        <v>468</v>
      </c>
      <c r="E74" s="31">
        <v>419</v>
      </c>
      <c r="F74" s="31">
        <v>384</v>
      </c>
      <c r="G74" s="31">
        <v>265</v>
      </c>
      <c r="H74" s="31">
        <v>2043</v>
      </c>
      <c r="I74" s="31">
        <v>2235</v>
      </c>
      <c r="J74" s="31">
        <v>865</v>
      </c>
      <c r="K74" s="31">
        <v>726</v>
      </c>
      <c r="L74" s="31">
        <v>703</v>
      </c>
      <c r="M74" s="31">
        <v>631</v>
      </c>
      <c r="N74" s="31">
        <v>416</v>
      </c>
      <c r="O74" s="31">
        <v>3341</v>
      </c>
      <c r="P74" s="31">
        <v>3620</v>
      </c>
      <c r="Q74" s="31">
        <v>1372</v>
      </c>
      <c r="R74" s="31">
        <v>1194</v>
      </c>
      <c r="S74" s="31">
        <v>1122</v>
      </c>
      <c r="T74" s="31">
        <v>1015</v>
      </c>
      <c r="U74" s="31">
        <v>681</v>
      </c>
      <c r="V74" s="31">
        <v>5384</v>
      </c>
      <c r="W74" s="31">
        <v>5855</v>
      </c>
    </row>
    <row r="75" spans="2:23" x14ac:dyDescent="0.2">
      <c r="B75" s="26" t="s">
        <v>26</v>
      </c>
      <c r="C75" s="31">
        <v>461</v>
      </c>
      <c r="D75" s="31">
        <v>407</v>
      </c>
      <c r="E75" s="31">
        <v>376</v>
      </c>
      <c r="F75" s="31">
        <v>299</v>
      </c>
      <c r="G75" s="31">
        <v>210</v>
      </c>
      <c r="H75" s="31">
        <v>1753</v>
      </c>
      <c r="I75" s="31">
        <v>1912</v>
      </c>
      <c r="J75" s="31">
        <v>980</v>
      </c>
      <c r="K75" s="31">
        <v>896</v>
      </c>
      <c r="L75" s="31">
        <v>934</v>
      </c>
      <c r="M75" s="31">
        <v>844</v>
      </c>
      <c r="N75" s="31">
        <v>553</v>
      </c>
      <c r="O75" s="31">
        <v>4207</v>
      </c>
      <c r="P75" s="31">
        <v>4645</v>
      </c>
      <c r="Q75" s="31">
        <v>1441</v>
      </c>
      <c r="R75" s="31">
        <v>1303</v>
      </c>
      <c r="S75" s="31">
        <v>1310</v>
      </c>
      <c r="T75" s="31">
        <v>1143</v>
      </c>
      <c r="U75" s="31">
        <v>763</v>
      </c>
      <c r="V75" s="31">
        <v>5960</v>
      </c>
      <c r="W75" s="31">
        <v>6557</v>
      </c>
    </row>
    <row r="76" spans="2:23" x14ac:dyDescent="0.2">
      <c r="B76" s="26" t="s">
        <v>27</v>
      </c>
      <c r="C76" s="31">
        <v>753</v>
      </c>
      <c r="D76" s="31">
        <v>332</v>
      </c>
      <c r="E76" s="31">
        <v>147</v>
      </c>
      <c r="F76" s="31">
        <v>88</v>
      </c>
      <c r="G76" s="31">
        <v>71</v>
      </c>
      <c r="H76" s="31">
        <v>1391</v>
      </c>
      <c r="I76" s="31">
        <v>1500</v>
      </c>
      <c r="J76" s="31">
        <v>1014</v>
      </c>
      <c r="K76" s="31">
        <v>372</v>
      </c>
      <c r="L76" s="31">
        <v>231</v>
      </c>
      <c r="M76" s="31">
        <v>144</v>
      </c>
      <c r="N76" s="31">
        <v>101</v>
      </c>
      <c r="O76" s="31">
        <v>1862</v>
      </c>
      <c r="P76" s="31">
        <v>1975</v>
      </c>
      <c r="Q76" s="31">
        <v>1767</v>
      </c>
      <c r="R76" s="31">
        <v>704</v>
      </c>
      <c r="S76" s="31">
        <v>378</v>
      </c>
      <c r="T76" s="31">
        <v>232</v>
      </c>
      <c r="U76" s="31">
        <v>172</v>
      </c>
      <c r="V76" s="31">
        <v>3253</v>
      </c>
      <c r="W76" s="31">
        <v>3475</v>
      </c>
    </row>
    <row r="77" spans="2:23" x14ac:dyDescent="0.2">
      <c r="B77" s="26" t="s">
        <v>28</v>
      </c>
      <c r="C77" s="31">
        <v>666</v>
      </c>
      <c r="D77" s="31">
        <v>553</v>
      </c>
      <c r="E77" s="31">
        <v>537</v>
      </c>
      <c r="F77" s="31">
        <v>410</v>
      </c>
      <c r="G77" s="31">
        <v>252</v>
      </c>
      <c r="H77" s="31">
        <v>2418</v>
      </c>
      <c r="I77" s="31">
        <v>2584</v>
      </c>
      <c r="J77" s="31">
        <v>963</v>
      </c>
      <c r="K77" s="31">
        <v>699</v>
      </c>
      <c r="L77" s="31">
        <v>587</v>
      </c>
      <c r="M77" s="31">
        <v>369</v>
      </c>
      <c r="N77" s="31">
        <v>221</v>
      </c>
      <c r="O77" s="31">
        <v>2839</v>
      </c>
      <c r="P77" s="31">
        <v>2990</v>
      </c>
      <c r="Q77" s="31">
        <v>1629</v>
      </c>
      <c r="R77" s="31">
        <v>1252</v>
      </c>
      <c r="S77" s="31">
        <v>1124</v>
      </c>
      <c r="T77" s="31">
        <v>779</v>
      </c>
      <c r="U77" s="31">
        <v>473</v>
      </c>
      <c r="V77" s="31">
        <v>5257</v>
      </c>
      <c r="W77" s="31">
        <v>5574</v>
      </c>
    </row>
    <row r="78" spans="2:23" x14ac:dyDescent="0.2">
      <c r="B78" s="26" t="s">
        <v>29</v>
      </c>
      <c r="C78" s="31">
        <v>1161</v>
      </c>
      <c r="D78" s="31">
        <v>1319</v>
      </c>
      <c r="E78" s="31">
        <v>1397</v>
      </c>
      <c r="F78" s="31">
        <v>1106</v>
      </c>
      <c r="G78" s="31">
        <v>699</v>
      </c>
      <c r="H78" s="31">
        <v>5682</v>
      </c>
      <c r="I78" s="31">
        <v>6318</v>
      </c>
      <c r="J78" s="31">
        <v>2672</v>
      </c>
      <c r="K78" s="31">
        <v>3029</v>
      </c>
      <c r="L78" s="31">
        <v>2874</v>
      </c>
      <c r="M78" s="31">
        <v>2036</v>
      </c>
      <c r="N78" s="31">
        <v>1252</v>
      </c>
      <c r="O78" s="31">
        <v>11863</v>
      </c>
      <c r="P78" s="31">
        <v>12807</v>
      </c>
      <c r="Q78" s="31">
        <v>3833</v>
      </c>
      <c r="R78" s="31">
        <v>4348</v>
      </c>
      <c r="S78" s="31">
        <v>4271</v>
      </c>
      <c r="T78" s="31">
        <v>3142</v>
      </c>
      <c r="U78" s="31">
        <v>1951</v>
      </c>
      <c r="V78" s="31">
        <v>17545</v>
      </c>
      <c r="W78" s="31">
        <v>19125</v>
      </c>
    </row>
    <row r="79" spans="2:23" x14ac:dyDescent="0.2">
      <c r="B79" s="26" t="s">
        <v>30</v>
      </c>
      <c r="C79" s="31">
        <v>820</v>
      </c>
      <c r="D79" s="31">
        <v>1138</v>
      </c>
      <c r="E79" s="31">
        <v>1617</v>
      </c>
      <c r="F79" s="31">
        <v>1624</v>
      </c>
      <c r="G79" s="31">
        <v>1070</v>
      </c>
      <c r="H79" s="31">
        <v>6269</v>
      </c>
      <c r="I79" s="31">
        <v>6985</v>
      </c>
      <c r="J79" s="31">
        <v>707</v>
      </c>
      <c r="K79" s="31">
        <v>845</v>
      </c>
      <c r="L79" s="31">
        <v>989</v>
      </c>
      <c r="M79" s="31">
        <v>845</v>
      </c>
      <c r="N79" s="31">
        <v>562</v>
      </c>
      <c r="O79" s="31">
        <v>3948</v>
      </c>
      <c r="P79" s="31">
        <v>4204</v>
      </c>
      <c r="Q79" s="31">
        <v>1527</v>
      </c>
      <c r="R79" s="31">
        <v>1983</v>
      </c>
      <c r="S79" s="31">
        <v>2606</v>
      </c>
      <c r="T79" s="31">
        <v>2469</v>
      </c>
      <c r="U79" s="31">
        <v>1632</v>
      </c>
      <c r="V79" s="31">
        <v>10217</v>
      </c>
      <c r="W79" s="31">
        <v>11189</v>
      </c>
    </row>
    <row r="80" spans="2:23" x14ac:dyDescent="0.2">
      <c r="B80" s="26" t="s">
        <v>31</v>
      </c>
      <c r="C80" s="31">
        <v>1345</v>
      </c>
      <c r="D80" s="31">
        <v>2020</v>
      </c>
      <c r="E80" s="31">
        <v>2890</v>
      </c>
      <c r="F80" s="31">
        <v>3425</v>
      </c>
      <c r="G80" s="31">
        <v>3300</v>
      </c>
      <c r="H80" s="31">
        <v>12980</v>
      </c>
      <c r="I80" s="31">
        <v>15471</v>
      </c>
      <c r="J80" s="31">
        <v>1866</v>
      </c>
      <c r="K80" s="31">
        <v>1993</v>
      </c>
      <c r="L80" s="31">
        <v>2164</v>
      </c>
      <c r="M80" s="31">
        <v>2125</v>
      </c>
      <c r="N80" s="31">
        <v>1585</v>
      </c>
      <c r="O80" s="31">
        <v>9733</v>
      </c>
      <c r="P80" s="31">
        <v>10783</v>
      </c>
      <c r="Q80" s="31">
        <v>3211</v>
      </c>
      <c r="R80" s="31">
        <v>4013</v>
      </c>
      <c r="S80" s="31">
        <v>5054</v>
      </c>
      <c r="T80" s="31">
        <v>5550</v>
      </c>
      <c r="U80" s="31">
        <v>4885</v>
      </c>
      <c r="V80" s="31">
        <v>22713</v>
      </c>
      <c r="W80" s="31">
        <v>26254</v>
      </c>
    </row>
    <row r="81" spans="2:23" x14ac:dyDescent="0.2">
      <c r="B81" s="26" t="s">
        <v>32</v>
      </c>
      <c r="C81" s="31">
        <v>3485</v>
      </c>
      <c r="D81" s="31">
        <v>5509</v>
      </c>
      <c r="E81" s="31">
        <v>7884</v>
      </c>
      <c r="F81" s="31">
        <v>9150</v>
      </c>
      <c r="G81" s="31">
        <v>8699</v>
      </c>
      <c r="H81" s="31">
        <v>34727</v>
      </c>
      <c r="I81" s="31">
        <v>45129</v>
      </c>
      <c r="J81" s="31">
        <v>4948</v>
      </c>
      <c r="K81" s="31">
        <v>7555</v>
      </c>
      <c r="L81" s="31">
        <v>10156</v>
      </c>
      <c r="M81" s="31">
        <v>10717</v>
      </c>
      <c r="N81" s="31">
        <v>10038</v>
      </c>
      <c r="O81" s="31">
        <v>43414</v>
      </c>
      <c r="P81" s="31">
        <v>53258</v>
      </c>
      <c r="Q81" s="31">
        <v>8433</v>
      </c>
      <c r="R81" s="31">
        <v>13064</v>
      </c>
      <c r="S81" s="31">
        <v>18040</v>
      </c>
      <c r="T81" s="31">
        <v>19867</v>
      </c>
      <c r="U81" s="31">
        <v>18737</v>
      </c>
      <c r="V81" s="31">
        <v>78141</v>
      </c>
      <c r="W81" s="31">
        <v>98387</v>
      </c>
    </row>
    <row r="82" spans="2:23" x14ac:dyDescent="0.2">
      <c r="B82" s="26" t="s">
        <v>63</v>
      </c>
      <c r="C82" s="31">
        <v>59874</v>
      </c>
      <c r="D82" s="31">
        <v>69278</v>
      </c>
      <c r="E82" s="31">
        <v>84420</v>
      </c>
      <c r="F82" s="31">
        <v>80897</v>
      </c>
      <c r="G82" s="31">
        <v>64339</v>
      </c>
      <c r="H82" s="31">
        <v>358808</v>
      </c>
      <c r="I82" s="31">
        <v>427063</v>
      </c>
      <c r="J82" s="31">
        <v>87094</v>
      </c>
      <c r="K82" s="31">
        <v>97916</v>
      </c>
      <c r="L82" s="31">
        <v>108913</v>
      </c>
      <c r="M82" s="31">
        <v>91434</v>
      </c>
      <c r="N82" s="31">
        <v>64846</v>
      </c>
      <c r="O82" s="31">
        <v>450203</v>
      </c>
      <c r="P82" s="31">
        <v>510274</v>
      </c>
      <c r="Q82" s="31">
        <v>146968</v>
      </c>
      <c r="R82" s="31">
        <v>167194</v>
      </c>
      <c r="S82" s="31">
        <v>193333</v>
      </c>
      <c r="T82" s="31">
        <v>172331</v>
      </c>
      <c r="U82" s="31">
        <v>129185</v>
      </c>
      <c r="V82" s="31">
        <v>809011</v>
      </c>
      <c r="W82" s="31">
        <v>937337</v>
      </c>
    </row>
  </sheetData>
  <phoneticPr fontId="3"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3:BQ82"/>
  <sheetViews>
    <sheetView showGridLines="0" topLeftCell="A28" workbookViewId="0">
      <selection activeCell="C69" sqref="C69"/>
    </sheetView>
  </sheetViews>
  <sheetFormatPr defaultColWidth="9.140625" defaultRowHeight="11.25" x14ac:dyDescent="0.2"/>
  <cols>
    <col min="1" max="1" width="9.140625" style="7"/>
    <col min="2" max="2" width="21.5703125" style="7" bestFit="1" customWidth="1"/>
    <col min="3" max="16384" width="9.140625" style="7"/>
  </cols>
  <sheetData>
    <row r="3" spans="1:69" x14ac:dyDescent="0.2">
      <c r="C3" s="2" t="s">
        <v>39</v>
      </c>
      <c r="D3" s="3"/>
      <c r="E3" s="3"/>
      <c r="F3" s="3"/>
      <c r="G3" s="3"/>
      <c r="H3" s="3"/>
      <c r="I3" s="3"/>
      <c r="J3" s="2" t="s">
        <v>40</v>
      </c>
      <c r="K3" s="3"/>
      <c r="L3" s="3"/>
      <c r="M3" s="3"/>
      <c r="N3" s="3"/>
      <c r="O3" s="3"/>
      <c r="P3" s="3"/>
      <c r="Q3" s="2" t="s">
        <v>54</v>
      </c>
      <c r="R3" s="3"/>
      <c r="S3" s="3"/>
      <c r="T3" s="3"/>
      <c r="U3" s="3"/>
      <c r="V3" s="3"/>
      <c r="W3" s="3"/>
      <c r="Y3" s="73"/>
      <c r="Z3" s="73"/>
      <c r="AA3" s="73"/>
      <c r="AB3" s="73"/>
      <c r="AC3" s="73"/>
      <c r="AD3" s="73"/>
      <c r="AE3" s="73"/>
      <c r="AF3" s="73"/>
      <c r="AG3" s="73"/>
      <c r="AH3" s="73"/>
      <c r="AI3" s="73"/>
      <c r="AJ3" s="73"/>
      <c r="AK3" s="73"/>
      <c r="AL3" s="73"/>
      <c r="AM3" s="73"/>
      <c r="AN3" s="73"/>
      <c r="AO3" s="73"/>
      <c r="AP3" s="73"/>
      <c r="AQ3" s="73"/>
      <c r="AR3" s="73"/>
      <c r="AS3" s="73"/>
      <c r="AT3" s="73"/>
      <c r="AV3" s="78"/>
      <c r="AW3" s="78"/>
      <c r="AX3" s="78"/>
      <c r="AY3" s="78"/>
      <c r="AZ3" s="78"/>
      <c r="BA3" s="78"/>
      <c r="BB3" s="78"/>
      <c r="BC3" s="78"/>
      <c r="BD3" s="78"/>
      <c r="BE3" s="78"/>
      <c r="BF3" s="78"/>
      <c r="BG3" s="78"/>
      <c r="BH3" s="78"/>
      <c r="BI3" s="78"/>
      <c r="BJ3" s="78"/>
      <c r="BK3" s="78"/>
      <c r="BL3" s="78"/>
      <c r="BM3" s="78"/>
      <c r="BN3" s="78"/>
      <c r="BO3" s="78"/>
      <c r="BP3" s="78"/>
      <c r="BQ3" s="78"/>
    </row>
    <row r="4" spans="1:69" x14ac:dyDescent="0.2">
      <c r="C4" s="2" t="s">
        <v>33</v>
      </c>
      <c r="D4" s="2" t="s">
        <v>34</v>
      </c>
      <c r="E4" s="2" t="s">
        <v>35</v>
      </c>
      <c r="F4" s="2" t="s">
        <v>36</v>
      </c>
      <c r="G4" s="2" t="s">
        <v>37</v>
      </c>
      <c r="H4" s="2" t="s">
        <v>47</v>
      </c>
      <c r="I4" s="2" t="s">
        <v>58</v>
      </c>
      <c r="J4" s="2" t="s">
        <v>33</v>
      </c>
      <c r="K4" s="2" t="s">
        <v>34</v>
      </c>
      <c r="L4" s="2" t="s">
        <v>35</v>
      </c>
      <c r="M4" s="2" t="s">
        <v>36</v>
      </c>
      <c r="N4" s="2" t="s">
        <v>37</v>
      </c>
      <c r="O4" s="2" t="s">
        <v>47</v>
      </c>
      <c r="P4" s="2" t="s">
        <v>58</v>
      </c>
      <c r="Q4" s="2" t="s">
        <v>33</v>
      </c>
      <c r="R4" s="2" t="s">
        <v>34</v>
      </c>
      <c r="S4" s="2" t="s">
        <v>35</v>
      </c>
      <c r="T4" s="2" t="s">
        <v>36</v>
      </c>
      <c r="U4" s="2" t="s">
        <v>37</v>
      </c>
      <c r="V4" s="3" t="s">
        <v>47</v>
      </c>
      <c r="W4" s="3" t="s">
        <v>58</v>
      </c>
      <c r="Y4" s="73"/>
      <c r="Z4" s="73"/>
      <c r="AA4" s="73"/>
      <c r="AB4" s="73"/>
      <c r="AC4" s="73"/>
      <c r="AD4" s="73"/>
      <c r="AE4" s="73"/>
      <c r="AF4" s="73"/>
      <c r="AG4" s="73"/>
      <c r="AH4" s="73"/>
      <c r="AI4" s="73"/>
      <c r="AJ4" s="73"/>
      <c r="AK4" s="73"/>
      <c r="AL4" s="73"/>
      <c r="AM4" s="73"/>
      <c r="AN4" s="73"/>
      <c r="AO4" s="73"/>
      <c r="AP4" s="73"/>
      <c r="AQ4" s="73"/>
      <c r="AR4" s="73"/>
      <c r="AS4" s="73"/>
      <c r="AT4" s="73"/>
      <c r="AV4" s="78"/>
      <c r="AW4" s="78"/>
      <c r="AX4" s="78"/>
      <c r="AY4" s="78"/>
      <c r="AZ4" s="78"/>
      <c r="BA4" s="78"/>
      <c r="BB4" s="78"/>
      <c r="BC4" s="78"/>
      <c r="BD4" s="78"/>
      <c r="BE4" s="78"/>
      <c r="BF4" s="78"/>
      <c r="BG4" s="78"/>
      <c r="BH4" s="78"/>
      <c r="BI4" s="78"/>
      <c r="BJ4" s="78"/>
      <c r="BK4" s="78"/>
      <c r="BL4" s="78"/>
      <c r="BM4" s="78"/>
      <c r="BN4" s="78"/>
      <c r="BO4" s="78"/>
      <c r="BP4" s="78"/>
      <c r="BQ4" s="78"/>
    </row>
    <row r="5" spans="1:69" x14ac:dyDescent="0.2">
      <c r="Y5" s="73"/>
      <c r="Z5" s="73"/>
      <c r="AA5" s="73"/>
      <c r="AB5" s="73"/>
      <c r="AC5" s="73"/>
      <c r="AD5" s="73"/>
      <c r="AE5" s="73"/>
      <c r="AF5" s="73"/>
      <c r="AG5" s="73"/>
      <c r="AH5" s="73"/>
      <c r="AI5" s="73"/>
      <c r="AJ5" s="73"/>
      <c r="AK5" s="73"/>
      <c r="AL5" s="73"/>
      <c r="AM5" s="73"/>
      <c r="AN5" s="73"/>
      <c r="AO5" s="73"/>
      <c r="AP5" s="73"/>
      <c r="AQ5" s="73"/>
      <c r="AR5" s="73"/>
      <c r="AS5" s="73"/>
      <c r="AT5" s="73"/>
      <c r="AV5" s="78"/>
      <c r="AW5" s="78"/>
      <c r="AX5" s="78"/>
      <c r="AY5" s="78"/>
      <c r="AZ5" s="78"/>
      <c r="BA5" s="78"/>
      <c r="BB5" s="78"/>
      <c r="BC5" s="78"/>
      <c r="BD5" s="78"/>
      <c r="BE5" s="78"/>
      <c r="BF5" s="78"/>
      <c r="BG5" s="78"/>
      <c r="BH5" s="78"/>
      <c r="BI5" s="78"/>
      <c r="BJ5" s="78"/>
      <c r="BK5" s="78"/>
      <c r="BL5" s="78"/>
      <c r="BM5" s="78"/>
      <c r="BN5" s="78"/>
      <c r="BO5" s="78"/>
      <c r="BP5" s="78"/>
      <c r="BQ5" s="78"/>
    </row>
    <row r="6" spans="1:69" x14ac:dyDescent="0.2">
      <c r="A6" s="2"/>
      <c r="B6" s="17" t="s">
        <v>0</v>
      </c>
      <c r="C6" s="87">
        <f>IF(OR(C48=1,C48=2),"x",ROUND(C48/$I48*100,1))</f>
        <v>13.7</v>
      </c>
      <c r="D6" s="87">
        <f t="shared" ref="D6:H6" si="0">IF(OR(D48=1,D48=2),"x",ROUND(D48/$I48*100,1))</f>
        <v>14.3</v>
      </c>
      <c r="E6" s="87">
        <f t="shared" si="0"/>
        <v>17</v>
      </c>
      <c r="F6" s="87">
        <f t="shared" si="0"/>
        <v>17.5</v>
      </c>
      <c r="G6" s="87">
        <f t="shared" si="0"/>
        <v>16.3</v>
      </c>
      <c r="H6" s="87">
        <f t="shared" si="0"/>
        <v>78.900000000000006</v>
      </c>
      <c r="I6" s="66">
        <f>ROUND(I48,0)</f>
        <v>27922</v>
      </c>
      <c r="J6" s="87">
        <f>IF(OR(J48=1,J48=2),"x",ROUND(J48/$P48*100,1))</f>
        <v>16.5</v>
      </c>
      <c r="K6" s="87">
        <f t="shared" ref="K6:O6" si="1">IF(OR(K48=1,K48=2),"x",ROUND(K48/$P48*100,1))</f>
        <v>15.8</v>
      </c>
      <c r="L6" s="87">
        <f t="shared" si="1"/>
        <v>17.399999999999999</v>
      </c>
      <c r="M6" s="87">
        <f t="shared" si="1"/>
        <v>16.600000000000001</v>
      </c>
      <c r="N6" s="87">
        <f t="shared" si="1"/>
        <v>14.8</v>
      </c>
      <c r="O6" s="87">
        <f t="shared" si="1"/>
        <v>81</v>
      </c>
      <c r="P6" s="66">
        <f>ROUND(P48,0)</f>
        <v>35948</v>
      </c>
      <c r="Q6" s="87">
        <f>IF(OR(Q48=1,Q48=2),"x",ROUND(Q48/$W48*100,1))</f>
        <v>15.3</v>
      </c>
      <c r="R6" s="87">
        <f t="shared" ref="R6:V6" si="2">IF(OR(R48=1,R48=2),"x",ROUND(R48/$W48*100,1))</f>
        <v>15.1</v>
      </c>
      <c r="S6" s="87">
        <f t="shared" si="2"/>
        <v>17.2</v>
      </c>
      <c r="T6" s="87">
        <f t="shared" si="2"/>
        <v>17</v>
      </c>
      <c r="U6" s="87">
        <f t="shared" si="2"/>
        <v>15.5</v>
      </c>
      <c r="V6" s="87">
        <f t="shared" si="2"/>
        <v>80.099999999999994</v>
      </c>
      <c r="W6" s="66">
        <f>ROUND(W48,0)</f>
        <v>63870</v>
      </c>
      <c r="X6" s="6"/>
      <c r="Y6" s="76"/>
      <c r="Z6" s="76"/>
      <c r="AA6" s="76"/>
      <c r="AB6" s="76"/>
      <c r="AC6" s="75"/>
      <c r="AD6" s="73"/>
      <c r="AE6" s="73"/>
      <c r="AF6" s="73"/>
      <c r="AG6" s="73"/>
      <c r="AH6" s="73"/>
      <c r="AI6" s="73"/>
      <c r="AJ6" s="73"/>
      <c r="AK6" s="73"/>
      <c r="AL6" s="73"/>
      <c r="AM6" s="73"/>
      <c r="AN6" s="73"/>
      <c r="AO6" s="73"/>
      <c r="AP6" s="73"/>
      <c r="AQ6" s="73"/>
      <c r="AR6" s="73"/>
      <c r="AS6" s="73"/>
      <c r="AT6" s="73"/>
      <c r="AV6" s="78"/>
      <c r="AW6" s="89"/>
      <c r="AX6" s="89"/>
      <c r="AY6" s="89"/>
      <c r="AZ6" s="89"/>
      <c r="BA6" s="89"/>
      <c r="BB6" s="89"/>
      <c r="BC6" s="89"/>
      <c r="BD6" s="89"/>
      <c r="BE6" s="89"/>
      <c r="BF6" s="89"/>
      <c r="BG6" s="89"/>
      <c r="BH6" s="89"/>
      <c r="BI6" s="89"/>
      <c r="BJ6" s="89"/>
      <c r="BK6" s="89"/>
      <c r="BL6" s="89"/>
      <c r="BM6" s="89"/>
      <c r="BN6" s="89"/>
      <c r="BO6" s="89"/>
      <c r="BP6" s="89"/>
      <c r="BQ6" s="89"/>
    </row>
    <row r="7" spans="1:69" x14ac:dyDescent="0.2">
      <c r="B7" s="17" t="s">
        <v>1</v>
      </c>
      <c r="C7" s="87">
        <f t="shared" ref="C7:H22" si="3">IF(OR(C49=1,C49=2),"x",ROUND(C49/$I49*100,1))</f>
        <v>17.100000000000001</v>
      </c>
      <c r="D7" s="87">
        <f t="shared" si="3"/>
        <v>16.100000000000001</v>
      </c>
      <c r="E7" s="87">
        <f t="shared" si="3"/>
        <v>17.3</v>
      </c>
      <c r="F7" s="87">
        <f t="shared" si="3"/>
        <v>16.899999999999999</v>
      </c>
      <c r="G7" s="87">
        <f t="shared" si="3"/>
        <v>15.1</v>
      </c>
      <c r="H7" s="87">
        <f t="shared" si="3"/>
        <v>82.4</v>
      </c>
      <c r="I7" s="66">
        <f t="shared" ref="I7:I40" si="4">ROUND(I49,0)</f>
        <v>24501</v>
      </c>
      <c r="J7" s="87">
        <f t="shared" ref="J7:O22" si="5">IF(OR(J49=1,J49=2),"x",ROUND(J49/$P49*100,1))</f>
        <v>18.100000000000001</v>
      </c>
      <c r="K7" s="87">
        <f t="shared" si="5"/>
        <v>16.8</v>
      </c>
      <c r="L7" s="87">
        <f t="shared" si="5"/>
        <v>17.399999999999999</v>
      </c>
      <c r="M7" s="87">
        <f t="shared" si="5"/>
        <v>16.5</v>
      </c>
      <c r="N7" s="87">
        <f t="shared" si="5"/>
        <v>14.7</v>
      </c>
      <c r="O7" s="87">
        <f t="shared" si="5"/>
        <v>83.4</v>
      </c>
      <c r="P7" s="66">
        <f t="shared" ref="P7:P40" si="6">ROUND(P49,0)</f>
        <v>22200</v>
      </c>
      <c r="Q7" s="87">
        <f t="shared" ref="Q7:V22" si="7">IF(OR(Q49=1,Q49=2),"x",ROUND(Q49/$W49*100,1))</f>
        <v>17.600000000000001</v>
      </c>
      <c r="R7" s="87">
        <f t="shared" si="7"/>
        <v>16.399999999999999</v>
      </c>
      <c r="S7" s="87">
        <f t="shared" si="7"/>
        <v>17.3</v>
      </c>
      <c r="T7" s="87">
        <f t="shared" si="7"/>
        <v>16.7</v>
      </c>
      <c r="U7" s="87">
        <f t="shared" si="7"/>
        <v>14.9</v>
      </c>
      <c r="V7" s="87">
        <f t="shared" si="7"/>
        <v>82.9</v>
      </c>
      <c r="W7" s="66">
        <f t="shared" ref="W7:W40" si="8">ROUND(W49,0)</f>
        <v>46701</v>
      </c>
      <c r="X7" s="6"/>
      <c r="Y7" s="76"/>
      <c r="Z7" s="76"/>
      <c r="AA7" s="76"/>
      <c r="AB7" s="76"/>
      <c r="AC7" s="75"/>
      <c r="AD7" s="73"/>
      <c r="AE7" s="73"/>
      <c r="AF7" s="73"/>
      <c r="AG7" s="73"/>
      <c r="AH7" s="73"/>
      <c r="AI7" s="73"/>
      <c r="AJ7" s="73"/>
      <c r="AK7" s="73"/>
      <c r="AL7" s="73"/>
      <c r="AM7" s="73"/>
      <c r="AN7" s="73"/>
      <c r="AO7" s="73"/>
      <c r="AP7" s="73"/>
      <c r="AQ7" s="73"/>
      <c r="AR7" s="73"/>
      <c r="AS7" s="73"/>
      <c r="AT7" s="73"/>
      <c r="AV7" s="78"/>
      <c r="AW7" s="89"/>
      <c r="AX7" s="89"/>
      <c r="AY7" s="89"/>
      <c r="AZ7" s="89"/>
      <c r="BA7" s="89"/>
      <c r="BB7" s="89"/>
      <c r="BC7" s="89"/>
      <c r="BD7" s="89"/>
      <c r="BE7" s="89"/>
      <c r="BF7" s="89"/>
      <c r="BG7" s="89"/>
      <c r="BH7" s="89"/>
      <c r="BI7" s="89"/>
      <c r="BJ7" s="89"/>
      <c r="BK7" s="89"/>
      <c r="BL7" s="89"/>
      <c r="BM7" s="89"/>
      <c r="BN7" s="89"/>
      <c r="BO7" s="89"/>
      <c r="BP7" s="89"/>
      <c r="BQ7" s="89"/>
    </row>
    <row r="8" spans="1:69" x14ac:dyDescent="0.2">
      <c r="B8" s="17" t="s">
        <v>2</v>
      </c>
      <c r="C8" s="87">
        <f t="shared" si="3"/>
        <v>19.399999999999999</v>
      </c>
      <c r="D8" s="87">
        <f t="shared" si="3"/>
        <v>15.7</v>
      </c>
      <c r="E8" s="87">
        <f t="shared" si="3"/>
        <v>16.100000000000001</v>
      </c>
      <c r="F8" s="87">
        <f t="shared" si="3"/>
        <v>15.5</v>
      </c>
      <c r="G8" s="87">
        <f t="shared" si="3"/>
        <v>14.8</v>
      </c>
      <c r="H8" s="87">
        <f t="shared" si="3"/>
        <v>81.400000000000006</v>
      </c>
      <c r="I8" s="66">
        <f t="shared" si="4"/>
        <v>26249</v>
      </c>
      <c r="J8" s="87">
        <f t="shared" si="5"/>
        <v>23</v>
      </c>
      <c r="K8" s="87">
        <f t="shared" si="5"/>
        <v>18</v>
      </c>
      <c r="L8" s="87">
        <f t="shared" si="5"/>
        <v>17.7</v>
      </c>
      <c r="M8" s="87">
        <f t="shared" si="5"/>
        <v>15.3</v>
      </c>
      <c r="N8" s="87">
        <f t="shared" si="5"/>
        <v>12.1</v>
      </c>
      <c r="O8" s="87">
        <f t="shared" si="5"/>
        <v>86.1</v>
      </c>
      <c r="P8" s="66">
        <f t="shared" si="6"/>
        <v>7966</v>
      </c>
      <c r="Q8" s="87">
        <f t="shared" si="7"/>
        <v>20.2</v>
      </c>
      <c r="R8" s="87">
        <f t="shared" si="7"/>
        <v>16.2</v>
      </c>
      <c r="S8" s="87">
        <f t="shared" si="7"/>
        <v>16.5</v>
      </c>
      <c r="T8" s="87">
        <f t="shared" si="7"/>
        <v>15.4</v>
      </c>
      <c r="U8" s="87">
        <f t="shared" si="7"/>
        <v>14.2</v>
      </c>
      <c r="V8" s="87">
        <f t="shared" si="7"/>
        <v>82.5</v>
      </c>
      <c r="W8" s="66">
        <f t="shared" si="8"/>
        <v>34215</v>
      </c>
      <c r="X8" s="6"/>
      <c r="Y8" s="76"/>
      <c r="Z8" s="76"/>
      <c r="AA8" s="76"/>
      <c r="AB8" s="76"/>
      <c r="AC8" s="75"/>
      <c r="AD8" s="73"/>
      <c r="AE8" s="73"/>
      <c r="AF8" s="73"/>
      <c r="AG8" s="73"/>
      <c r="AH8" s="73"/>
      <c r="AI8" s="73"/>
      <c r="AJ8" s="73"/>
      <c r="AK8" s="73"/>
      <c r="AL8" s="73"/>
      <c r="AM8" s="73"/>
      <c r="AN8" s="73"/>
      <c r="AO8" s="73"/>
      <c r="AP8" s="73"/>
      <c r="AQ8" s="73"/>
      <c r="AR8" s="73"/>
      <c r="AS8" s="73"/>
      <c r="AT8" s="73"/>
      <c r="AV8" s="78"/>
      <c r="AW8" s="89"/>
      <c r="AX8" s="89"/>
      <c r="AY8" s="89"/>
      <c r="AZ8" s="89"/>
      <c r="BA8" s="89"/>
      <c r="BB8" s="89"/>
      <c r="BC8" s="89"/>
      <c r="BD8" s="89"/>
      <c r="BE8" s="89"/>
      <c r="BF8" s="89"/>
      <c r="BG8" s="89"/>
      <c r="BH8" s="89"/>
      <c r="BI8" s="89"/>
      <c r="BJ8" s="89"/>
      <c r="BK8" s="89"/>
      <c r="BL8" s="89"/>
      <c r="BM8" s="89"/>
      <c r="BN8" s="89"/>
      <c r="BO8" s="89"/>
      <c r="BP8" s="89"/>
      <c r="BQ8" s="89"/>
    </row>
    <row r="9" spans="1:69" x14ac:dyDescent="0.2">
      <c r="B9" s="17" t="s">
        <v>3</v>
      </c>
      <c r="C9" s="87">
        <f t="shared" si="3"/>
        <v>16.100000000000001</v>
      </c>
      <c r="D9" s="87">
        <f t="shared" si="3"/>
        <v>15.5</v>
      </c>
      <c r="E9" s="87">
        <f t="shared" si="3"/>
        <v>18.8</v>
      </c>
      <c r="F9" s="87">
        <f t="shared" si="3"/>
        <v>17.399999999999999</v>
      </c>
      <c r="G9" s="87">
        <f t="shared" si="3"/>
        <v>15</v>
      </c>
      <c r="H9" s="87">
        <f t="shared" si="3"/>
        <v>82.8</v>
      </c>
      <c r="I9" s="66">
        <f t="shared" si="4"/>
        <v>4935</v>
      </c>
      <c r="J9" s="87">
        <f t="shared" si="5"/>
        <v>14.6</v>
      </c>
      <c r="K9" s="87">
        <f t="shared" si="5"/>
        <v>15.9</v>
      </c>
      <c r="L9" s="87">
        <f t="shared" si="5"/>
        <v>18.2</v>
      </c>
      <c r="M9" s="87">
        <f t="shared" si="5"/>
        <v>17.399999999999999</v>
      </c>
      <c r="N9" s="87">
        <f t="shared" si="5"/>
        <v>14</v>
      </c>
      <c r="O9" s="87">
        <f t="shared" si="5"/>
        <v>80</v>
      </c>
      <c r="P9" s="66">
        <f t="shared" si="6"/>
        <v>2501</v>
      </c>
      <c r="Q9" s="87">
        <f t="shared" si="7"/>
        <v>15.6</v>
      </c>
      <c r="R9" s="87">
        <f t="shared" si="7"/>
        <v>15.7</v>
      </c>
      <c r="S9" s="87">
        <f t="shared" si="7"/>
        <v>18.600000000000001</v>
      </c>
      <c r="T9" s="87">
        <f t="shared" si="7"/>
        <v>17.399999999999999</v>
      </c>
      <c r="U9" s="87">
        <f t="shared" si="7"/>
        <v>14.7</v>
      </c>
      <c r="V9" s="87">
        <f t="shared" si="7"/>
        <v>81.900000000000006</v>
      </c>
      <c r="W9" s="66">
        <f t="shared" si="8"/>
        <v>7436</v>
      </c>
      <c r="X9" s="6"/>
      <c r="Y9" s="76"/>
      <c r="Z9" s="76"/>
      <c r="AA9" s="76"/>
      <c r="AB9" s="76"/>
      <c r="AC9" s="75"/>
      <c r="AD9" s="73"/>
      <c r="AE9" s="73"/>
      <c r="AF9" s="73"/>
      <c r="AG9" s="73"/>
      <c r="AH9" s="73"/>
      <c r="AI9" s="73"/>
      <c r="AJ9" s="73"/>
      <c r="AK9" s="73"/>
      <c r="AL9" s="73"/>
      <c r="AM9" s="73"/>
      <c r="AN9" s="73"/>
      <c r="AO9" s="73"/>
      <c r="AP9" s="73"/>
      <c r="AQ9" s="73"/>
      <c r="AR9" s="73"/>
      <c r="AS9" s="73"/>
      <c r="AT9" s="73"/>
      <c r="AV9" s="78"/>
      <c r="AW9" s="89"/>
      <c r="AX9" s="89"/>
      <c r="AY9" s="89"/>
      <c r="AZ9" s="89"/>
      <c r="BA9" s="89"/>
      <c r="BB9" s="89"/>
      <c r="BC9" s="89"/>
      <c r="BD9" s="89"/>
      <c r="BE9" s="89"/>
      <c r="BF9" s="89"/>
      <c r="BG9" s="89"/>
      <c r="BH9" s="89"/>
      <c r="BI9" s="89"/>
      <c r="BJ9" s="89"/>
      <c r="BK9" s="89"/>
      <c r="BL9" s="89"/>
      <c r="BM9" s="89"/>
      <c r="BN9" s="89"/>
      <c r="BO9" s="89"/>
      <c r="BP9" s="89"/>
      <c r="BQ9" s="89"/>
    </row>
    <row r="10" spans="1:69" x14ac:dyDescent="0.2">
      <c r="B10" s="17" t="s">
        <v>4</v>
      </c>
      <c r="C10" s="87">
        <f t="shared" si="3"/>
        <v>22.2</v>
      </c>
      <c r="D10" s="87">
        <f t="shared" si="3"/>
        <v>14.3</v>
      </c>
      <c r="E10" s="87">
        <f t="shared" si="3"/>
        <v>14.5</v>
      </c>
      <c r="F10" s="87">
        <f t="shared" si="3"/>
        <v>14.9</v>
      </c>
      <c r="G10" s="87">
        <f t="shared" si="3"/>
        <v>13.5</v>
      </c>
      <c r="H10" s="87">
        <f t="shared" si="3"/>
        <v>79.5</v>
      </c>
      <c r="I10" s="66">
        <f t="shared" si="4"/>
        <v>42555</v>
      </c>
      <c r="J10" s="87">
        <f t="shared" si="5"/>
        <v>24.9</v>
      </c>
      <c r="K10" s="87">
        <f t="shared" si="5"/>
        <v>16.600000000000001</v>
      </c>
      <c r="L10" s="87">
        <f t="shared" si="5"/>
        <v>16</v>
      </c>
      <c r="M10" s="87">
        <f t="shared" si="5"/>
        <v>14.8</v>
      </c>
      <c r="N10" s="87">
        <f t="shared" si="5"/>
        <v>11.9</v>
      </c>
      <c r="O10" s="87">
        <f t="shared" si="5"/>
        <v>84.2</v>
      </c>
      <c r="P10" s="66">
        <f t="shared" si="6"/>
        <v>31173</v>
      </c>
      <c r="Q10" s="87">
        <f t="shared" si="7"/>
        <v>23.3</v>
      </c>
      <c r="R10" s="87">
        <f t="shared" si="7"/>
        <v>15.3</v>
      </c>
      <c r="S10" s="87">
        <f t="shared" si="7"/>
        <v>15.1</v>
      </c>
      <c r="T10" s="87">
        <f t="shared" si="7"/>
        <v>14.9</v>
      </c>
      <c r="U10" s="87">
        <f t="shared" si="7"/>
        <v>12.9</v>
      </c>
      <c r="V10" s="87">
        <f t="shared" si="7"/>
        <v>81.5</v>
      </c>
      <c r="W10" s="66">
        <f t="shared" si="8"/>
        <v>73728</v>
      </c>
      <c r="X10" s="6"/>
      <c r="Y10" s="76"/>
      <c r="Z10" s="76"/>
      <c r="AA10" s="76"/>
      <c r="AB10" s="76"/>
      <c r="AC10" s="75"/>
      <c r="AD10" s="73"/>
      <c r="AE10" s="73"/>
      <c r="AF10" s="73"/>
      <c r="AG10" s="73"/>
      <c r="AH10" s="73"/>
      <c r="AI10" s="73"/>
      <c r="AJ10" s="73"/>
      <c r="AK10" s="73"/>
      <c r="AL10" s="73"/>
      <c r="AM10" s="73"/>
      <c r="AN10" s="73"/>
      <c r="AO10" s="73"/>
      <c r="AP10" s="73"/>
      <c r="AQ10" s="73"/>
      <c r="AR10" s="73"/>
      <c r="AS10" s="73"/>
      <c r="AT10" s="73"/>
      <c r="AV10" s="78"/>
      <c r="AW10" s="89"/>
      <c r="AX10" s="89"/>
      <c r="AY10" s="89"/>
      <c r="AZ10" s="89"/>
      <c r="BA10" s="89"/>
      <c r="BB10" s="89"/>
      <c r="BC10" s="89"/>
      <c r="BD10" s="89"/>
      <c r="BE10" s="89"/>
      <c r="BF10" s="89"/>
      <c r="BG10" s="89"/>
      <c r="BH10" s="89"/>
      <c r="BI10" s="89"/>
      <c r="BJ10" s="89"/>
      <c r="BK10" s="89"/>
      <c r="BL10" s="89"/>
      <c r="BM10" s="89"/>
      <c r="BN10" s="89"/>
      <c r="BO10" s="89"/>
      <c r="BP10" s="89"/>
      <c r="BQ10" s="89"/>
    </row>
    <row r="11" spans="1:69" x14ac:dyDescent="0.2">
      <c r="B11" s="17" t="s">
        <v>5</v>
      </c>
      <c r="C11" s="87">
        <f t="shared" si="3"/>
        <v>39.299999999999997</v>
      </c>
      <c r="D11" s="87">
        <f t="shared" si="3"/>
        <v>19.100000000000001</v>
      </c>
      <c r="E11" s="87">
        <f t="shared" si="3"/>
        <v>15.5</v>
      </c>
      <c r="F11" s="87">
        <f t="shared" si="3"/>
        <v>10.6</v>
      </c>
      <c r="G11" s="87">
        <f t="shared" si="3"/>
        <v>7.8</v>
      </c>
      <c r="H11" s="87">
        <f t="shared" si="3"/>
        <v>92.4</v>
      </c>
      <c r="I11" s="66">
        <f t="shared" si="4"/>
        <v>5190</v>
      </c>
      <c r="J11" s="87">
        <f t="shared" si="5"/>
        <v>43.8</v>
      </c>
      <c r="K11" s="87">
        <f t="shared" si="5"/>
        <v>20.7</v>
      </c>
      <c r="L11" s="87">
        <f t="shared" si="5"/>
        <v>14.1</v>
      </c>
      <c r="M11" s="87">
        <f t="shared" si="5"/>
        <v>9.9</v>
      </c>
      <c r="N11" s="87">
        <f t="shared" si="5"/>
        <v>5.7</v>
      </c>
      <c r="O11" s="87">
        <f t="shared" si="5"/>
        <v>94.2</v>
      </c>
      <c r="P11" s="66">
        <f t="shared" si="6"/>
        <v>3209</v>
      </c>
      <c r="Q11" s="87">
        <f t="shared" si="7"/>
        <v>41</v>
      </c>
      <c r="R11" s="87">
        <f t="shared" si="7"/>
        <v>19.7</v>
      </c>
      <c r="S11" s="87">
        <f t="shared" si="7"/>
        <v>14.9</v>
      </c>
      <c r="T11" s="87">
        <f t="shared" si="7"/>
        <v>10.4</v>
      </c>
      <c r="U11" s="87">
        <f t="shared" si="7"/>
        <v>7</v>
      </c>
      <c r="V11" s="87">
        <f t="shared" si="7"/>
        <v>93.1</v>
      </c>
      <c r="W11" s="66">
        <f t="shared" si="8"/>
        <v>8399</v>
      </c>
      <c r="X11" s="6"/>
      <c r="Y11" s="76"/>
      <c r="Z11" s="76"/>
      <c r="AA11" s="76"/>
      <c r="AB11" s="76"/>
      <c r="AC11" s="75"/>
      <c r="AD11" s="73"/>
      <c r="AE11" s="73"/>
      <c r="AF11" s="73"/>
      <c r="AG11" s="73"/>
      <c r="AH11" s="73"/>
      <c r="AI11" s="73"/>
      <c r="AJ11" s="73"/>
      <c r="AK11" s="73"/>
      <c r="AL11" s="73"/>
      <c r="AM11" s="73"/>
      <c r="AN11" s="73"/>
      <c r="AO11" s="73"/>
      <c r="AP11" s="73"/>
      <c r="AQ11" s="73"/>
      <c r="AR11" s="73"/>
      <c r="AS11" s="73"/>
      <c r="AT11" s="73"/>
      <c r="AV11" s="78"/>
      <c r="AW11" s="89"/>
      <c r="AX11" s="89"/>
      <c r="AY11" s="89"/>
      <c r="AZ11" s="89"/>
      <c r="BA11" s="89"/>
      <c r="BB11" s="89"/>
      <c r="BC11" s="89"/>
      <c r="BD11" s="89"/>
      <c r="BE11" s="89"/>
      <c r="BF11" s="89"/>
      <c r="BG11" s="89"/>
      <c r="BH11" s="89"/>
      <c r="BI11" s="89"/>
      <c r="BJ11" s="89"/>
      <c r="BK11" s="89"/>
      <c r="BL11" s="89"/>
      <c r="BM11" s="89"/>
      <c r="BN11" s="89"/>
      <c r="BO11" s="89"/>
      <c r="BP11" s="89"/>
      <c r="BQ11" s="89"/>
    </row>
    <row r="12" spans="1:69" x14ac:dyDescent="0.2">
      <c r="B12" s="17" t="s">
        <v>6</v>
      </c>
      <c r="C12" s="87">
        <f t="shared" si="3"/>
        <v>8.9</v>
      </c>
      <c r="D12" s="87">
        <f t="shared" si="3"/>
        <v>14.4</v>
      </c>
      <c r="E12" s="87">
        <f t="shared" si="3"/>
        <v>19.7</v>
      </c>
      <c r="F12" s="87">
        <f t="shared" si="3"/>
        <v>22.3</v>
      </c>
      <c r="G12" s="87">
        <f t="shared" si="3"/>
        <v>17.8</v>
      </c>
      <c r="H12" s="87">
        <f t="shared" si="3"/>
        <v>83.1</v>
      </c>
      <c r="I12" s="66">
        <f t="shared" si="4"/>
        <v>10602</v>
      </c>
      <c r="J12" s="87">
        <f t="shared" si="5"/>
        <v>14.3</v>
      </c>
      <c r="K12" s="87">
        <f t="shared" si="5"/>
        <v>18.7</v>
      </c>
      <c r="L12" s="87">
        <f t="shared" si="5"/>
        <v>22.3</v>
      </c>
      <c r="M12" s="87">
        <f t="shared" si="5"/>
        <v>19.5</v>
      </c>
      <c r="N12" s="87">
        <f t="shared" si="5"/>
        <v>14.6</v>
      </c>
      <c r="O12" s="87">
        <f t="shared" si="5"/>
        <v>89.4</v>
      </c>
      <c r="P12" s="66">
        <f t="shared" si="6"/>
        <v>7995</v>
      </c>
      <c r="Q12" s="87">
        <f t="shared" si="7"/>
        <v>11.2</v>
      </c>
      <c r="R12" s="87">
        <f t="shared" si="7"/>
        <v>16.3</v>
      </c>
      <c r="S12" s="87">
        <f t="shared" si="7"/>
        <v>20.8</v>
      </c>
      <c r="T12" s="87">
        <f t="shared" si="7"/>
        <v>21.1</v>
      </c>
      <c r="U12" s="87">
        <f t="shared" si="7"/>
        <v>16.5</v>
      </c>
      <c r="V12" s="87">
        <f t="shared" si="7"/>
        <v>85.8</v>
      </c>
      <c r="W12" s="66">
        <f t="shared" si="8"/>
        <v>18597</v>
      </c>
      <c r="X12" s="6"/>
      <c r="Y12" s="76"/>
      <c r="Z12" s="76"/>
      <c r="AA12" s="76"/>
      <c r="AB12" s="76"/>
      <c r="AC12" s="75"/>
      <c r="AD12" s="73"/>
      <c r="AE12" s="73"/>
      <c r="AF12" s="73"/>
      <c r="AG12" s="73"/>
      <c r="AH12" s="73"/>
      <c r="AI12" s="73"/>
      <c r="AJ12" s="73"/>
      <c r="AK12" s="73"/>
      <c r="AL12" s="73"/>
      <c r="AM12" s="73"/>
      <c r="AN12" s="73"/>
      <c r="AO12" s="73"/>
      <c r="AP12" s="73"/>
      <c r="AQ12" s="73"/>
      <c r="AR12" s="73"/>
      <c r="AS12" s="73"/>
      <c r="AT12" s="73"/>
      <c r="AV12" s="78"/>
      <c r="AW12" s="89"/>
      <c r="AX12" s="89"/>
      <c r="AY12" s="89"/>
      <c r="AZ12" s="89"/>
      <c r="BA12" s="89"/>
      <c r="BB12" s="89"/>
      <c r="BC12" s="89"/>
      <c r="BD12" s="89"/>
      <c r="BE12" s="89"/>
      <c r="BF12" s="89"/>
      <c r="BG12" s="89"/>
      <c r="BH12" s="89"/>
      <c r="BI12" s="89"/>
      <c r="BJ12" s="89"/>
      <c r="BK12" s="89"/>
      <c r="BL12" s="89"/>
      <c r="BM12" s="89"/>
      <c r="BN12" s="89"/>
      <c r="BO12" s="89"/>
      <c r="BP12" s="89"/>
      <c r="BQ12" s="89"/>
    </row>
    <row r="13" spans="1:69" x14ac:dyDescent="0.2">
      <c r="B13" s="2" t="s">
        <v>168</v>
      </c>
      <c r="C13" s="87">
        <f t="shared" si="3"/>
        <v>10</v>
      </c>
      <c r="D13" s="87">
        <f t="shared" si="3"/>
        <v>14.2</v>
      </c>
      <c r="E13" s="87">
        <f t="shared" si="3"/>
        <v>19.399999999999999</v>
      </c>
      <c r="F13" s="87">
        <f t="shared" si="3"/>
        <v>19.7</v>
      </c>
      <c r="G13" s="87">
        <f t="shared" si="3"/>
        <v>17.5</v>
      </c>
      <c r="H13" s="87">
        <f t="shared" si="3"/>
        <v>80.8</v>
      </c>
      <c r="I13" s="66">
        <f t="shared" si="4"/>
        <v>5683</v>
      </c>
      <c r="J13" s="87">
        <f t="shared" si="5"/>
        <v>9.5</v>
      </c>
      <c r="K13" s="87">
        <f t="shared" si="5"/>
        <v>11.1</v>
      </c>
      <c r="L13" s="87">
        <f t="shared" si="5"/>
        <v>18.3</v>
      </c>
      <c r="M13" s="87">
        <f t="shared" si="5"/>
        <v>20</v>
      </c>
      <c r="N13" s="87">
        <f t="shared" si="5"/>
        <v>16.2</v>
      </c>
      <c r="O13" s="87">
        <f t="shared" si="5"/>
        <v>75.2</v>
      </c>
      <c r="P13" s="66">
        <f t="shared" si="6"/>
        <v>524</v>
      </c>
      <c r="Q13" s="87">
        <f t="shared" si="7"/>
        <v>9.9</v>
      </c>
      <c r="R13" s="87">
        <f t="shared" si="7"/>
        <v>14</v>
      </c>
      <c r="S13" s="87">
        <f t="shared" si="7"/>
        <v>19.3</v>
      </c>
      <c r="T13" s="87">
        <f t="shared" si="7"/>
        <v>19.8</v>
      </c>
      <c r="U13" s="87">
        <f t="shared" si="7"/>
        <v>17.399999999999999</v>
      </c>
      <c r="V13" s="87">
        <f t="shared" si="7"/>
        <v>80.3</v>
      </c>
      <c r="W13" s="66">
        <f t="shared" si="8"/>
        <v>6207</v>
      </c>
      <c r="X13" s="6"/>
      <c r="Y13" s="76"/>
      <c r="Z13" s="76"/>
      <c r="AA13" s="76"/>
      <c r="AB13" s="76"/>
      <c r="AC13" s="75"/>
      <c r="AD13" s="73"/>
      <c r="AE13" s="73"/>
      <c r="AF13" s="73"/>
      <c r="AG13" s="73"/>
      <c r="AH13" s="73"/>
      <c r="AI13" s="73"/>
      <c r="AJ13" s="73"/>
      <c r="AK13" s="73"/>
      <c r="AL13" s="73"/>
      <c r="AM13" s="73"/>
      <c r="AN13" s="73"/>
      <c r="AO13" s="73"/>
      <c r="AP13" s="73"/>
      <c r="AQ13" s="73"/>
      <c r="AR13" s="73"/>
      <c r="AS13" s="73"/>
      <c r="AT13" s="73"/>
      <c r="AV13" s="78"/>
      <c r="AW13" s="89"/>
      <c r="AX13" s="89"/>
      <c r="AY13" s="89"/>
      <c r="AZ13" s="89"/>
      <c r="BA13" s="89"/>
      <c r="BB13" s="89"/>
      <c r="BC13" s="89"/>
      <c r="BD13" s="89"/>
      <c r="BE13" s="89"/>
      <c r="BF13" s="89"/>
      <c r="BG13" s="89"/>
      <c r="BH13" s="89"/>
      <c r="BI13" s="89"/>
      <c r="BJ13" s="89"/>
      <c r="BK13" s="89"/>
      <c r="BL13" s="89"/>
      <c r="BM13" s="89"/>
      <c r="BN13" s="89"/>
      <c r="BO13" s="89"/>
      <c r="BP13" s="89"/>
      <c r="BQ13" s="89"/>
    </row>
    <row r="14" spans="1:69" x14ac:dyDescent="0.2">
      <c r="B14" s="17" t="s">
        <v>8</v>
      </c>
      <c r="C14" s="87">
        <f t="shared" si="3"/>
        <v>5</v>
      </c>
      <c r="D14" s="87">
        <f t="shared" si="3"/>
        <v>11.1</v>
      </c>
      <c r="E14" s="87">
        <f t="shared" si="3"/>
        <v>18.600000000000001</v>
      </c>
      <c r="F14" s="87">
        <f t="shared" si="3"/>
        <v>23.2</v>
      </c>
      <c r="G14" s="87">
        <f t="shared" si="3"/>
        <v>20.6</v>
      </c>
      <c r="H14" s="87">
        <f t="shared" si="3"/>
        <v>78.599999999999994</v>
      </c>
      <c r="I14" s="66">
        <f t="shared" si="4"/>
        <v>9350</v>
      </c>
      <c r="J14" s="87">
        <f t="shared" si="5"/>
        <v>8.6999999999999993</v>
      </c>
      <c r="K14" s="87">
        <f t="shared" si="5"/>
        <v>14.3</v>
      </c>
      <c r="L14" s="87">
        <f t="shared" si="5"/>
        <v>20.5</v>
      </c>
      <c r="M14" s="87">
        <f t="shared" si="5"/>
        <v>22</v>
      </c>
      <c r="N14" s="87">
        <f t="shared" si="5"/>
        <v>18</v>
      </c>
      <c r="O14" s="87">
        <f t="shared" si="5"/>
        <v>83.5</v>
      </c>
      <c r="P14" s="66">
        <f t="shared" si="6"/>
        <v>5023</v>
      </c>
      <c r="Q14" s="87">
        <f t="shared" si="7"/>
        <v>6.3</v>
      </c>
      <c r="R14" s="87">
        <f t="shared" si="7"/>
        <v>12.2</v>
      </c>
      <c r="S14" s="87">
        <f t="shared" si="7"/>
        <v>19.3</v>
      </c>
      <c r="T14" s="87">
        <f t="shared" si="7"/>
        <v>22.8</v>
      </c>
      <c r="U14" s="87">
        <f t="shared" si="7"/>
        <v>19.7</v>
      </c>
      <c r="V14" s="87">
        <f t="shared" si="7"/>
        <v>80.3</v>
      </c>
      <c r="W14" s="66">
        <f t="shared" si="8"/>
        <v>14373</v>
      </c>
      <c r="X14" s="6"/>
      <c r="Y14" s="76"/>
      <c r="Z14" s="76"/>
      <c r="AA14" s="76"/>
      <c r="AB14" s="76"/>
      <c r="AC14" s="75"/>
      <c r="AD14" s="73"/>
      <c r="AE14" s="73"/>
      <c r="AF14" s="73"/>
      <c r="AG14" s="73"/>
      <c r="AH14" s="73"/>
      <c r="AI14" s="73"/>
      <c r="AJ14" s="73"/>
      <c r="AK14" s="73"/>
      <c r="AL14" s="73"/>
      <c r="AM14" s="73"/>
      <c r="AN14" s="73"/>
      <c r="AO14" s="73"/>
      <c r="AP14" s="73"/>
      <c r="AQ14" s="73"/>
      <c r="AR14" s="73"/>
      <c r="AS14" s="73"/>
      <c r="AT14" s="73"/>
      <c r="AV14" s="78"/>
      <c r="AW14" s="89"/>
      <c r="AX14" s="89"/>
      <c r="AY14" s="89"/>
      <c r="AZ14" s="89"/>
      <c r="BA14" s="89"/>
      <c r="BB14" s="89"/>
      <c r="BC14" s="89"/>
      <c r="BD14" s="89"/>
      <c r="BE14" s="89"/>
      <c r="BF14" s="89"/>
      <c r="BG14" s="89"/>
      <c r="BH14" s="89"/>
      <c r="BI14" s="89"/>
      <c r="BJ14" s="89"/>
      <c r="BK14" s="89"/>
      <c r="BL14" s="89"/>
      <c r="BM14" s="89"/>
      <c r="BN14" s="89"/>
      <c r="BO14" s="89"/>
      <c r="BP14" s="89"/>
      <c r="BQ14" s="89"/>
    </row>
    <row r="15" spans="1:69" x14ac:dyDescent="0.2">
      <c r="B15" s="17" t="s">
        <v>9</v>
      </c>
      <c r="C15" s="87" t="str">
        <f t="shared" si="3"/>
        <v>x</v>
      </c>
      <c r="D15" s="87">
        <f t="shared" si="3"/>
        <v>4.4000000000000004</v>
      </c>
      <c r="E15" s="87">
        <f t="shared" si="3"/>
        <v>16.7</v>
      </c>
      <c r="F15" s="87">
        <f t="shared" si="3"/>
        <v>28.9</v>
      </c>
      <c r="G15" s="87">
        <f t="shared" si="3"/>
        <v>15.6</v>
      </c>
      <c r="H15" s="87">
        <f t="shared" si="3"/>
        <v>67.8</v>
      </c>
      <c r="I15" s="66">
        <f t="shared" si="4"/>
        <v>90</v>
      </c>
      <c r="J15" s="87">
        <f t="shared" si="5"/>
        <v>13</v>
      </c>
      <c r="K15" s="87">
        <f t="shared" si="5"/>
        <v>18.399999999999999</v>
      </c>
      <c r="L15" s="87">
        <f t="shared" si="5"/>
        <v>23.5</v>
      </c>
      <c r="M15" s="87">
        <f t="shared" si="5"/>
        <v>19.100000000000001</v>
      </c>
      <c r="N15" s="87">
        <f t="shared" si="5"/>
        <v>15.6</v>
      </c>
      <c r="O15" s="87">
        <f t="shared" si="5"/>
        <v>89.5</v>
      </c>
      <c r="P15" s="66">
        <f t="shared" si="6"/>
        <v>392</v>
      </c>
      <c r="Q15" s="87">
        <f t="shared" si="7"/>
        <v>11</v>
      </c>
      <c r="R15" s="87">
        <f t="shared" si="7"/>
        <v>15.8</v>
      </c>
      <c r="S15" s="87">
        <f t="shared" si="7"/>
        <v>22.2</v>
      </c>
      <c r="T15" s="87">
        <f t="shared" si="7"/>
        <v>21</v>
      </c>
      <c r="U15" s="87">
        <f t="shared" si="7"/>
        <v>15.6</v>
      </c>
      <c r="V15" s="87">
        <f t="shared" si="7"/>
        <v>85.5</v>
      </c>
      <c r="W15" s="66">
        <f t="shared" si="8"/>
        <v>482</v>
      </c>
      <c r="X15" s="6"/>
      <c r="Y15" s="76"/>
      <c r="Z15" s="76"/>
      <c r="AA15" s="76"/>
      <c r="AB15" s="76"/>
      <c r="AC15" s="75"/>
      <c r="AD15" s="73"/>
      <c r="AE15" s="73"/>
      <c r="AF15" s="73"/>
      <c r="AG15" s="73"/>
      <c r="AH15" s="73"/>
      <c r="AI15" s="73"/>
      <c r="AJ15" s="73"/>
      <c r="AK15" s="73"/>
      <c r="AL15" s="73"/>
      <c r="AM15" s="73"/>
      <c r="AN15" s="73"/>
      <c r="AO15" s="73"/>
      <c r="AP15" s="73"/>
      <c r="AQ15" s="73"/>
      <c r="AR15" s="73"/>
      <c r="AS15" s="73"/>
      <c r="AT15" s="73"/>
      <c r="AV15" s="78"/>
      <c r="AW15" s="89"/>
      <c r="AX15" s="89"/>
      <c r="AY15" s="89"/>
      <c r="AZ15" s="89"/>
      <c r="BA15" s="89"/>
      <c r="BB15" s="89"/>
      <c r="BC15" s="89"/>
      <c r="BD15" s="89"/>
      <c r="BE15" s="89"/>
      <c r="BF15" s="89"/>
      <c r="BG15" s="89"/>
      <c r="BH15" s="89"/>
      <c r="BI15" s="89"/>
      <c r="BJ15" s="89"/>
      <c r="BK15" s="89"/>
      <c r="BL15" s="89"/>
      <c r="BM15" s="89"/>
      <c r="BN15" s="89"/>
      <c r="BO15" s="89"/>
      <c r="BP15" s="89"/>
      <c r="BQ15" s="89"/>
    </row>
    <row r="16" spans="1:69" x14ac:dyDescent="0.2">
      <c r="B16" s="17" t="s">
        <v>10</v>
      </c>
      <c r="C16" s="87">
        <f t="shared" si="3"/>
        <v>6.1</v>
      </c>
      <c r="D16" s="87">
        <f t="shared" si="3"/>
        <v>11</v>
      </c>
      <c r="E16" s="87">
        <f t="shared" si="3"/>
        <v>15.7</v>
      </c>
      <c r="F16" s="87">
        <f t="shared" si="3"/>
        <v>19</v>
      </c>
      <c r="G16" s="87">
        <f t="shared" si="3"/>
        <v>17.600000000000001</v>
      </c>
      <c r="H16" s="87">
        <f t="shared" si="3"/>
        <v>69.400000000000006</v>
      </c>
      <c r="I16" s="66">
        <f t="shared" si="4"/>
        <v>4227</v>
      </c>
      <c r="J16" s="87">
        <f t="shared" si="5"/>
        <v>7.5</v>
      </c>
      <c r="K16" s="87">
        <f t="shared" si="5"/>
        <v>12</v>
      </c>
      <c r="L16" s="87">
        <f t="shared" si="5"/>
        <v>15.9</v>
      </c>
      <c r="M16" s="87">
        <f t="shared" si="5"/>
        <v>17.5</v>
      </c>
      <c r="N16" s="87">
        <f t="shared" si="5"/>
        <v>19.5</v>
      </c>
      <c r="O16" s="87">
        <f t="shared" si="5"/>
        <v>72.400000000000006</v>
      </c>
      <c r="P16" s="66">
        <f t="shared" si="6"/>
        <v>2769</v>
      </c>
      <c r="Q16" s="87">
        <f t="shared" si="7"/>
        <v>6.6</v>
      </c>
      <c r="R16" s="87">
        <f t="shared" si="7"/>
        <v>11.4</v>
      </c>
      <c r="S16" s="87">
        <f t="shared" si="7"/>
        <v>15.8</v>
      </c>
      <c r="T16" s="87">
        <f t="shared" si="7"/>
        <v>18.399999999999999</v>
      </c>
      <c r="U16" s="87">
        <f t="shared" si="7"/>
        <v>18.399999999999999</v>
      </c>
      <c r="V16" s="87">
        <f t="shared" si="7"/>
        <v>70.599999999999994</v>
      </c>
      <c r="W16" s="66">
        <f t="shared" si="8"/>
        <v>6996</v>
      </c>
      <c r="X16" s="6"/>
      <c r="Y16" s="76"/>
      <c r="Z16" s="76"/>
      <c r="AA16" s="76"/>
      <c r="AB16" s="76"/>
      <c r="AC16" s="75"/>
      <c r="AD16" s="73"/>
      <c r="AE16" s="73"/>
      <c r="AF16" s="73"/>
      <c r="AG16" s="73"/>
      <c r="AH16" s="73"/>
      <c r="AI16" s="73"/>
      <c r="AJ16" s="73"/>
      <c r="AK16" s="73"/>
      <c r="AL16" s="73"/>
      <c r="AM16" s="73"/>
      <c r="AN16" s="73"/>
      <c r="AO16" s="73"/>
      <c r="AP16" s="73"/>
      <c r="AQ16" s="73"/>
      <c r="AR16" s="73"/>
      <c r="AS16" s="73"/>
      <c r="AT16" s="73"/>
      <c r="AV16" s="78"/>
      <c r="AW16" s="89"/>
      <c r="AX16" s="89"/>
      <c r="AY16" s="89"/>
      <c r="AZ16" s="89"/>
      <c r="BA16" s="89"/>
      <c r="BB16" s="89"/>
      <c r="BC16" s="89"/>
      <c r="BD16" s="89"/>
      <c r="BE16" s="89"/>
      <c r="BF16" s="89"/>
      <c r="BG16" s="89"/>
      <c r="BH16" s="89"/>
      <c r="BI16" s="89"/>
      <c r="BJ16" s="89"/>
      <c r="BK16" s="89"/>
      <c r="BL16" s="89"/>
      <c r="BM16" s="89"/>
      <c r="BN16" s="89"/>
      <c r="BO16" s="89"/>
      <c r="BP16" s="89"/>
      <c r="BQ16" s="89"/>
    </row>
    <row r="17" spans="2:69" x14ac:dyDescent="0.2">
      <c r="B17" s="17" t="s">
        <v>11</v>
      </c>
      <c r="C17" s="87">
        <f t="shared" si="3"/>
        <v>10.4</v>
      </c>
      <c r="D17" s="87">
        <f t="shared" si="3"/>
        <v>17.399999999999999</v>
      </c>
      <c r="E17" s="87">
        <f t="shared" si="3"/>
        <v>22.9</v>
      </c>
      <c r="F17" s="87">
        <f t="shared" si="3"/>
        <v>19.899999999999999</v>
      </c>
      <c r="G17" s="87">
        <f t="shared" si="3"/>
        <v>15.3</v>
      </c>
      <c r="H17" s="87">
        <f t="shared" si="3"/>
        <v>85.9</v>
      </c>
      <c r="I17" s="66">
        <f t="shared" si="4"/>
        <v>21644</v>
      </c>
      <c r="J17" s="87">
        <f t="shared" si="5"/>
        <v>11.6</v>
      </c>
      <c r="K17" s="87">
        <f t="shared" si="5"/>
        <v>17.2</v>
      </c>
      <c r="L17" s="87">
        <f t="shared" si="5"/>
        <v>22.3</v>
      </c>
      <c r="M17" s="87">
        <f t="shared" si="5"/>
        <v>19.5</v>
      </c>
      <c r="N17" s="87">
        <f t="shared" si="5"/>
        <v>14.8</v>
      </c>
      <c r="O17" s="87">
        <f t="shared" si="5"/>
        <v>85.3</v>
      </c>
      <c r="P17" s="66">
        <f t="shared" si="6"/>
        <v>16119</v>
      </c>
      <c r="Q17" s="87">
        <f t="shared" si="7"/>
        <v>10.9</v>
      </c>
      <c r="R17" s="87">
        <f t="shared" si="7"/>
        <v>17.3</v>
      </c>
      <c r="S17" s="87">
        <f t="shared" si="7"/>
        <v>22.6</v>
      </c>
      <c r="T17" s="87">
        <f t="shared" si="7"/>
        <v>19.7</v>
      </c>
      <c r="U17" s="87">
        <f t="shared" si="7"/>
        <v>15.1</v>
      </c>
      <c r="V17" s="87">
        <f t="shared" si="7"/>
        <v>85.7</v>
      </c>
      <c r="W17" s="66">
        <f t="shared" si="8"/>
        <v>37763</v>
      </c>
      <c r="X17" s="6"/>
      <c r="Y17" s="76"/>
      <c r="Z17" s="76"/>
      <c r="AA17" s="76"/>
      <c r="AB17" s="76"/>
      <c r="AC17" s="75"/>
      <c r="AD17" s="73"/>
      <c r="AE17" s="73"/>
      <c r="AF17" s="73"/>
      <c r="AG17" s="73"/>
      <c r="AH17" s="73"/>
      <c r="AI17" s="73"/>
      <c r="AJ17" s="73"/>
      <c r="AK17" s="73"/>
      <c r="AL17" s="73"/>
      <c r="AM17" s="73"/>
      <c r="AN17" s="73"/>
      <c r="AO17" s="73"/>
      <c r="AP17" s="73"/>
      <c r="AQ17" s="73"/>
      <c r="AR17" s="73"/>
      <c r="AS17" s="73"/>
      <c r="AT17" s="73"/>
      <c r="AV17" s="78"/>
      <c r="AW17" s="89"/>
      <c r="AX17" s="89"/>
      <c r="AY17" s="89"/>
      <c r="AZ17" s="89"/>
      <c r="BA17" s="89"/>
      <c r="BB17" s="89"/>
      <c r="BC17" s="89"/>
      <c r="BD17" s="89"/>
      <c r="BE17" s="89"/>
      <c r="BF17" s="89"/>
      <c r="BG17" s="89"/>
      <c r="BH17" s="89"/>
      <c r="BI17" s="89"/>
      <c r="BJ17" s="89"/>
      <c r="BK17" s="89"/>
      <c r="BL17" s="89"/>
      <c r="BM17" s="89"/>
      <c r="BN17" s="89"/>
      <c r="BO17" s="89"/>
      <c r="BP17" s="89"/>
      <c r="BQ17" s="89"/>
    </row>
    <row r="18" spans="2:69" x14ac:dyDescent="0.2">
      <c r="B18" s="17" t="s">
        <v>12</v>
      </c>
      <c r="C18" s="87">
        <f t="shared" si="3"/>
        <v>19.3</v>
      </c>
      <c r="D18" s="87">
        <f t="shared" si="3"/>
        <v>19.8</v>
      </c>
      <c r="E18" s="87">
        <f t="shared" si="3"/>
        <v>19.7</v>
      </c>
      <c r="F18" s="87">
        <f t="shared" si="3"/>
        <v>15.9</v>
      </c>
      <c r="G18" s="87">
        <f t="shared" si="3"/>
        <v>12.6</v>
      </c>
      <c r="H18" s="87">
        <f t="shared" si="3"/>
        <v>87.1</v>
      </c>
      <c r="I18" s="66">
        <f t="shared" si="4"/>
        <v>14513</v>
      </c>
      <c r="J18" s="87">
        <f t="shared" si="5"/>
        <v>22.6</v>
      </c>
      <c r="K18" s="87">
        <f t="shared" si="5"/>
        <v>20.6</v>
      </c>
      <c r="L18" s="87">
        <f t="shared" si="5"/>
        <v>18.600000000000001</v>
      </c>
      <c r="M18" s="87">
        <f t="shared" si="5"/>
        <v>16</v>
      </c>
      <c r="N18" s="87">
        <f t="shared" si="5"/>
        <v>10.8</v>
      </c>
      <c r="O18" s="87">
        <f t="shared" si="5"/>
        <v>88.7</v>
      </c>
      <c r="P18" s="66">
        <f t="shared" si="6"/>
        <v>6984</v>
      </c>
      <c r="Q18" s="87">
        <f t="shared" si="7"/>
        <v>20.399999999999999</v>
      </c>
      <c r="R18" s="87">
        <f t="shared" si="7"/>
        <v>20</v>
      </c>
      <c r="S18" s="87">
        <f t="shared" si="7"/>
        <v>19.3</v>
      </c>
      <c r="T18" s="87">
        <f t="shared" si="7"/>
        <v>15.9</v>
      </c>
      <c r="U18" s="87">
        <f t="shared" si="7"/>
        <v>12</v>
      </c>
      <c r="V18" s="87">
        <f t="shared" si="7"/>
        <v>87.6</v>
      </c>
      <c r="W18" s="66">
        <f t="shared" si="8"/>
        <v>21497</v>
      </c>
      <c r="X18" s="6"/>
      <c r="Y18" s="76"/>
      <c r="Z18" s="76"/>
      <c r="AA18" s="76"/>
      <c r="AB18" s="76"/>
      <c r="AC18" s="75"/>
      <c r="AD18" s="73"/>
      <c r="AE18" s="73"/>
      <c r="AF18" s="73"/>
      <c r="AG18" s="73"/>
      <c r="AH18" s="73"/>
      <c r="AI18" s="73"/>
      <c r="AJ18" s="73"/>
      <c r="AK18" s="73"/>
      <c r="AL18" s="73"/>
      <c r="AM18" s="73"/>
      <c r="AN18" s="73"/>
      <c r="AO18" s="73"/>
      <c r="AP18" s="73"/>
      <c r="AQ18" s="73"/>
      <c r="AR18" s="73"/>
      <c r="AS18" s="73"/>
      <c r="AT18" s="73"/>
      <c r="AV18" s="78"/>
      <c r="AW18" s="89"/>
      <c r="AX18" s="89"/>
      <c r="AY18" s="89"/>
      <c r="AZ18" s="89"/>
      <c r="BA18" s="89"/>
      <c r="BB18" s="89"/>
      <c r="BC18" s="89"/>
      <c r="BD18" s="89"/>
      <c r="BE18" s="89"/>
      <c r="BF18" s="89"/>
      <c r="BG18" s="89"/>
      <c r="BH18" s="89"/>
      <c r="BI18" s="89"/>
      <c r="BJ18" s="89"/>
      <c r="BK18" s="89"/>
      <c r="BL18" s="89"/>
      <c r="BM18" s="89"/>
      <c r="BN18" s="89"/>
      <c r="BO18" s="89"/>
      <c r="BP18" s="89"/>
      <c r="BQ18" s="89"/>
    </row>
    <row r="19" spans="2:69" x14ac:dyDescent="0.2">
      <c r="B19" s="17" t="s">
        <v>13</v>
      </c>
      <c r="C19" s="87">
        <f t="shared" si="3"/>
        <v>18.399999999999999</v>
      </c>
      <c r="D19" s="87">
        <f t="shared" si="3"/>
        <v>16.8</v>
      </c>
      <c r="E19" s="87">
        <f t="shared" si="3"/>
        <v>19</v>
      </c>
      <c r="F19" s="87">
        <f t="shared" si="3"/>
        <v>18.399999999999999</v>
      </c>
      <c r="G19" s="87">
        <f t="shared" si="3"/>
        <v>14.8</v>
      </c>
      <c r="H19" s="87">
        <f t="shared" si="3"/>
        <v>87.4</v>
      </c>
      <c r="I19" s="66">
        <f t="shared" si="4"/>
        <v>17282</v>
      </c>
      <c r="J19" s="87">
        <f t="shared" si="5"/>
        <v>26.5</v>
      </c>
      <c r="K19" s="87">
        <f t="shared" si="5"/>
        <v>18.3</v>
      </c>
      <c r="L19" s="87">
        <f t="shared" si="5"/>
        <v>19</v>
      </c>
      <c r="M19" s="87">
        <f t="shared" si="5"/>
        <v>15.7</v>
      </c>
      <c r="N19" s="87">
        <f t="shared" si="5"/>
        <v>11.4</v>
      </c>
      <c r="O19" s="87">
        <f t="shared" si="5"/>
        <v>90.9</v>
      </c>
      <c r="P19" s="66">
        <f t="shared" si="6"/>
        <v>14666</v>
      </c>
      <c r="Q19" s="87">
        <f t="shared" si="7"/>
        <v>22.1</v>
      </c>
      <c r="R19" s="87">
        <f t="shared" si="7"/>
        <v>17.5</v>
      </c>
      <c r="S19" s="87">
        <f t="shared" si="7"/>
        <v>19</v>
      </c>
      <c r="T19" s="87">
        <f t="shared" si="7"/>
        <v>17.2</v>
      </c>
      <c r="U19" s="87">
        <f t="shared" si="7"/>
        <v>13.2</v>
      </c>
      <c r="V19" s="87">
        <f t="shared" si="7"/>
        <v>89</v>
      </c>
      <c r="W19" s="66">
        <f t="shared" si="8"/>
        <v>31948</v>
      </c>
      <c r="X19" s="6"/>
      <c r="Y19" s="76"/>
      <c r="Z19" s="76"/>
      <c r="AA19" s="76"/>
      <c r="AB19" s="76"/>
      <c r="AC19" s="75"/>
      <c r="AD19" s="73"/>
      <c r="AE19" s="73"/>
      <c r="AF19" s="73"/>
      <c r="AG19" s="73"/>
      <c r="AH19" s="73"/>
      <c r="AI19" s="73"/>
      <c r="AJ19" s="73"/>
      <c r="AK19" s="73"/>
      <c r="AL19" s="73"/>
      <c r="AM19" s="73"/>
      <c r="AN19" s="73"/>
      <c r="AO19" s="73"/>
      <c r="AP19" s="73"/>
      <c r="AQ19" s="73"/>
      <c r="AR19" s="73"/>
      <c r="AS19" s="73"/>
      <c r="AT19" s="73"/>
      <c r="AV19" s="78"/>
      <c r="AW19" s="89"/>
      <c r="AX19" s="89"/>
      <c r="AY19" s="89"/>
      <c r="AZ19" s="89"/>
      <c r="BA19" s="89"/>
      <c r="BB19" s="89"/>
      <c r="BC19" s="89"/>
      <c r="BD19" s="89"/>
      <c r="BE19" s="89"/>
      <c r="BF19" s="89"/>
      <c r="BG19" s="89"/>
      <c r="BH19" s="89"/>
      <c r="BI19" s="89"/>
      <c r="BJ19" s="89"/>
      <c r="BK19" s="89"/>
      <c r="BL19" s="89"/>
      <c r="BM19" s="89"/>
      <c r="BN19" s="89"/>
      <c r="BO19" s="89"/>
      <c r="BP19" s="89"/>
      <c r="BQ19" s="89"/>
    </row>
    <row r="20" spans="2:69" x14ac:dyDescent="0.2">
      <c r="B20" s="17" t="s">
        <v>14</v>
      </c>
      <c r="C20" s="87">
        <f t="shared" si="3"/>
        <v>19.7</v>
      </c>
      <c r="D20" s="87">
        <f t="shared" si="3"/>
        <v>17.7</v>
      </c>
      <c r="E20" s="87">
        <f t="shared" si="3"/>
        <v>20.8</v>
      </c>
      <c r="F20" s="87">
        <f t="shared" si="3"/>
        <v>16.7</v>
      </c>
      <c r="G20" s="87">
        <f t="shared" si="3"/>
        <v>12</v>
      </c>
      <c r="H20" s="87">
        <f t="shared" si="3"/>
        <v>87</v>
      </c>
      <c r="I20" s="66">
        <f t="shared" si="4"/>
        <v>7202</v>
      </c>
      <c r="J20" s="87">
        <f t="shared" si="5"/>
        <v>23.1</v>
      </c>
      <c r="K20" s="87">
        <f t="shared" si="5"/>
        <v>18.7</v>
      </c>
      <c r="L20" s="87">
        <f t="shared" si="5"/>
        <v>18.2</v>
      </c>
      <c r="M20" s="87">
        <f t="shared" si="5"/>
        <v>16.3</v>
      </c>
      <c r="N20" s="87">
        <f t="shared" si="5"/>
        <v>11.4</v>
      </c>
      <c r="O20" s="87">
        <f t="shared" si="5"/>
        <v>87.7</v>
      </c>
      <c r="P20" s="66">
        <f t="shared" si="6"/>
        <v>6039</v>
      </c>
      <c r="Q20" s="87">
        <f t="shared" si="7"/>
        <v>21.3</v>
      </c>
      <c r="R20" s="87">
        <f t="shared" si="7"/>
        <v>18.2</v>
      </c>
      <c r="S20" s="87">
        <f t="shared" si="7"/>
        <v>19.600000000000001</v>
      </c>
      <c r="T20" s="87">
        <f t="shared" si="7"/>
        <v>16.5</v>
      </c>
      <c r="U20" s="87">
        <f t="shared" si="7"/>
        <v>11.7</v>
      </c>
      <c r="V20" s="87">
        <f t="shared" si="7"/>
        <v>87.3</v>
      </c>
      <c r="W20" s="66">
        <f t="shared" si="8"/>
        <v>13241</v>
      </c>
      <c r="X20" s="6"/>
      <c r="Y20" s="76"/>
      <c r="Z20" s="76"/>
      <c r="AA20" s="76"/>
      <c r="AB20" s="76"/>
      <c r="AC20" s="75"/>
      <c r="AD20" s="73"/>
      <c r="AE20" s="73"/>
      <c r="AF20" s="73"/>
      <c r="AG20" s="73"/>
      <c r="AH20" s="73"/>
      <c r="AI20" s="73"/>
      <c r="AJ20" s="73"/>
      <c r="AK20" s="73"/>
      <c r="AL20" s="73"/>
      <c r="AM20" s="73"/>
      <c r="AN20" s="73"/>
      <c r="AO20" s="73"/>
      <c r="AP20" s="73"/>
      <c r="AQ20" s="73"/>
      <c r="AR20" s="73"/>
      <c r="AS20" s="73"/>
      <c r="AT20" s="73"/>
      <c r="AV20" s="78"/>
      <c r="AW20" s="89"/>
      <c r="AX20" s="89"/>
      <c r="AY20" s="89"/>
      <c r="AZ20" s="89"/>
      <c r="BA20" s="89"/>
      <c r="BB20" s="89"/>
      <c r="BC20" s="89"/>
      <c r="BD20" s="89"/>
      <c r="BE20" s="89"/>
      <c r="BF20" s="89"/>
      <c r="BG20" s="89"/>
      <c r="BH20" s="89"/>
      <c r="BI20" s="89"/>
      <c r="BJ20" s="89"/>
      <c r="BK20" s="89"/>
      <c r="BL20" s="89"/>
      <c r="BM20" s="89"/>
      <c r="BN20" s="89"/>
      <c r="BO20" s="89"/>
      <c r="BP20" s="89"/>
      <c r="BQ20" s="89"/>
    </row>
    <row r="21" spans="2:69" x14ac:dyDescent="0.2">
      <c r="B21" s="17" t="s">
        <v>15</v>
      </c>
      <c r="C21" s="87">
        <f t="shared" si="3"/>
        <v>16.899999999999999</v>
      </c>
      <c r="D21" s="87">
        <f t="shared" si="3"/>
        <v>21.4</v>
      </c>
      <c r="E21" s="87">
        <f t="shared" si="3"/>
        <v>24.2</v>
      </c>
      <c r="F21" s="87">
        <f t="shared" si="3"/>
        <v>18.600000000000001</v>
      </c>
      <c r="G21" s="87">
        <f t="shared" si="3"/>
        <v>11.1</v>
      </c>
      <c r="H21" s="87">
        <f t="shared" si="3"/>
        <v>92.4</v>
      </c>
      <c r="I21" s="66">
        <f t="shared" si="4"/>
        <v>22199</v>
      </c>
      <c r="J21" s="87">
        <f t="shared" si="5"/>
        <v>18.600000000000001</v>
      </c>
      <c r="K21" s="87">
        <f t="shared" si="5"/>
        <v>23</v>
      </c>
      <c r="L21" s="87">
        <f t="shared" si="5"/>
        <v>23.1</v>
      </c>
      <c r="M21" s="87">
        <f t="shared" si="5"/>
        <v>17.7</v>
      </c>
      <c r="N21" s="87">
        <f t="shared" si="5"/>
        <v>10.199999999999999</v>
      </c>
      <c r="O21" s="87">
        <f t="shared" si="5"/>
        <v>92.7</v>
      </c>
      <c r="P21" s="66">
        <f t="shared" si="6"/>
        <v>24554</v>
      </c>
      <c r="Q21" s="87">
        <f t="shared" si="7"/>
        <v>17.8</v>
      </c>
      <c r="R21" s="87">
        <f t="shared" si="7"/>
        <v>22.3</v>
      </c>
      <c r="S21" s="87">
        <f t="shared" si="7"/>
        <v>23.7</v>
      </c>
      <c r="T21" s="87">
        <f t="shared" si="7"/>
        <v>18.100000000000001</v>
      </c>
      <c r="U21" s="87">
        <f t="shared" si="7"/>
        <v>10.7</v>
      </c>
      <c r="V21" s="87">
        <f t="shared" si="7"/>
        <v>92.5</v>
      </c>
      <c r="W21" s="66">
        <f t="shared" si="8"/>
        <v>46753</v>
      </c>
      <c r="X21" s="6"/>
      <c r="Y21" s="76"/>
      <c r="Z21" s="76"/>
      <c r="AA21" s="76"/>
      <c r="AB21" s="76"/>
      <c r="AC21" s="75"/>
      <c r="AD21" s="73"/>
      <c r="AE21" s="73"/>
      <c r="AF21" s="73"/>
      <c r="AG21" s="73"/>
      <c r="AH21" s="73"/>
      <c r="AI21" s="73"/>
      <c r="AJ21" s="73"/>
      <c r="AK21" s="73"/>
      <c r="AL21" s="73"/>
      <c r="AM21" s="73"/>
      <c r="AN21" s="73"/>
      <c r="AO21" s="73"/>
      <c r="AP21" s="73"/>
      <c r="AQ21" s="73"/>
      <c r="AR21" s="73"/>
      <c r="AS21" s="73"/>
      <c r="AT21" s="73"/>
      <c r="AV21" s="78"/>
      <c r="AW21" s="89"/>
      <c r="AX21" s="89"/>
      <c r="AY21" s="89"/>
      <c r="AZ21" s="89"/>
      <c r="BA21" s="89"/>
      <c r="BB21" s="89"/>
      <c r="BC21" s="89"/>
      <c r="BD21" s="89"/>
      <c r="BE21" s="89"/>
      <c r="BF21" s="89"/>
      <c r="BG21" s="89"/>
      <c r="BH21" s="89"/>
      <c r="BI21" s="89"/>
      <c r="BJ21" s="89"/>
      <c r="BK21" s="89"/>
      <c r="BL21" s="89"/>
      <c r="BM21" s="89"/>
      <c r="BN21" s="89"/>
      <c r="BO21" s="89"/>
      <c r="BP21" s="89"/>
      <c r="BQ21" s="89"/>
    </row>
    <row r="22" spans="2:69" x14ac:dyDescent="0.2">
      <c r="B22" s="17" t="s">
        <v>16</v>
      </c>
      <c r="C22" s="87">
        <f t="shared" si="3"/>
        <v>9.9</v>
      </c>
      <c r="D22" s="87">
        <f t="shared" si="3"/>
        <v>12.8</v>
      </c>
      <c r="E22" s="87">
        <f t="shared" si="3"/>
        <v>18.399999999999999</v>
      </c>
      <c r="F22" s="87">
        <f t="shared" si="3"/>
        <v>18.399999999999999</v>
      </c>
      <c r="G22" s="87">
        <f t="shared" si="3"/>
        <v>16.899999999999999</v>
      </c>
      <c r="H22" s="87">
        <f t="shared" si="3"/>
        <v>76.400000000000006</v>
      </c>
      <c r="I22" s="66">
        <f t="shared" si="4"/>
        <v>9140</v>
      </c>
      <c r="J22" s="87">
        <f t="shared" si="5"/>
        <v>13.8</v>
      </c>
      <c r="K22" s="87">
        <f t="shared" si="5"/>
        <v>14.4</v>
      </c>
      <c r="L22" s="87">
        <f t="shared" si="5"/>
        <v>18.600000000000001</v>
      </c>
      <c r="M22" s="87">
        <f t="shared" si="5"/>
        <v>17.8</v>
      </c>
      <c r="N22" s="87">
        <f t="shared" si="5"/>
        <v>14.4</v>
      </c>
      <c r="O22" s="87">
        <f t="shared" si="5"/>
        <v>79</v>
      </c>
      <c r="P22" s="66">
        <f t="shared" si="6"/>
        <v>12907</v>
      </c>
      <c r="Q22" s="87">
        <f t="shared" si="7"/>
        <v>12.2</v>
      </c>
      <c r="R22" s="87">
        <f t="shared" si="7"/>
        <v>13.7</v>
      </c>
      <c r="S22" s="87">
        <f t="shared" si="7"/>
        <v>18.5</v>
      </c>
      <c r="T22" s="87">
        <f t="shared" si="7"/>
        <v>18.100000000000001</v>
      </c>
      <c r="U22" s="87">
        <f t="shared" si="7"/>
        <v>15.4</v>
      </c>
      <c r="V22" s="87">
        <f t="shared" si="7"/>
        <v>77.900000000000006</v>
      </c>
      <c r="W22" s="66">
        <f t="shared" si="8"/>
        <v>22047</v>
      </c>
      <c r="X22" s="6"/>
      <c r="Y22" s="76"/>
      <c r="Z22" s="76"/>
      <c r="AA22" s="76"/>
      <c r="AB22" s="76"/>
      <c r="AC22" s="75"/>
      <c r="AD22" s="73"/>
      <c r="AE22" s="73"/>
      <c r="AF22" s="73"/>
      <c r="AG22" s="73"/>
      <c r="AH22" s="73"/>
      <c r="AI22" s="73"/>
      <c r="AJ22" s="73"/>
      <c r="AK22" s="73"/>
      <c r="AL22" s="73"/>
      <c r="AM22" s="73"/>
      <c r="AN22" s="73"/>
      <c r="AO22" s="73"/>
      <c r="AP22" s="73"/>
      <c r="AQ22" s="73"/>
      <c r="AR22" s="73"/>
      <c r="AS22" s="73"/>
      <c r="AT22" s="73"/>
      <c r="AV22" s="78"/>
      <c r="AW22" s="89"/>
      <c r="AX22" s="89"/>
      <c r="AY22" s="89"/>
      <c r="AZ22" s="89"/>
      <c r="BA22" s="89"/>
      <c r="BB22" s="89"/>
      <c r="BC22" s="89"/>
      <c r="BD22" s="89"/>
      <c r="BE22" s="89"/>
      <c r="BF22" s="89"/>
      <c r="BG22" s="89"/>
      <c r="BH22" s="89"/>
      <c r="BI22" s="89"/>
      <c r="BJ22" s="89"/>
      <c r="BK22" s="89"/>
      <c r="BL22" s="89"/>
      <c r="BM22" s="89"/>
      <c r="BN22" s="89"/>
      <c r="BO22" s="89"/>
      <c r="BP22" s="89"/>
      <c r="BQ22" s="89"/>
    </row>
    <row r="23" spans="2:69" x14ac:dyDescent="0.2">
      <c r="B23" s="17" t="s">
        <v>17</v>
      </c>
      <c r="C23" s="87">
        <f t="shared" ref="C23:H38" si="9">IF(OR(C65=1,C65=2),"x",ROUND(C65/$I65*100,1))</f>
        <v>7.1</v>
      </c>
      <c r="D23" s="87">
        <f t="shared" si="9"/>
        <v>12.1</v>
      </c>
      <c r="E23" s="87">
        <f t="shared" si="9"/>
        <v>18.3</v>
      </c>
      <c r="F23" s="87">
        <f t="shared" si="9"/>
        <v>19.2</v>
      </c>
      <c r="G23" s="87">
        <f t="shared" si="9"/>
        <v>18.8</v>
      </c>
      <c r="H23" s="87">
        <f t="shared" si="9"/>
        <v>75.400000000000006</v>
      </c>
      <c r="I23" s="66">
        <f t="shared" si="4"/>
        <v>22203</v>
      </c>
      <c r="J23" s="87">
        <f t="shared" ref="J23:O38" si="10">IF(OR(J65=1,J65=2),"x",ROUND(J65/$P65*100,1))</f>
        <v>13.5</v>
      </c>
      <c r="K23" s="87">
        <f t="shared" si="10"/>
        <v>16.7</v>
      </c>
      <c r="L23" s="87">
        <f t="shared" si="10"/>
        <v>19.7</v>
      </c>
      <c r="M23" s="87">
        <f t="shared" si="10"/>
        <v>18</v>
      </c>
      <c r="N23" s="87">
        <f t="shared" si="10"/>
        <v>14.3</v>
      </c>
      <c r="O23" s="87">
        <f t="shared" si="10"/>
        <v>82.1</v>
      </c>
      <c r="P23" s="66">
        <f t="shared" si="6"/>
        <v>50367</v>
      </c>
      <c r="Q23" s="87">
        <f t="shared" ref="Q23:V38" si="11">IF(OR(Q65=1,Q65=2),"x",ROUND(Q65/$W65*100,1))</f>
        <v>11.5</v>
      </c>
      <c r="R23" s="87">
        <f t="shared" si="11"/>
        <v>15.3</v>
      </c>
      <c r="S23" s="87">
        <f t="shared" si="11"/>
        <v>19.3</v>
      </c>
      <c r="T23" s="87">
        <f t="shared" si="11"/>
        <v>18.399999999999999</v>
      </c>
      <c r="U23" s="87">
        <f t="shared" si="11"/>
        <v>15.7</v>
      </c>
      <c r="V23" s="87">
        <f t="shared" si="11"/>
        <v>80.099999999999994</v>
      </c>
      <c r="W23" s="66">
        <f t="shared" si="8"/>
        <v>72570</v>
      </c>
      <c r="X23" s="6"/>
      <c r="Y23" s="76"/>
      <c r="Z23" s="76"/>
      <c r="AA23" s="76"/>
      <c r="AB23" s="76"/>
      <c r="AC23" s="75"/>
      <c r="AD23" s="73"/>
      <c r="AE23" s="73"/>
      <c r="AF23" s="73"/>
      <c r="AG23" s="73"/>
      <c r="AH23" s="73"/>
      <c r="AI23" s="73"/>
      <c r="AJ23" s="73"/>
      <c r="AK23" s="73"/>
      <c r="AL23" s="73"/>
      <c r="AM23" s="73"/>
      <c r="AN23" s="73"/>
      <c r="AO23" s="73"/>
      <c r="AP23" s="73"/>
      <c r="AQ23" s="73"/>
      <c r="AR23" s="73"/>
      <c r="AS23" s="73"/>
      <c r="AT23" s="73"/>
      <c r="AV23" s="78"/>
      <c r="AW23" s="89"/>
      <c r="AX23" s="89"/>
      <c r="AY23" s="89"/>
      <c r="AZ23" s="89"/>
      <c r="BA23" s="89"/>
      <c r="BB23" s="89"/>
      <c r="BC23" s="89"/>
      <c r="BD23" s="89"/>
      <c r="BE23" s="89"/>
      <c r="BF23" s="89"/>
      <c r="BG23" s="89"/>
      <c r="BH23" s="89"/>
      <c r="BI23" s="89"/>
      <c r="BJ23" s="89"/>
      <c r="BK23" s="89"/>
      <c r="BL23" s="89"/>
      <c r="BM23" s="89"/>
      <c r="BN23" s="89"/>
      <c r="BO23" s="89"/>
      <c r="BP23" s="89"/>
      <c r="BQ23" s="89"/>
    </row>
    <row r="24" spans="2:69" x14ac:dyDescent="0.2">
      <c r="B24" s="17" t="s">
        <v>18</v>
      </c>
      <c r="C24" s="87">
        <f t="shared" si="9"/>
        <v>10.199999999999999</v>
      </c>
      <c r="D24" s="87">
        <f t="shared" si="9"/>
        <v>14.2</v>
      </c>
      <c r="E24" s="87">
        <f t="shared" si="9"/>
        <v>19.899999999999999</v>
      </c>
      <c r="F24" s="87">
        <f t="shared" si="9"/>
        <v>19.399999999999999</v>
      </c>
      <c r="G24" s="87">
        <f t="shared" si="9"/>
        <v>16.600000000000001</v>
      </c>
      <c r="H24" s="87">
        <f t="shared" si="9"/>
        <v>80.400000000000006</v>
      </c>
      <c r="I24" s="66">
        <f t="shared" si="4"/>
        <v>9888</v>
      </c>
      <c r="J24" s="87">
        <f t="shared" si="10"/>
        <v>16.5</v>
      </c>
      <c r="K24" s="87">
        <f t="shared" si="10"/>
        <v>18.399999999999999</v>
      </c>
      <c r="L24" s="87">
        <f t="shared" si="10"/>
        <v>20.7</v>
      </c>
      <c r="M24" s="87">
        <f t="shared" si="10"/>
        <v>17.8</v>
      </c>
      <c r="N24" s="87">
        <f t="shared" si="10"/>
        <v>12.9</v>
      </c>
      <c r="O24" s="87">
        <f t="shared" si="10"/>
        <v>86.3</v>
      </c>
      <c r="P24" s="66">
        <f t="shared" si="6"/>
        <v>26692</v>
      </c>
      <c r="Q24" s="87">
        <f t="shared" si="11"/>
        <v>14.8</v>
      </c>
      <c r="R24" s="87">
        <f t="shared" si="11"/>
        <v>17.3</v>
      </c>
      <c r="S24" s="87">
        <f t="shared" si="11"/>
        <v>20.5</v>
      </c>
      <c r="T24" s="87">
        <f t="shared" si="11"/>
        <v>18.2</v>
      </c>
      <c r="U24" s="87">
        <f t="shared" si="11"/>
        <v>13.9</v>
      </c>
      <c r="V24" s="87">
        <f t="shared" si="11"/>
        <v>84.7</v>
      </c>
      <c r="W24" s="66">
        <f t="shared" si="8"/>
        <v>36580</v>
      </c>
      <c r="X24" s="6"/>
      <c r="Y24" s="76"/>
      <c r="Z24" s="76"/>
      <c r="AA24" s="76"/>
      <c r="AB24" s="76"/>
      <c r="AC24" s="75"/>
      <c r="AD24" s="73"/>
      <c r="AE24" s="73"/>
      <c r="AF24" s="73"/>
      <c r="AG24" s="73"/>
      <c r="AH24" s="73"/>
      <c r="AI24" s="73"/>
      <c r="AJ24" s="73"/>
      <c r="AK24" s="73"/>
      <c r="AL24" s="73"/>
      <c r="AM24" s="73"/>
      <c r="AN24" s="73"/>
      <c r="AO24" s="73"/>
      <c r="AP24" s="73"/>
      <c r="AQ24" s="73"/>
      <c r="AR24" s="73"/>
      <c r="AS24" s="73"/>
      <c r="AT24" s="73"/>
      <c r="AV24" s="78"/>
      <c r="AW24" s="89"/>
      <c r="AX24" s="89"/>
      <c r="AY24" s="89"/>
      <c r="AZ24" s="89"/>
      <c r="BA24" s="89"/>
      <c r="BB24" s="89"/>
      <c r="BC24" s="89"/>
      <c r="BD24" s="89"/>
      <c r="BE24" s="89"/>
      <c r="BF24" s="89"/>
      <c r="BG24" s="89"/>
      <c r="BH24" s="89"/>
      <c r="BI24" s="89"/>
      <c r="BJ24" s="89"/>
      <c r="BK24" s="89"/>
      <c r="BL24" s="89"/>
      <c r="BM24" s="89"/>
      <c r="BN24" s="89"/>
      <c r="BO24" s="89"/>
      <c r="BP24" s="89"/>
      <c r="BQ24" s="89"/>
    </row>
    <row r="25" spans="2:69" x14ac:dyDescent="0.2">
      <c r="B25" s="17" t="s">
        <v>19</v>
      </c>
      <c r="C25" s="87">
        <f t="shared" si="9"/>
        <v>9.5</v>
      </c>
      <c r="D25" s="87">
        <f t="shared" si="9"/>
        <v>14.3</v>
      </c>
      <c r="E25" s="87">
        <f t="shared" si="9"/>
        <v>18.899999999999999</v>
      </c>
      <c r="F25" s="87">
        <f t="shared" si="9"/>
        <v>19</v>
      </c>
      <c r="G25" s="87">
        <f t="shared" si="9"/>
        <v>15.5</v>
      </c>
      <c r="H25" s="87">
        <f t="shared" si="9"/>
        <v>77.3</v>
      </c>
      <c r="I25" s="66">
        <f t="shared" si="4"/>
        <v>4852</v>
      </c>
      <c r="J25" s="87">
        <f t="shared" si="10"/>
        <v>13.9</v>
      </c>
      <c r="K25" s="87">
        <f t="shared" si="10"/>
        <v>16.5</v>
      </c>
      <c r="L25" s="87">
        <f t="shared" si="10"/>
        <v>20.8</v>
      </c>
      <c r="M25" s="87">
        <f t="shared" si="10"/>
        <v>18.2</v>
      </c>
      <c r="N25" s="87">
        <f t="shared" si="10"/>
        <v>13.1</v>
      </c>
      <c r="O25" s="87">
        <f t="shared" si="10"/>
        <v>82.6</v>
      </c>
      <c r="P25" s="66">
        <f t="shared" si="6"/>
        <v>5710</v>
      </c>
      <c r="Q25" s="87">
        <f t="shared" si="11"/>
        <v>11.9</v>
      </c>
      <c r="R25" s="87">
        <f t="shared" si="11"/>
        <v>15.5</v>
      </c>
      <c r="S25" s="87">
        <f t="shared" si="11"/>
        <v>19.899999999999999</v>
      </c>
      <c r="T25" s="87">
        <f t="shared" si="11"/>
        <v>18.600000000000001</v>
      </c>
      <c r="U25" s="87">
        <f t="shared" si="11"/>
        <v>14.2</v>
      </c>
      <c r="V25" s="87">
        <f t="shared" si="11"/>
        <v>80.099999999999994</v>
      </c>
      <c r="W25" s="66">
        <f t="shared" si="8"/>
        <v>10562</v>
      </c>
      <c r="X25" s="6"/>
      <c r="Y25" s="76"/>
      <c r="Z25" s="76"/>
      <c r="AA25" s="76"/>
      <c r="AB25" s="76"/>
      <c r="AC25" s="75"/>
      <c r="AD25" s="73"/>
      <c r="AE25" s="73"/>
      <c r="AF25" s="73"/>
      <c r="AG25" s="73"/>
      <c r="AH25" s="73"/>
      <c r="AI25" s="73"/>
      <c r="AJ25" s="73"/>
      <c r="AK25" s="73"/>
      <c r="AL25" s="73"/>
      <c r="AM25" s="73"/>
      <c r="AN25" s="73"/>
      <c r="AO25" s="73"/>
      <c r="AP25" s="73"/>
      <c r="AQ25" s="73"/>
      <c r="AR25" s="73"/>
      <c r="AS25" s="73"/>
      <c r="AT25" s="73"/>
      <c r="AV25" s="78"/>
      <c r="AW25" s="89"/>
      <c r="AX25" s="89"/>
      <c r="AY25" s="89"/>
      <c r="AZ25" s="89"/>
      <c r="BA25" s="89"/>
      <c r="BB25" s="89"/>
      <c r="BC25" s="89"/>
      <c r="BD25" s="89"/>
      <c r="BE25" s="89"/>
      <c r="BF25" s="89"/>
      <c r="BG25" s="89"/>
      <c r="BH25" s="89"/>
      <c r="BI25" s="89"/>
      <c r="BJ25" s="89"/>
      <c r="BK25" s="89"/>
      <c r="BL25" s="89"/>
      <c r="BM25" s="89"/>
      <c r="BN25" s="89"/>
      <c r="BO25" s="89"/>
      <c r="BP25" s="89"/>
      <c r="BQ25" s="89"/>
    </row>
    <row r="26" spans="2:69" x14ac:dyDescent="0.2">
      <c r="B26" s="17" t="s">
        <v>20</v>
      </c>
      <c r="C26" s="87">
        <f t="shared" si="9"/>
        <v>15.8</v>
      </c>
      <c r="D26" s="87">
        <f t="shared" si="9"/>
        <v>18.600000000000001</v>
      </c>
      <c r="E26" s="87">
        <f t="shared" si="9"/>
        <v>21.7</v>
      </c>
      <c r="F26" s="87">
        <f t="shared" si="9"/>
        <v>19</v>
      </c>
      <c r="G26" s="87">
        <f t="shared" si="9"/>
        <v>13.7</v>
      </c>
      <c r="H26" s="87">
        <f t="shared" si="9"/>
        <v>88.9</v>
      </c>
      <c r="I26" s="66">
        <f t="shared" si="4"/>
        <v>16162</v>
      </c>
      <c r="J26" s="87">
        <f t="shared" si="10"/>
        <v>22.9</v>
      </c>
      <c r="K26" s="87">
        <f t="shared" si="10"/>
        <v>22.8</v>
      </c>
      <c r="L26" s="87">
        <f t="shared" si="10"/>
        <v>22.9</v>
      </c>
      <c r="M26" s="87">
        <f t="shared" si="10"/>
        <v>16.2</v>
      </c>
      <c r="N26" s="87">
        <f t="shared" si="10"/>
        <v>8.9</v>
      </c>
      <c r="O26" s="87">
        <f t="shared" si="10"/>
        <v>93.7</v>
      </c>
      <c r="P26" s="66">
        <f t="shared" si="6"/>
        <v>38743</v>
      </c>
      <c r="Q26" s="87">
        <f t="shared" si="11"/>
        <v>20.8</v>
      </c>
      <c r="R26" s="87">
        <f t="shared" si="11"/>
        <v>21.6</v>
      </c>
      <c r="S26" s="87">
        <f t="shared" si="11"/>
        <v>22.6</v>
      </c>
      <c r="T26" s="87">
        <f t="shared" si="11"/>
        <v>17</v>
      </c>
      <c r="U26" s="87">
        <f t="shared" si="11"/>
        <v>10.3</v>
      </c>
      <c r="V26" s="87">
        <f t="shared" si="11"/>
        <v>92.3</v>
      </c>
      <c r="W26" s="66">
        <f t="shared" si="8"/>
        <v>54905</v>
      </c>
      <c r="X26" s="6"/>
      <c r="Y26" s="76"/>
      <c r="Z26" s="76"/>
      <c r="AA26" s="76"/>
      <c r="AB26" s="76"/>
      <c r="AC26" s="75"/>
      <c r="AD26" s="73"/>
      <c r="AE26" s="73"/>
      <c r="AF26" s="73"/>
      <c r="AG26" s="73"/>
      <c r="AH26" s="73"/>
      <c r="AI26" s="73"/>
      <c r="AJ26" s="73"/>
      <c r="AK26" s="73"/>
      <c r="AL26" s="73"/>
      <c r="AM26" s="73"/>
      <c r="AN26" s="73"/>
      <c r="AO26" s="73"/>
      <c r="AP26" s="73"/>
      <c r="AQ26" s="73"/>
      <c r="AR26" s="73"/>
      <c r="AS26" s="73"/>
      <c r="AT26" s="73"/>
      <c r="AV26" s="78"/>
      <c r="AW26" s="89"/>
      <c r="AX26" s="89"/>
      <c r="AY26" s="89"/>
      <c r="AZ26" s="89"/>
      <c r="BA26" s="89"/>
      <c r="BB26" s="89"/>
      <c r="BC26" s="89"/>
      <c r="BD26" s="89"/>
      <c r="BE26" s="89"/>
      <c r="BF26" s="89"/>
      <c r="BG26" s="89"/>
      <c r="BH26" s="89"/>
      <c r="BI26" s="89"/>
      <c r="BJ26" s="89"/>
      <c r="BK26" s="89"/>
      <c r="BL26" s="89"/>
      <c r="BM26" s="89"/>
      <c r="BN26" s="89"/>
      <c r="BO26" s="89"/>
      <c r="BP26" s="89"/>
      <c r="BQ26" s="89"/>
    </row>
    <row r="27" spans="2:69" x14ac:dyDescent="0.2">
      <c r="B27" s="17" t="s">
        <v>21</v>
      </c>
      <c r="C27" s="87">
        <f t="shared" si="9"/>
        <v>13.1</v>
      </c>
      <c r="D27" s="87">
        <f t="shared" si="9"/>
        <v>22</v>
      </c>
      <c r="E27" s="87">
        <f t="shared" si="9"/>
        <v>27.3</v>
      </c>
      <c r="F27" s="87">
        <f t="shared" si="9"/>
        <v>21.9</v>
      </c>
      <c r="G27" s="87">
        <f t="shared" si="9"/>
        <v>11.3</v>
      </c>
      <c r="H27" s="87">
        <f t="shared" si="9"/>
        <v>95.6</v>
      </c>
      <c r="I27" s="66">
        <f t="shared" si="4"/>
        <v>5350</v>
      </c>
      <c r="J27" s="87">
        <f t="shared" si="10"/>
        <v>16.8</v>
      </c>
      <c r="K27" s="87">
        <f t="shared" si="10"/>
        <v>25.5</v>
      </c>
      <c r="L27" s="87">
        <f t="shared" si="10"/>
        <v>27.5</v>
      </c>
      <c r="M27" s="87">
        <f t="shared" si="10"/>
        <v>19.100000000000001</v>
      </c>
      <c r="N27" s="87">
        <f t="shared" si="10"/>
        <v>7.9</v>
      </c>
      <c r="O27" s="87">
        <f t="shared" si="10"/>
        <v>96.8</v>
      </c>
      <c r="P27" s="66">
        <f t="shared" si="6"/>
        <v>10983</v>
      </c>
      <c r="Q27" s="87">
        <f t="shared" si="11"/>
        <v>15.6</v>
      </c>
      <c r="R27" s="87">
        <f t="shared" si="11"/>
        <v>24.3</v>
      </c>
      <c r="S27" s="87">
        <f t="shared" si="11"/>
        <v>27.4</v>
      </c>
      <c r="T27" s="87">
        <f t="shared" si="11"/>
        <v>20</v>
      </c>
      <c r="U27" s="87">
        <f t="shared" si="11"/>
        <v>9</v>
      </c>
      <c r="V27" s="87">
        <f t="shared" si="11"/>
        <v>96.4</v>
      </c>
      <c r="W27" s="66">
        <f t="shared" si="8"/>
        <v>16333</v>
      </c>
      <c r="X27" s="6"/>
      <c r="Y27" s="76"/>
      <c r="Z27" s="76"/>
      <c r="AA27" s="76"/>
      <c r="AB27" s="76"/>
      <c r="AC27" s="75"/>
      <c r="AD27" s="73"/>
      <c r="AE27" s="73"/>
      <c r="AF27" s="73"/>
      <c r="AG27" s="73"/>
      <c r="AH27" s="73"/>
      <c r="AI27" s="73"/>
      <c r="AJ27" s="73"/>
      <c r="AK27" s="73"/>
      <c r="AL27" s="73"/>
      <c r="AM27" s="73"/>
      <c r="AN27" s="73"/>
      <c r="AO27" s="73"/>
      <c r="AP27" s="73"/>
      <c r="AQ27" s="73"/>
      <c r="AR27" s="73"/>
      <c r="AS27" s="73"/>
      <c r="AT27" s="73"/>
      <c r="AV27" s="78"/>
      <c r="AW27" s="89"/>
      <c r="AX27" s="89"/>
      <c r="AY27" s="89"/>
      <c r="AZ27" s="89"/>
      <c r="BA27" s="89"/>
      <c r="BB27" s="89"/>
      <c r="BC27" s="89"/>
      <c r="BD27" s="89"/>
      <c r="BE27" s="89"/>
      <c r="BF27" s="89"/>
      <c r="BG27" s="89"/>
      <c r="BH27" s="89"/>
      <c r="BI27" s="89"/>
      <c r="BJ27" s="89"/>
      <c r="BK27" s="89"/>
      <c r="BL27" s="89"/>
      <c r="BM27" s="89"/>
      <c r="BN27" s="89"/>
      <c r="BO27" s="89"/>
      <c r="BP27" s="89"/>
      <c r="BQ27" s="89"/>
    </row>
    <row r="28" spans="2:69" x14ac:dyDescent="0.2">
      <c r="B28" s="17" t="s">
        <v>22</v>
      </c>
      <c r="C28" s="87">
        <f t="shared" si="9"/>
        <v>13.7</v>
      </c>
      <c r="D28" s="87">
        <f t="shared" si="9"/>
        <v>19.3</v>
      </c>
      <c r="E28" s="87">
        <f t="shared" si="9"/>
        <v>25</v>
      </c>
      <c r="F28" s="87">
        <f t="shared" si="9"/>
        <v>23.1</v>
      </c>
      <c r="G28" s="87">
        <f t="shared" si="9"/>
        <v>13.5</v>
      </c>
      <c r="H28" s="87">
        <f t="shared" si="9"/>
        <v>94.6</v>
      </c>
      <c r="I28" s="66">
        <f t="shared" si="4"/>
        <v>27809</v>
      </c>
      <c r="J28" s="87">
        <f t="shared" si="10"/>
        <v>15.7</v>
      </c>
      <c r="K28" s="87">
        <f t="shared" si="10"/>
        <v>20.7</v>
      </c>
      <c r="L28" s="87">
        <f t="shared" si="10"/>
        <v>26.4</v>
      </c>
      <c r="M28" s="87">
        <f t="shared" si="10"/>
        <v>22.1</v>
      </c>
      <c r="N28" s="87">
        <f t="shared" si="10"/>
        <v>11.2</v>
      </c>
      <c r="O28" s="87">
        <f t="shared" si="10"/>
        <v>96.1</v>
      </c>
      <c r="P28" s="66">
        <f t="shared" si="6"/>
        <v>62671</v>
      </c>
      <c r="Q28" s="87">
        <f t="shared" si="11"/>
        <v>15.1</v>
      </c>
      <c r="R28" s="87">
        <f t="shared" si="11"/>
        <v>20.3</v>
      </c>
      <c r="S28" s="87">
        <f t="shared" si="11"/>
        <v>25.9</v>
      </c>
      <c r="T28" s="87">
        <f t="shared" si="11"/>
        <v>22.4</v>
      </c>
      <c r="U28" s="87">
        <f t="shared" si="11"/>
        <v>11.9</v>
      </c>
      <c r="V28" s="87">
        <f t="shared" si="11"/>
        <v>95.6</v>
      </c>
      <c r="W28" s="66">
        <f t="shared" si="8"/>
        <v>90480</v>
      </c>
      <c r="X28" s="6"/>
      <c r="Y28" s="76"/>
      <c r="Z28" s="76"/>
      <c r="AA28" s="76"/>
      <c r="AB28" s="76"/>
      <c r="AC28" s="75"/>
      <c r="AD28" s="73"/>
      <c r="AE28" s="73"/>
      <c r="AF28" s="73"/>
      <c r="AG28" s="73"/>
      <c r="AH28" s="73"/>
      <c r="AI28" s="73"/>
      <c r="AJ28" s="73"/>
      <c r="AK28" s="73"/>
      <c r="AL28" s="73"/>
      <c r="AM28" s="73"/>
      <c r="AN28" s="73"/>
      <c r="AO28" s="73"/>
      <c r="AP28" s="73"/>
      <c r="AQ28" s="73"/>
      <c r="AR28" s="73"/>
      <c r="AS28" s="73"/>
      <c r="AT28" s="73"/>
      <c r="AV28" s="78"/>
      <c r="AW28" s="89"/>
      <c r="AX28" s="89"/>
      <c r="AY28" s="89"/>
      <c r="AZ28" s="89"/>
      <c r="BA28" s="89"/>
      <c r="BB28" s="89"/>
      <c r="BC28" s="89"/>
      <c r="BD28" s="89"/>
      <c r="BE28" s="89"/>
      <c r="BF28" s="89"/>
      <c r="BG28" s="89"/>
      <c r="BH28" s="89"/>
      <c r="BI28" s="89"/>
      <c r="BJ28" s="89"/>
      <c r="BK28" s="89"/>
      <c r="BL28" s="89"/>
      <c r="BM28" s="89"/>
      <c r="BN28" s="89"/>
      <c r="BO28" s="89"/>
      <c r="BP28" s="89"/>
      <c r="BQ28" s="89"/>
    </row>
    <row r="29" spans="2:69" x14ac:dyDescent="0.2">
      <c r="B29" s="17" t="s">
        <v>51</v>
      </c>
      <c r="C29" s="87">
        <f t="shared" si="9"/>
        <v>7.9</v>
      </c>
      <c r="D29" s="87">
        <f t="shared" si="9"/>
        <v>18.399999999999999</v>
      </c>
      <c r="E29" s="87">
        <f t="shared" si="9"/>
        <v>27.1</v>
      </c>
      <c r="F29" s="87">
        <f t="shared" si="9"/>
        <v>23.9</v>
      </c>
      <c r="G29" s="87">
        <f t="shared" si="9"/>
        <v>13.4</v>
      </c>
      <c r="H29" s="87">
        <f t="shared" si="9"/>
        <v>90.7</v>
      </c>
      <c r="I29" s="66">
        <f t="shared" si="4"/>
        <v>14110</v>
      </c>
      <c r="J29" s="87">
        <f t="shared" si="10"/>
        <v>13.3</v>
      </c>
      <c r="K29" s="87">
        <f t="shared" si="10"/>
        <v>23.8</v>
      </c>
      <c r="L29" s="87">
        <f t="shared" si="10"/>
        <v>27.6</v>
      </c>
      <c r="M29" s="87">
        <f t="shared" si="10"/>
        <v>19.3</v>
      </c>
      <c r="N29" s="87">
        <f t="shared" si="10"/>
        <v>10</v>
      </c>
      <c r="O29" s="87">
        <f t="shared" si="10"/>
        <v>94</v>
      </c>
      <c r="P29" s="66">
        <f t="shared" si="6"/>
        <v>17708</v>
      </c>
      <c r="Q29" s="87">
        <f t="shared" si="11"/>
        <v>10.9</v>
      </c>
      <c r="R29" s="87">
        <f t="shared" si="11"/>
        <v>21.4</v>
      </c>
      <c r="S29" s="87">
        <f t="shared" si="11"/>
        <v>27.4</v>
      </c>
      <c r="T29" s="87">
        <f t="shared" si="11"/>
        <v>21.4</v>
      </c>
      <c r="U29" s="87">
        <f t="shared" si="11"/>
        <v>11.5</v>
      </c>
      <c r="V29" s="87">
        <f t="shared" si="11"/>
        <v>92.5</v>
      </c>
      <c r="W29" s="66">
        <f t="shared" si="8"/>
        <v>31818</v>
      </c>
      <c r="X29" s="6"/>
      <c r="Y29" s="76"/>
      <c r="Z29" s="76"/>
      <c r="AA29" s="76"/>
      <c r="AB29" s="76"/>
      <c r="AC29" s="75"/>
      <c r="AD29" s="73"/>
      <c r="AE29" s="73"/>
      <c r="AF29" s="73"/>
      <c r="AG29" s="73"/>
      <c r="AH29" s="73"/>
      <c r="AI29" s="73"/>
      <c r="AJ29" s="73"/>
      <c r="AK29" s="73"/>
      <c r="AL29" s="73"/>
      <c r="AM29" s="73"/>
      <c r="AN29" s="73"/>
      <c r="AO29" s="73"/>
      <c r="AP29" s="73"/>
      <c r="AQ29" s="73"/>
      <c r="AR29" s="73"/>
      <c r="AS29" s="73"/>
      <c r="AT29" s="73"/>
      <c r="AV29" s="78"/>
      <c r="AW29" s="89"/>
      <c r="AX29" s="89"/>
      <c r="AY29" s="89"/>
      <c r="AZ29" s="89"/>
      <c r="BA29" s="89"/>
      <c r="BB29" s="89"/>
      <c r="BC29" s="89"/>
      <c r="BD29" s="89"/>
      <c r="BE29" s="89"/>
      <c r="BF29" s="89"/>
      <c r="BG29" s="89"/>
      <c r="BH29" s="89"/>
      <c r="BI29" s="89"/>
      <c r="BJ29" s="89"/>
      <c r="BK29" s="89"/>
      <c r="BL29" s="89"/>
      <c r="BM29" s="89"/>
      <c r="BN29" s="89"/>
      <c r="BO29" s="89"/>
      <c r="BP29" s="89"/>
      <c r="BQ29" s="89"/>
    </row>
    <row r="30" spans="2:69" x14ac:dyDescent="0.2">
      <c r="B30" s="17" t="s">
        <v>23</v>
      </c>
      <c r="C30" s="87">
        <f t="shared" si="9"/>
        <v>7.9</v>
      </c>
      <c r="D30" s="87">
        <f t="shared" si="9"/>
        <v>22.7</v>
      </c>
      <c r="E30" s="87">
        <f t="shared" si="9"/>
        <v>33.700000000000003</v>
      </c>
      <c r="F30" s="87">
        <f t="shared" si="9"/>
        <v>21</v>
      </c>
      <c r="G30" s="87">
        <f t="shared" si="9"/>
        <v>8.6</v>
      </c>
      <c r="H30" s="87">
        <f t="shared" si="9"/>
        <v>93.9</v>
      </c>
      <c r="I30" s="66">
        <f t="shared" si="4"/>
        <v>6433</v>
      </c>
      <c r="J30" s="87">
        <f t="shared" si="10"/>
        <v>12.1</v>
      </c>
      <c r="K30" s="87">
        <f t="shared" si="10"/>
        <v>26.6</v>
      </c>
      <c r="L30" s="87">
        <f t="shared" si="10"/>
        <v>31.8</v>
      </c>
      <c r="M30" s="87">
        <f t="shared" si="10"/>
        <v>18.100000000000001</v>
      </c>
      <c r="N30" s="87">
        <f t="shared" si="10"/>
        <v>6.8</v>
      </c>
      <c r="O30" s="87">
        <f t="shared" si="10"/>
        <v>95.4</v>
      </c>
      <c r="P30" s="66">
        <f t="shared" si="6"/>
        <v>8129</v>
      </c>
      <c r="Q30" s="87">
        <f t="shared" si="11"/>
        <v>10.199999999999999</v>
      </c>
      <c r="R30" s="87">
        <f t="shared" si="11"/>
        <v>24.9</v>
      </c>
      <c r="S30" s="87">
        <f t="shared" si="11"/>
        <v>32.700000000000003</v>
      </c>
      <c r="T30" s="87">
        <f t="shared" si="11"/>
        <v>19.399999999999999</v>
      </c>
      <c r="U30" s="87">
        <f t="shared" si="11"/>
        <v>7.6</v>
      </c>
      <c r="V30" s="87">
        <f t="shared" si="11"/>
        <v>94.8</v>
      </c>
      <c r="W30" s="66">
        <f t="shared" si="8"/>
        <v>14562</v>
      </c>
      <c r="X30" s="6"/>
      <c r="Y30" s="76"/>
      <c r="Z30" s="76"/>
      <c r="AA30" s="76"/>
      <c r="AB30" s="76"/>
      <c r="AC30" s="75"/>
      <c r="AD30" s="73"/>
      <c r="AE30" s="73"/>
      <c r="AF30" s="73"/>
      <c r="AG30" s="73"/>
      <c r="AH30" s="73"/>
      <c r="AI30" s="73"/>
      <c r="AJ30" s="73"/>
      <c r="AK30" s="73"/>
      <c r="AL30" s="73"/>
      <c r="AM30" s="73"/>
      <c r="AN30" s="73"/>
      <c r="AO30" s="73"/>
      <c r="AP30" s="73"/>
      <c r="AQ30" s="73"/>
      <c r="AR30" s="73"/>
      <c r="AS30" s="73"/>
      <c r="AT30" s="73"/>
      <c r="AV30" s="78"/>
      <c r="AW30" s="89"/>
      <c r="AX30" s="89"/>
      <c r="AY30" s="89"/>
      <c r="AZ30" s="89"/>
      <c r="BA30" s="89"/>
      <c r="BB30" s="89"/>
      <c r="BC30" s="89"/>
      <c r="BD30" s="89"/>
      <c r="BE30" s="89"/>
      <c r="BF30" s="89"/>
      <c r="BG30" s="89"/>
      <c r="BH30" s="89"/>
      <c r="BI30" s="89"/>
      <c r="BJ30" s="89"/>
      <c r="BK30" s="89"/>
      <c r="BL30" s="89"/>
      <c r="BM30" s="89"/>
      <c r="BN30" s="89"/>
      <c r="BO30" s="89"/>
      <c r="BP30" s="89"/>
      <c r="BQ30" s="89"/>
    </row>
    <row r="31" spans="2:69" x14ac:dyDescent="0.2">
      <c r="B31" s="17" t="s">
        <v>24</v>
      </c>
      <c r="C31" s="87">
        <f t="shared" si="9"/>
        <v>27.3</v>
      </c>
      <c r="D31" s="87">
        <f t="shared" si="9"/>
        <v>20.8</v>
      </c>
      <c r="E31" s="87">
        <f t="shared" si="9"/>
        <v>18.7</v>
      </c>
      <c r="F31" s="87">
        <f t="shared" si="9"/>
        <v>15.2</v>
      </c>
      <c r="G31" s="87">
        <f t="shared" si="9"/>
        <v>10.4</v>
      </c>
      <c r="H31" s="87">
        <f t="shared" si="9"/>
        <v>92.4</v>
      </c>
      <c r="I31" s="66">
        <f t="shared" si="4"/>
        <v>4025</v>
      </c>
      <c r="J31" s="87">
        <f t="shared" si="10"/>
        <v>25.9</v>
      </c>
      <c r="K31" s="87">
        <f t="shared" si="10"/>
        <v>20</v>
      </c>
      <c r="L31" s="87">
        <f t="shared" si="10"/>
        <v>19.2</v>
      </c>
      <c r="M31" s="87">
        <f t="shared" si="10"/>
        <v>15.2</v>
      </c>
      <c r="N31" s="87">
        <f t="shared" si="10"/>
        <v>11</v>
      </c>
      <c r="O31" s="87">
        <f t="shared" si="10"/>
        <v>91.3</v>
      </c>
      <c r="P31" s="66">
        <f t="shared" si="6"/>
        <v>10001</v>
      </c>
      <c r="Q31" s="87">
        <f t="shared" si="11"/>
        <v>26.3</v>
      </c>
      <c r="R31" s="87">
        <f t="shared" si="11"/>
        <v>20.2</v>
      </c>
      <c r="S31" s="87">
        <f t="shared" si="11"/>
        <v>19.100000000000001</v>
      </c>
      <c r="T31" s="87">
        <f t="shared" si="11"/>
        <v>15.2</v>
      </c>
      <c r="U31" s="87">
        <f t="shared" si="11"/>
        <v>10.9</v>
      </c>
      <c r="V31" s="87">
        <f t="shared" si="11"/>
        <v>91.6</v>
      </c>
      <c r="W31" s="66">
        <f t="shared" si="8"/>
        <v>14026</v>
      </c>
      <c r="X31" s="6"/>
      <c r="Y31" s="76"/>
      <c r="Z31" s="76"/>
      <c r="AA31" s="76"/>
      <c r="AB31" s="76"/>
      <c r="AC31" s="75"/>
      <c r="AD31" s="73"/>
      <c r="AE31" s="73"/>
      <c r="AF31" s="73"/>
      <c r="AG31" s="73"/>
      <c r="AH31" s="73"/>
      <c r="AI31" s="73"/>
      <c r="AJ31" s="73"/>
      <c r="AK31" s="73"/>
      <c r="AL31" s="73"/>
      <c r="AM31" s="73"/>
      <c r="AN31" s="73"/>
      <c r="AO31" s="73"/>
      <c r="AP31" s="73"/>
      <c r="AQ31" s="73"/>
      <c r="AR31" s="73"/>
      <c r="AS31" s="73"/>
      <c r="AT31" s="73"/>
      <c r="AV31" s="78"/>
      <c r="AW31" s="89"/>
      <c r="AX31" s="89"/>
      <c r="AY31" s="89"/>
      <c r="AZ31" s="89"/>
      <c r="BA31" s="89"/>
      <c r="BB31" s="89"/>
      <c r="BC31" s="89"/>
      <c r="BD31" s="89"/>
      <c r="BE31" s="89"/>
      <c r="BF31" s="89"/>
      <c r="BG31" s="89"/>
      <c r="BH31" s="89"/>
      <c r="BI31" s="89"/>
      <c r="BJ31" s="89"/>
      <c r="BK31" s="89"/>
      <c r="BL31" s="89"/>
      <c r="BM31" s="89"/>
      <c r="BN31" s="89"/>
      <c r="BO31" s="89"/>
      <c r="BP31" s="89"/>
      <c r="BQ31" s="89"/>
    </row>
    <row r="32" spans="2:69" x14ac:dyDescent="0.2">
      <c r="B32" s="17" t="s">
        <v>25</v>
      </c>
      <c r="C32" s="87">
        <f t="shared" si="9"/>
        <v>25.1</v>
      </c>
      <c r="D32" s="87">
        <f t="shared" si="9"/>
        <v>17.399999999999999</v>
      </c>
      <c r="E32" s="87">
        <f t="shared" si="9"/>
        <v>20.5</v>
      </c>
      <c r="F32" s="87">
        <f t="shared" si="9"/>
        <v>16.899999999999999</v>
      </c>
      <c r="G32" s="87">
        <f t="shared" si="9"/>
        <v>11.7</v>
      </c>
      <c r="H32" s="87">
        <f t="shared" si="9"/>
        <v>91.7</v>
      </c>
      <c r="I32" s="66">
        <f t="shared" si="4"/>
        <v>2122</v>
      </c>
      <c r="J32" s="87">
        <f t="shared" si="10"/>
        <v>24.1</v>
      </c>
      <c r="K32" s="87">
        <f t="shared" si="10"/>
        <v>19</v>
      </c>
      <c r="L32" s="87">
        <f t="shared" si="10"/>
        <v>20.8</v>
      </c>
      <c r="M32" s="87">
        <f t="shared" si="10"/>
        <v>16.5</v>
      </c>
      <c r="N32" s="87">
        <f t="shared" si="10"/>
        <v>12.1</v>
      </c>
      <c r="O32" s="87">
        <f t="shared" si="10"/>
        <v>92.6</v>
      </c>
      <c r="P32" s="66">
        <f t="shared" si="6"/>
        <v>3569</v>
      </c>
      <c r="Q32" s="87">
        <f t="shared" si="11"/>
        <v>24.4</v>
      </c>
      <c r="R32" s="87">
        <f t="shared" si="11"/>
        <v>18.399999999999999</v>
      </c>
      <c r="S32" s="87">
        <f t="shared" si="11"/>
        <v>20.7</v>
      </c>
      <c r="T32" s="87">
        <f t="shared" si="11"/>
        <v>16.7</v>
      </c>
      <c r="U32" s="87">
        <f t="shared" si="11"/>
        <v>12</v>
      </c>
      <c r="V32" s="87">
        <f t="shared" si="11"/>
        <v>92.3</v>
      </c>
      <c r="W32" s="66">
        <f t="shared" si="8"/>
        <v>5691</v>
      </c>
      <c r="X32" s="6"/>
      <c r="Y32" s="76"/>
      <c r="Z32" s="76"/>
      <c r="AA32" s="76"/>
      <c r="AB32" s="76"/>
      <c r="AC32" s="75"/>
      <c r="AD32" s="73"/>
      <c r="AE32" s="73"/>
      <c r="AF32" s="73"/>
      <c r="AG32" s="73"/>
      <c r="AH32" s="73"/>
      <c r="AI32" s="73"/>
      <c r="AJ32" s="73"/>
      <c r="AK32" s="73"/>
      <c r="AL32" s="73"/>
      <c r="AM32" s="73"/>
      <c r="AN32" s="73"/>
      <c r="AO32" s="73"/>
      <c r="AP32" s="73"/>
      <c r="AQ32" s="73"/>
      <c r="AR32" s="73"/>
      <c r="AS32" s="73"/>
      <c r="AT32" s="73"/>
      <c r="AV32" s="78"/>
      <c r="AW32" s="89"/>
      <c r="AX32" s="89"/>
      <c r="AY32" s="89"/>
      <c r="AZ32" s="89"/>
      <c r="BA32" s="89"/>
      <c r="BB32" s="89"/>
      <c r="BC32" s="89"/>
      <c r="BD32" s="89"/>
      <c r="BE32" s="89"/>
      <c r="BF32" s="89"/>
      <c r="BG32" s="89"/>
      <c r="BH32" s="89"/>
      <c r="BI32" s="89"/>
      <c r="BJ32" s="89"/>
      <c r="BK32" s="89"/>
      <c r="BL32" s="89"/>
      <c r="BM32" s="89"/>
      <c r="BN32" s="89"/>
      <c r="BO32" s="89"/>
      <c r="BP32" s="89"/>
      <c r="BQ32" s="89"/>
    </row>
    <row r="33" spans="2:69" x14ac:dyDescent="0.2">
      <c r="B33" s="17" t="s">
        <v>26</v>
      </c>
      <c r="C33" s="87">
        <f t="shared" si="9"/>
        <v>22.4</v>
      </c>
      <c r="D33" s="87">
        <f t="shared" si="9"/>
        <v>21.5</v>
      </c>
      <c r="E33" s="87">
        <f t="shared" si="9"/>
        <v>20.8</v>
      </c>
      <c r="F33" s="87">
        <f t="shared" si="9"/>
        <v>15.1</v>
      </c>
      <c r="G33" s="87">
        <f t="shared" si="9"/>
        <v>11</v>
      </c>
      <c r="H33" s="87">
        <f t="shared" si="9"/>
        <v>90.9</v>
      </c>
      <c r="I33" s="66">
        <f t="shared" si="4"/>
        <v>2093</v>
      </c>
      <c r="J33" s="87">
        <f t="shared" si="10"/>
        <v>20.6</v>
      </c>
      <c r="K33" s="87">
        <f t="shared" si="10"/>
        <v>19.600000000000001</v>
      </c>
      <c r="L33" s="87">
        <f t="shared" si="10"/>
        <v>21.9</v>
      </c>
      <c r="M33" s="87">
        <f t="shared" si="10"/>
        <v>16.8</v>
      </c>
      <c r="N33" s="87">
        <f t="shared" si="10"/>
        <v>11.7</v>
      </c>
      <c r="O33" s="87">
        <f t="shared" si="10"/>
        <v>90.6</v>
      </c>
      <c r="P33" s="66">
        <f t="shared" si="6"/>
        <v>4786</v>
      </c>
      <c r="Q33" s="87">
        <f t="shared" si="11"/>
        <v>21.2</v>
      </c>
      <c r="R33" s="87">
        <f t="shared" si="11"/>
        <v>20.2</v>
      </c>
      <c r="S33" s="87">
        <f t="shared" si="11"/>
        <v>21.6</v>
      </c>
      <c r="T33" s="87">
        <f t="shared" si="11"/>
        <v>16.3</v>
      </c>
      <c r="U33" s="87">
        <f t="shared" si="11"/>
        <v>11.5</v>
      </c>
      <c r="V33" s="87">
        <f t="shared" si="11"/>
        <v>90.7</v>
      </c>
      <c r="W33" s="66">
        <f t="shared" si="8"/>
        <v>6879</v>
      </c>
      <c r="X33" s="6"/>
      <c r="Y33" s="76"/>
      <c r="Z33" s="76"/>
      <c r="AA33" s="76"/>
      <c r="AB33" s="76"/>
      <c r="AC33" s="75"/>
      <c r="AD33" s="73"/>
      <c r="AE33" s="73"/>
      <c r="AF33" s="73"/>
      <c r="AG33" s="73"/>
      <c r="AH33" s="73"/>
      <c r="AI33" s="73"/>
      <c r="AJ33" s="73"/>
      <c r="AK33" s="73"/>
      <c r="AL33" s="73"/>
      <c r="AM33" s="73"/>
      <c r="AN33" s="73"/>
      <c r="AO33" s="73"/>
      <c r="AP33" s="73"/>
      <c r="AQ33" s="73"/>
      <c r="AR33" s="73"/>
      <c r="AS33" s="73"/>
      <c r="AT33" s="73"/>
      <c r="AV33" s="78"/>
      <c r="AW33" s="89"/>
      <c r="AX33" s="89"/>
      <c r="AY33" s="89"/>
      <c r="AZ33" s="89"/>
      <c r="BA33" s="89"/>
      <c r="BB33" s="89"/>
      <c r="BC33" s="89"/>
      <c r="BD33" s="89"/>
      <c r="BE33" s="89"/>
      <c r="BF33" s="89"/>
      <c r="BG33" s="89"/>
      <c r="BH33" s="89"/>
      <c r="BI33" s="89"/>
      <c r="BJ33" s="89"/>
      <c r="BK33" s="89"/>
      <c r="BL33" s="89"/>
      <c r="BM33" s="89"/>
      <c r="BN33" s="89"/>
      <c r="BO33" s="89"/>
      <c r="BP33" s="89"/>
      <c r="BQ33" s="89"/>
    </row>
    <row r="34" spans="2:69" x14ac:dyDescent="0.2">
      <c r="B34" s="17" t="s">
        <v>27</v>
      </c>
      <c r="C34" s="87">
        <f t="shared" si="9"/>
        <v>50.8</v>
      </c>
      <c r="D34" s="87">
        <f t="shared" si="9"/>
        <v>21.7</v>
      </c>
      <c r="E34" s="87">
        <f t="shared" si="9"/>
        <v>10.199999999999999</v>
      </c>
      <c r="F34" s="87">
        <f t="shared" si="9"/>
        <v>6.5</v>
      </c>
      <c r="G34" s="87">
        <f t="shared" si="9"/>
        <v>4.0999999999999996</v>
      </c>
      <c r="H34" s="87">
        <f t="shared" si="9"/>
        <v>93.3</v>
      </c>
      <c r="I34" s="66">
        <f t="shared" si="4"/>
        <v>1456</v>
      </c>
      <c r="J34" s="87">
        <f t="shared" si="10"/>
        <v>50.7</v>
      </c>
      <c r="K34" s="87">
        <f t="shared" si="10"/>
        <v>19</v>
      </c>
      <c r="L34" s="87">
        <f t="shared" si="10"/>
        <v>12.5</v>
      </c>
      <c r="M34" s="87">
        <f t="shared" si="10"/>
        <v>7.9</v>
      </c>
      <c r="N34" s="87">
        <f t="shared" si="10"/>
        <v>5.2</v>
      </c>
      <c r="O34" s="87">
        <f t="shared" si="10"/>
        <v>95.4</v>
      </c>
      <c r="P34" s="66">
        <f t="shared" si="6"/>
        <v>2078</v>
      </c>
      <c r="Q34" s="87">
        <f t="shared" si="11"/>
        <v>50.7</v>
      </c>
      <c r="R34" s="87">
        <f t="shared" si="11"/>
        <v>20.100000000000001</v>
      </c>
      <c r="S34" s="87">
        <f t="shared" si="11"/>
        <v>11.6</v>
      </c>
      <c r="T34" s="87">
        <f t="shared" si="11"/>
        <v>7.3</v>
      </c>
      <c r="U34" s="87">
        <f t="shared" si="11"/>
        <v>4.8</v>
      </c>
      <c r="V34" s="87">
        <f t="shared" si="11"/>
        <v>94.5</v>
      </c>
      <c r="W34" s="66">
        <f t="shared" si="8"/>
        <v>3534</v>
      </c>
      <c r="X34" s="6"/>
      <c r="Y34" s="76"/>
      <c r="Z34" s="76"/>
      <c r="AA34" s="76"/>
      <c r="AB34" s="76"/>
      <c r="AC34" s="75"/>
      <c r="AD34" s="73"/>
      <c r="AE34" s="73"/>
      <c r="AF34" s="73"/>
      <c r="AG34" s="73"/>
      <c r="AH34" s="73"/>
      <c r="AI34" s="73"/>
      <c r="AJ34" s="73"/>
      <c r="AK34" s="73"/>
      <c r="AL34" s="73"/>
      <c r="AM34" s="73"/>
      <c r="AN34" s="73"/>
      <c r="AO34" s="73"/>
      <c r="AP34" s="73"/>
      <c r="AQ34" s="73"/>
      <c r="AR34" s="73"/>
      <c r="AS34" s="73"/>
      <c r="AT34" s="73"/>
      <c r="AV34" s="78"/>
      <c r="AW34" s="89"/>
      <c r="AX34" s="89"/>
      <c r="AY34" s="89"/>
      <c r="AZ34" s="89"/>
      <c r="BA34" s="89"/>
      <c r="BB34" s="89"/>
      <c r="BC34" s="89"/>
      <c r="BD34" s="89"/>
      <c r="BE34" s="89"/>
      <c r="BF34" s="89"/>
      <c r="BG34" s="89"/>
      <c r="BH34" s="89"/>
      <c r="BI34" s="89"/>
      <c r="BJ34" s="89"/>
      <c r="BK34" s="89"/>
      <c r="BL34" s="89"/>
      <c r="BM34" s="89"/>
      <c r="BN34" s="89"/>
      <c r="BO34" s="89"/>
      <c r="BP34" s="89"/>
      <c r="BQ34" s="89"/>
    </row>
    <row r="35" spans="2:69" x14ac:dyDescent="0.2">
      <c r="B35" s="17" t="s">
        <v>28</v>
      </c>
      <c r="C35" s="87">
        <f t="shared" si="9"/>
        <v>25.2</v>
      </c>
      <c r="D35" s="87">
        <f t="shared" si="9"/>
        <v>19.899999999999999</v>
      </c>
      <c r="E35" s="87">
        <f t="shared" si="9"/>
        <v>19.7</v>
      </c>
      <c r="F35" s="87">
        <f t="shared" si="9"/>
        <v>16.7</v>
      </c>
      <c r="G35" s="87">
        <f t="shared" si="9"/>
        <v>10.199999999999999</v>
      </c>
      <c r="H35" s="87">
        <f t="shared" si="9"/>
        <v>91.7</v>
      </c>
      <c r="I35" s="66">
        <f t="shared" si="4"/>
        <v>2669</v>
      </c>
      <c r="J35" s="87">
        <f t="shared" si="10"/>
        <v>31</v>
      </c>
      <c r="K35" s="87">
        <f t="shared" si="10"/>
        <v>21.8</v>
      </c>
      <c r="L35" s="87">
        <f t="shared" si="10"/>
        <v>19.3</v>
      </c>
      <c r="M35" s="87">
        <f t="shared" si="10"/>
        <v>13.6</v>
      </c>
      <c r="N35" s="87">
        <f t="shared" si="10"/>
        <v>8.5</v>
      </c>
      <c r="O35" s="87">
        <f t="shared" si="10"/>
        <v>94.2</v>
      </c>
      <c r="P35" s="66">
        <f t="shared" si="6"/>
        <v>3365</v>
      </c>
      <c r="Q35" s="87">
        <f t="shared" si="11"/>
        <v>28.4</v>
      </c>
      <c r="R35" s="87">
        <f t="shared" si="11"/>
        <v>21</v>
      </c>
      <c r="S35" s="87">
        <f t="shared" si="11"/>
        <v>19.5</v>
      </c>
      <c r="T35" s="87">
        <f t="shared" si="11"/>
        <v>14.9</v>
      </c>
      <c r="U35" s="87">
        <f t="shared" si="11"/>
        <v>9.1999999999999993</v>
      </c>
      <c r="V35" s="87">
        <f t="shared" si="11"/>
        <v>93.1</v>
      </c>
      <c r="W35" s="66">
        <f t="shared" si="8"/>
        <v>6034</v>
      </c>
      <c r="X35" s="6"/>
      <c r="Y35" s="76"/>
      <c r="Z35" s="76"/>
      <c r="AA35" s="76"/>
      <c r="AB35" s="76"/>
      <c r="AC35" s="75"/>
      <c r="AD35" s="73"/>
      <c r="AE35" s="73"/>
      <c r="AF35" s="73"/>
      <c r="AG35" s="73"/>
      <c r="AH35" s="73"/>
      <c r="AI35" s="73"/>
      <c r="AJ35" s="73"/>
      <c r="AK35" s="73"/>
      <c r="AL35" s="73"/>
      <c r="AM35" s="73"/>
      <c r="AN35" s="73"/>
      <c r="AO35" s="73"/>
      <c r="AP35" s="73"/>
      <c r="AQ35" s="73"/>
      <c r="AR35" s="73"/>
      <c r="AS35" s="73"/>
      <c r="AT35" s="73"/>
      <c r="AV35" s="78"/>
      <c r="AW35" s="89"/>
      <c r="AX35" s="89"/>
      <c r="AY35" s="89"/>
      <c r="AZ35" s="89"/>
      <c r="BA35" s="89"/>
      <c r="BB35" s="89"/>
      <c r="BC35" s="89"/>
      <c r="BD35" s="89"/>
      <c r="BE35" s="89"/>
      <c r="BF35" s="89"/>
      <c r="BG35" s="89"/>
      <c r="BH35" s="89"/>
      <c r="BI35" s="89"/>
      <c r="BJ35" s="89"/>
      <c r="BK35" s="89"/>
      <c r="BL35" s="89"/>
      <c r="BM35" s="89"/>
      <c r="BN35" s="89"/>
      <c r="BO35" s="89"/>
      <c r="BP35" s="89"/>
      <c r="BQ35" s="89"/>
    </row>
    <row r="36" spans="2:69" x14ac:dyDescent="0.2">
      <c r="B36" s="17" t="s">
        <v>29</v>
      </c>
      <c r="C36" s="87">
        <f t="shared" si="9"/>
        <v>18.3</v>
      </c>
      <c r="D36" s="87">
        <f t="shared" si="9"/>
        <v>20.2</v>
      </c>
      <c r="E36" s="87">
        <f t="shared" si="9"/>
        <v>20.9</v>
      </c>
      <c r="F36" s="87">
        <f t="shared" si="9"/>
        <v>17.8</v>
      </c>
      <c r="G36" s="87">
        <f t="shared" si="9"/>
        <v>12</v>
      </c>
      <c r="H36" s="87">
        <f t="shared" si="9"/>
        <v>89.3</v>
      </c>
      <c r="I36" s="66">
        <f t="shared" si="4"/>
        <v>6487</v>
      </c>
      <c r="J36" s="87">
        <f t="shared" si="10"/>
        <v>21.9</v>
      </c>
      <c r="K36" s="87">
        <f t="shared" si="10"/>
        <v>22</v>
      </c>
      <c r="L36" s="87">
        <f t="shared" si="10"/>
        <v>21.1</v>
      </c>
      <c r="M36" s="87">
        <f t="shared" si="10"/>
        <v>16.399999999999999</v>
      </c>
      <c r="N36" s="87">
        <f t="shared" si="10"/>
        <v>10.7</v>
      </c>
      <c r="O36" s="87">
        <f t="shared" si="10"/>
        <v>92.1</v>
      </c>
      <c r="P36" s="66">
        <f t="shared" si="6"/>
        <v>13264</v>
      </c>
      <c r="Q36" s="87">
        <f t="shared" si="11"/>
        <v>20.7</v>
      </c>
      <c r="R36" s="87">
        <f t="shared" si="11"/>
        <v>21.4</v>
      </c>
      <c r="S36" s="87">
        <f t="shared" si="11"/>
        <v>21.1</v>
      </c>
      <c r="T36" s="87">
        <f t="shared" si="11"/>
        <v>16.8</v>
      </c>
      <c r="U36" s="87">
        <f t="shared" si="11"/>
        <v>11.1</v>
      </c>
      <c r="V36" s="87">
        <f t="shared" si="11"/>
        <v>91.1</v>
      </c>
      <c r="W36" s="66">
        <f t="shared" si="8"/>
        <v>19751</v>
      </c>
      <c r="X36" s="6"/>
      <c r="Y36" s="76"/>
      <c r="Z36" s="76"/>
      <c r="AA36" s="76"/>
      <c r="AB36" s="76"/>
      <c r="AC36" s="75"/>
      <c r="AD36" s="73"/>
      <c r="AE36" s="73"/>
      <c r="AF36" s="73"/>
      <c r="AG36" s="73"/>
      <c r="AH36" s="73"/>
      <c r="AI36" s="73"/>
      <c r="AJ36" s="73"/>
      <c r="AK36" s="73"/>
      <c r="AL36" s="73"/>
      <c r="AM36" s="73"/>
      <c r="AN36" s="73"/>
      <c r="AO36" s="73"/>
      <c r="AP36" s="73"/>
      <c r="AQ36" s="73"/>
      <c r="AR36" s="73"/>
      <c r="AS36" s="73"/>
      <c r="AT36" s="73"/>
      <c r="AV36" s="78"/>
      <c r="AW36" s="89"/>
      <c r="AX36" s="89"/>
      <c r="AY36" s="89"/>
      <c r="AZ36" s="89"/>
      <c r="BA36" s="89"/>
      <c r="BB36" s="89"/>
      <c r="BC36" s="89"/>
      <c r="BD36" s="89"/>
      <c r="BE36" s="89"/>
      <c r="BF36" s="89"/>
      <c r="BG36" s="89"/>
      <c r="BH36" s="89"/>
      <c r="BI36" s="89"/>
      <c r="BJ36" s="89"/>
      <c r="BK36" s="89"/>
      <c r="BL36" s="89"/>
      <c r="BM36" s="89"/>
      <c r="BN36" s="89"/>
      <c r="BO36" s="89"/>
      <c r="BP36" s="89"/>
      <c r="BQ36" s="89"/>
    </row>
    <row r="37" spans="2:69" x14ac:dyDescent="0.2">
      <c r="B37" s="17" t="s">
        <v>30</v>
      </c>
      <c r="C37" s="87">
        <f t="shared" si="9"/>
        <v>12.6</v>
      </c>
      <c r="D37" s="87">
        <f t="shared" si="9"/>
        <v>18</v>
      </c>
      <c r="E37" s="87">
        <f t="shared" si="9"/>
        <v>22.4</v>
      </c>
      <c r="F37" s="87">
        <f t="shared" si="9"/>
        <v>21.2</v>
      </c>
      <c r="G37" s="87">
        <f t="shared" si="9"/>
        <v>15.8</v>
      </c>
      <c r="H37" s="87">
        <f t="shared" si="9"/>
        <v>90</v>
      </c>
      <c r="I37" s="66">
        <f t="shared" si="4"/>
        <v>6854</v>
      </c>
      <c r="J37" s="87">
        <f t="shared" si="10"/>
        <v>16.600000000000001</v>
      </c>
      <c r="K37" s="87">
        <f t="shared" si="10"/>
        <v>21.5</v>
      </c>
      <c r="L37" s="87">
        <f t="shared" si="10"/>
        <v>23.1</v>
      </c>
      <c r="M37" s="87">
        <f t="shared" si="10"/>
        <v>19</v>
      </c>
      <c r="N37" s="87">
        <f t="shared" si="10"/>
        <v>12.7</v>
      </c>
      <c r="O37" s="87">
        <f t="shared" si="10"/>
        <v>92.9</v>
      </c>
      <c r="P37" s="66">
        <f t="shared" si="6"/>
        <v>3834</v>
      </c>
      <c r="Q37" s="87">
        <f t="shared" si="11"/>
        <v>14</v>
      </c>
      <c r="R37" s="87">
        <f t="shared" si="11"/>
        <v>19.3</v>
      </c>
      <c r="S37" s="87">
        <f t="shared" si="11"/>
        <v>22.7</v>
      </c>
      <c r="T37" s="87">
        <f t="shared" si="11"/>
        <v>20.399999999999999</v>
      </c>
      <c r="U37" s="87">
        <f t="shared" si="11"/>
        <v>14.7</v>
      </c>
      <c r="V37" s="87">
        <f t="shared" si="11"/>
        <v>91.1</v>
      </c>
      <c r="W37" s="66">
        <f t="shared" si="8"/>
        <v>10688</v>
      </c>
      <c r="X37" s="6"/>
      <c r="Y37" s="76"/>
      <c r="Z37" s="76"/>
      <c r="AA37" s="76"/>
      <c r="AB37" s="76"/>
      <c r="AC37" s="75"/>
      <c r="AD37" s="73"/>
      <c r="AE37" s="73"/>
      <c r="AF37" s="73"/>
      <c r="AG37" s="73"/>
      <c r="AH37" s="73"/>
      <c r="AI37" s="73"/>
      <c r="AJ37" s="73"/>
      <c r="AK37" s="73"/>
      <c r="AL37" s="73"/>
      <c r="AM37" s="73"/>
      <c r="AN37" s="73"/>
      <c r="AO37" s="73"/>
      <c r="AP37" s="73"/>
      <c r="AQ37" s="73"/>
      <c r="AR37" s="73"/>
      <c r="AS37" s="73"/>
      <c r="AT37" s="73"/>
      <c r="AV37" s="78"/>
      <c r="AW37" s="89"/>
      <c r="AX37" s="89"/>
      <c r="AY37" s="89"/>
      <c r="AZ37" s="89"/>
      <c r="BA37" s="89"/>
      <c r="BB37" s="89"/>
      <c r="BC37" s="89"/>
      <c r="BD37" s="89"/>
      <c r="BE37" s="89"/>
      <c r="BF37" s="89"/>
      <c r="BG37" s="89"/>
      <c r="BH37" s="89"/>
      <c r="BI37" s="89"/>
      <c r="BJ37" s="89"/>
      <c r="BK37" s="89"/>
      <c r="BL37" s="89"/>
      <c r="BM37" s="89"/>
      <c r="BN37" s="89"/>
      <c r="BO37" s="89"/>
      <c r="BP37" s="89"/>
      <c r="BQ37" s="89"/>
    </row>
    <row r="38" spans="2:69" x14ac:dyDescent="0.2">
      <c r="B38" s="17" t="s">
        <v>31</v>
      </c>
      <c r="C38" s="87">
        <f t="shared" si="9"/>
        <v>8.1999999999999993</v>
      </c>
      <c r="D38" s="87">
        <f t="shared" si="9"/>
        <v>11.7</v>
      </c>
      <c r="E38" s="87">
        <f t="shared" si="9"/>
        <v>18.100000000000001</v>
      </c>
      <c r="F38" s="87">
        <f t="shared" si="9"/>
        <v>22.8</v>
      </c>
      <c r="G38" s="87">
        <f t="shared" si="9"/>
        <v>22.8</v>
      </c>
      <c r="H38" s="87">
        <f t="shared" si="9"/>
        <v>83.6</v>
      </c>
      <c r="I38" s="66">
        <f t="shared" si="4"/>
        <v>16043</v>
      </c>
      <c r="J38" s="87">
        <f t="shared" si="10"/>
        <v>15.5</v>
      </c>
      <c r="K38" s="87">
        <f t="shared" si="10"/>
        <v>17</v>
      </c>
      <c r="L38" s="87">
        <f t="shared" si="10"/>
        <v>20.399999999999999</v>
      </c>
      <c r="M38" s="87">
        <f t="shared" si="10"/>
        <v>18.600000000000001</v>
      </c>
      <c r="N38" s="87">
        <f t="shared" si="10"/>
        <v>16.100000000000001</v>
      </c>
      <c r="O38" s="87">
        <f t="shared" si="10"/>
        <v>87.5</v>
      </c>
      <c r="P38" s="66">
        <f t="shared" si="6"/>
        <v>10657</v>
      </c>
      <c r="Q38" s="87">
        <f t="shared" si="11"/>
        <v>11.1</v>
      </c>
      <c r="R38" s="87">
        <f t="shared" si="11"/>
        <v>13.8</v>
      </c>
      <c r="S38" s="87">
        <f t="shared" si="11"/>
        <v>19</v>
      </c>
      <c r="T38" s="87">
        <f t="shared" si="11"/>
        <v>21.1</v>
      </c>
      <c r="U38" s="87">
        <f t="shared" si="11"/>
        <v>20.100000000000001</v>
      </c>
      <c r="V38" s="87">
        <f t="shared" si="11"/>
        <v>85.1</v>
      </c>
      <c r="W38" s="66">
        <f t="shared" si="8"/>
        <v>26700</v>
      </c>
      <c r="X38" s="6"/>
      <c r="Y38" s="76"/>
      <c r="Z38" s="76"/>
      <c r="AA38" s="76"/>
      <c r="AB38" s="76"/>
      <c r="AC38" s="75"/>
      <c r="AD38" s="73"/>
      <c r="AE38" s="73"/>
      <c r="AF38" s="73"/>
      <c r="AG38" s="73"/>
      <c r="AH38" s="73"/>
      <c r="AI38" s="73"/>
      <c r="AJ38" s="73"/>
      <c r="AK38" s="73"/>
      <c r="AL38" s="73"/>
      <c r="AM38" s="73"/>
      <c r="AN38" s="73"/>
      <c r="AO38" s="73"/>
      <c r="AP38" s="73"/>
      <c r="AQ38" s="73"/>
      <c r="AR38" s="73"/>
      <c r="AS38" s="73"/>
      <c r="AT38" s="73"/>
      <c r="AV38" s="78"/>
      <c r="AW38" s="89"/>
      <c r="AX38" s="89"/>
      <c r="AY38" s="89"/>
      <c r="AZ38" s="89"/>
      <c r="BA38" s="89"/>
      <c r="BB38" s="89"/>
      <c r="BC38" s="89"/>
      <c r="BD38" s="89"/>
      <c r="BE38" s="89"/>
      <c r="BF38" s="89"/>
      <c r="BG38" s="89"/>
      <c r="BH38" s="89"/>
      <c r="BI38" s="89"/>
      <c r="BJ38" s="89"/>
      <c r="BK38" s="89"/>
      <c r="BL38" s="89"/>
      <c r="BM38" s="89"/>
      <c r="BN38" s="89"/>
      <c r="BO38" s="89"/>
      <c r="BP38" s="89"/>
      <c r="BQ38" s="89"/>
    </row>
    <row r="39" spans="2:69" x14ac:dyDescent="0.2">
      <c r="B39" s="17" t="s">
        <v>32</v>
      </c>
      <c r="C39" s="87">
        <f t="shared" ref="C39:H40" si="12">IF(OR(C81=1,C81=2),"x",ROUND(C81/$I81*100,1))</f>
        <v>8.4</v>
      </c>
      <c r="D39" s="87">
        <f t="shared" si="12"/>
        <v>12.3</v>
      </c>
      <c r="E39" s="87">
        <f t="shared" si="12"/>
        <v>18</v>
      </c>
      <c r="F39" s="87">
        <f t="shared" si="12"/>
        <v>20</v>
      </c>
      <c r="G39" s="87">
        <f t="shared" si="12"/>
        <v>18.899999999999999</v>
      </c>
      <c r="H39" s="87">
        <f t="shared" si="12"/>
        <v>77.599999999999994</v>
      </c>
      <c r="I39" s="66">
        <f t="shared" si="4"/>
        <v>42829</v>
      </c>
      <c r="J39" s="87">
        <f t="shared" ref="J39:O40" si="13">IF(OR(J81=1,J81=2),"x",ROUND(J81/$P81*100,1))</f>
        <v>9.6999999999999993</v>
      </c>
      <c r="K39" s="87">
        <f t="shared" si="13"/>
        <v>13.9</v>
      </c>
      <c r="L39" s="87">
        <f t="shared" si="13"/>
        <v>18.7</v>
      </c>
      <c r="M39" s="87">
        <f t="shared" si="13"/>
        <v>20.2</v>
      </c>
      <c r="N39" s="87">
        <f t="shared" si="13"/>
        <v>18.2</v>
      </c>
      <c r="O39" s="87">
        <f t="shared" si="13"/>
        <v>80.8</v>
      </c>
      <c r="P39" s="66">
        <f t="shared" si="6"/>
        <v>48662</v>
      </c>
      <c r="Q39" s="87">
        <f t="shared" ref="Q39:V40" si="14">IF(OR(Q81=1,Q81=2),"x",ROUND(Q81/$W81*100,1))</f>
        <v>9.1</v>
      </c>
      <c r="R39" s="87">
        <f t="shared" si="14"/>
        <v>13.1</v>
      </c>
      <c r="S39" s="87">
        <f t="shared" si="14"/>
        <v>18.399999999999999</v>
      </c>
      <c r="T39" s="87">
        <f t="shared" si="14"/>
        <v>20.100000000000001</v>
      </c>
      <c r="U39" s="87">
        <f t="shared" si="14"/>
        <v>18.5</v>
      </c>
      <c r="V39" s="87">
        <f t="shared" si="14"/>
        <v>79.3</v>
      </c>
      <c r="W39" s="66">
        <f t="shared" si="8"/>
        <v>91491</v>
      </c>
      <c r="X39" s="6"/>
      <c r="Y39" s="76"/>
      <c r="Z39" s="76"/>
      <c r="AA39" s="76"/>
      <c r="AB39" s="76"/>
      <c r="AC39" s="75"/>
      <c r="AD39" s="73"/>
      <c r="AE39" s="73"/>
      <c r="AF39" s="73"/>
      <c r="AG39" s="73"/>
      <c r="AH39" s="73"/>
      <c r="AI39" s="73"/>
      <c r="AJ39" s="73"/>
      <c r="AK39" s="73"/>
      <c r="AL39" s="73"/>
      <c r="AM39" s="73"/>
      <c r="AN39" s="73"/>
      <c r="AO39" s="73"/>
      <c r="AP39" s="73"/>
      <c r="AQ39" s="73"/>
      <c r="AR39" s="73"/>
      <c r="AS39" s="73"/>
      <c r="AT39" s="73"/>
      <c r="AV39" s="78"/>
      <c r="AW39" s="89"/>
      <c r="AX39" s="89"/>
      <c r="AY39" s="89"/>
      <c r="AZ39" s="89"/>
      <c r="BA39" s="89"/>
      <c r="BB39" s="89"/>
      <c r="BC39" s="89"/>
      <c r="BD39" s="89"/>
      <c r="BE39" s="89"/>
      <c r="BF39" s="89"/>
      <c r="BG39" s="89"/>
      <c r="BH39" s="89"/>
      <c r="BI39" s="89"/>
      <c r="BJ39" s="89"/>
      <c r="BK39" s="89"/>
      <c r="BL39" s="89"/>
      <c r="BM39" s="89"/>
      <c r="BN39" s="89"/>
      <c r="BO39" s="89"/>
      <c r="BP39" s="89"/>
      <c r="BQ39" s="89"/>
    </row>
    <row r="40" spans="2:69" x14ac:dyDescent="0.2">
      <c r="B40" s="18" t="s">
        <v>46</v>
      </c>
      <c r="C40" s="87">
        <f t="shared" si="12"/>
        <v>14.4</v>
      </c>
      <c r="D40" s="87">
        <f t="shared" si="12"/>
        <v>16</v>
      </c>
      <c r="E40" s="87">
        <f t="shared" si="12"/>
        <v>19.600000000000001</v>
      </c>
      <c r="F40" s="87">
        <f t="shared" si="12"/>
        <v>18.7</v>
      </c>
      <c r="G40" s="87">
        <f t="shared" si="12"/>
        <v>15.2</v>
      </c>
      <c r="H40" s="87">
        <f t="shared" si="12"/>
        <v>83.9</v>
      </c>
      <c r="I40" s="66">
        <f t="shared" si="4"/>
        <v>444669</v>
      </c>
      <c r="J40" s="87">
        <f t="shared" si="13"/>
        <v>17.3</v>
      </c>
      <c r="K40" s="87">
        <f t="shared" si="13"/>
        <v>18.7</v>
      </c>
      <c r="L40" s="87">
        <f t="shared" si="13"/>
        <v>21</v>
      </c>
      <c r="M40" s="87">
        <f t="shared" si="13"/>
        <v>18</v>
      </c>
      <c r="N40" s="87">
        <f t="shared" si="13"/>
        <v>12.7</v>
      </c>
      <c r="O40" s="87">
        <f t="shared" si="13"/>
        <v>87.8</v>
      </c>
      <c r="P40" s="66">
        <f t="shared" si="6"/>
        <v>522188</v>
      </c>
      <c r="Q40" s="87">
        <f t="shared" si="14"/>
        <v>16</v>
      </c>
      <c r="R40" s="87">
        <f t="shared" si="14"/>
        <v>17.399999999999999</v>
      </c>
      <c r="S40" s="87">
        <f t="shared" si="14"/>
        <v>20.399999999999999</v>
      </c>
      <c r="T40" s="87">
        <f t="shared" si="14"/>
        <v>18.3</v>
      </c>
      <c r="U40" s="87">
        <f t="shared" si="14"/>
        <v>13.9</v>
      </c>
      <c r="V40" s="87">
        <f t="shared" si="14"/>
        <v>86</v>
      </c>
      <c r="W40" s="66">
        <f t="shared" si="8"/>
        <v>966857</v>
      </c>
      <c r="X40" s="6"/>
      <c r="Y40" s="76"/>
      <c r="Z40" s="76"/>
      <c r="AA40" s="76"/>
      <c r="AB40" s="76"/>
      <c r="AC40" s="75"/>
      <c r="AD40" s="73"/>
      <c r="AE40" s="73"/>
      <c r="AF40" s="73"/>
      <c r="AG40" s="73"/>
      <c r="AH40" s="73"/>
      <c r="AI40" s="73"/>
      <c r="AJ40" s="73"/>
      <c r="AK40" s="73"/>
      <c r="AL40" s="73"/>
      <c r="AM40" s="73"/>
      <c r="AN40" s="73"/>
      <c r="AO40" s="73"/>
      <c r="AP40" s="73"/>
      <c r="AQ40" s="73"/>
      <c r="AR40" s="73"/>
      <c r="AS40" s="73"/>
      <c r="AT40" s="73"/>
      <c r="AV40" s="78"/>
      <c r="AW40" s="89"/>
      <c r="AX40" s="89"/>
      <c r="AY40" s="89"/>
      <c r="AZ40" s="89"/>
      <c r="BA40" s="89"/>
      <c r="BB40" s="89"/>
      <c r="BC40" s="89"/>
      <c r="BD40" s="89"/>
      <c r="BE40" s="89"/>
      <c r="BF40" s="89"/>
      <c r="BG40" s="89"/>
      <c r="BH40" s="89"/>
      <c r="BI40" s="89"/>
      <c r="BJ40" s="89"/>
      <c r="BK40" s="89"/>
      <c r="BL40" s="89"/>
      <c r="BM40" s="89"/>
      <c r="BN40" s="89"/>
      <c r="BO40" s="89"/>
      <c r="BP40" s="89"/>
      <c r="BQ40" s="89"/>
    </row>
    <row r="41" spans="2:69" x14ac:dyDescent="0.2">
      <c r="B41" s="18"/>
      <c r="C41" s="6"/>
      <c r="D41" s="6"/>
      <c r="E41" s="6"/>
      <c r="F41" s="6"/>
      <c r="G41" s="6"/>
      <c r="H41" s="6"/>
      <c r="I41" s="5"/>
      <c r="J41" s="6"/>
      <c r="K41" s="6"/>
      <c r="L41" s="6"/>
      <c r="M41" s="6"/>
      <c r="N41" s="6"/>
      <c r="O41" s="6"/>
      <c r="P41" s="5"/>
      <c r="Q41" s="6"/>
      <c r="R41" s="6"/>
      <c r="S41" s="6"/>
      <c r="T41" s="6"/>
      <c r="U41" s="6"/>
      <c r="V41" s="6"/>
      <c r="W41" s="5"/>
      <c r="X41" s="6"/>
      <c r="Y41" s="76"/>
      <c r="Z41" s="76"/>
      <c r="AA41" s="76"/>
      <c r="AB41" s="76"/>
      <c r="AC41" s="75"/>
      <c r="AD41" s="73"/>
      <c r="AE41" s="73"/>
      <c r="AF41" s="73"/>
      <c r="AG41" s="73"/>
      <c r="AH41" s="73"/>
      <c r="AI41" s="73"/>
      <c r="AJ41" s="73"/>
      <c r="AK41" s="73"/>
      <c r="AL41" s="73"/>
      <c r="AM41" s="73"/>
      <c r="AN41" s="73"/>
      <c r="AO41" s="73"/>
      <c r="AP41" s="73"/>
      <c r="AQ41" s="73"/>
      <c r="AR41" s="73"/>
      <c r="AS41" s="73"/>
      <c r="AT41" s="73"/>
      <c r="AV41" s="78"/>
      <c r="AW41" s="89"/>
      <c r="AX41" s="89"/>
      <c r="AY41" s="89"/>
      <c r="AZ41" s="89"/>
      <c r="BA41" s="89"/>
      <c r="BB41" s="89"/>
      <c r="BC41" s="89"/>
      <c r="BD41" s="89"/>
      <c r="BE41" s="89"/>
      <c r="BF41" s="89"/>
      <c r="BG41" s="89"/>
      <c r="BH41" s="89"/>
      <c r="BI41" s="89"/>
      <c r="BJ41" s="89"/>
      <c r="BK41" s="89"/>
      <c r="BL41" s="89"/>
      <c r="BM41" s="89"/>
      <c r="BN41" s="89"/>
      <c r="BO41" s="89"/>
      <c r="BP41" s="89"/>
      <c r="BQ41" s="89"/>
    </row>
    <row r="42" spans="2:69" x14ac:dyDescent="0.2">
      <c r="B42" s="18"/>
      <c r="C42" s="6"/>
      <c r="D42" s="6"/>
      <c r="E42" s="6"/>
      <c r="F42" s="6"/>
      <c r="G42" s="6"/>
      <c r="H42" s="6"/>
      <c r="I42" s="5"/>
      <c r="J42" s="6"/>
      <c r="K42" s="6"/>
      <c r="L42" s="6"/>
      <c r="M42" s="6"/>
      <c r="N42" s="6"/>
      <c r="O42" s="6"/>
      <c r="P42" s="5"/>
      <c r="Q42" s="6"/>
      <c r="R42" s="6"/>
      <c r="S42" s="6"/>
      <c r="T42" s="6"/>
      <c r="U42" s="6"/>
      <c r="V42" s="6"/>
      <c r="W42" s="5"/>
      <c r="X42" s="6"/>
      <c r="Y42" s="6"/>
      <c r="Z42" s="6"/>
      <c r="AA42" s="6"/>
      <c r="AB42" s="6"/>
      <c r="AC42" s="5"/>
      <c r="AW42" s="89"/>
      <c r="AX42" s="89"/>
      <c r="AY42" s="89"/>
      <c r="AZ42" s="89"/>
      <c r="BA42" s="89"/>
      <c r="BB42" s="89"/>
      <c r="BC42" s="89"/>
      <c r="BD42" s="89"/>
      <c r="BE42" s="89"/>
      <c r="BF42" s="89"/>
      <c r="BG42" s="89"/>
      <c r="BH42" s="89"/>
      <c r="BI42" s="89"/>
      <c r="BJ42" s="89"/>
      <c r="BK42" s="89"/>
      <c r="BL42" s="89"/>
      <c r="BM42" s="89"/>
      <c r="BN42" s="89"/>
      <c r="BO42" s="89"/>
      <c r="BP42" s="89"/>
      <c r="BQ42" s="89"/>
    </row>
    <row r="43" spans="2:69" x14ac:dyDescent="0.2">
      <c r="B43" s="18"/>
      <c r="C43" s="6"/>
      <c r="D43" s="6"/>
      <c r="E43" s="6"/>
      <c r="F43" s="6"/>
      <c r="G43" s="6"/>
      <c r="H43" s="6"/>
      <c r="I43" s="5"/>
      <c r="J43" s="6"/>
      <c r="K43" s="6"/>
      <c r="L43" s="6"/>
      <c r="M43" s="6"/>
      <c r="N43" s="6"/>
      <c r="O43" s="6"/>
      <c r="P43" s="5"/>
      <c r="Q43" s="6"/>
      <c r="R43" s="6"/>
      <c r="S43" s="6"/>
      <c r="T43" s="6"/>
      <c r="U43" s="6"/>
      <c r="V43" s="6"/>
      <c r="W43" s="5"/>
      <c r="X43" s="6"/>
      <c r="Y43" s="6"/>
      <c r="Z43" s="6"/>
      <c r="AA43" s="6"/>
      <c r="AB43" s="6"/>
      <c r="AC43" s="5"/>
      <c r="AW43" s="89"/>
      <c r="AX43" s="89"/>
      <c r="AY43" s="89"/>
      <c r="AZ43" s="89"/>
      <c r="BA43" s="89"/>
      <c r="BB43" s="89"/>
      <c r="BC43" s="89"/>
      <c r="BD43" s="89"/>
      <c r="BE43" s="89"/>
      <c r="BF43" s="89"/>
      <c r="BG43" s="89"/>
      <c r="BH43" s="89"/>
      <c r="BI43" s="89"/>
      <c r="BJ43" s="89"/>
      <c r="BK43" s="89"/>
      <c r="BL43" s="89"/>
      <c r="BM43" s="89"/>
      <c r="BN43" s="89"/>
      <c r="BO43" s="89"/>
      <c r="BP43" s="89"/>
      <c r="BQ43" s="89"/>
    </row>
    <row r="44" spans="2:69" x14ac:dyDescent="0.2">
      <c r="AW44" s="89"/>
      <c r="AX44" s="89"/>
      <c r="AY44" s="89"/>
      <c r="AZ44" s="89"/>
      <c r="BA44" s="89"/>
      <c r="BB44" s="89"/>
      <c r="BC44" s="89"/>
      <c r="BD44" s="89"/>
      <c r="BE44" s="89"/>
      <c r="BF44" s="89"/>
      <c r="BG44" s="89"/>
      <c r="BH44" s="89"/>
      <c r="BI44" s="89"/>
      <c r="BJ44" s="89"/>
      <c r="BK44" s="89"/>
      <c r="BL44" s="89"/>
      <c r="BM44" s="89"/>
      <c r="BN44" s="89"/>
      <c r="BO44" s="89"/>
      <c r="BP44" s="89"/>
      <c r="BQ44" s="89"/>
    </row>
    <row r="45" spans="2:69" x14ac:dyDescent="0.2">
      <c r="C45" s="7" t="s">
        <v>42</v>
      </c>
      <c r="J45" s="7" t="s">
        <v>43</v>
      </c>
      <c r="Q45" s="7" t="s">
        <v>54</v>
      </c>
      <c r="AW45" s="89"/>
      <c r="AX45" s="89"/>
      <c r="AY45" s="89"/>
      <c r="AZ45" s="89"/>
      <c r="BA45" s="89"/>
      <c r="BB45" s="89"/>
      <c r="BC45" s="89"/>
      <c r="BD45" s="89"/>
      <c r="BE45" s="89"/>
      <c r="BF45" s="89"/>
      <c r="BG45" s="89"/>
      <c r="BH45" s="89"/>
      <c r="BI45" s="89"/>
      <c r="BJ45" s="89"/>
      <c r="BK45" s="89"/>
      <c r="BL45" s="89"/>
      <c r="BM45" s="89"/>
      <c r="BN45" s="89"/>
      <c r="BO45" s="89"/>
      <c r="BP45" s="89"/>
      <c r="BQ45" s="89"/>
    </row>
    <row r="46" spans="2:69" x14ac:dyDescent="0.2">
      <c r="C46" s="7" t="s">
        <v>33</v>
      </c>
      <c r="D46" s="7" t="s">
        <v>34</v>
      </c>
      <c r="E46" s="7" t="s">
        <v>35</v>
      </c>
      <c r="F46" s="7" t="s">
        <v>36</v>
      </c>
      <c r="G46" s="7" t="s">
        <v>37</v>
      </c>
      <c r="H46" s="7" t="s">
        <v>47</v>
      </c>
      <c r="I46" s="7" t="s">
        <v>54</v>
      </c>
      <c r="J46" s="7" t="s">
        <v>33</v>
      </c>
      <c r="K46" s="7" t="s">
        <v>34</v>
      </c>
      <c r="L46" s="7" t="s">
        <v>35</v>
      </c>
      <c r="M46" s="7" t="s">
        <v>36</v>
      </c>
      <c r="N46" s="7" t="s">
        <v>37</v>
      </c>
      <c r="O46" s="7" t="s">
        <v>47</v>
      </c>
      <c r="P46" s="7" t="s">
        <v>54</v>
      </c>
      <c r="Q46" s="7" t="s">
        <v>33</v>
      </c>
      <c r="R46" s="7" t="s">
        <v>34</v>
      </c>
      <c r="S46" s="7" t="s">
        <v>35</v>
      </c>
      <c r="T46" s="7" t="s">
        <v>36</v>
      </c>
      <c r="U46" s="7" t="s">
        <v>37</v>
      </c>
      <c r="V46" s="7" t="s">
        <v>47</v>
      </c>
      <c r="W46" s="7" t="s">
        <v>54</v>
      </c>
      <c r="AW46" s="89"/>
      <c r="AX46" s="89"/>
      <c r="AY46" s="89"/>
      <c r="AZ46" s="89"/>
      <c r="BA46" s="89"/>
      <c r="BB46" s="89"/>
      <c r="BC46" s="89"/>
      <c r="BD46" s="89"/>
      <c r="BE46" s="89"/>
      <c r="BF46" s="89"/>
      <c r="BG46" s="89"/>
      <c r="BH46" s="89"/>
      <c r="BI46" s="89"/>
      <c r="BJ46" s="89"/>
      <c r="BK46" s="89"/>
      <c r="BL46" s="89"/>
      <c r="BM46" s="89"/>
      <c r="BN46" s="89"/>
      <c r="BO46" s="89"/>
      <c r="BP46" s="89"/>
      <c r="BQ46" s="89"/>
    </row>
    <row r="47" spans="2:69" x14ac:dyDescent="0.2">
      <c r="AW47" s="89"/>
      <c r="AX47" s="89"/>
      <c r="AY47" s="89"/>
      <c r="AZ47" s="89"/>
      <c r="BA47" s="89"/>
      <c r="BB47" s="89"/>
      <c r="BC47" s="89"/>
      <c r="BD47" s="89"/>
      <c r="BE47" s="89"/>
      <c r="BF47" s="89"/>
      <c r="BG47" s="89"/>
      <c r="BH47" s="89"/>
      <c r="BI47" s="89"/>
      <c r="BJ47" s="89"/>
      <c r="BK47" s="89"/>
      <c r="BL47" s="89"/>
      <c r="BM47" s="89"/>
      <c r="BN47" s="89"/>
      <c r="BO47" s="89"/>
      <c r="BP47" s="89"/>
      <c r="BQ47" s="89"/>
    </row>
    <row r="48" spans="2:69" x14ac:dyDescent="0.2">
      <c r="B48" s="7" t="s">
        <v>0</v>
      </c>
      <c r="C48" s="7">
        <v>3825</v>
      </c>
      <c r="D48" s="7">
        <v>4002</v>
      </c>
      <c r="E48" s="7">
        <v>4750</v>
      </c>
      <c r="F48" s="7">
        <v>4897</v>
      </c>
      <c r="G48" s="7">
        <v>4552</v>
      </c>
      <c r="H48" s="7">
        <v>22026</v>
      </c>
      <c r="I48" s="7">
        <v>27922</v>
      </c>
      <c r="J48" s="7">
        <v>5924</v>
      </c>
      <c r="K48" s="7">
        <v>5662</v>
      </c>
      <c r="L48" s="7">
        <v>6238</v>
      </c>
      <c r="M48" s="7">
        <v>5968</v>
      </c>
      <c r="N48" s="7">
        <v>5328</v>
      </c>
      <c r="O48" s="7">
        <v>29120</v>
      </c>
      <c r="P48" s="7">
        <v>35948</v>
      </c>
      <c r="Q48" s="7">
        <v>9749</v>
      </c>
      <c r="R48" s="7">
        <v>9664</v>
      </c>
      <c r="S48" s="7">
        <v>10988</v>
      </c>
      <c r="T48" s="7">
        <v>10865</v>
      </c>
      <c r="U48" s="7">
        <v>9880</v>
      </c>
      <c r="V48" s="7">
        <v>51146</v>
      </c>
      <c r="W48" s="7">
        <v>63870</v>
      </c>
      <c r="AW48" s="89"/>
      <c r="AX48" s="89"/>
      <c r="AY48" s="89"/>
      <c r="AZ48" s="89"/>
      <c r="BA48" s="89"/>
      <c r="BB48" s="89"/>
      <c r="BC48" s="89"/>
      <c r="BD48" s="89"/>
      <c r="BE48" s="89"/>
      <c r="BF48" s="89"/>
      <c r="BG48" s="89"/>
      <c r="BH48" s="89"/>
      <c r="BI48" s="89"/>
      <c r="BJ48" s="89"/>
      <c r="BK48" s="89"/>
      <c r="BL48" s="89"/>
      <c r="BM48" s="89"/>
      <c r="BN48" s="89"/>
      <c r="BO48" s="89"/>
      <c r="BP48" s="89"/>
      <c r="BQ48" s="89"/>
    </row>
    <row r="49" spans="2:69" x14ac:dyDescent="0.2">
      <c r="B49" s="7" t="s">
        <v>1</v>
      </c>
      <c r="C49" s="7">
        <v>4182</v>
      </c>
      <c r="D49" s="7">
        <v>3944</v>
      </c>
      <c r="E49" s="7">
        <v>4241</v>
      </c>
      <c r="F49" s="7">
        <v>4135</v>
      </c>
      <c r="G49" s="7">
        <v>3692</v>
      </c>
      <c r="H49" s="7">
        <v>20194</v>
      </c>
      <c r="I49" s="7">
        <v>24501</v>
      </c>
      <c r="J49" s="7">
        <v>4018</v>
      </c>
      <c r="K49" s="7">
        <v>3724</v>
      </c>
      <c r="L49" s="7">
        <v>3853</v>
      </c>
      <c r="M49" s="7">
        <v>3656</v>
      </c>
      <c r="N49" s="7">
        <v>3261</v>
      </c>
      <c r="O49" s="7">
        <v>18512</v>
      </c>
      <c r="P49" s="7">
        <v>22200</v>
      </c>
      <c r="Q49" s="7">
        <v>8200</v>
      </c>
      <c r="R49" s="7">
        <v>7668</v>
      </c>
      <c r="S49" s="7">
        <v>8094</v>
      </c>
      <c r="T49" s="7">
        <v>7791</v>
      </c>
      <c r="U49" s="7">
        <v>6953</v>
      </c>
      <c r="V49" s="7">
        <v>38706</v>
      </c>
      <c r="W49" s="7">
        <v>46701</v>
      </c>
      <c r="AW49" s="89"/>
      <c r="AX49" s="89"/>
      <c r="AY49" s="89"/>
      <c r="AZ49" s="89"/>
      <c r="BA49" s="89"/>
      <c r="BB49" s="89"/>
      <c r="BC49" s="89"/>
      <c r="BD49" s="89"/>
      <c r="BE49" s="89"/>
      <c r="BF49" s="89"/>
      <c r="BG49" s="89"/>
      <c r="BH49" s="89"/>
      <c r="BI49" s="89"/>
      <c r="BJ49" s="89"/>
      <c r="BK49" s="89"/>
      <c r="BL49" s="89"/>
      <c r="BM49" s="89"/>
      <c r="BN49" s="89"/>
      <c r="BO49" s="89"/>
      <c r="BP49" s="89"/>
      <c r="BQ49" s="89"/>
    </row>
    <row r="50" spans="2:69" x14ac:dyDescent="0.2">
      <c r="B50" s="7" t="s">
        <v>2</v>
      </c>
      <c r="C50" s="7">
        <v>5086</v>
      </c>
      <c r="D50" s="7">
        <v>4122</v>
      </c>
      <c r="E50" s="7">
        <v>4232</v>
      </c>
      <c r="F50" s="7">
        <v>4056</v>
      </c>
      <c r="G50" s="7">
        <v>3880</v>
      </c>
      <c r="H50" s="7">
        <v>21376</v>
      </c>
      <c r="I50" s="7">
        <v>26249</v>
      </c>
      <c r="J50" s="7">
        <v>1829</v>
      </c>
      <c r="K50" s="7">
        <v>1434</v>
      </c>
      <c r="L50" s="7">
        <v>1410</v>
      </c>
      <c r="M50" s="7">
        <v>1222</v>
      </c>
      <c r="N50" s="7">
        <v>963</v>
      </c>
      <c r="O50" s="7">
        <v>6858</v>
      </c>
      <c r="P50" s="7">
        <v>7966</v>
      </c>
      <c r="Q50" s="7">
        <v>6915</v>
      </c>
      <c r="R50" s="7">
        <v>5556</v>
      </c>
      <c r="S50" s="7">
        <v>5642</v>
      </c>
      <c r="T50" s="7">
        <v>5278</v>
      </c>
      <c r="U50" s="7">
        <v>4843</v>
      </c>
      <c r="V50" s="7">
        <v>28234</v>
      </c>
      <c r="W50" s="7">
        <v>34215</v>
      </c>
    </row>
    <row r="51" spans="2:69" x14ac:dyDescent="0.2">
      <c r="B51" s="7" t="s">
        <v>3</v>
      </c>
      <c r="C51" s="7">
        <v>793</v>
      </c>
      <c r="D51" s="7">
        <v>766</v>
      </c>
      <c r="E51" s="7">
        <v>928</v>
      </c>
      <c r="F51" s="7">
        <v>860</v>
      </c>
      <c r="G51" s="7">
        <v>740</v>
      </c>
      <c r="H51" s="7">
        <v>4087</v>
      </c>
      <c r="I51" s="7">
        <v>4935</v>
      </c>
      <c r="J51" s="7">
        <v>365</v>
      </c>
      <c r="K51" s="7">
        <v>398</v>
      </c>
      <c r="L51" s="7">
        <v>455</v>
      </c>
      <c r="M51" s="7">
        <v>434</v>
      </c>
      <c r="N51" s="7">
        <v>350</v>
      </c>
      <c r="O51" s="7">
        <v>2002</v>
      </c>
      <c r="P51" s="7">
        <v>2501</v>
      </c>
      <c r="Q51" s="7">
        <v>1158</v>
      </c>
      <c r="R51" s="7">
        <v>1164</v>
      </c>
      <c r="S51" s="7">
        <v>1383</v>
      </c>
      <c r="T51" s="7">
        <v>1294</v>
      </c>
      <c r="U51" s="7">
        <v>1090</v>
      </c>
      <c r="V51" s="7">
        <v>6089</v>
      </c>
      <c r="W51" s="7">
        <v>7436</v>
      </c>
    </row>
    <row r="52" spans="2:69" x14ac:dyDescent="0.2">
      <c r="B52" s="7" t="s">
        <v>4</v>
      </c>
      <c r="C52" s="7">
        <v>9450</v>
      </c>
      <c r="D52" s="7">
        <v>6102</v>
      </c>
      <c r="E52" s="7">
        <v>6182</v>
      </c>
      <c r="F52" s="7">
        <v>6349</v>
      </c>
      <c r="G52" s="7">
        <v>5763</v>
      </c>
      <c r="H52" s="7">
        <v>33846</v>
      </c>
      <c r="I52" s="7">
        <v>42555</v>
      </c>
      <c r="J52" s="7">
        <v>7763</v>
      </c>
      <c r="K52" s="7">
        <v>5184</v>
      </c>
      <c r="L52" s="7">
        <v>4977</v>
      </c>
      <c r="M52" s="7">
        <v>4620</v>
      </c>
      <c r="N52" s="7">
        <v>3718</v>
      </c>
      <c r="O52" s="7">
        <v>26262</v>
      </c>
      <c r="P52" s="7">
        <v>31173</v>
      </c>
      <c r="Q52" s="7">
        <v>17213</v>
      </c>
      <c r="R52" s="7">
        <v>11286</v>
      </c>
      <c r="S52" s="7">
        <v>11159</v>
      </c>
      <c r="T52" s="7">
        <v>10969</v>
      </c>
      <c r="U52" s="7">
        <v>9481</v>
      </c>
      <c r="V52" s="7">
        <v>60108</v>
      </c>
      <c r="W52" s="7">
        <v>73728</v>
      </c>
    </row>
    <row r="53" spans="2:69" x14ac:dyDescent="0.2">
      <c r="B53" s="7" t="s">
        <v>5</v>
      </c>
      <c r="C53" s="7">
        <v>2040</v>
      </c>
      <c r="D53" s="7">
        <v>992</v>
      </c>
      <c r="E53" s="7">
        <v>802</v>
      </c>
      <c r="F53" s="7">
        <v>552</v>
      </c>
      <c r="G53" s="7">
        <v>407</v>
      </c>
      <c r="H53" s="7">
        <v>4793</v>
      </c>
      <c r="I53" s="7">
        <v>5190</v>
      </c>
      <c r="J53" s="7">
        <v>1405</v>
      </c>
      <c r="K53" s="7">
        <v>664</v>
      </c>
      <c r="L53" s="7">
        <v>453</v>
      </c>
      <c r="M53" s="7">
        <v>318</v>
      </c>
      <c r="N53" s="7">
        <v>184</v>
      </c>
      <c r="O53" s="7">
        <v>3024</v>
      </c>
      <c r="P53" s="7">
        <v>3209</v>
      </c>
      <c r="Q53" s="7">
        <v>3445</v>
      </c>
      <c r="R53" s="7">
        <v>1656</v>
      </c>
      <c r="S53" s="7">
        <v>1255</v>
      </c>
      <c r="T53" s="7">
        <v>870</v>
      </c>
      <c r="U53" s="7">
        <v>591</v>
      </c>
      <c r="V53" s="7">
        <v>7817</v>
      </c>
      <c r="W53" s="7">
        <v>8399</v>
      </c>
    </row>
    <row r="54" spans="2:69" x14ac:dyDescent="0.2">
      <c r="B54" s="7" t="s">
        <v>6</v>
      </c>
      <c r="C54" s="7">
        <v>939</v>
      </c>
      <c r="D54" s="7">
        <v>1527</v>
      </c>
      <c r="E54" s="7">
        <v>2090</v>
      </c>
      <c r="F54" s="7">
        <v>2359</v>
      </c>
      <c r="G54" s="7">
        <v>1890</v>
      </c>
      <c r="H54" s="7">
        <v>8805</v>
      </c>
      <c r="I54" s="7">
        <v>10602</v>
      </c>
      <c r="J54" s="7">
        <v>1142</v>
      </c>
      <c r="K54" s="7">
        <v>1496</v>
      </c>
      <c r="L54" s="7">
        <v>1779</v>
      </c>
      <c r="M54" s="7">
        <v>1557</v>
      </c>
      <c r="N54" s="7">
        <v>1170</v>
      </c>
      <c r="O54" s="7">
        <v>7144</v>
      </c>
      <c r="P54" s="7">
        <v>7995</v>
      </c>
      <c r="Q54" s="7">
        <v>2081</v>
      </c>
      <c r="R54" s="7">
        <v>3023</v>
      </c>
      <c r="S54" s="7">
        <v>3869</v>
      </c>
      <c r="T54" s="7">
        <v>3916</v>
      </c>
      <c r="U54" s="7">
        <v>3060</v>
      </c>
      <c r="V54" s="7">
        <v>15949</v>
      </c>
      <c r="W54" s="7">
        <v>18597</v>
      </c>
    </row>
    <row r="55" spans="2:69" x14ac:dyDescent="0.2">
      <c r="B55" s="2" t="s">
        <v>168</v>
      </c>
      <c r="C55" s="7">
        <v>567</v>
      </c>
      <c r="D55" s="7">
        <v>809</v>
      </c>
      <c r="E55" s="7">
        <v>1100</v>
      </c>
      <c r="F55" s="7">
        <v>1121</v>
      </c>
      <c r="G55" s="7">
        <v>994</v>
      </c>
      <c r="H55" s="7">
        <v>4591</v>
      </c>
      <c r="I55" s="7">
        <v>5683</v>
      </c>
      <c r="J55" s="7">
        <v>50</v>
      </c>
      <c r="K55" s="7">
        <v>58</v>
      </c>
      <c r="L55" s="7">
        <v>96</v>
      </c>
      <c r="M55" s="7">
        <v>105</v>
      </c>
      <c r="N55" s="7">
        <v>85</v>
      </c>
      <c r="O55" s="7">
        <v>394</v>
      </c>
      <c r="P55" s="7">
        <v>524</v>
      </c>
      <c r="Q55" s="7">
        <v>617</v>
      </c>
      <c r="R55" s="7">
        <v>867</v>
      </c>
      <c r="S55" s="7">
        <v>1196</v>
      </c>
      <c r="T55" s="7">
        <v>1226</v>
      </c>
      <c r="U55" s="7">
        <v>1079</v>
      </c>
      <c r="V55" s="7">
        <v>4985</v>
      </c>
      <c r="W55" s="7">
        <v>6207</v>
      </c>
    </row>
    <row r="56" spans="2:69" x14ac:dyDescent="0.2">
      <c r="B56" s="7" t="s">
        <v>8</v>
      </c>
      <c r="C56" s="7">
        <v>471</v>
      </c>
      <c r="D56" s="7">
        <v>1040</v>
      </c>
      <c r="E56" s="7">
        <v>1738</v>
      </c>
      <c r="F56" s="7">
        <v>2172</v>
      </c>
      <c r="G56" s="7">
        <v>1930</v>
      </c>
      <c r="H56" s="7">
        <v>7351</v>
      </c>
      <c r="I56" s="7">
        <v>9350</v>
      </c>
      <c r="J56" s="7">
        <v>435</v>
      </c>
      <c r="K56" s="7">
        <v>718</v>
      </c>
      <c r="L56" s="7">
        <v>1030</v>
      </c>
      <c r="M56" s="7">
        <v>1107</v>
      </c>
      <c r="N56" s="7">
        <v>906</v>
      </c>
      <c r="O56" s="7">
        <v>4196</v>
      </c>
      <c r="P56" s="7">
        <v>5023</v>
      </c>
      <c r="Q56" s="7">
        <v>906</v>
      </c>
      <c r="R56" s="7">
        <v>1758</v>
      </c>
      <c r="S56" s="7">
        <v>2768</v>
      </c>
      <c r="T56" s="7">
        <v>3279</v>
      </c>
      <c r="U56" s="7">
        <v>2836</v>
      </c>
      <c r="V56" s="7">
        <v>11547</v>
      </c>
      <c r="W56" s="7">
        <v>14373</v>
      </c>
    </row>
    <row r="57" spans="2:69" x14ac:dyDescent="0.2">
      <c r="B57" s="7" t="s">
        <v>9</v>
      </c>
      <c r="C57" s="7">
        <v>2</v>
      </c>
      <c r="D57" s="7">
        <v>4</v>
      </c>
      <c r="E57" s="7">
        <v>15</v>
      </c>
      <c r="F57" s="7">
        <v>26</v>
      </c>
      <c r="G57" s="7">
        <v>14</v>
      </c>
      <c r="H57" s="7">
        <v>61</v>
      </c>
      <c r="I57" s="7">
        <v>90</v>
      </c>
      <c r="J57" s="7">
        <v>51</v>
      </c>
      <c r="K57" s="7">
        <v>72</v>
      </c>
      <c r="L57" s="7">
        <v>92</v>
      </c>
      <c r="M57" s="7">
        <v>75</v>
      </c>
      <c r="N57" s="7">
        <v>61</v>
      </c>
      <c r="O57" s="7">
        <v>351</v>
      </c>
      <c r="P57" s="7">
        <v>392</v>
      </c>
      <c r="Q57" s="7">
        <v>53</v>
      </c>
      <c r="R57" s="7">
        <v>76</v>
      </c>
      <c r="S57" s="7">
        <v>107</v>
      </c>
      <c r="T57" s="7">
        <v>101</v>
      </c>
      <c r="U57" s="7">
        <v>75</v>
      </c>
      <c r="V57" s="7">
        <v>412</v>
      </c>
      <c r="W57" s="7">
        <v>482</v>
      </c>
    </row>
    <row r="58" spans="2:69" x14ac:dyDescent="0.2">
      <c r="B58" s="7" t="s">
        <v>10</v>
      </c>
      <c r="C58" s="7">
        <v>256</v>
      </c>
      <c r="D58" s="7">
        <v>464</v>
      </c>
      <c r="E58" s="7">
        <v>665</v>
      </c>
      <c r="F58" s="7">
        <v>804</v>
      </c>
      <c r="G58" s="7">
        <v>745</v>
      </c>
      <c r="H58" s="7">
        <v>2934</v>
      </c>
      <c r="I58" s="7">
        <v>4227</v>
      </c>
      <c r="J58" s="7">
        <v>208</v>
      </c>
      <c r="K58" s="7">
        <v>332</v>
      </c>
      <c r="L58" s="7">
        <v>441</v>
      </c>
      <c r="M58" s="7">
        <v>485</v>
      </c>
      <c r="N58" s="7">
        <v>539</v>
      </c>
      <c r="O58" s="7">
        <v>2005</v>
      </c>
      <c r="P58" s="7">
        <v>2769</v>
      </c>
      <c r="Q58" s="7">
        <v>464</v>
      </c>
      <c r="R58" s="7">
        <v>796</v>
      </c>
      <c r="S58" s="7">
        <v>1106</v>
      </c>
      <c r="T58" s="7">
        <v>1289</v>
      </c>
      <c r="U58" s="7">
        <v>1284</v>
      </c>
      <c r="V58" s="7">
        <v>4939</v>
      </c>
      <c r="W58" s="7">
        <v>6996</v>
      </c>
    </row>
    <row r="59" spans="2:69" x14ac:dyDescent="0.2">
      <c r="B59" s="7" t="s">
        <v>11</v>
      </c>
      <c r="C59" s="7">
        <v>2250</v>
      </c>
      <c r="D59" s="7">
        <v>3765</v>
      </c>
      <c r="E59" s="7">
        <v>4953</v>
      </c>
      <c r="F59" s="7">
        <v>4310</v>
      </c>
      <c r="G59" s="7">
        <v>3320</v>
      </c>
      <c r="H59" s="7">
        <v>18598</v>
      </c>
      <c r="I59" s="7">
        <v>21644</v>
      </c>
      <c r="J59" s="7">
        <v>1870</v>
      </c>
      <c r="K59" s="7">
        <v>2768</v>
      </c>
      <c r="L59" s="7">
        <v>3591</v>
      </c>
      <c r="M59" s="7">
        <v>3140</v>
      </c>
      <c r="N59" s="7">
        <v>2379</v>
      </c>
      <c r="O59" s="7">
        <v>13748</v>
      </c>
      <c r="P59" s="7">
        <v>16119</v>
      </c>
      <c r="Q59" s="7">
        <v>4120</v>
      </c>
      <c r="R59" s="7">
        <v>6533</v>
      </c>
      <c r="S59" s="7">
        <v>8544</v>
      </c>
      <c r="T59" s="7">
        <v>7450</v>
      </c>
      <c r="U59" s="7">
        <v>5699</v>
      </c>
      <c r="V59" s="7">
        <v>32346</v>
      </c>
      <c r="W59" s="7">
        <v>37763</v>
      </c>
    </row>
    <row r="60" spans="2:69" x14ac:dyDescent="0.2">
      <c r="B60" s="7" t="s">
        <v>12</v>
      </c>
      <c r="C60" s="7">
        <v>2797</v>
      </c>
      <c r="D60" s="7">
        <v>2867</v>
      </c>
      <c r="E60" s="7">
        <v>2852</v>
      </c>
      <c r="F60" s="7">
        <v>2306</v>
      </c>
      <c r="G60" s="7">
        <v>1822</v>
      </c>
      <c r="H60" s="7">
        <v>12644</v>
      </c>
      <c r="I60" s="7">
        <v>14513</v>
      </c>
      <c r="J60" s="7">
        <v>1580</v>
      </c>
      <c r="K60" s="7">
        <v>1438</v>
      </c>
      <c r="L60" s="7">
        <v>1298</v>
      </c>
      <c r="M60" s="7">
        <v>1120</v>
      </c>
      <c r="N60" s="7">
        <v>757</v>
      </c>
      <c r="O60" s="7">
        <v>6193</v>
      </c>
      <c r="P60" s="7">
        <v>6984</v>
      </c>
      <c r="Q60" s="7">
        <v>4377</v>
      </c>
      <c r="R60" s="7">
        <v>4305</v>
      </c>
      <c r="S60" s="7">
        <v>4150</v>
      </c>
      <c r="T60" s="7">
        <v>3426</v>
      </c>
      <c r="U60" s="7">
        <v>2579</v>
      </c>
      <c r="V60" s="7">
        <v>18837</v>
      </c>
      <c r="W60" s="7">
        <v>21497</v>
      </c>
    </row>
    <row r="61" spans="2:69" x14ac:dyDescent="0.2">
      <c r="B61" s="7" t="s">
        <v>13</v>
      </c>
      <c r="C61" s="7">
        <v>3184</v>
      </c>
      <c r="D61" s="7">
        <v>2895</v>
      </c>
      <c r="E61" s="7">
        <v>3276</v>
      </c>
      <c r="F61" s="7">
        <v>3185</v>
      </c>
      <c r="G61" s="7">
        <v>2560</v>
      </c>
      <c r="H61" s="7">
        <v>15100</v>
      </c>
      <c r="I61" s="7">
        <v>17282</v>
      </c>
      <c r="J61" s="7">
        <v>3888</v>
      </c>
      <c r="K61" s="7">
        <v>2683</v>
      </c>
      <c r="L61" s="7">
        <v>2788</v>
      </c>
      <c r="M61" s="7">
        <v>2298</v>
      </c>
      <c r="N61" s="7">
        <v>1671</v>
      </c>
      <c r="O61" s="7">
        <v>13328</v>
      </c>
      <c r="P61" s="7">
        <v>14666</v>
      </c>
      <c r="Q61" s="7">
        <v>7072</v>
      </c>
      <c r="R61" s="7">
        <v>5578</v>
      </c>
      <c r="S61" s="7">
        <v>6064</v>
      </c>
      <c r="T61" s="7">
        <v>5483</v>
      </c>
      <c r="U61" s="7">
        <v>4231</v>
      </c>
      <c r="V61" s="7">
        <v>28428</v>
      </c>
      <c r="W61" s="7">
        <v>31948</v>
      </c>
    </row>
    <row r="62" spans="2:69" x14ac:dyDescent="0.2">
      <c r="B62" s="7" t="s">
        <v>14</v>
      </c>
      <c r="C62" s="7">
        <v>1421</v>
      </c>
      <c r="D62" s="7">
        <v>1278</v>
      </c>
      <c r="E62" s="7">
        <v>1500</v>
      </c>
      <c r="F62" s="7">
        <v>1202</v>
      </c>
      <c r="G62" s="7">
        <v>866</v>
      </c>
      <c r="H62" s="7">
        <v>6267</v>
      </c>
      <c r="I62" s="7">
        <v>7202</v>
      </c>
      <c r="J62" s="7">
        <v>1396</v>
      </c>
      <c r="K62" s="7">
        <v>1130</v>
      </c>
      <c r="L62" s="7">
        <v>1097</v>
      </c>
      <c r="M62" s="7">
        <v>984</v>
      </c>
      <c r="N62" s="7">
        <v>689</v>
      </c>
      <c r="O62" s="7">
        <v>5296</v>
      </c>
      <c r="P62" s="7">
        <v>6039</v>
      </c>
      <c r="Q62" s="7">
        <v>2817</v>
      </c>
      <c r="R62" s="7">
        <v>2408</v>
      </c>
      <c r="S62" s="7">
        <v>2597</v>
      </c>
      <c r="T62" s="7">
        <v>2186</v>
      </c>
      <c r="U62" s="7">
        <v>1555</v>
      </c>
      <c r="V62" s="7">
        <v>11563</v>
      </c>
      <c r="W62" s="7">
        <v>13241</v>
      </c>
    </row>
    <row r="63" spans="2:69" x14ac:dyDescent="0.2">
      <c r="B63" s="7" t="s">
        <v>15</v>
      </c>
      <c r="C63" s="7">
        <v>3762</v>
      </c>
      <c r="D63" s="7">
        <v>4760</v>
      </c>
      <c r="E63" s="7">
        <v>5376</v>
      </c>
      <c r="F63" s="7">
        <v>4133</v>
      </c>
      <c r="G63" s="7">
        <v>2470</v>
      </c>
      <c r="H63" s="7">
        <v>20501</v>
      </c>
      <c r="I63" s="7">
        <v>22199</v>
      </c>
      <c r="J63" s="7">
        <v>4578</v>
      </c>
      <c r="K63" s="7">
        <v>5652</v>
      </c>
      <c r="L63" s="7">
        <v>5682</v>
      </c>
      <c r="M63" s="7">
        <v>4336</v>
      </c>
      <c r="N63" s="7">
        <v>2513</v>
      </c>
      <c r="O63" s="7">
        <v>22761</v>
      </c>
      <c r="P63" s="7">
        <v>24554</v>
      </c>
      <c r="Q63" s="7">
        <v>8340</v>
      </c>
      <c r="R63" s="7">
        <v>10412</v>
      </c>
      <c r="S63" s="7">
        <v>11058</v>
      </c>
      <c r="T63" s="7">
        <v>8469</v>
      </c>
      <c r="U63" s="7">
        <v>4983</v>
      </c>
      <c r="V63" s="7">
        <v>43262</v>
      </c>
      <c r="W63" s="7">
        <v>46753</v>
      </c>
    </row>
    <row r="64" spans="2:69" x14ac:dyDescent="0.2">
      <c r="B64" s="7" t="s">
        <v>16</v>
      </c>
      <c r="C64" s="7">
        <v>907</v>
      </c>
      <c r="D64" s="7">
        <v>1170</v>
      </c>
      <c r="E64" s="7">
        <v>1682</v>
      </c>
      <c r="F64" s="7">
        <v>1682</v>
      </c>
      <c r="G64" s="7">
        <v>1545</v>
      </c>
      <c r="H64" s="7">
        <v>6986</v>
      </c>
      <c r="I64" s="7">
        <v>9140</v>
      </c>
      <c r="J64" s="7">
        <v>1780</v>
      </c>
      <c r="K64" s="7">
        <v>1861</v>
      </c>
      <c r="L64" s="7">
        <v>2400</v>
      </c>
      <c r="M64" s="7">
        <v>2300</v>
      </c>
      <c r="N64" s="7">
        <v>1856</v>
      </c>
      <c r="O64" s="7">
        <v>10197</v>
      </c>
      <c r="P64" s="7">
        <v>12907</v>
      </c>
      <c r="Q64" s="7">
        <v>2687</v>
      </c>
      <c r="R64" s="7">
        <v>3031</v>
      </c>
      <c r="S64" s="7">
        <v>4082</v>
      </c>
      <c r="T64" s="7">
        <v>3982</v>
      </c>
      <c r="U64" s="7">
        <v>3401</v>
      </c>
      <c r="V64" s="7">
        <v>17183</v>
      </c>
      <c r="W64" s="7">
        <v>22047</v>
      </c>
    </row>
    <row r="65" spans="2:23" x14ac:dyDescent="0.2">
      <c r="B65" s="7" t="s">
        <v>17</v>
      </c>
      <c r="C65" s="7">
        <v>1571</v>
      </c>
      <c r="D65" s="7">
        <v>2681</v>
      </c>
      <c r="E65" s="7">
        <v>4054</v>
      </c>
      <c r="F65" s="7">
        <v>4268</v>
      </c>
      <c r="G65" s="7">
        <v>4172</v>
      </c>
      <c r="H65" s="7">
        <v>16746</v>
      </c>
      <c r="I65" s="7">
        <v>22203</v>
      </c>
      <c r="J65" s="7">
        <v>6790</v>
      </c>
      <c r="K65" s="7">
        <v>8389</v>
      </c>
      <c r="L65" s="7">
        <v>9940</v>
      </c>
      <c r="M65" s="7">
        <v>9050</v>
      </c>
      <c r="N65" s="7">
        <v>7187</v>
      </c>
      <c r="O65" s="7">
        <v>41356</v>
      </c>
      <c r="P65" s="7">
        <v>50367</v>
      </c>
      <c r="Q65" s="7">
        <v>8361</v>
      </c>
      <c r="R65" s="7">
        <v>11070</v>
      </c>
      <c r="S65" s="7">
        <v>13994</v>
      </c>
      <c r="T65" s="7">
        <v>13318</v>
      </c>
      <c r="U65" s="7">
        <v>11359</v>
      </c>
      <c r="V65" s="7">
        <v>58102</v>
      </c>
      <c r="W65" s="7">
        <v>72570</v>
      </c>
    </row>
    <row r="66" spans="2:23" x14ac:dyDescent="0.2">
      <c r="B66" s="7" t="s">
        <v>18</v>
      </c>
      <c r="C66" s="7">
        <v>1009</v>
      </c>
      <c r="D66" s="7">
        <v>1408</v>
      </c>
      <c r="E66" s="7">
        <v>1971</v>
      </c>
      <c r="F66" s="7">
        <v>1916</v>
      </c>
      <c r="G66" s="7">
        <v>1644</v>
      </c>
      <c r="H66" s="7">
        <v>7948</v>
      </c>
      <c r="I66" s="7">
        <v>9888</v>
      </c>
      <c r="J66" s="7">
        <v>4397</v>
      </c>
      <c r="K66" s="7">
        <v>4921</v>
      </c>
      <c r="L66" s="7">
        <v>5521</v>
      </c>
      <c r="M66" s="7">
        <v>4750</v>
      </c>
      <c r="N66" s="7">
        <v>3453</v>
      </c>
      <c r="O66" s="7">
        <v>23042</v>
      </c>
      <c r="P66" s="7">
        <v>26692</v>
      </c>
      <c r="Q66" s="7">
        <v>5406</v>
      </c>
      <c r="R66" s="7">
        <v>6329</v>
      </c>
      <c r="S66" s="7">
        <v>7492</v>
      </c>
      <c r="T66" s="7">
        <v>6666</v>
      </c>
      <c r="U66" s="7">
        <v>5097</v>
      </c>
      <c r="V66" s="7">
        <v>30990</v>
      </c>
      <c r="W66" s="7">
        <v>36580</v>
      </c>
    </row>
    <row r="67" spans="2:23" x14ac:dyDescent="0.2">
      <c r="B67" s="7" t="s">
        <v>73</v>
      </c>
      <c r="C67" s="7">
        <v>463</v>
      </c>
      <c r="D67" s="7">
        <v>694</v>
      </c>
      <c r="E67" s="7">
        <v>916</v>
      </c>
      <c r="F67" s="7">
        <v>923</v>
      </c>
      <c r="G67" s="7">
        <v>753</v>
      </c>
      <c r="H67" s="7">
        <v>3749</v>
      </c>
      <c r="I67" s="7">
        <v>4852</v>
      </c>
      <c r="J67" s="7">
        <v>796</v>
      </c>
      <c r="K67" s="7">
        <v>943</v>
      </c>
      <c r="L67" s="7">
        <v>1189</v>
      </c>
      <c r="M67" s="7">
        <v>1040</v>
      </c>
      <c r="N67" s="7">
        <v>747</v>
      </c>
      <c r="O67" s="7">
        <v>4715</v>
      </c>
      <c r="P67" s="7">
        <v>5710</v>
      </c>
      <c r="Q67" s="7">
        <v>1259</v>
      </c>
      <c r="R67" s="7">
        <v>1637</v>
      </c>
      <c r="S67" s="7">
        <v>2105</v>
      </c>
      <c r="T67" s="7">
        <v>1963</v>
      </c>
      <c r="U67" s="7">
        <v>1500</v>
      </c>
      <c r="V67" s="7">
        <v>8464</v>
      </c>
      <c r="W67" s="7">
        <v>10562</v>
      </c>
    </row>
    <row r="68" spans="2:23" x14ac:dyDescent="0.2">
      <c r="B68" s="7" t="s">
        <v>20</v>
      </c>
      <c r="C68" s="7">
        <v>2550</v>
      </c>
      <c r="D68" s="7">
        <v>3014</v>
      </c>
      <c r="E68" s="7">
        <v>3504</v>
      </c>
      <c r="F68" s="7">
        <v>3078</v>
      </c>
      <c r="G68" s="7">
        <v>2216</v>
      </c>
      <c r="H68" s="7">
        <v>14362</v>
      </c>
      <c r="I68" s="7">
        <v>16162</v>
      </c>
      <c r="J68" s="7">
        <v>8873</v>
      </c>
      <c r="K68" s="7">
        <v>8819</v>
      </c>
      <c r="L68" s="7">
        <v>8891</v>
      </c>
      <c r="M68" s="7">
        <v>6271</v>
      </c>
      <c r="N68" s="7">
        <v>3465</v>
      </c>
      <c r="O68" s="7">
        <v>36319</v>
      </c>
      <c r="P68" s="7">
        <v>38743</v>
      </c>
      <c r="Q68" s="7">
        <v>11423</v>
      </c>
      <c r="R68" s="7">
        <v>11833</v>
      </c>
      <c r="S68" s="7">
        <v>12395</v>
      </c>
      <c r="T68" s="7">
        <v>9349</v>
      </c>
      <c r="U68" s="7">
        <v>5681</v>
      </c>
      <c r="V68" s="7">
        <v>50681</v>
      </c>
      <c r="W68" s="7">
        <v>54905</v>
      </c>
    </row>
    <row r="69" spans="2:23" x14ac:dyDescent="0.2">
      <c r="B69" s="7" t="s">
        <v>21</v>
      </c>
      <c r="C69" s="7">
        <v>699</v>
      </c>
      <c r="D69" s="7">
        <v>1178</v>
      </c>
      <c r="E69" s="7">
        <v>1463</v>
      </c>
      <c r="F69" s="7">
        <v>1169</v>
      </c>
      <c r="G69" s="7">
        <v>604</v>
      </c>
      <c r="H69" s="7">
        <v>5113</v>
      </c>
      <c r="I69" s="7">
        <v>5350</v>
      </c>
      <c r="J69" s="7">
        <v>1845</v>
      </c>
      <c r="K69" s="7">
        <v>2796</v>
      </c>
      <c r="L69" s="7">
        <v>3015</v>
      </c>
      <c r="M69" s="7">
        <v>2103</v>
      </c>
      <c r="N69" s="7">
        <v>872</v>
      </c>
      <c r="O69" s="7">
        <v>10631</v>
      </c>
      <c r="P69" s="7">
        <v>10983</v>
      </c>
      <c r="Q69" s="7">
        <v>2544</v>
      </c>
      <c r="R69" s="7">
        <v>3974</v>
      </c>
      <c r="S69" s="7">
        <v>4478</v>
      </c>
      <c r="T69" s="7">
        <v>3272</v>
      </c>
      <c r="U69" s="7">
        <v>1476</v>
      </c>
      <c r="V69" s="7">
        <v>15744</v>
      </c>
      <c r="W69" s="7">
        <v>16333</v>
      </c>
    </row>
    <row r="70" spans="2:23" x14ac:dyDescent="0.2">
      <c r="B70" s="7" t="s">
        <v>22</v>
      </c>
      <c r="C70" s="7">
        <v>3816</v>
      </c>
      <c r="D70" s="7">
        <v>5362</v>
      </c>
      <c r="E70" s="7">
        <v>6940</v>
      </c>
      <c r="F70" s="7">
        <v>6432</v>
      </c>
      <c r="G70" s="7">
        <v>3751</v>
      </c>
      <c r="H70" s="7">
        <v>26301</v>
      </c>
      <c r="I70" s="7">
        <v>27809</v>
      </c>
      <c r="J70" s="7">
        <v>9820</v>
      </c>
      <c r="K70" s="7">
        <v>12988</v>
      </c>
      <c r="L70" s="7">
        <v>16517</v>
      </c>
      <c r="M70" s="7">
        <v>13854</v>
      </c>
      <c r="N70" s="7">
        <v>7030</v>
      </c>
      <c r="O70" s="7">
        <v>60209</v>
      </c>
      <c r="P70" s="7">
        <v>62671</v>
      </c>
      <c r="Q70" s="7">
        <v>13636</v>
      </c>
      <c r="R70" s="7">
        <v>18350</v>
      </c>
      <c r="S70" s="7">
        <v>23457</v>
      </c>
      <c r="T70" s="7">
        <v>20286</v>
      </c>
      <c r="U70" s="7">
        <v>10781</v>
      </c>
      <c r="V70" s="7">
        <v>86510</v>
      </c>
      <c r="W70" s="7">
        <v>90480</v>
      </c>
    </row>
    <row r="71" spans="2:23" x14ac:dyDescent="0.2">
      <c r="B71" s="7" t="s">
        <v>61</v>
      </c>
      <c r="C71" s="7">
        <v>1112</v>
      </c>
      <c r="D71" s="7">
        <v>2590</v>
      </c>
      <c r="E71" s="7">
        <v>3826</v>
      </c>
      <c r="F71" s="7">
        <v>3377</v>
      </c>
      <c r="G71" s="7">
        <v>1889</v>
      </c>
      <c r="H71" s="7">
        <v>12794</v>
      </c>
      <c r="I71" s="7">
        <v>14110</v>
      </c>
      <c r="J71" s="7">
        <v>2352</v>
      </c>
      <c r="K71" s="7">
        <v>4208</v>
      </c>
      <c r="L71" s="7">
        <v>4889</v>
      </c>
      <c r="M71" s="7">
        <v>3426</v>
      </c>
      <c r="N71" s="7">
        <v>1772</v>
      </c>
      <c r="O71" s="7">
        <v>16647</v>
      </c>
      <c r="P71" s="7">
        <v>17708</v>
      </c>
      <c r="Q71" s="7">
        <v>3464</v>
      </c>
      <c r="R71" s="7">
        <v>6798</v>
      </c>
      <c r="S71" s="7">
        <v>8715</v>
      </c>
      <c r="T71" s="7">
        <v>6803</v>
      </c>
      <c r="U71" s="7">
        <v>3661</v>
      </c>
      <c r="V71" s="7">
        <v>29441</v>
      </c>
      <c r="W71" s="7">
        <v>31818</v>
      </c>
    </row>
    <row r="72" spans="2:23" x14ac:dyDescent="0.2">
      <c r="B72" s="7" t="s">
        <v>23</v>
      </c>
      <c r="C72" s="7">
        <v>508</v>
      </c>
      <c r="D72" s="7">
        <v>1461</v>
      </c>
      <c r="E72" s="7">
        <v>2170</v>
      </c>
      <c r="F72" s="7">
        <v>1351</v>
      </c>
      <c r="G72" s="7">
        <v>552</v>
      </c>
      <c r="H72" s="7">
        <v>6042</v>
      </c>
      <c r="I72" s="7">
        <v>6433</v>
      </c>
      <c r="J72" s="7">
        <v>984</v>
      </c>
      <c r="K72" s="7">
        <v>2162</v>
      </c>
      <c r="L72" s="7">
        <v>2586</v>
      </c>
      <c r="M72" s="7">
        <v>1475</v>
      </c>
      <c r="N72" s="7">
        <v>552</v>
      </c>
      <c r="O72" s="7">
        <v>7759</v>
      </c>
      <c r="P72" s="7">
        <v>8129</v>
      </c>
      <c r="Q72" s="7">
        <v>1492</v>
      </c>
      <c r="R72" s="7">
        <v>3623</v>
      </c>
      <c r="S72" s="7">
        <v>4756</v>
      </c>
      <c r="T72" s="7">
        <v>2826</v>
      </c>
      <c r="U72" s="7">
        <v>1104</v>
      </c>
      <c r="V72" s="7">
        <v>13801</v>
      </c>
      <c r="W72" s="7">
        <v>14562</v>
      </c>
    </row>
    <row r="73" spans="2:23" x14ac:dyDescent="0.2">
      <c r="B73" s="7" t="s">
        <v>24</v>
      </c>
      <c r="C73" s="7">
        <v>1100</v>
      </c>
      <c r="D73" s="7">
        <v>836</v>
      </c>
      <c r="E73" s="7">
        <v>753</v>
      </c>
      <c r="F73" s="7">
        <v>610</v>
      </c>
      <c r="G73" s="7">
        <v>420</v>
      </c>
      <c r="H73" s="7">
        <v>3719</v>
      </c>
      <c r="I73" s="7">
        <v>4025</v>
      </c>
      <c r="J73" s="7">
        <v>2591</v>
      </c>
      <c r="K73" s="7">
        <v>1999</v>
      </c>
      <c r="L73" s="7">
        <v>1921</v>
      </c>
      <c r="M73" s="7">
        <v>1519</v>
      </c>
      <c r="N73" s="7">
        <v>1103</v>
      </c>
      <c r="O73" s="7">
        <v>9133</v>
      </c>
      <c r="P73" s="7">
        <v>10001</v>
      </c>
      <c r="Q73" s="7">
        <v>3691</v>
      </c>
      <c r="R73" s="7">
        <v>2835</v>
      </c>
      <c r="S73" s="7">
        <v>2674</v>
      </c>
      <c r="T73" s="7">
        <v>2129</v>
      </c>
      <c r="U73" s="7">
        <v>1523</v>
      </c>
      <c r="V73" s="7">
        <v>12852</v>
      </c>
      <c r="W73" s="7">
        <v>14026</v>
      </c>
    </row>
    <row r="74" spans="2:23" x14ac:dyDescent="0.2">
      <c r="B74" s="7" t="s">
        <v>25</v>
      </c>
      <c r="C74" s="7">
        <v>532</v>
      </c>
      <c r="D74" s="7">
        <v>370</v>
      </c>
      <c r="E74" s="7">
        <v>436</v>
      </c>
      <c r="F74" s="7">
        <v>359</v>
      </c>
      <c r="G74" s="7">
        <v>249</v>
      </c>
      <c r="H74" s="7">
        <v>1946</v>
      </c>
      <c r="I74" s="7">
        <v>2122</v>
      </c>
      <c r="J74" s="7">
        <v>859</v>
      </c>
      <c r="K74" s="7">
        <v>678</v>
      </c>
      <c r="L74" s="7">
        <v>744</v>
      </c>
      <c r="M74" s="7">
        <v>590</v>
      </c>
      <c r="N74" s="7">
        <v>433</v>
      </c>
      <c r="O74" s="7">
        <v>3304</v>
      </c>
      <c r="P74" s="7">
        <v>3569</v>
      </c>
      <c r="Q74" s="7">
        <v>1391</v>
      </c>
      <c r="R74" s="7">
        <v>1048</v>
      </c>
      <c r="S74" s="7">
        <v>1180</v>
      </c>
      <c r="T74" s="7">
        <v>949</v>
      </c>
      <c r="U74" s="7">
        <v>682</v>
      </c>
      <c r="V74" s="7">
        <v>5250</v>
      </c>
      <c r="W74" s="7">
        <v>5691</v>
      </c>
    </row>
    <row r="75" spans="2:23" x14ac:dyDescent="0.2">
      <c r="B75" s="7" t="s">
        <v>26</v>
      </c>
      <c r="C75" s="7">
        <v>469</v>
      </c>
      <c r="D75" s="7">
        <v>451</v>
      </c>
      <c r="E75" s="7">
        <v>436</v>
      </c>
      <c r="F75" s="7">
        <v>316</v>
      </c>
      <c r="G75" s="7">
        <v>230</v>
      </c>
      <c r="H75" s="7">
        <v>1902</v>
      </c>
      <c r="I75" s="7">
        <v>2093</v>
      </c>
      <c r="J75" s="7">
        <v>987</v>
      </c>
      <c r="K75" s="7">
        <v>940</v>
      </c>
      <c r="L75" s="7">
        <v>1047</v>
      </c>
      <c r="M75" s="7">
        <v>805</v>
      </c>
      <c r="N75" s="7">
        <v>558</v>
      </c>
      <c r="O75" s="7">
        <v>4337</v>
      </c>
      <c r="P75" s="7">
        <v>4786</v>
      </c>
      <c r="Q75" s="7">
        <v>1456</v>
      </c>
      <c r="R75" s="7">
        <v>1391</v>
      </c>
      <c r="S75" s="7">
        <v>1483</v>
      </c>
      <c r="T75" s="7">
        <v>1121</v>
      </c>
      <c r="U75" s="7">
        <v>788</v>
      </c>
      <c r="V75" s="7">
        <v>6239</v>
      </c>
      <c r="W75" s="7">
        <v>6879</v>
      </c>
    </row>
    <row r="76" spans="2:23" x14ac:dyDescent="0.2">
      <c r="B76" s="7" t="s">
        <v>74</v>
      </c>
      <c r="C76" s="7">
        <v>739</v>
      </c>
      <c r="D76" s="7">
        <v>316</v>
      </c>
      <c r="E76" s="7">
        <v>149</v>
      </c>
      <c r="F76" s="7">
        <v>94</v>
      </c>
      <c r="G76" s="7">
        <v>60</v>
      </c>
      <c r="H76" s="7">
        <v>1358</v>
      </c>
      <c r="I76" s="7">
        <v>1456</v>
      </c>
      <c r="J76" s="7">
        <v>1054</v>
      </c>
      <c r="K76" s="7">
        <v>395</v>
      </c>
      <c r="L76" s="7">
        <v>260</v>
      </c>
      <c r="M76" s="7">
        <v>164</v>
      </c>
      <c r="N76" s="7">
        <v>109</v>
      </c>
      <c r="O76" s="7">
        <v>1982</v>
      </c>
      <c r="P76" s="7">
        <v>2078</v>
      </c>
      <c r="Q76" s="7">
        <v>1793</v>
      </c>
      <c r="R76" s="7">
        <v>711</v>
      </c>
      <c r="S76" s="7">
        <v>409</v>
      </c>
      <c r="T76" s="7">
        <v>258</v>
      </c>
      <c r="U76" s="7">
        <v>169</v>
      </c>
      <c r="V76" s="7">
        <v>3340</v>
      </c>
      <c r="W76" s="7">
        <v>3534</v>
      </c>
    </row>
    <row r="77" spans="2:23" x14ac:dyDescent="0.2">
      <c r="B77" s="7" t="s">
        <v>28</v>
      </c>
      <c r="C77" s="7">
        <v>673</v>
      </c>
      <c r="D77" s="7">
        <v>532</v>
      </c>
      <c r="E77" s="7">
        <v>525</v>
      </c>
      <c r="F77" s="7">
        <v>445</v>
      </c>
      <c r="G77" s="7">
        <v>272</v>
      </c>
      <c r="H77" s="7">
        <v>2447</v>
      </c>
      <c r="I77" s="7">
        <v>2669</v>
      </c>
      <c r="J77" s="7">
        <v>1043</v>
      </c>
      <c r="K77" s="7">
        <v>734</v>
      </c>
      <c r="L77" s="7">
        <v>651</v>
      </c>
      <c r="M77" s="7">
        <v>456</v>
      </c>
      <c r="N77" s="7">
        <v>286</v>
      </c>
      <c r="O77" s="7">
        <v>3170</v>
      </c>
      <c r="P77" s="7">
        <v>3365</v>
      </c>
      <c r="Q77" s="7">
        <v>1716</v>
      </c>
      <c r="R77" s="7">
        <v>1266</v>
      </c>
      <c r="S77" s="7">
        <v>1176</v>
      </c>
      <c r="T77" s="7">
        <v>901</v>
      </c>
      <c r="U77" s="7">
        <v>558</v>
      </c>
      <c r="V77" s="7">
        <v>5617</v>
      </c>
      <c r="W77" s="7">
        <v>6034</v>
      </c>
    </row>
    <row r="78" spans="2:23" x14ac:dyDescent="0.2">
      <c r="B78" s="7" t="s">
        <v>29</v>
      </c>
      <c r="C78" s="7">
        <v>1190</v>
      </c>
      <c r="D78" s="7">
        <v>1310</v>
      </c>
      <c r="E78" s="7">
        <v>1359</v>
      </c>
      <c r="F78" s="7">
        <v>1152</v>
      </c>
      <c r="G78" s="7">
        <v>779</v>
      </c>
      <c r="H78" s="7">
        <v>5790</v>
      </c>
      <c r="I78" s="7">
        <v>6487</v>
      </c>
      <c r="J78" s="7">
        <v>2906</v>
      </c>
      <c r="K78" s="7">
        <v>2915</v>
      </c>
      <c r="L78" s="7">
        <v>2801</v>
      </c>
      <c r="M78" s="7">
        <v>2176</v>
      </c>
      <c r="N78" s="7">
        <v>1413</v>
      </c>
      <c r="O78" s="7">
        <v>12211</v>
      </c>
      <c r="P78" s="7">
        <v>13264</v>
      </c>
      <c r="Q78" s="7">
        <v>4096</v>
      </c>
      <c r="R78" s="7">
        <v>4225</v>
      </c>
      <c r="S78" s="7">
        <v>4160</v>
      </c>
      <c r="T78" s="7">
        <v>3328</v>
      </c>
      <c r="U78" s="7">
        <v>2192</v>
      </c>
      <c r="V78" s="7">
        <v>18001</v>
      </c>
      <c r="W78" s="7">
        <v>19751</v>
      </c>
    </row>
    <row r="79" spans="2:23" x14ac:dyDescent="0.2">
      <c r="B79" s="7" t="s">
        <v>30</v>
      </c>
      <c r="C79" s="7">
        <v>862</v>
      </c>
      <c r="D79" s="7">
        <v>1235</v>
      </c>
      <c r="E79" s="7">
        <v>1535</v>
      </c>
      <c r="F79" s="7">
        <v>1456</v>
      </c>
      <c r="G79" s="7">
        <v>1083</v>
      </c>
      <c r="H79" s="7">
        <v>6171</v>
      </c>
      <c r="I79" s="7">
        <v>6854</v>
      </c>
      <c r="J79" s="7">
        <v>637</v>
      </c>
      <c r="K79" s="7">
        <v>823</v>
      </c>
      <c r="L79" s="7">
        <v>887</v>
      </c>
      <c r="M79" s="7">
        <v>729</v>
      </c>
      <c r="N79" s="7">
        <v>486</v>
      </c>
      <c r="O79" s="7">
        <v>3562</v>
      </c>
      <c r="P79" s="7">
        <v>3834</v>
      </c>
      <c r="Q79" s="7">
        <v>1499</v>
      </c>
      <c r="R79" s="7">
        <v>2058</v>
      </c>
      <c r="S79" s="7">
        <v>2422</v>
      </c>
      <c r="T79" s="7">
        <v>2185</v>
      </c>
      <c r="U79" s="7">
        <v>1569</v>
      </c>
      <c r="V79" s="7">
        <v>9733</v>
      </c>
      <c r="W79" s="7">
        <v>10688</v>
      </c>
    </row>
    <row r="80" spans="2:23" x14ac:dyDescent="0.2">
      <c r="B80" s="7" t="s">
        <v>31</v>
      </c>
      <c r="C80" s="7">
        <v>1320</v>
      </c>
      <c r="D80" s="7">
        <v>1878</v>
      </c>
      <c r="E80" s="7">
        <v>2900</v>
      </c>
      <c r="F80" s="7">
        <v>3655</v>
      </c>
      <c r="G80" s="7">
        <v>3653</v>
      </c>
      <c r="H80" s="7">
        <v>13406</v>
      </c>
      <c r="I80" s="7">
        <v>16043</v>
      </c>
      <c r="J80" s="7">
        <v>1647</v>
      </c>
      <c r="K80" s="7">
        <v>1807</v>
      </c>
      <c r="L80" s="7">
        <v>2170</v>
      </c>
      <c r="M80" s="7">
        <v>1981</v>
      </c>
      <c r="N80" s="7">
        <v>1721</v>
      </c>
      <c r="O80" s="7">
        <v>9326</v>
      </c>
      <c r="P80" s="7">
        <v>10657</v>
      </c>
      <c r="Q80" s="7">
        <v>2967</v>
      </c>
      <c r="R80" s="7">
        <v>3685</v>
      </c>
      <c r="S80" s="7">
        <v>5070</v>
      </c>
      <c r="T80" s="7">
        <v>5636</v>
      </c>
      <c r="U80" s="7">
        <v>5374</v>
      </c>
      <c r="V80" s="7">
        <v>22732</v>
      </c>
      <c r="W80" s="7">
        <v>26700</v>
      </c>
    </row>
    <row r="81" spans="2:23" x14ac:dyDescent="0.2">
      <c r="B81" s="7" t="s">
        <v>32</v>
      </c>
      <c r="C81" s="7">
        <v>3592</v>
      </c>
      <c r="D81" s="7">
        <v>5273</v>
      </c>
      <c r="E81" s="7">
        <v>7726</v>
      </c>
      <c r="F81" s="7">
        <v>8562</v>
      </c>
      <c r="G81" s="7">
        <v>8092</v>
      </c>
      <c r="H81" s="7">
        <v>33245</v>
      </c>
      <c r="I81" s="7">
        <v>42829</v>
      </c>
      <c r="J81" s="7">
        <v>4728</v>
      </c>
      <c r="K81" s="7">
        <v>6751</v>
      </c>
      <c r="L81" s="7">
        <v>9124</v>
      </c>
      <c r="M81" s="7">
        <v>9830</v>
      </c>
      <c r="N81" s="7">
        <v>8865</v>
      </c>
      <c r="O81" s="7">
        <v>39298</v>
      </c>
      <c r="P81" s="7">
        <v>48662</v>
      </c>
      <c r="Q81" s="7">
        <v>8320</v>
      </c>
      <c r="R81" s="7">
        <v>12024</v>
      </c>
      <c r="S81" s="7">
        <v>16850</v>
      </c>
      <c r="T81" s="7">
        <v>18392</v>
      </c>
      <c r="U81" s="7">
        <v>16957</v>
      </c>
      <c r="V81" s="7">
        <v>72543</v>
      </c>
      <c r="W81" s="7">
        <v>91491</v>
      </c>
    </row>
    <row r="82" spans="2:23" x14ac:dyDescent="0.2">
      <c r="B82" s="7" t="s">
        <v>54</v>
      </c>
      <c r="C82" s="7">
        <v>64137</v>
      </c>
      <c r="D82" s="7">
        <v>71096</v>
      </c>
      <c r="E82" s="7">
        <v>87045</v>
      </c>
      <c r="F82" s="7">
        <v>83312</v>
      </c>
      <c r="G82" s="7">
        <v>67609</v>
      </c>
      <c r="H82" s="7">
        <v>373199</v>
      </c>
      <c r="I82" s="7">
        <v>444669</v>
      </c>
      <c r="J82" s="7">
        <v>90591</v>
      </c>
      <c r="K82" s="7">
        <v>97542</v>
      </c>
      <c r="L82" s="7">
        <v>109833</v>
      </c>
      <c r="M82" s="7">
        <v>93944</v>
      </c>
      <c r="N82" s="7">
        <v>66482</v>
      </c>
      <c r="O82" s="7">
        <v>458392</v>
      </c>
      <c r="P82" s="7">
        <v>522188</v>
      </c>
      <c r="Q82" s="7">
        <v>154728</v>
      </c>
      <c r="R82" s="7">
        <v>168638</v>
      </c>
      <c r="S82" s="7">
        <v>196878</v>
      </c>
      <c r="T82" s="7">
        <v>177256</v>
      </c>
      <c r="U82" s="7">
        <v>134091</v>
      </c>
      <c r="V82" s="7">
        <v>831591</v>
      </c>
      <c r="W82" s="7">
        <v>966857</v>
      </c>
    </row>
  </sheetData>
  <phoneticPr fontId="3"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3:BQ82"/>
  <sheetViews>
    <sheetView showGridLines="0" topLeftCell="A28" workbookViewId="0">
      <selection activeCell="C69" sqref="C69"/>
    </sheetView>
  </sheetViews>
  <sheetFormatPr defaultColWidth="9.140625" defaultRowHeight="11.25" x14ac:dyDescent="0.2"/>
  <cols>
    <col min="1" max="1" width="9.140625" style="7"/>
    <col min="2" max="2" width="26.42578125" style="7" bestFit="1" customWidth="1"/>
    <col min="3" max="16384" width="9.140625" style="7"/>
  </cols>
  <sheetData>
    <row r="3" spans="1:69" x14ac:dyDescent="0.2">
      <c r="C3" s="2" t="s">
        <v>39</v>
      </c>
      <c r="D3" s="3"/>
      <c r="E3" s="3"/>
      <c r="F3" s="3"/>
      <c r="G3" s="3"/>
      <c r="H3" s="3"/>
      <c r="I3" s="3"/>
      <c r="J3" s="2" t="s">
        <v>40</v>
      </c>
      <c r="K3" s="3"/>
      <c r="L3" s="3"/>
      <c r="M3" s="3"/>
      <c r="N3" s="3"/>
      <c r="O3" s="3"/>
      <c r="P3" s="3"/>
      <c r="Q3" s="2" t="s">
        <v>54</v>
      </c>
      <c r="R3" s="3"/>
      <c r="S3" s="3"/>
      <c r="T3" s="3"/>
      <c r="U3" s="3"/>
      <c r="V3" s="3"/>
      <c r="W3" s="3"/>
    </row>
    <row r="4" spans="1:69" x14ac:dyDescent="0.2">
      <c r="C4" s="2" t="s">
        <v>33</v>
      </c>
      <c r="D4" s="2" t="s">
        <v>34</v>
      </c>
      <c r="E4" s="2" t="s">
        <v>35</v>
      </c>
      <c r="F4" s="2" t="s">
        <v>36</v>
      </c>
      <c r="G4" s="2" t="s">
        <v>37</v>
      </c>
      <c r="H4" s="2" t="s">
        <v>47</v>
      </c>
      <c r="I4" s="2" t="s">
        <v>58</v>
      </c>
      <c r="J4" s="2" t="s">
        <v>33</v>
      </c>
      <c r="K4" s="2" t="s">
        <v>34</v>
      </c>
      <c r="L4" s="2" t="s">
        <v>35</v>
      </c>
      <c r="M4" s="2" t="s">
        <v>36</v>
      </c>
      <c r="N4" s="2" t="s">
        <v>37</v>
      </c>
      <c r="O4" s="2" t="s">
        <v>47</v>
      </c>
      <c r="P4" s="2" t="s">
        <v>58</v>
      </c>
      <c r="Q4" s="2" t="s">
        <v>33</v>
      </c>
      <c r="R4" s="2" t="s">
        <v>34</v>
      </c>
      <c r="S4" s="2" t="s">
        <v>35</v>
      </c>
      <c r="T4" s="2" t="s">
        <v>36</v>
      </c>
      <c r="U4" s="2" t="s">
        <v>37</v>
      </c>
      <c r="V4" s="3" t="s">
        <v>47</v>
      </c>
      <c r="W4" s="3" t="s">
        <v>58</v>
      </c>
      <c r="Y4" s="73"/>
      <c r="Z4" s="105"/>
      <c r="AA4" s="105"/>
      <c r="AB4" s="105"/>
      <c r="AC4" s="105"/>
      <c r="AD4" s="105"/>
      <c r="AE4" s="105"/>
      <c r="AF4" s="105"/>
      <c r="AG4" s="105"/>
      <c r="AH4" s="105"/>
      <c r="AI4" s="105"/>
      <c r="AJ4" s="105"/>
      <c r="AK4" s="105"/>
      <c r="AL4" s="105"/>
      <c r="AM4" s="105"/>
      <c r="AN4" s="105"/>
      <c r="AO4" s="105"/>
      <c r="AP4" s="105"/>
      <c r="AQ4" s="105"/>
      <c r="AR4" s="105"/>
      <c r="AS4" s="106"/>
      <c r="AT4" s="106"/>
      <c r="AV4" s="78"/>
      <c r="AW4" s="109"/>
      <c r="AX4" s="109"/>
      <c r="AY4" s="109"/>
      <c r="AZ4" s="109"/>
      <c r="BA4" s="109"/>
      <c r="BB4" s="109"/>
      <c r="BC4" s="109"/>
      <c r="BD4" s="109"/>
      <c r="BE4" s="109"/>
      <c r="BF4" s="109"/>
      <c r="BG4" s="109"/>
      <c r="BH4" s="109"/>
      <c r="BI4" s="109"/>
      <c r="BJ4" s="109"/>
      <c r="BK4" s="109"/>
      <c r="BL4" s="109"/>
      <c r="BM4" s="109"/>
      <c r="BN4" s="109"/>
      <c r="BO4" s="109"/>
      <c r="BP4" s="110"/>
      <c r="BQ4" s="110"/>
    </row>
    <row r="5" spans="1:69" x14ac:dyDescent="0.2">
      <c r="Y5" s="73"/>
      <c r="Z5" s="73"/>
      <c r="AA5" s="73"/>
      <c r="AB5" s="73"/>
      <c r="AC5" s="73"/>
      <c r="AD5" s="73"/>
      <c r="AE5" s="73"/>
      <c r="AF5" s="73"/>
      <c r="AG5" s="73"/>
      <c r="AH5" s="73"/>
      <c r="AI5" s="73"/>
      <c r="AJ5" s="73"/>
      <c r="AK5" s="73"/>
      <c r="AL5" s="73"/>
      <c r="AM5" s="73"/>
      <c r="AN5" s="73"/>
      <c r="AO5" s="73"/>
      <c r="AP5" s="73"/>
      <c r="AQ5" s="73"/>
      <c r="AR5" s="73"/>
      <c r="AS5" s="73"/>
      <c r="AT5" s="73"/>
      <c r="AV5" s="78"/>
      <c r="AW5" s="78"/>
      <c r="AX5" s="78"/>
      <c r="AY5" s="78"/>
      <c r="AZ5" s="78"/>
      <c r="BA5" s="78"/>
      <c r="BB5" s="78"/>
      <c r="BC5" s="78"/>
      <c r="BD5" s="78"/>
      <c r="BE5" s="78"/>
      <c r="BF5" s="78"/>
      <c r="BG5" s="78"/>
      <c r="BH5" s="78"/>
      <c r="BI5" s="78"/>
      <c r="BJ5" s="78"/>
      <c r="BK5" s="78"/>
      <c r="BL5" s="78"/>
      <c r="BM5" s="78"/>
      <c r="BN5" s="78"/>
      <c r="BO5" s="78"/>
      <c r="BP5" s="78"/>
      <c r="BQ5" s="78"/>
    </row>
    <row r="6" spans="1:69" x14ac:dyDescent="0.2">
      <c r="A6" s="2"/>
      <c r="B6" s="17" t="s">
        <v>0</v>
      </c>
      <c r="C6" s="87">
        <f>IF(OR(C48=1,C48=2),"x",ROUND(C48/$I48*100,1))</f>
        <v>13.7</v>
      </c>
      <c r="D6" s="87">
        <f t="shared" ref="D6:H6" si="0">IF(OR(D48=1,D48=2),"x",ROUND(D48/$I48*100,1))</f>
        <v>14.9</v>
      </c>
      <c r="E6" s="87">
        <f t="shared" si="0"/>
        <v>17.100000000000001</v>
      </c>
      <c r="F6" s="87">
        <f t="shared" si="0"/>
        <v>16.8</v>
      </c>
      <c r="G6" s="87">
        <f t="shared" si="0"/>
        <v>16.399999999999999</v>
      </c>
      <c r="H6" s="87">
        <f t="shared" si="0"/>
        <v>79</v>
      </c>
      <c r="I6" s="66">
        <f>ROUND(I48,0)</f>
        <v>29446</v>
      </c>
      <c r="J6" s="87">
        <f>IF(OR(J48=1,J48=2),"x",ROUND(J48/$P48*100,1))</f>
        <v>16.899999999999999</v>
      </c>
      <c r="K6" s="87">
        <f t="shared" ref="K6:O6" si="1">IF(OR(K48=1,K48=2),"x",ROUND(K48/$P48*100,1))</f>
        <v>16.8</v>
      </c>
      <c r="L6" s="87">
        <f t="shared" si="1"/>
        <v>17.600000000000001</v>
      </c>
      <c r="M6" s="87">
        <f t="shared" si="1"/>
        <v>16.399999999999999</v>
      </c>
      <c r="N6" s="87">
        <f t="shared" si="1"/>
        <v>14.7</v>
      </c>
      <c r="O6" s="87">
        <f t="shared" si="1"/>
        <v>82.4</v>
      </c>
      <c r="P6" s="66">
        <f>ROUND(P48,0)</f>
        <v>37177</v>
      </c>
      <c r="Q6" s="87">
        <f>IF(OR(Q48=1,Q48=2),"x",ROUND(Q48/$W48*100,1))</f>
        <v>15.5</v>
      </c>
      <c r="R6" s="87">
        <f t="shared" ref="R6:V6" si="2">IF(OR(R48=1,R48=2),"x",ROUND(R48/$W48*100,1))</f>
        <v>16</v>
      </c>
      <c r="S6" s="87">
        <f t="shared" si="2"/>
        <v>17.399999999999999</v>
      </c>
      <c r="T6" s="87">
        <f t="shared" si="2"/>
        <v>16.600000000000001</v>
      </c>
      <c r="U6" s="87">
        <f t="shared" si="2"/>
        <v>15.5</v>
      </c>
      <c r="V6" s="87">
        <f t="shared" si="2"/>
        <v>80.900000000000006</v>
      </c>
      <c r="W6" s="66">
        <f>ROUND(W48,0)</f>
        <v>66623</v>
      </c>
      <c r="X6" s="6"/>
      <c r="Y6" s="107"/>
      <c r="Z6" s="92"/>
      <c r="AA6" s="92"/>
      <c r="AB6" s="92"/>
      <c r="AC6" s="92"/>
      <c r="AD6" s="92"/>
      <c r="AE6" s="92"/>
      <c r="AF6" s="75"/>
      <c r="AG6" s="92"/>
      <c r="AH6" s="92"/>
      <c r="AI6" s="92"/>
      <c r="AJ6" s="92"/>
      <c r="AK6" s="92"/>
      <c r="AL6" s="92"/>
      <c r="AM6" s="75"/>
      <c r="AN6" s="92"/>
      <c r="AO6" s="92"/>
      <c r="AP6" s="92"/>
      <c r="AQ6" s="92"/>
      <c r="AR6" s="92"/>
      <c r="AS6" s="92"/>
      <c r="AT6" s="75"/>
      <c r="AV6" s="111"/>
      <c r="AW6" s="89"/>
      <c r="AX6" s="89"/>
      <c r="AY6" s="89"/>
      <c r="AZ6" s="89"/>
      <c r="BA6" s="89"/>
      <c r="BB6" s="89"/>
      <c r="BC6" s="89"/>
      <c r="BD6" s="89"/>
      <c r="BE6" s="89"/>
      <c r="BF6" s="89"/>
      <c r="BG6" s="89"/>
      <c r="BH6" s="89"/>
      <c r="BI6" s="89"/>
      <c r="BJ6" s="89"/>
      <c r="BK6" s="89"/>
      <c r="BL6" s="89"/>
      <c r="BM6" s="89"/>
      <c r="BN6" s="89"/>
      <c r="BO6" s="89"/>
      <c r="BP6" s="89"/>
      <c r="BQ6" s="89"/>
    </row>
    <row r="7" spans="1:69" x14ac:dyDescent="0.2">
      <c r="B7" s="17" t="s">
        <v>1</v>
      </c>
      <c r="C7" s="87">
        <f t="shared" ref="C7:H22" si="3">IF(OR(C49=1,C49=2),"x",ROUND(C49/$I49*100,1))</f>
        <v>18.3</v>
      </c>
      <c r="D7" s="87">
        <f t="shared" si="3"/>
        <v>17</v>
      </c>
      <c r="E7" s="87">
        <f t="shared" si="3"/>
        <v>17.600000000000001</v>
      </c>
      <c r="F7" s="87">
        <f t="shared" si="3"/>
        <v>16.100000000000001</v>
      </c>
      <c r="G7" s="87">
        <f t="shared" si="3"/>
        <v>14.3</v>
      </c>
      <c r="H7" s="87">
        <f t="shared" si="3"/>
        <v>83.3</v>
      </c>
      <c r="I7" s="66">
        <f t="shared" ref="I7:I40" si="4">ROUND(I49,0)</f>
        <v>25986</v>
      </c>
      <c r="J7" s="87">
        <f t="shared" ref="J7:O22" si="5">IF(OR(J49=1,J49=2),"x",ROUND(J49/$P49*100,1))</f>
        <v>17.899999999999999</v>
      </c>
      <c r="K7" s="87">
        <f t="shared" si="5"/>
        <v>18.2</v>
      </c>
      <c r="L7" s="87">
        <f t="shared" si="5"/>
        <v>18.5</v>
      </c>
      <c r="M7" s="87">
        <f t="shared" si="5"/>
        <v>16</v>
      </c>
      <c r="N7" s="87">
        <f t="shared" si="5"/>
        <v>13.5</v>
      </c>
      <c r="O7" s="87">
        <f t="shared" si="5"/>
        <v>84</v>
      </c>
      <c r="P7" s="66">
        <f t="shared" ref="P7:P40" si="6">ROUND(P49,0)</f>
        <v>23457</v>
      </c>
      <c r="Q7" s="87">
        <f t="shared" ref="Q7:V22" si="7">IF(OR(Q49=1,Q49=2),"x",ROUND(Q49/$W49*100,1))</f>
        <v>18.100000000000001</v>
      </c>
      <c r="R7" s="87">
        <f t="shared" si="7"/>
        <v>17.5</v>
      </c>
      <c r="S7" s="87">
        <f t="shared" si="7"/>
        <v>18</v>
      </c>
      <c r="T7" s="87">
        <f t="shared" si="7"/>
        <v>16</v>
      </c>
      <c r="U7" s="87">
        <f t="shared" si="7"/>
        <v>13.9</v>
      </c>
      <c r="V7" s="87">
        <f t="shared" si="7"/>
        <v>83.6</v>
      </c>
      <c r="W7" s="66">
        <f t="shared" ref="W7:W40" si="8">ROUND(W49,0)</f>
        <v>49443</v>
      </c>
      <c r="X7" s="6"/>
      <c r="Y7" s="107"/>
      <c r="Z7" s="92"/>
      <c r="AA7" s="92"/>
      <c r="AB7" s="92"/>
      <c r="AC7" s="92"/>
      <c r="AD7" s="92"/>
      <c r="AE7" s="92"/>
      <c r="AF7" s="75"/>
      <c r="AG7" s="92"/>
      <c r="AH7" s="92"/>
      <c r="AI7" s="92"/>
      <c r="AJ7" s="92"/>
      <c r="AK7" s="92"/>
      <c r="AL7" s="92"/>
      <c r="AM7" s="75"/>
      <c r="AN7" s="92"/>
      <c r="AO7" s="92"/>
      <c r="AP7" s="92"/>
      <c r="AQ7" s="92"/>
      <c r="AR7" s="92"/>
      <c r="AS7" s="92"/>
      <c r="AT7" s="75"/>
      <c r="AV7" s="111"/>
      <c r="AW7" s="89"/>
      <c r="AX7" s="89"/>
      <c r="AY7" s="89"/>
      <c r="AZ7" s="89"/>
      <c r="BA7" s="89"/>
      <c r="BB7" s="89"/>
      <c r="BC7" s="89"/>
      <c r="BD7" s="89"/>
      <c r="BE7" s="89"/>
      <c r="BF7" s="89"/>
      <c r="BG7" s="89"/>
      <c r="BH7" s="89"/>
      <c r="BI7" s="89"/>
      <c r="BJ7" s="89"/>
      <c r="BK7" s="89"/>
      <c r="BL7" s="89"/>
      <c r="BM7" s="89"/>
      <c r="BN7" s="89"/>
      <c r="BO7" s="89"/>
      <c r="BP7" s="89"/>
      <c r="BQ7" s="89"/>
    </row>
    <row r="8" spans="1:69" x14ac:dyDescent="0.2">
      <c r="B8" s="17" t="s">
        <v>2</v>
      </c>
      <c r="C8" s="87">
        <f t="shared" si="3"/>
        <v>19.100000000000001</v>
      </c>
      <c r="D8" s="87">
        <f t="shared" si="3"/>
        <v>15.8</v>
      </c>
      <c r="E8" s="87">
        <f t="shared" si="3"/>
        <v>16.8</v>
      </c>
      <c r="F8" s="87">
        <f t="shared" si="3"/>
        <v>15.7</v>
      </c>
      <c r="G8" s="87">
        <f t="shared" si="3"/>
        <v>14.3</v>
      </c>
      <c r="H8" s="87">
        <f t="shared" si="3"/>
        <v>81.599999999999994</v>
      </c>
      <c r="I8" s="66">
        <f t="shared" si="4"/>
        <v>28419</v>
      </c>
      <c r="J8" s="87">
        <f t="shared" si="5"/>
        <v>23.1</v>
      </c>
      <c r="K8" s="87">
        <f t="shared" si="5"/>
        <v>17.600000000000001</v>
      </c>
      <c r="L8" s="87">
        <f t="shared" si="5"/>
        <v>17.8</v>
      </c>
      <c r="M8" s="87">
        <f t="shared" si="5"/>
        <v>15.4</v>
      </c>
      <c r="N8" s="87">
        <f t="shared" si="5"/>
        <v>12.8</v>
      </c>
      <c r="O8" s="87">
        <f t="shared" si="5"/>
        <v>86.8</v>
      </c>
      <c r="P8" s="66">
        <f t="shared" si="6"/>
        <v>8668</v>
      </c>
      <c r="Q8" s="87">
        <f t="shared" si="7"/>
        <v>20</v>
      </c>
      <c r="R8" s="87">
        <f t="shared" si="7"/>
        <v>16.2</v>
      </c>
      <c r="S8" s="87">
        <f t="shared" si="7"/>
        <v>17.100000000000001</v>
      </c>
      <c r="T8" s="87">
        <f t="shared" si="7"/>
        <v>15.6</v>
      </c>
      <c r="U8" s="87">
        <f t="shared" si="7"/>
        <v>13.9</v>
      </c>
      <c r="V8" s="87">
        <f t="shared" si="7"/>
        <v>82.8</v>
      </c>
      <c r="W8" s="66">
        <f t="shared" si="8"/>
        <v>37087</v>
      </c>
      <c r="X8" s="6"/>
      <c r="Y8" s="107"/>
      <c r="Z8" s="92"/>
      <c r="AA8" s="92"/>
      <c r="AB8" s="92"/>
      <c r="AC8" s="92"/>
      <c r="AD8" s="92"/>
      <c r="AE8" s="92"/>
      <c r="AF8" s="75"/>
      <c r="AG8" s="92"/>
      <c r="AH8" s="92"/>
      <c r="AI8" s="92"/>
      <c r="AJ8" s="92"/>
      <c r="AK8" s="92"/>
      <c r="AL8" s="92"/>
      <c r="AM8" s="75"/>
      <c r="AN8" s="92"/>
      <c r="AO8" s="92"/>
      <c r="AP8" s="92"/>
      <c r="AQ8" s="92"/>
      <c r="AR8" s="92"/>
      <c r="AS8" s="92"/>
      <c r="AT8" s="75"/>
      <c r="AV8" s="111"/>
      <c r="AW8" s="89"/>
      <c r="AX8" s="89"/>
      <c r="AY8" s="89"/>
      <c r="AZ8" s="89"/>
      <c r="BA8" s="89"/>
      <c r="BB8" s="89"/>
      <c r="BC8" s="89"/>
      <c r="BD8" s="89"/>
      <c r="BE8" s="89"/>
      <c r="BF8" s="89"/>
      <c r="BG8" s="89"/>
      <c r="BH8" s="89"/>
      <c r="BI8" s="89"/>
      <c r="BJ8" s="89"/>
      <c r="BK8" s="89"/>
      <c r="BL8" s="89"/>
      <c r="BM8" s="89"/>
      <c r="BN8" s="89"/>
      <c r="BO8" s="89"/>
      <c r="BP8" s="89"/>
      <c r="BQ8" s="89"/>
    </row>
    <row r="9" spans="1:69" x14ac:dyDescent="0.2">
      <c r="B9" s="17" t="s">
        <v>3</v>
      </c>
      <c r="C9" s="87">
        <f t="shared" si="3"/>
        <v>15.4</v>
      </c>
      <c r="D9" s="87">
        <f t="shared" si="3"/>
        <v>14</v>
      </c>
      <c r="E9" s="87">
        <f t="shared" si="3"/>
        <v>19.100000000000001</v>
      </c>
      <c r="F9" s="87">
        <f t="shared" si="3"/>
        <v>18</v>
      </c>
      <c r="G9" s="87">
        <f t="shared" si="3"/>
        <v>15.7</v>
      </c>
      <c r="H9" s="87">
        <f t="shared" si="3"/>
        <v>82.2</v>
      </c>
      <c r="I9" s="66">
        <f t="shared" si="4"/>
        <v>4983</v>
      </c>
      <c r="J9" s="87">
        <f t="shared" si="5"/>
        <v>13.2</v>
      </c>
      <c r="K9" s="87">
        <f t="shared" si="5"/>
        <v>15.2</v>
      </c>
      <c r="L9" s="87">
        <f t="shared" si="5"/>
        <v>18.8</v>
      </c>
      <c r="M9" s="87">
        <f t="shared" si="5"/>
        <v>18.100000000000001</v>
      </c>
      <c r="N9" s="87">
        <f t="shared" si="5"/>
        <v>16.5</v>
      </c>
      <c r="O9" s="87">
        <f t="shared" si="5"/>
        <v>81.900000000000006</v>
      </c>
      <c r="P9" s="66">
        <f t="shared" si="6"/>
        <v>2497</v>
      </c>
      <c r="Q9" s="87">
        <f t="shared" si="7"/>
        <v>14.6</v>
      </c>
      <c r="R9" s="87">
        <f t="shared" si="7"/>
        <v>14.4</v>
      </c>
      <c r="S9" s="87">
        <f t="shared" si="7"/>
        <v>19</v>
      </c>
      <c r="T9" s="87">
        <f t="shared" si="7"/>
        <v>18.100000000000001</v>
      </c>
      <c r="U9" s="87">
        <f t="shared" si="7"/>
        <v>16</v>
      </c>
      <c r="V9" s="87">
        <f t="shared" si="7"/>
        <v>82.1</v>
      </c>
      <c r="W9" s="66">
        <f t="shared" si="8"/>
        <v>7480</v>
      </c>
      <c r="X9" s="6"/>
      <c r="Y9" s="107"/>
      <c r="Z9" s="92"/>
      <c r="AA9" s="92"/>
      <c r="AB9" s="92"/>
      <c r="AC9" s="92"/>
      <c r="AD9" s="92"/>
      <c r="AE9" s="92"/>
      <c r="AF9" s="75"/>
      <c r="AG9" s="92"/>
      <c r="AH9" s="92"/>
      <c r="AI9" s="92"/>
      <c r="AJ9" s="92"/>
      <c r="AK9" s="92"/>
      <c r="AL9" s="92"/>
      <c r="AM9" s="75"/>
      <c r="AN9" s="92"/>
      <c r="AO9" s="92"/>
      <c r="AP9" s="92"/>
      <c r="AQ9" s="92"/>
      <c r="AR9" s="92"/>
      <c r="AS9" s="92"/>
      <c r="AT9" s="75"/>
      <c r="AV9" s="111"/>
      <c r="AW9" s="89"/>
      <c r="AX9" s="89"/>
      <c r="AY9" s="89"/>
      <c r="AZ9" s="89"/>
      <c r="BA9" s="89"/>
      <c r="BB9" s="89"/>
      <c r="BC9" s="89"/>
      <c r="BD9" s="89"/>
      <c r="BE9" s="89"/>
      <c r="BF9" s="89"/>
      <c r="BG9" s="89"/>
      <c r="BH9" s="89"/>
      <c r="BI9" s="89"/>
      <c r="BJ9" s="89"/>
      <c r="BK9" s="89"/>
      <c r="BL9" s="89"/>
      <c r="BM9" s="89"/>
      <c r="BN9" s="89"/>
      <c r="BO9" s="89"/>
      <c r="BP9" s="89"/>
      <c r="BQ9" s="89"/>
    </row>
    <row r="10" spans="1:69" x14ac:dyDescent="0.2">
      <c r="B10" s="17" t="s">
        <v>4</v>
      </c>
      <c r="C10" s="87">
        <f t="shared" si="3"/>
        <v>22.8</v>
      </c>
      <c r="D10" s="87">
        <f t="shared" si="3"/>
        <v>15.2</v>
      </c>
      <c r="E10" s="87">
        <f t="shared" si="3"/>
        <v>14.9</v>
      </c>
      <c r="F10" s="87">
        <f t="shared" si="3"/>
        <v>14.4</v>
      </c>
      <c r="G10" s="87">
        <f t="shared" si="3"/>
        <v>12.7</v>
      </c>
      <c r="H10" s="87">
        <f t="shared" si="3"/>
        <v>80</v>
      </c>
      <c r="I10" s="66">
        <f t="shared" si="4"/>
        <v>46279</v>
      </c>
      <c r="J10" s="87">
        <f t="shared" si="5"/>
        <v>24.6</v>
      </c>
      <c r="K10" s="87">
        <f t="shared" si="5"/>
        <v>18.2</v>
      </c>
      <c r="L10" s="87">
        <f t="shared" si="5"/>
        <v>16.2</v>
      </c>
      <c r="M10" s="87">
        <f t="shared" si="5"/>
        <v>14</v>
      </c>
      <c r="N10" s="87">
        <f t="shared" si="5"/>
        <v>11.7</v>
      </c>
      <c r="O10" s="87">
        <f t="shared" si="5"/>
        <v>84.6</v>
      </c>
      <c r="P10" s="66">
        <f t="shared" si="6"/>
        <v>33179</v>
      </c>
      <c r="Q10" s="87">
        <f t="shared" si="7"/>
        <v>23.5</v>
      </c>
      <c r="R10" s="87">
        <f t="shared" si="7"/>
        <v>16.5</v>
      </c>
      <c r="S10" s="87">
        <f t="shared" si="7"/>
        <v>15.5</v>
      </c>
      <c r="T10" s="87">
        <f t="shared" si="7"/>
        <v>14.2</v>
      </c>
      <c r="U10" s="87">
        <f t="shared" si="7"/>
        <v>12.3</v>
      </c>
      <c r="V10" s="87">
        <f t="shared" si="7"/>
        <v>81.900000000000006</v>
      </c>
      <c r="W10" s="66">
        <f t="shared" si="8"/>
        <v>79458</v>
      </c>
      <c r="X10" s="6"/>
      <c r="Y10" s="107"/>
      <c r="Z10" s="92"/>
      <c r="AA10" s="92"/>
      <c r="AB10" s="92"/>
      <c r="AC10" s="92"/>
      <c r="AD10" s="92"/>
      <c r="AE10" s="92"/>
      <c r="AF10" s="75"/>
      <c r="AG10" s="92"/>
      <c r="AH10" s="92"/>
      <c r="AI10" s="92"/>
      <c r="AJ10" s="92"/>
      <c r="AK10" s="92"/>
      <c r="AL10" s="92"/>
      <c r="AM10" s="75"/>
      <c r="AN10" s="92"/>
      <c r="AO10" s="92"/>
      <c r="AP10" s="92"/>
      <c r="AQ10" s="92"/>
      <c r="AR10" s="92"/>
      <c r="AS10" s="92"/>
      <c r="AT10" s="75"/>
      <c r="AV10" s="111"/>
      <c r="AW10" s="89"/>
      <c r="AX10" s="89"/>
      <c r="AY10" s="89"/>
      <c r="AZ10" s="89"/>
      <c r="BA10" s="89"/>
      <c r="BB10" s="89"/>
      <c r="BC10" s="89"/>
      <c r="BD10" s="89"/>
      <c r="BE10" s="89"/>
      <c r="BF10" s="89"/>
      <c r="BG10" s="89"/>
      <c r="BH10" s="89"/>
      <c r="BI10" s="89"/>
      <c r="BJ10" s="89"/>
      <c r="BK10" s="89"/>
      <c r="BL10" s="89"/>
      <c r="BM10" s="89"/>
      <c r="BN10" s="89"/>
      <c r="BO10" s="89"/>
      <c r="BP10" s="89"/>
      <c r="BQ10" s="89"/>
    </row>
    <row r="11" spans="1:69" x14ac:dyDescent="0.2">
      <c r="B11" s="17" t="s">
        <v>5</v>
      </c>
      <c r="C11" s="87">
        <f t="shared" si="3"/>
        <v>40.299999999999997</v>
      </c>
      <c r="D11" s="87">
        <f t="shared" si="3"/>
        <v>18.899999999999999</v>
      </c>
      <c r="E11" s="87">
        <f t="shared" si="3"/>
        <v>13.9</v>
      </c>
      <c r="F11" s="87">
        <f t="shared" si="3"/>
        <v>10.9</v>
      </c>
      <c r="G11" s="87">
        <f t="shared" si="3"/>
        <v>7.4</v>
      </c>
      <c r="H11" s="87">
        <f t="shared" si="3"/>
        <v>91.4</v>
      </c>
      <c r="I11" s="66">
        <f t="shared" si="4"/>
        <v>5911</v>
      </c>
      <c r="J11" s="87">
        <f t="shared" si="5"/>
        <v>44.6</v>
      </c>
      <c r="K11" s="87">
        <f t="shared" si="5"/>
        <v>19.7</v>
      </c>
      <c r="L11" s="87">
        <f t="shared" si="5"/>
        <v>13.7</v>
      </c>
      <c r="M11" s="87">
        <f t="shared" si="5"/>
        <v>10.1</v>
      </c>
      <c r="N11" s="87">
        <f t="shared" si="5"/>
        <v>6.2</v>
      </c>
      <c r="O11" s="87">
        <f t="shared" si="5"/>
        <v>94.3</v>
      </c>
      <c r="P11" s="66">
        <f t="shared" si="6"/>
        <v>3510</v>
      </c>
      <c r="Q11" s="87">
        <f t="shared" si="7"/>
        <v>41.9</v>
      </c>
      <c r="R11" s="87">
        <f t="shared" si="7"/>
        <v>19.2</v>
      </c>
      <c r="S11" s="87">
        <f t="shared" si="7"/>
        <v>13.8</v>
      </c>
      <c r="T11" s="87">
        <f t="shared" si="7"/>
        <v>10.6</v>
      </c>
      <c r="U11" s="87">
        <f t="shared" si="7"/>
        <v>6.9</v>
      </c>
      <c r="V11" s="87">
        <f t="shared" si="7"/>
        <v>92.5</v>
      </c>
      <c r="W11" s="66">
        <f t="shared" si="8"/>
        <v>9421</v>
      </c>
      <c r="X11" s="6"/>
      <c r="Y11" s="107"/>
      <c r="Z11" s="92"/>
      <c r="AA11" s="92"/>
      <c r="AB11" s="92"/>
      <c r="AC11" s="92"/>
      <c r="AD11" s="92"/>
      <c r="AE11" s="92"/>
      <c r="AF11" s="75"/>
      <c r="AG11" s="92"/>
      <c r="AH11" s="92"/>
      <c r="AI11" s="92"/>
      <c r="AJ11" s="92"/>
      <c r="AK11" s="92"/>
      <c r="AL11" s="92"/>
      <c r="AM11" s="75"/>
      <c r="AN11" s="92"/>
      <c r="AO11" s="92"/>
      <c r="AP11" s="92"/>
      <c r="AQ11" s="92"/>
      <c r="AR11" s="92"/>
      <c r="AS11" s="92"/>
      <c r="AT11" s="75"/>
      <c r="AV11" s="111"/>
      <c r="AW11" s="89"/>
      <c r="AX11" s="89"/>
      <c r="AY11" s="89"/>
      <c r="AZ11" s="89"/>
      <c r="BA11" s="89"/>
      <c r="BB11" s="89"/>
      <c r="BC11" s="89"/>
      <c r="BD11" s="89"/>
      <c r="BE11" s="89"/>
      <c r="BF11" s="89"/>
      <c r="BG11" s="89"/>
      <c r="BH11" s="89"/>
      <c r="BI11" s="89"/>
      <c r="BJ11" s="89"/>
      <c r="BK11" s="89"/>
      <c r="BL11" s="89"/>
      <c r="BM11" s="89"/>
      <c r="BN11" s="89"/>
      <c r="BO11" s="89"/>
      <c r="BP11" s="89"/>
      <c r="BQ11" s="89"/>
    </row>
    <row r="12" spans="1:69" x14ac:dyDescent="0.2">
      <c r="B12" s="17" t="s">
        <v>6</v>
      </c>
      <c r="C12" s="87">
        <f t="shared" si="3"/>
        <v>8.9</v>
      </c>
      <c r="D12" s="87">
        <f t="shared" si="3"/>
        <v>14.5</v>
      </c>
      <c r="E12" s="87">
        <f t="shared" si="3"/>
        <v>20.5</v>
      </c>
      <c r="F12" s="87">
        <f t="shared" si="3"/>
        <v>22.2</v>
      </c>
      <c r="G12" s="87">
        <f t="shared" si="3"/>
        <v>17.7</v>
      </c>
      <c r="H12" s="87">
        <f t="shared" si="3"/>
        <v>83.8</v>
      </c>
      <c r="I12" s="66">
        <f t="shared" si="4"/>
        <v>10591</v>
      </c>
      <c r="J12" s="87">
        <f t="shared" si="5"/>
        <v>14.1</v>
      </c>
      <c r="K12" s="87">
        <f t="shared" si="5"/>
        <v>19</v>
      </c>
      <c r="L12" s="87">
        <f t="shared" si="5"/>
        <v>22.2</v>
      </c>
      <c r="M12" s="87">
        <f t="shared" si="5"/>
        <v>19.7</v>
      </c>
      <c r="N12" s="87">
        <f t="shared" si="5"/>
        <v>14.4</v>
      </c>
      <c r="O12" s="87">
        <f t="shared" si="5"/>
        <v>89.3</v>
      </c>
      <c r="P12" s="66">
        <f t="shared" si="6"/>
        <v>7808</v>
      </c>
      <c r="Q12" s="87">
        <f t="shared" si="7"/>
        <v>11.1</v>
      </c>
      <c r="R12" s="87">
        <f t="shared" si="7"/>
        <v>16.399999999999999</v>
      </c>
      <c r="S12" s="87">
        <f t="shared" si="7"/>
        <v>21.2</v>
      </c>
      <c r="T12" s="87">
        <f t="shared" si="7"/>
        <v>21.1</v>
      </c>
      <c r="U12" s="87">
        <f t="shared" si="7"/>
        <v>16.3</v>
      </c>
      <c r="V12" s="87">
        <f t="shared" si="7"/>
        <v>86.2</v>
      </c>
      <c r="W12" s="66">
        <f t="shared" si="8"/>
        <v>18399</v>
      </c>
      <c r="X12" s="6"/>
      <c r="Y12" s="107"/>
      <c r="Z12" s="92"/>
      <c r="AA12" s="92"/>
      <c r="AB12" s="92"/>
      <c r="AC12" s="92"/>
      <c r="AD12" s="92"/>
      <c r="AE12" s="92"/>
      <c r="AF12" s="75"/>
      <c r="AG12" s="92"/>
      <c r="AH12" s="92"/>
      <c r="AI12" s="92"/>
      <c r="AJ12" s="92"/>
      <c r="AK12" s="92"/>
      <c r="AL12" s="92"/>
      <c r="AM12" s="75"/>
      <c r="AN12" s="92"/>
      <c r="AO12" s="92"/>
      <c r="AP12" s="92"/>
      <c r="AQ12" s="92"/>
      <c r="AR12" s="92"/>
      <c r="AS12" s="92"/>
      <c r="AT12" s="75"/>
      <c r="AV12" s="111"/>
      <c r="AW12" s="89"/>
      <c r="AX12" s="89"/>
      <c r="AY12" s="89"/>
      <c r="AZ12" s="89"/>
      <c r="BA12" s="89"/>
      <c r="BB12" s="89"/>
      <c r="BC12" s="89"/>
      <c r="BD12" s="89"/>
      <c r="BE12" s="89"/>
      <c r="BF12" s="89"/>
      <c r="BG12" s="89"/>
      <c r="BH12" s="89"/>
      <c r="BI12" s="89"/>
      <c r="BJ12" s="89"/>
      <c r="BK12" s="89"/>
      <c r="BL12" s="89"/>
      <c r="BM12" s="89"/>
      <c r="BN12" s="89"/>
      <c r="BO12" s="89"/>
      <c r="BP12" s="89"/>
      <c r="BQ12" s="89"/>
    </row>
    <row r="13" spans="1:69" x14ac:dyDescent="0.2">
      <c r="B13" s="2" t="s">
        <v>168</v>
      </c>
      <c r="C13" s="87">
        <f t="shared" si="3"/>
        <v>10.3</v>
      </c>
      <c r="D13" s="87">
        <f t="shared" si="3"/>
        <v>15.5</v>
      </c>
      <c r="E13" s="87">
        <f t="shared" si="3"/>
        <v>19.5</v>
      </c>
      <c r="F13" s="87">
        <f t="shared" si="3"/>
        <v>19.5</v>
      </c>
      <c r="G13" s="87">
        <f t="shared" si="3"/>
        <v>15.8</v>
      </c>
      <c r="H13" s="87">
        <f t="shared" si="3"/>
        <v>80.5</v>
      </c>
      <c r="I13" s="66">
        <f t="shared" si="4"/>
        <v>5524</v>
      </c>
      <c r="J13" s="87">
        <f t="shared" si="5"/>
        <v>8.4</v>
      </c>
      <c r="K13" s="87">
        <f t="shared" si="5"/>
        <v>15.8</v>
      </c>
      <c r="L13" s="87">
        <f t="shared" si="5"/>
        <v>16</v>
      </c>
      <c r="M13" s="87">
        <f t="shared" si="5"/>
        <v>19.100000000000001</v>
      </c>
      <c r="N13" s="87">
        <f t="shared" si="5"/>
        <v>15.6</v>
      </c>
      <c r="O13" s="87">
        <f t="shared" si="5"/>
        <v>74.900000000000006</v>
      </c>
      <c r="P13" s="66">
        <f t="shared" si="6"/>
        <v>487</v>
      </c>
      <c r="Q13" s="87">
        <f t="shared" si="7"/>
        <v>10.1</v>
      </c>
      <c r="R13" s="87">
        <f t="shared" si="7"/>
        <v>15.5</v>
      </c>
      <c r="S13" s="87">
        <f t="shared" si="7"/>
        <v>19.2</v>
      </c>
      <c r="T13" s="87">
        <f t="shared" si="7"/>
        <v>19.5</v>
      </c>
      <c r="U13" s="87">
        <f t="shared" si="7"/>
        <v>15.8</v>
      </c>
      <c r="V13" s="87">
        <f t="shared" si="7"/>
        <v>80.099999999999994</v>
      </c>
      <c r="W13" s="66">
        <f t="shared" si="8"/>
        <v>6011</v>
      </c>
      <c r="X13" s="6"/>
      <c r="Y13" s="107"/>
      <c r="Z13" s="92"/>
      <c r="AA13" s="92"/>
      <c r="AB13" s="92"/>
      <c r="AC13" s="92"/>
      <c r="AD13" s="92"/>
      <c r="AE13" s="92"/>
      <c r="AF13" s="75"/>
      <c r="AG13" s="92"/>
      <c r="AH13" s="92"/>
      <c r="AI13" s="92"/>
      <c r="AJ13" s="92"/>
      <c r="AK13" s="92"/>
      <c r="AL13" s="92"/>
      <c r="AM13" s="75"/>
      <c r="AN13" s="92"/>
      <c r="AO13" s="92"/>
      <c r="AP13" s="92"/>
      <c r="AQ13" s="92"/>
      <c r="AR13" s="92"/>
      <c r="AS13" s="92"/>
      <c r="AT13" s="75"/>
      <c r="AV13" s="111"/>
      <c r="AW13" s="89"/>
      <c r="AX13" s="89"/>
      <c r="AY13" s="89"/>
      <c r="AZ13" s="89"/>
      <c r="BA13" s="89"/>
      <c r="BB13" s="89"/>
      <c r="BC13" s="89"/>
      <c r="BD13" s="89"/>
      <c r="BE13" s="89"/>
      <c r="BF13" s="89"/>
      <c r="BG13" s="89"/>
      <c r="BH13" s="89"/>
      <c r="BI13" s="89"/>
      <c r="BJ13" s="89"/>
      <c r="BK13" s="89"/>
      <c r="BL13" s="89"/>
      <c r="BM13" s="89"/>
      <c r="BN13" s="89"/>
      <c r="BO13" s="89"/>
      <c r="BP13" s="89"/>
      <c r="BQ13" s="89"/>
    </row>
    <row r="14" spans="1:69" x14ac:dyDescent="0.2">
      <c r="B14" s="17" t="s">
        <v>8</v>
      </c>
      <c r="C14" s="87">
        <f t="shared" si="3"/>
        <v>4.5999999999999996</v>
      </c>
      <c r="D14" s="87">
        <f t="shared" si="3"/>
        <v>9.9</v>
      </c>
      <c r="E14" s="87">
        <f t="shared" si="3"/>
        <v>18.3</v>
      </c>
      <c r="F14" s="87">
        <f t="shared" si="3"/>
        <v>22.6</v>
      </c>
      <c r="G14" s="87">
        <f t="shared" si="3"/>
        <v>21.2</v>
      </c>
      <c r="H14" s="87">
        <f t="shared" si="3"/>
        <v>76.599999999999994</v>
      </c>
      <c r="I14" s="66">
        <f t="shared" si="4"/>
        <v>9136</v>
      </c>
      <c r="J14" s="87">
        <f t="shared" si="5"/>
        <v>8.1</v>
      </c>
      <c r="K14" s="87">
        <f t="shared" si="5"/>
        <v>12.9</v>
      </c>
      <c r="L14" s="87">
        <f t="shared" si="5"/>
        <v>20.8</v>
      </c>
      <c r="M14" s="87">
        <f t="shared" si="5"/>
        <v>22.6</v>
      </c>
      <c r="N14" s="87">
        <f t="shared" si="5"/>
        <v>18.399999999999999</v>
      </c>
      <c r="O14" s="87">
        <f t="shared" si="5"/>
        <v>82.8</v>
      </c>
      <c r="P14" s="66">
        <f t="shared" si="6"/>
        <v>4996</v>
      </c>
      <c r="Q14" s="87">
        <f t="shared" si="7"/>
        <v>5.8</v>
      </c>
      <c r="R14" s="87">
        <f t="shared" si="7"/>
        <v>11</v>
      </c>
      <c r="S14" s="87">
        <f t="shared" si="7"/>
        <v>19.2</v>
      </c>
      <c r="T14" s="87">
        <f t="shared" si="7"/>
        <v>22.6</v>
      </c>
      <c r="U14" s="87">
        <f t="shared" si="7"/>
        <v>20.2</v>
      </c>
      <c r="V14" s="87">
        <f t="shared" si="7"/>
        <v>78.8</v>
      </c>
      <c r="W14" s="66">
        <f t="shared" si="8"/>
        <v>14132</v>
      </c>
      <c r="X14" s="6"/>
      <c r="Y14" s="107"/>
      <c r="Z14" s="92"/>
      <c r="AA14" s="92"/>
      <c r="AB14" s="92"/>
      <c r="AC14" s="92"/>
      <c r="AD14" s="92"/>
      <c r="AE14" s="92"/>
      <c r="AF14" s="75"/>
      <c r="AG14" s="92"/>
      <c r="AH14" s="92"/>
      <c r="AI14" s="92"/>
      <c r="AJ14" s="92"/>
      <c r="AK14" s="92"/>
      <c r="AL14" s="92"/>
      <c r="AM14" s="75"/>
      <c r="AN14" s="92"/>
      <c r="AO14" s="92"/>
      <c r="AP14" s="92"/>
      <c r="AQ14" s="92"/>
      <c r="AR14" s="92"/>
      <c r="AS14" s="92"/>
      <c r="AT14" s="75"/>
      <c r="AV14" s="111"/>
      <c r="AW14" s="89"/>
      <c r="AX14" s="89"/>
      <c r="AY14" s="89"/>
      <c r="AZ14" s="89"/>
      <c r="BA14" s="89"/>
      <c r="BB14" s="89"/>
      <c r="BC14" s="89"/>
      <c r="BD14" s="89"/>
      <c r="BE14" s="89"/>
      <c r="BF14" s="89"/>
      <c r="BG14" s="89"/>
      <c r="BH14" s="89"/>
      <c r="BI14" s="89"/>
      <c r="BJ14" s="89"/>
      <c r="BK14" s="89"/>
      <c r="BL14" s="89"/>
      <c r="BM14" s="89"/>
      <c r="BN14" s="89"/>
      <c r="BO14" s="89"/>
      <c r="BP14" s="89"/>
      <c r="BQ14" s="89"/>
    </row>
    <row r="15" spans="1:69" x14ac:dyDescent="0.2">
      <c r="B15" s="17" t="s">
        <v>9</v>
      </c>
      <c r="C15" s="87" t="str">
        <f t="shared" si="3"/>
        <v>x</v>
      </c>
      <c r="D15" s="87">
        <f t="shared" si="3"/>
        <v>4.7</v>
      </c>
      <c r="E15" s="87">
        <f t="shared" si="3"/>
        <v>19.8</v>
      </c>
      <c r="F15" s="87">
        <f t="shared" si="3"/>
        <v>22.6</v>
      </c>
      <c r="G15" s="87">
        <f t="shared" si="3"/>
        <v>26.4</v>
      </c>
      <c r="H15" s="87">
        <f t="shared" si="3"/>
        <v>74.5</v>
      </c>
      <c r="I15" s="66">
        <f t="shared" si="4"/>
        <v>106</v>
      </c>
      <c r="J15" s="87">
        <f t="shared" si="5"/>
        <v>13.3</v>
      </c>
      <c r="K15" s="87">
        <f t="shared" si="5"/>
        <v>15.9</v>
      </c>
      <c r="L15" s="87">
        <f t="shared" si="5"/>
        <v>23.1</v>
      </c>
      <c r="M15" s="87">
        <f t="shared" si="5"/>
        <v>19.399999999999999</v>
      </c>
      <c r="N15" s="87">
        <f t="shared" si="5"/>
        <v>17.100000000000001</v>
      </c>
      <c r="O15" s="87">
        <f t="shared" si="5"/>
        <v>88.7</v>
      </c>
      <c r="P15" s="66">
        <f t="shared" si="6"/>
        <v>346</v>
      </c>
      <c r="Q15" s="87">
        <f t="shared" si="7"/>
        <v>10.4</v>
      </c>
      <c r="R15" s="87">
        <f t="shared" si="7"/>
        <v>13.3</v>
      </c>
      <c r="S15" s="87">
        <f t="shared" si="7"/>
        <v>22.3</v>
      </c>
      <c r="T15" s="87">
        <f t="shared" si="7"/>
        <v>20.100000000000001</v>
      </c>
      <c r="U15" s="87">
        <f t="shared" si="7"/>
        <v>19.2</v>
      </c>
      <c r="V15" s="87">
        <f t="shared" si="7"/>
        <v>85.4</v>
      </c>
      <c r="W15" s="66">
        <f t="shared" si="8"/>
        <v>452</v>
      </c>
      <c r="X15" s="6"/>
      <c r="Y15" s="107"/>
      <c r="Z15" s="92"/>
      <c r="AA15" s="92"/>
      <c r="AB15" s="92"/>
      <c r="AC15" s="92"/>
      <c r="AD15" s="92"/>
      <c r="AE15" s="92"/>
      <c r="AF15" s="75"/>
      <c r="AG15" s="92"/>
      <c r="AH15" s="92"/>
      <c r="AI15" s="92"/>
      <c r="AJ15" s="92"/>
      <c r="AK15" s="92"/>
      <c r="AL15" s="92"/>
      <c r="AM15" s="75"/>
      <c r="AN15" s="92"/>
      <c r="AO15" s="92"/>
      <c r="AP15" s="92"/>
      <c r="AQ15" s="92"/>
      <c r="AR15" s="92"/>
      <c r="AS15" s="92"/>
      <c r="AT15" s="75"/>
      <c r="AV15" s="111"/>
      <c r="AW15" s="89"/>
      <c r="AX15" s="89"/>
      <c r="AY15" s="89"/>
      <c r="AZ15" s="89"/>
      <c r="BA15" s="89"/>
      <c r="BB15" s="89"/>
      <c r="BC15" s="89"/>
      <c r="BD15" s="89"/>
      <c r="BE15" s="89"/>
      <c r="BF15" s="89"/>
      <c r="BG15" s="89"/>
      <c r="BH15" s="89"/>
      <c r="BI15" s="89"/>
      <c r="BJ15" s="89"/>
      <c r="BK15" s="89"/>
      <c r="BL15" s="89"/>
      <c r="BM15" s="89"/>
      <c r="BN15" s="89"/>
      <c r="BO15" s="89"/>
      <c r="BP15" s="89"/>
      <c r="BQ15" s="89"/>
    </row>
    <row r="16" spans="1:69" x14ac:dyDescent="0.2">
      <c r="B16" s="17" t="s">
        <v>10</v>
      </c>
      <c r="C16" s="87">
        <f t="shared" si="3"/>
        <v>6.2</v>
      </c>
      <c r="D16" s="87">
        <f t="shared" si="3"/>
        <v>12.7</v>
      </c>
      <c r="E16" s="87">
        <f t="shared" si="3"/>
        <v>16.600000000000001</v>
      </c>
      <c r="F16" s="87">
        <f t="shared" si="3"/>
        <v>17.3</v>
      </c>
      <c r="G16" s="87">
        <f t="shared" si="3"/>
        <v>16</v>
      </c>
      <c r="H16" s="87">
        <f t="shared" si="3"/>
        <v>68.8</v>
      </c>
      <c r="I16" s="66">
        <f t="shared" si="4"/>
        <v>4395</v>
      </c>
      <c r="J16" s="87">
        <f t="shared" si="5"/>
        <v>7.5</v>
      </c>
      <c r="K16" s="87">
        <f t="shared" si="5"/>
        <v>12.5</v>
      </c>
      <c r="L16" s="87">
        <f t="shared" si="5"/>
        <v>17.100000000000001</v>
      </c>
      <c r="M16" s="87">
        <f t="shared" si="5"/>
        <v>15.9</v>
      </c>
      <c r="N16" s="87">
        <f t="shared" si="5"/>
        <v>17.2</v>
      </c>
      <c r="O16" s="87">
        <f t="shared" si="5"/>
        <v>70.3</v>
      </c>
      <c r="P16" s="66">
        <f t="shared" si="6"/>
        <v>2433</v>
      </c>
      <c r="Q16" s="87">
        <f t="shared" si="7"/>
        <v>6.7</v>
      </c>
      <c r="R16" s="87">
        <f t="shared" si="7"/>
        <v>12.7</v>
      </c>
      <c r="S16" s="87">
        <f t="shared" si="7"/>
        <v>16.8</v>
      </c>
      <c r="T16" s="87">
        <f t="shared" si="7"/>
        <v>16.8</v>
      </c>
      <c r="U16" s="87">
        <f t="shared" si="7"/>
        <v>16.399999999999999</v>
      </c>
      <c r="V16" s="87">
        <f t="shared" si="7"/>
        <v>69.3</v>
      </c>
      <c r="W16" s="66">
        <f t="shared" si="8"/>
        <v>6828</v>
      </c>
      <c r="X16" s="6"/>
      <c r="Y16" s="107"/>
      <c r="Z16" s="92"/>
      <c r="AA16" s="92"/>
      <c r="AB16" s="92"/>
      <c r="AC16" s="92"/>
      <c r="AD16" s="92"/>
      <c r="AE16" s="92"/>
      <c r="AF16" s="75"/>
      <c r="AG16" s="92"/>
      <c r="AH16" s="92"/>
      <c r="AI16" s="92"/>
      <c r="AJ16" s="92"/>
      <c r="AK16" s="92"/>
      <c r="AL16" s="92"/>
      <c r="AM16" s="75"/>
      <c r="AN16" s="92"/>
      <c r="AO16" s="92"/>
      <c r="AP16" s="92"/>
      <c r="AQ16" s="92"/>
      <c r="AR16" s="92"/>
      <c r="AS16" s="92"/>
      <c r="AT16" s="75"/>
      <c r="AV16" s="111"/>
      <c r="AW16" s="89"/>
      <c r="AX16" s="89"/>
      <c r="AY16" s="89"/>
      <c r="AZ16" s="89"/>
      <c r="BA16" s="89"/>
      <c r="BB16" s="89"/>
      <c r="BC16" s="89"/>
      <c r="BD16" s="89"/>
      <c r="BE16" s="89"/>
      <c r="BF16" s="89"/>
      <c r="BG16" s="89"/>
      <c r="BH16" s="89"/>
      <c r="BI16" s="89"/>
      <c r="BJ16" s="89"/>
      <c r="BK16" s="89"/>
      <c r="BL16" s="89"/>
      <c r="BM16" s="89"/>
      <c r="BN16" s="89"/>
      <c r="BO16" s="89"/>
      <c r="BP16" s="89"/>
      <c r="BQ16" s="89"/>
    </row>
    <row r="17" spans="2:69" x14ac:dyDescent="0.2">
      <c r="B17" s="17" t="s">
        <v>11</v>
      </c>
      <c r="C17" s="87">
        <f t="shared" si="3"/>
        <v>8.8000000000000007</v>
      </c>
      <c r="D17" s="87">
        <f t="shared" si="3"/>
        <v>15.6</v>
      </c>
      <c r="E17" s="87">
        <f t="shared" si="3"/>
        <v>22</v>
      </c>
      <c r="F17" s="87">
        <f t="shared" si="3"/>
        <v>22.2</v>
      </c>
      <c r="G17" s="87">
        <f t="shared" si="3"/>
        <v>17.600000000000001</v>
      </c>
      <c r="H17" s="87">
        <f t="shared" si="3"/>
        <v>86.2</v>
      </c>
      <c r="I17" s="66">
        <f t="shared" si="4"/>
        <v>21066</v>
      </c>
      <c r="J17" s="87">
        <f t="shared" si="5"/>
        <v>10</v>
      </c>
      <c r="K17" s="87">
        <f t="shared" si="5"/>
        <v>15.3</v>
      </c>
      <c r="L17" s="87">
        <f t="shared" si="5"/>
        <v>21.1</v>
      </c>
      <c r="M17" s="87">
        <f t="shared" si="5"/>
        <v>21.6</v>
      </c>
      <c r="N17" s="87">
        <f t="shared" si="5"/>
        <v>17.600000000000001</v>
      </c>
      <c r="O17" s="87">
        <f t="shared" si="5"/>
        <v>85.6</v>
      </c>
      <c r="P17" s="66">
        <f t="shared" si="6"/>
        <v>15327</v>
      </c>
      <c r="Q17" s="87">
        <f t="shared" si="7"/>
        <v>9.3000000000000007</v>
      </c>
      <c r="R17" s="87">
        <f t="shared" si="7"/>
        <v>15.5</v>
      </c>
      <c r="S17" s="87">
        <f t="shared" si="7"/>
        <v>21.6</v>
      </c>
      <c r="T17" s="87">
        <f t="shared" si="7"/>
        <v>22</v>
      </c>
      <c r="U17" s="87">
        <f t="shared" si="7"/>
        <v>17.600000000000001</v>
      </c>
      <c r="V17" s="87">
        <f t="shared" si="7"/>
        <v>86</v>
      </c>
      <c r="W17" s="66">
        <f t="shared" si="8"/>
        <v>36393</v>
      </c>
      <c r="X17" s="6"/>
      <c r="Y17" s="107"/>
      <c r="Z17" s="92"/>
      <c r="AA17" s="92"/>
      <c r="AB17" s="92"/>
      <c r="AC17" s="92"/>
      <c r="AD17" s="92"/>
      <c r="AE17" s="92"/>
      <c r="AF17" s="75"/>
      <c r="AG17" s="92"/>
      <c r="AH17" s="92"/>
      <c r="AI17" s="92"/>
      <c r="AJ17" s="92"/>
      <c r="AK17" s="92"/>
      <c r="AL17" s="92"/>
      <c r="AM17" s="75"/>
      <c r="AN17" s="92"/>
      <c r="AO17" s="92"/>
      <c r="AP17" s="92"/>
      <c r="AQ17" s="92"/>
      <c r="AR17" s="92"/>
      <c r="AS17" s="92"/>
      <c r="AT17" s="75"/>
      <c r="AV17" s="111"/>
      <c r="AW17" s="89"/>
      <c r="AX17" s="89"/>
      <c r="AY17" s="89"/>
      <c r="AZ17" s="89"/>
      <c r="BA17" s="89"/>
      <c r="BB17" s="89"/>
      <c r="BC17" s="89"/>
      <c r="BD17" s="89"/>
      <c r="BE17" s="89"/>
      <c r="BF17" s="89"/>
      <c r="BG17" s="89"/>
      <c r="BH17" s="89"/>
      <c r="BI17" s="89"/>
      <c r="BJ17" s="89"/>
      <c r="BK17" s="89"/>
      <c r="BL17" s="89"/>
      <c r="BM17" s="89"/>
      <c r="BN17" s="89"/>
      <c r="BO17" s="89"/>
      <c r="BP17" s="89"/>
      <c r="BQ17" s="89"/>
    </row>
    <row r="18" spans="2:69" x14ac:dyDescent="0.2">
      <c r="B18" s="17" t="s">
        <v>12</v>
      </c>
      <c r="C18" s="87">
        <f t="shared" si="3"/>
        <v>18.5</v>
      </c>
      <c r="D18" s="87">
        <f t="shared" si="3"/>
        <v>18.600000000000001</v>
      </c>
      <c r="E18" s="87">
        <f t="shared" si="3"/>
        <v>19.5</v>
      </c>
      <c r="F18" s="87">
        <f t="shared" si="3"/>
        <v>17.100000000000001</v>
      </c>
      <c r="G18" s="87">
        <f t="shared" si="3"/>
        <v>12.8</v>
      </c>
      <c r="H18" s="87">
        <f t="shared" si="3"/>
        <v>86.6</v>
      </c>
      <c r="I18" s="66">
        <f t="shared" si="4"/>
        <v>15126</v>
      </c>
      <c r="J18" s="87">
        <f t="shared" si="5"/>
        <v>21.6</v>
      </c>
      <c r="K18" s="87">
        <f t="shared" si="5"/>
        <v>19.8</v>
      </c>
      <c r="L18" s="87">
        <f t="shared" si="5"/>
        <v>18.899999999999999</v>
      </c>
      <c r="M18" s="87">
        <f t="shared" si="5"/>
        <v>15.6</v>
      </c>
      <c r="N18" s="87">
        <f t="shared" si="5"/>
        <v>12.2</v>
      </c>
      <c r="O18" s="87">
        <f t="shared" si="5"/>
        <v>88.1</v>
      </c>
      <c r="P18" s="66">
        <f t="shared" si="6"/>
        <v>7115</v>
      </c>
      <c r="Q18" s="87">
        <f t="shared" si="7"/>
        <v>19.5</v>
      </c>
      <c r="R18" s="87">
        <f t="shared" si="7"/>
        <v>19</v>
      </c>
      <c r="S18" s="87">
        <f t="shared" si="7"/>
        <v>19.3</v>
      </c>
      <c r="T18" s="87">
        <f t="shared" si="7"/>
        <v>16.600000000000001</v>
      </c>
      <c r="U18" s="87">
        <f t="shared" si="7"/>
        <v>12.6</v>
      </c>
      <c r="V18" s="87">
        <f t="shared" si="7"/>
        <v>87.1</v>
      </c>
      <c r="W18" s="66">
        <f t="shared" si="8"/>
        <v>22241</v>
      </c>
      <c r="X18" s="6"/>
      <c r="Y18" s="107"/>
      <c r="Z18" s="92"/>
      <c r="AA18" s="92"/>
      <c r="AB18" s="92"/>
      <c r="AC18" s="92"/>
      <c r="AD18" s="92"/>
      <c r="AE18" s="92"/>
      <c r="AF18" s="75"/>
      <c r="AG18" s="92"/>
      <c r="AH18" s="92"/>
      <c r="AI18" s="92"/>
      <c r="AJ18" s="92"/>
      <c r="AK18" s="92"/>
      <c r="AL18" s="92"/>
      <c r="AM18" s="75"/>
      <c r="AN18" s="92"/>
      <c r="AO18" s="92"/>
      <c r="AP18" s="92"/>
      <c r="AQ18" s="92"/>
      <c r="AR18" s="92"/>
      <c r="AS18" s="92"/>
      <c r="AT18" s="75"/>
      <c r="AV18" s="111"/>
      <c r="AW18" s="89"/>
      <c r="AX18" s="89"/>
      <c r="AY18" s="89"/>
      <c r="AZ18" s="89"/>
      <c r="BA18" s="89"/>
      <c r="BB18" s="89"/>
      <c r="BC18" s="89"/>
      <c r="BD18" s="89"/>
      <c r="BE18" s="89"/>
      <c r="BF18" s="89"/>
      <c r="BG18" s="89"/>
      <c r="BH18" s="89"/>
      <c r="BI18" s="89"/>
      <c r="BJ18" s="89"/>
      <c r="BK18" s="89"/>
      <c r="BL18" s="89"/>
      <c r="BM18" s="89"/>
      <c r="BN18" s="89"/>
      <c r="BO18" s="89"/>
      <c r="BP18" s="89"/>
      <c r="BQ18" s="89"/>
    </row>
    <row r="19" spans="2:69" x14ac:dyDescent="0.2">
      <c r="B19" s="17" t="s">
        <v>13</v>
      </c>
      <c r="C19" s="87">
        <f t="shared" si="3"/>
        <v>18.399999999999999</v>
      </c>
      <c r="D19" s="87">
        <f t="shared" si="3"/>
        <v>17.3</v>
      </c>
      <c r="E19" s="87">
        <f t="shared" si="3"/>
        <v>19.899999999999999</v>
      </c>
      <c r="F19" s="87">
        <f t="shared" si="3"/>
        <v>18.399999999999999</v>
      </c>
      <c r="G19" s="87">
        <f t="shared" si="3"/>
        <v>13.9</v>
      </c>
      <c r="H19" s="87">
        <f t="shared" si="3"/>
        <v>87.9</v>
      </c>
      <c r="I19" s="66">
        <f t="shared" si="4"/>
        <v>16301</v>
      </c>
      <c r="J19" s="87">
        <f t="shared" si="5"/>
        <v>26.1</v>
      </c>
      <c r="K19" s="87">
        <f t="shared" si="5"/>
        <v>18.8</v>
      </c>
      <c r="L19" s="87">
        <f t="shared" si="5"/>
        <v>19.399999999999999</v>
      </c>
      <c r="M19" s="87">
        <f t="shared" si="5"/>
        <v>15.9</v>
      </c>
      <c r="N19" s="87">
        <f t="shared" si="5"/>
        <v>11.1</v>
      </c>
      <c r="O19" s="87">
        <f t="shared" si="5"/>
        <v>91.2</v>
      </c>
      <c r="P19" s="66">
        <f t="shared" si="6"/>
        <v>13975</v>
      </c>
      <c r="Q19" s="87">
        <f t="shared" si="7"/>
        <v>21.9</v>
      </c>
      <c r="R19" s="87">
        <f t="shared" si="7"/>
        <v>18</v>
      </c>
      <c r="S19" s="87">
        <f t="shared" si="7"/>
        <v>19.7</v>
      </c>
      <c r="T19" s="87">
        <f t="shared" si="7"/>
        <v>17.2</v>
      </c>
      <c r="U19" s="87">
        <f t="shared" si="7"/>
        <v>12.6</v>
      </c>
      <c r="V19" s="87">
        <f t="shared" si="7"/>
        <v>89.4</v>
      </c>
      <c r="W19" s="66">
        <f t="shared" si="8"/>
        <v>30276</v>
      </c>
      <c r="X19" s="6"/>
      <c r="Y19" s="107"/>
      <c r="Z19" s="92"/>
      <c r="AA19" s="92"/>
      <c r="AB19" s="92"/>
      <c r="AC19" s="92"/>
      <c r="AD19" s="92"/>
      <c r="AE19" s="92"/>
      <c r="AF19" s="75"/>
      <c r="AG19" s="92"/>
      <c r="AH19" s="92"/>
      <c r="AI19" s="92"/>
      <c r="AJ19" s="92"/>
      <c r="AK19" s="92"/>
      <c r="AL19" s="92"/>
      <c r="AM19" s="75"/>
      <c r="AN19" s="92"/>
      <c r="AO19" s="92"/>
      <c r="AP19" s="92"/>
      <c r="AQ19" s="92"/>
      <c r="AR19" s="92"/>
      <c r="AS19" s="92"/>
      <c r="AT19" s="75"/>
      <c r="AV19" s="111"/>
      <c r="AW19" s="89"/>
      <c r="AX19" s="89"/>
      <c r="AY19" s="89"/>
      <c r="AZ19" s="89"/>
      <c r="BA19" s="89"/>
      <c r="BB19" s="89"/>
      <c r="BC19" s="89"/>
      <c r="BD19" s="89"/>
      <c r="BE19" s="89"/>
      <c r="BF19" s="89"/>
      <c r="BG19" s="89"/>
      <c r="BH19" s="89"/>
      <c r="BI19" s="89"/>
      <c r="BJ19" s="89"/>
      <c r="BK19" s="89"/>
      <c r="BL19" s="89"/>
      <c r="BM19" s="89"/>
      <c r="BN19" s="89"/>
      <c r="BO19" s="89"/>
      <c r="BP19" s="89"/>
      <c r="BQ19" s="89"/>
    </row>
    <row r="20" spans="2:69" x14ac:dyDescent="0.2">
      <c r="B20" s="17" t="s">
        <v>14</v>
      </c>
      <c r="C20" s="87">
        <f t="shared" si="3"/>
        <v>19.5</v>
      </c>
      <c r="D20" s="87">
        <f t="shared" si="3"/>
        <v>18.600000000000001</v>
      </c>
      <c r="E20" s="87">
        <f t="shared" si="3"/>
        <v>21.2</v>
      </c>
      <c r="F20" s="87">
        <f t="shared" si="3"/>
        <v>16.5</v>
      </c>
      <c r="G20" s="87">
        <f t="shared" si="3"/>
        <v>12.1</v>
      </c>
      <c r="H20" s="87">
        <f t="shared" si="3"/>
        <v>87.8</v>
      </c>
      <c r="I20" s="66">
        <f t="shared" si="4"/>
        <v>7802</v>
      </c>
      <c r="J20" s="87">
        <f t="shared" si="5"/>
        <v>23.8</v>
      </c>
      <c r="K20" s="87">
        <f t="shared" si="5"/>
        <v>19.5</v>
      </c>
      <c r="L20" s="87">
        <f t="shared" si="5"/>
        <v>18.100000000000001</v>
      </c>
      <c r="M20" s="87">
        <f t="shared" si="5"/>
        <v>15.5</v>
      </c>
      <c r="N20" s="87">
        <f t="shared" si="5"/>
        <v>11</v>
      </c>
      <c r="O20" s="87">
        <f t="shared" si="5"/>
        <v>87.9</v>
      </c>
      <c r="P20" s="66">
        <f t="shared" si="6"/>
        <v>6097</v>
      </c>
      <c r="Q20" s="87">
        <f t="shared" si="7"/>
        <v>21.4</v>
      </c>
      <c r="R20" s="87">
        <f t="shared" si="7"/>
        <v>19</v>
      </c>
      <c r="S20" s="87">
        <f t="shared" si="7"/>
        <v>19.8</v>
      </c>
      <c r="T20" s="87">
        <f t="shared" si="7"/>
        <v>16</v>
      </c>
      <c r="U20" s="87">
        <f t="shared" si="7"/>
        <v>11.6</v>
      </c>
      <c r="V20" s="87">
        <f t="shared" si="7"/>
        <v>87.8</v>
      </c>
      <c r="W20" s="66">
        <f t="shared" si="8"/>
        <v>13899</v>
      </c>
      <c r="X20" s="6"/>
      <c r="Y20" s="107"/>
      <c r="Z20" s="92"/>
      <c r="AA20" s="92"/>
      <c r="AB20" s="92"/>
      <c r="AC20" s="92"/>
      <c r="AD20" s="92"/>
      <c r="AE20" s="92"/>
      <c r="AF20" s="75"/>
      <c r="AG20" s="92"/>
      <c r="AH20" s="92"/>
      <c r="AI20" s="92"/>
      <c r="AJ20" s="92"/>
      <c r="AK20" s="92"/>
      <c r="AL20" s="92"/>
      <c r="AM20" s="75"/>
      <c r="AN20" s="92"/>
      <c r="AO20" s="92"/>
      <c r="AP20" s="92"/>
      <c r="AQ20" s="92"/>
      <c r="AR20" s="92"/>
      <c r="AS20" s="92"/>
      <c r="AT20" s="75"/>
      <c r="AV20" s="111"/>
      <c r="AW20" s="89"/>
      <c r="AX20" s="89"/>
      <c r="AY20" s="89"/>
      <c r="AZ20" s="89"/>
      <c r="BA20" s="89"/>
      <c r="BB20" s="89"/>
      <c r="BC20" s="89"/>
      <c r="BD20" s="89"/>
      <c r="BE20" s="89"/>
      <c r="BF20" s="89"/>
      <c r="BG20" s="89"/>
      <c r="BH20" s="89"/>
      <c r="BI20" s="89"/>
      <c r="BJ20" s="89"/>
      <c r="BK20" s="89"/>
      <c r="BL20" s="89"/>
      <c r="BM20" s="89"/>
      <c r="BN20" s="89"/>
      <c r="BO20" s="89"/>
      <c r="BP20" s="89"/>
      <c r="BQ20" s="89"/>
    </row>
    <row r="21" spans="2:69" x14ac:dyDescent="0.2">
      <c r="B21" s="17" t="s">
        <v>15</v>
      </c>
      <c r="C21" s="87">
        <f t="shared" si="3"/>
        <v>16.100000000000001</v>
      </c>
      <c r="D21" s="87">
        <f t="shared" si="3"/>
        <v>20.9</v>
      </c>
      <c r="E21" s="87">
        <f t="shared" si="3"/>
        <v>25.4</v>
      </c>
      <c r="F21" s="87">
        <f t="shared" si="3"/>
        <v>19.5</v>
      </c>
      <c r="G21" s="87">
        <f t="shared" si="3"/>
        <v>11.1</v>
      </c>
      <c r="H21" s="87">
        <f t="shared" si="3"/>
        <v>93</v>
      </c>
      <c r="I21" s="66">
        <f t="shared" si="4"/>
        <v>22549</v>
      </c>
      <c r="J21" s="87">
        <f t="shared" si="5"/>
        <v>18.2</v>
      </c>
      <c r="K21" s="87">
        <f t="shared" si="5"/>
        <v>23.2</v>
      </c>
      <c r="L21" s="87">
        <f t="shared" si="5"/>
        <v>23.8</v>
      </c>
      <c r="M21" s="87">
        <f t="shared" si="5"/>
        <v>18.100000000000001</v>
      </c>
      <c r="N21" s="87">
        <f t="shared" si="5"/>
        <v>10.1</v>
      </c>
      <c r="O21" s="87">
        <f t="shared" si="5"/>
        <v>93.4</v>
      </c>
      <c r="P21" s="66">
        <f t="shared" si="6"/>
        <v>25447</v>
      </c>
      <c r="Q21" s="87">
        <f t="shared" si="7"/>
        <v>17.2</v>
      </c>
      <c r="R21" s="87">
        <f t="shared" si="7"/>
        <v>22.1</v>
      </c>
      <c r="S21" s="87">
        <f t="shared" si="7"/>
        <v>24.5</v>
      </c>
      <c r="T21" s="87">
        <f t="shared" si="7"/>
        <v>18.7</v>
      </c>
      <c r="U21" s="87">
        <f t="shared" si="7"/>
        <v>10.6</v>
      </c>
      <c r="V21" s="87">
        <f t="shared" si="7"/>
        <v>93.2</v>
      </c>
      <c r="W21" s="66">
        <f t="shared" si="8"/>
        <v>47996</v>
      </c>
      <c r="X21" s="6"/>
      <c r="Y21" s="107"/>
      <c r="Z21" s="92"/>
      <c r="AA21" s="92"/>
      <c r="AB21" s="92"/>
      <c r="AC21" s="92"/>
      <c r="AD21" s="92"/>
      <c r="AE21" s="92"/>
      <c r="AF21" s="75"/>
      <c r="AG21" s="92"/>
      <c r="AH21" s="92"/>
      <c r="AI21" s="92"/>
      <c r="AJ21" s="92"/>
      <c r="AK21" s="92"/>
      <c r="AL21" s="92"/>
      <c r="AM21" s="75"/>
      <c r="AN21" s="92"/>
      <c r="AO21" s="92"/>
      <c r="AP21" s="92"/>
      <c r="AQ21" s="92"/>
      <c r="AR21" s="92"/>
      <c r="AS21" s="92"/>
      <c r="AT21" s="75"/>
      <c r="AV21" s="111"/>
      <c r="AW21" s="89"/>
      <c r="AX21" s="89"/>
      <c r="AY21" s="89"/>
      <c r="AZ21" s="89"/>
      <c r="BA21" s="89"/>
      <c r="BB21" s="89"/>
      <c r="BC21" s="89"/>
      <c r="BD21" s="89"/>
      <c r="BE21" s="89"/>
      <c r="BF21" s="89"/>
      <c r="BG21" s="89"/>
      <c r="BH21" s="89"/>
      <c r="BI21" s="89"/>
      <c r="BJ21" s="89"/>
      <c r="BK21" s="89"/>
      <c r="BL21" s="89"/>
      <c r="BM21" s="89"/>
      <c r="BN21" s="89"/>
      <c r="BO21" s="89"/>
      <c r="BP21" s="89"/>
      <c r="BQ21" s="89"/>
    </row>
    <row r="22" spans="2:69" x14ac:dyDescent="0.2">
      <c r="B22" s="17" t="s">
        <v>16</v>
      </c>
      <c r="C22" s="87">
        <f t="shared" si="3"/>
        <v>9.4</v>
      </c>
      <c r="D22" s="87">
        <f t="shared" si="3"/>
        <v>13</v>
      </c>
      <c r="E22" s="87">
        <f t="shared" si="3"/>
        <v>17.2</v>
      </c>
      <c r="F22" s="87">
        <f t="shared" si="3"/>
        <v>18.399999999999999</v>
      </c>
      <c r="G22" s="87">
        <f t="shared" si="3"/>
        <v>16.8</v>
      </c>
      <c r="H22" s="87">
        <f t="shared" si="3"/>
        <v>74.8</v>
      </c>
      <c r="I22" s="66">
        <f t="shared" si="4"/>
        <v>8475</v>
      </c>
      <c r="J22" s="87">
        <f t="shared" si="5"/>
        <v>12.6</v>
      </c>
      <c r="K22" s="87">
        <f t="shared" si="5"/>
        <v>15.2</v>
      </c>
      <c r="L22" s="87">
        <f t="shared" si="5"/>
        <v>18.8</v>
      </c>
      <c r="M22" s="87">
        <f t="shared" si="5"/>
        <v>18</v>
      </c>
      <c r="N22" s="87">
        <f t="shared" si="5"/>
        <v>14.9</v>
      </c>
      <c r="O22" s="87">
        <f t="shared" si="5"/>
        <v>79.5</v>
      </c>
      <c r="P22" s="66">
        <f t="shared" si="6"/>
        <v>12238</v>
      </c>
      <c r="Q22" s="87">
        <f t="shared" si="7"/>
        <v>11.3</v>
      </c>
      <c r="R22" s="87">
        <f t="shared" si="7"/>
        <v>14.3</v>
      </c>
      <c r="S22" s="87">
        <f t="shared" si="7"/>
        <v>18.100000000000001</v>
      </c>
      <c r="T22" s="87">
        <f t="shared" si="7"/>
        <v>18.2</v>
      </c>
      <c r="U22" s="87">
        <f t="shared" si="7"/>
        <v>15.7</v>
      </c>
      <c r="V22" s="87">
        <f t="shared" si="7"/>
        <v>77.599999999999994</v>
      </c>
      <c r="W22" s="66">
        <f t="shared" si="8"/>
        <v>20713</v>
      </c>
      <c r="X22" s="6"/>
      <c r="Y22" s="107"/>
      <c r="Z22" s="92"/>
      <c r="AA22" s="92"/>
      <c r="AB22" s="92"/>
      <c r="AC22" s="92"/>
      <c r="AD22" s="92"/>
      <c r="AE22" s="92"/>
      <c r="AF22" s="75"/>
      <c r="AG22" s="92"/>
      <c r="AH22" s="92"/>
      <c r="AI22" s="92"/>
      <c r="AJ22" s="92"/>
      <c r="AK22" s="92"/>
      <c r="AL22" s="92"/>
      <c r="AM22" s="75"/>
      <c r="AN22" s="92"/>
      <c r="AO22" s="92"/>
      <c r="AP22" s="92"/>
      <c r="AQ22" s="92"/>
      <c r="AR22" s="92"/>
      <c r="AS22" s="92"/>
      <c r="AT22" s="75"/>
      <c r="AV22" s="111"/>
      <c r="AW22" s="89"/>
      <c r="AX22" s="89"/>
      <c r="AY22" s="89"/>
      <c r="AZ22" s="89"/>
      <c r="BA22" s="89"/>
      <c r="BB22" s="89"/>
      <c r="BC22" s="89"/>
      <c r="BD22" s="89"/>
      <c r="BE22" s="89"/>
      <c r="BF22" s="89"/>
      <c r="BG22" s="89"/>
      <c r="BH22" s="89"/>
      <c r="BI22" s="89"/>
      <c r="BJ22" s="89"/>
      <c r="BK22" s="89"/>
      <c r="BL22" s="89"/>
      <c r="BM22" s="89"/>
      <c r="BN22" s="89"/>
      <c r="BO22" s="89"/>
      <c r="BP22" s="89"/>
      <c r="BQ22" s="89"/>
    </row>
    <row r="23" spans="2:69" x14ac:dyDescent="0.2">
      <c r="B23" s="17" t="s">
        <v>17</v>
      </c>
      <c r="C23" s="87">
        <f t="shared" ref="C23:H38" si="9">IF(OR(C65=1,C65=2),"x",ROUND(C65/$I65*100,1))</f>
        <v>6.4</v>
      </c>
      <c r="D23" s="87">
        <f t="shared" si="9"/>
        <v>11.4</v>
      </c>
      <c r="E23" s="87">
        <f t="shared" si="9"/>
        <v>17</v>
      </c>
      <c r="F23" s="87">
        <f t="shared" si="9"/>
        <v>19.8</v>
      </c>
      <c r="G23" s="87">
        <f t="shared" si="9"/>
        <v>18.399999999999999</v>
      </c>
      <c r="H23" s="87">
        <f t="shared" si="9"/>
        <v>73</v>
      </c>
      <c r="I23" s="66">
        <f t="shared" si="4"/>
        <v>23810</v>
      </c>
      <c r="J23" s="87">
        <f t="shared" ref="J23:O38" si="10">IF(OR(J65=1,J65=2),"x",ROUND(J65/$P65*100,1))</f>
        <v>13.5</v>
      </c>
      <c r="K23" s="87">
        <f t="shared" si="10"/>
        <v>16.8</v>
      </c>
      <c r="L23" s="87">
        <f t="shared" si="10"/>
        <v>19.7</v>
      </c>
      <c r="M23" s="87">
        <f t="shared" si="10"/>
        <v>18</v>
      </c>
      <c r="N23" s="87">
        <f t="shared" si="10"/>
        <v>14.1</v>
      </c>
      <c r="O23" s="87">
        <f t="shared" si="10"/>
        <v>82</v>
      </c>
      <c r="P23" s="66">
        <f t="shared" si="6"/>
        <v>51952</v>
      </c>
      <c r="Q23" s="87">
        <f t="shared" ref="Q23:V38" si="11">IF(OR(Q65=1,Q65=2),"x",ROUND(Q65/$W65*100,1))</f>
        <v>11.3</v>
      </c>
      <c r="R23" s="87">
        <f t="shared" si="11"/>
        <v>15.1</v>
      </c>
      <c r="S23" s="87">
        <f t="shared" si="11"/>
        <v>18.8</v>
      </c>
      <c r="T23" s="87">
        <f t="shared" si="11"/>
        <v>18.600000000000001</v>
      </c>
      <c r="U23" s="87">
        <f t="shared" si="11"/>
        <v>15.4</v>
      </c>
      <c r="V23" s="87">
        <f t="shared" si="11"/>
        <v>79.2</v>
      </c>
      <c r="W23" s="66">
        <f t="shared" si="8"/>
        <v>75762</v>
      </c>
      <c r="X23" s="6"/>
      <c r="Y23" s="107"/>
      <c r="Z23" s="92"/>
      <c r="AA23" s="92"/>
      <c r="AB23" s="92"/>
      <c r="AC23" s="92"/>
      <c r="AD23" s="92"/>
      <c r="AE23" s="92"/>
      <c r="AF23" s="75"/>
      <c r="AG23" s="92"/>
      <c r="AH23" s="92"/>
      <c r="AI23" s="92"/>
      <c r="AJ23" s="92"/>
      <c r="AK23" s="92"/>
      <c r="AL23" s="92"/>
      <c r="AM23" s="75"/>
      <c r="AN23" s="92"/>
      <c r="AO23" s="92"/>
      <c r="AP23" s="92"/>
      <c r="AQ23" s="92"/>
      <c r="AR23" s="92"/>
      <c r="AS23" s="92"/>
      <c r="AT23" s="75"/>
      <c r="AV23" s="111"/>
      <c r="AW23" s="89"/>
      <c r="AX23" s="89"/>
      <c r="AY23" s="89"/>
      <c r="AZ23" s="89"/>
      <c r="BA23" s="89"/>
      <c r="BB23" s="89"/>
      <c r="BC23" s="89"/>
      <c r="BD23" s="89"/>
      <c r="BE23" s="89"/>
      <c r="BF23" s="89"/>
      <c r="BG23" s="89"/>
      <c r="BH23" s="89"/>
      <c r="BI23" s="89"/>
      <c r="BJ23" s="89"/>
      <c r="BK23" s="89"/>
      <c r="BL23" s="89"/>
      <c r="BM23" s="89"/>
      <c r="BN23" s="89"/>
      <c r="BO23" s="89"/>
      <c r="BP23" s="89"/>
      <c r="BQ23" s="89"/>
    </row>
    <row r="24" spans="2:69" x14ac:dyDescent="0.2">
      <c r="B24" s="17" t="s">
        <v>18</v>
      </c>
      <c r="C24" s="87">
        <f t="shared" si="9"/>
        <v>8.6999999999999993</v>
      </c>
      <c r="D24" s="87">
        <f t="shared" si="9"/>
        <v>13</v>
      </c>
      <c r="E24" s="87">
        <f t="shared" si="9"/>
        <v>18.3</v>
      </c>
      <c r="F24" s="87">
        <f t="shared" si="9"/>
        <v>21</v>
      </c>
      <c r="G24" s="87">
        <f t="shared" si="9"/>
        <v>17.3</v>
      </c>
      <c r="H24" s="87">
        <f t="shared" si="9"/>
        <v>78.3</v>
      </c>
      <c r="I24" s="66">
        <f t="shared" si="4"/>
        <v>10816</v>
      </c>
      <c r="J24" s="87">
        <f t="shared" si="10"/>
        <v>15</v>
      </c>
      <c r="K24" s="87">
        <f t="shared" si="10"/>
        <v>16.899999999999999</v>
      </c>
      <c r="L24" s="87">
        <f t="shared" si="10"/>
        <v>20.399999999999999</v>
      </c>
      <c r="M24" s="87">
        <f t="shared" si="10"/>
        <v>18.8</v>
      </c>
      <c r="N24" s="87">
        <f t="shared" si="10"/>
        <v>14.4</v>
      </c>
      <c r="O24" s="87">
        <f t="shared" si="10"/>
        <v>85.5</v>
      </c>
      <c r="P24" s="66">
        <f t="shared" si="6"/>
        <v>27799</v>
      </c>
      <c r="Q24" s="87">
        <f t="shared" si="11"/>
        <v>13.2</v>
      </c>
      <c r="R24" s="87">
        <f t="shared" si="11"/>
        <v>15.8</v>
      </c>
      <c r="S24" s="87">
        <f t="shared" si="11"/>
        <v>19.8</v>
      </c>
      <c r="T24" s="87">
        <f t="shared" si="11"/>
        <v>19.399999999999999</v>
      </c>
      <c r="U24" s="87">
        <f t="shared" si="11"/>
        <v>15.2</v>
      </c>
      <c r="V24" s="87">
        <f t="shared" si="11"/>
        <v>83.5</v>
      </c>
      <c r="W24" s="66">
        <f t="shared" si="8"/>
        <v>38615</v>
      </c>
      <c r="X24" s="6"/>
      <c r="Y24" s="107"/>
      <c r="Z24" s="92"/>
      <c r="AA24" s="92"/>
      <c r="AB24" s="92"/>
      <c r="AC24" s="92"/>
      <c r="AD24" s="92"/>
      <c r="AE24" s="92"/>
      <c r="AF24" s="75"/>
      <c r="AG24" s="92"/>
      <c r="AH24" s="92"/>
      <c r="AI24" s="92"/>
      <c r="AJ24" s="92"/>
      <c r="AK24" s="92"/>
      <c r="AL24" s="92"/>
      <c r="AM24" s="75"/>
      <c r="AN24" s="92"/>
      <c r="AO24" s="92"/>
      <c r="AP24" s="92"/>
      <c r="AQ24" s="92"/>
      <c r="AR24" s="92"/>
      <c r="AS24" s="92"/>
      <c r="AT24" s="75"/>
      <c r="AV24" s="111"/>
      <c r="AW24" s="89"/>
      <c r="AX24" s="89"/>
      <c r="AY24" s="89"/>
      <c r="AZ24" s="89"/>
      <c r="BA24" s="89"/>
      <c r="BB24" s="89"/>
      <c r="BC24" s="89"/>
      <c r="BD24" s="89"/>
      <c r="BE24" s="89"/>
      <c r="BF24" s="89"/>
      <c r="BG24" s="89"/>
      <c r="BH24" s="89"/>
      <c r="BI24" s="89"/>
      <c r="BJ24" s="89"/>
      <c r="BK24" s="89"/>
      <c r="BL24" s="89"/>
      <c r="BM24" s="89"/>
      <c r="BN24" s="89"/>
      <c r="BO24" s="89"/>
      <c r="BP24" s="89"/>
      <c r="BQ24" s="89"/>
    </row>
    <row r="25" spans="2:69" x14ac:dyDescent="0.2">
      <c r="B25" s="17" t="s">
        <v>19</v>
      </c>
      <c r="C25" s="87">
        <f t="shared" si="9"/>
        <v>9.6999999999999993</v>
      </c>
      <c r="D25" s="87">
        <f t="shared" si="9"/>
        <v>13.6</v>
      </c>
      <c r="E25" s="87">
        <f t="shared" si="9"/>
        <v>17.2</v>
      </c>
      <c r="F25" s="87">
        <f t="shared" si="9"/>
        <v>19.3</v>
      </c>
      <c r="G25" s="87">
        <f t="shared" si="9"/>
        <v>15.8</v>
      </c>
      <c r="H25" s="87">
        <f t="shared" si="9"/>
        <v>75.599999999999994</v>
      </c>
      <c r="I25" s="66">
        <f t="shared" si="4"/>
        <v>4904</v>
      </c>
      <c r="J25" s="87">
        <f t="shared" si="10"/>
        <v>12.9</v>
      </c>
      <c r="K25" s="87">
        <f t="shared" si="10"/>
        <v>16.600000000000001</v>
      </c>
      <c r="L25" s="87">
        <f t="shared" si="10"/>
        <v>20.6</v>
      </c>
      <c r="M25" s="87">
        <f t="shared" si="10"/>
        <v>18.8</v>
      </c>
      <c r="N25" s="87">
        <f t="shared" si="10"/>
        <v>13.8</v>
      </c>
      <c r="O25" s="87">
        <f t="shared" si="10"/>
        <v>82.7</v>
      </c>
      <c r="P25" s="66">
        <f t="shared" si="6"/>
        <v>5871</v>
      </c>
      <c r="Q25" s="87">
        <f t="shared" si="11"/>
        <v>11.4</v>
      </c>
      <c r="R25" s="87">
        <f t="shared" si="11"/>
        <v>15.3</v>
      </c>
      <c r="S25" s="87">
        <f t="shared" si="11"/>
        <v>19</v>
      </c>
      <c r="T25" s="87">
        <f t="shared" si="11"/>
        <v>19</v>
      </c>
      <c r="U25" s="87">
        <f t="shared" si="11"/>
        <v>14.7</v>
      </c>
      <c r="V25" s="87">
        <f t="shared" si="11"/>
        <v>79.5</v>
      </c>
      <c r="W25" s="66">
        <f t="shared" si="8"/>
        <v>10775</v>
      </c>
      <c r="X25" s="6"/>
      <c r="Y25" s="107"/>
      <c r="Z25" s="92"/>
      <c r="AA25" s="92"/>
      <c r="AB25" s="92"/>
      <c r="AC25" s="92"/>
      <c r="AD25" s="92"/>
      <c r="AE25" s="92"/>
      <c r="AF25" s="75"/>
      <c r="AG25" s="92"/>
      <c r="AH25" s="92"/>
      <c r="AI25" s="92"/>
      <c r="AJ25" s="92"/>
      <c r="AK25" s="92"/>
      <c r="AL25" s="92"/>
      <c r="AM25" s="75"/>
      <c r="AN25" s="92"/>
      <c r="AO25" s="92"/>
      <c r="AP25" s="92"/>
      <c r="AQ25" s="92"/>
      <c r="AR25" s="92"/>
      <c r="AS25" s="92"/>
      <c r="AT25" s="75"/>
      <c r="AV25" s="111"/>
      <c r="AW25" s="89"/>
      <c r="AX25" s="89"/>
      <c r="AY25" s="89"/>
      <c r="AZ25" s="89"/>
      <c r="BA25" s="89"/>
      <c r="BB25" s="89"/>
      <c r="BC25" s="89"/>
      <c r="BD25" s="89"/>
      <c r="BE25" s="89"/>
      <c r="BF25" s="89"/>
      <c r="BG25" s="89"/>
      <c r="BH25" s="89"/>
      <c r="BI25" s="89"/>
      <c r="BJ25" s="89"/>
      <c r="BK25" s="89"/>
      <c r="BL25" s="89"/>
      <c r="BM25" s="89"/>
      <c r="BN25" s="89"/>
      <c r="BO25" s="89"/>
      <c r="BP25" s="89"/>
      <c r="BQ25" s="89"/>
    </row>
    <row r="26" spans="2:69" x14ac:dyDescent="0.2">
      <c r="B26" s="17" t="s">
        <v>20</v>
      </c>
      <c r="C26" s="87">
        <f t="shared" si="9"/>
        <v>15</v>
      </c>
      <c r="D26" s="87">
        <f t="shared" si="9"/>
        <v>19</v>
      </c>
      <c r="E26" s="87">
        <f t="shared" si="9"/>
        <v>22.3</v>
      </c>
      <c r="F26" s="87">
        <f t="shared" si="9"/>
        <v>20.100000000000001</v>
      </c>
      <c r="G26" s="87">
        <f t="shared" si="9"/>
        <v>13.2</v>
      </c>
      <c r="H26" s="87">
        <f t="shared" si="9"/>
        <v>89.6</v>
      </c>
      <c r="I26" s="66">
        <f t="shared" si="4"/>
        <v>15956</v>
      </c>
      <c r="J26" s="87">
        <f t="shared" si="10"/>
        <v>22.7</v>
      </c>
      <c r="K26" s="87">
        <f t="shared" si="10"/>
        <v>23.2</v>
      </c>
      <c r="L26" s="87">
        <f t="shared" si="10"/>
        <v>24</v>
      </c>
      <c r="M26" s="87">
        <f t="shared" si="10"/>
        <v>15.9</v>
      </c>
      <c r="N26" s="87">
        <f t="shared" si="10"/>
        <v>8.6999999999999993</v>
      </c>
      <c r="O26" s="87">
        <f t="shared" si="10"/>
        <v>94.6</v>
      </c>
      <c r="P26" s="66">
        <f t="shared" si="6"/>
        <v>39283</v>
      </c>
      <c r="Q26" s="87">
        <f t="shared" si="11"/>
        <v>20.5</v>
      </c>
      <c r="R26" s="87">
        <f t="shared" si="11"/>
        <v>22</v>
      </c>
      <c r="S26" s="87">
        <f t="shared" si="11"/>
        <v>23.5</v>
      </c>
      <c r="T26" s="87">
        <f t="shared" si="11"/>
        <v>17.100000000000001</v>
      </c>
      <c r="U26" s="87">
        <f t="shared" si="11"/>
        <v>10</v>
      </c>
      <c r="V26" s="87">
        <f t="shared" si="11"/>
        <v>93.1</v>
      </c>
      <c r="W26" s="66">
        <f t="shared" si="8"/>
        <v>55239</v>
      </c>
      <c r="X26" s="6"/>
      <c r="Y26" s="107"/>
      <c r="Z26" s="92"/>
      <c r="AA26" s="92"/>
      <c r="AB26" s="92"/>
      <c r="AC26" s="92"/>
      <c r="AD26" s="92"/>
      <c r="AE26" s="92"/>
      <c r="AF26" s="75"/>
      <c r="AG26" s="92"/>
      <c r="AH26" s="92"/>
      <c r="AI26" s="92"/>
      <c r="AJ26" s="92"/>
      <c r="AK26" s="92"/>
      <c r="AL26" s="92"/>
      <c r="AM26" s="75"/>
      <c r="AN26" s="92"/>
      <c r="AO26" s="92"/>
      <c r="AP26" s="92"/>
      <c r="AQ26" s="92"/>
      <c r="AR26" s="92"/>
      <c r="AS26" s="92"/>
      <c r="AT26" s="75"/>
      <c r="AV26" s="111"/>
      <c r="AW26" s="89"/>
      <c r="AX26" s="89"/>
      <c r="AY26" s="89"/>
      <c r="AZ26" s="89"/>
      <c r="BA26" s="89"/>
      <c r="BB26" s="89"/>
      <c r="BC26" s="89"/>
      <c r="BD26" s="89"/>
      <c r="BE26" s="89"/>
      <c r="BF26" s="89"/>
      <c r="BG26" s="89"/>
      <c r="BH26" s="89"/>
      <c r="BI26" s="89"/>
      <c r="BJ26" s="89"/>
      <c r="BK26" s="89"/>
      <c r="BL26" s="89"/>
      <c r="BM26" s="89"/>
      <c r="BN26" s="89"/>
      <c r="BO26" s="89"/>
      <c r="BP26" s="89"/>
      <c r="BQ26" s="89"/>
    </row>
    <row r="27" spans="2:69" x14ac:dyDescent="0.2">
      <c r="B27" s="17" t="s">
        <v>21</v>
      </c>
      <c r="C27" s="87">
        <f t="shared" si="9"/>
        <v>13.5</v>
      </c>
      <c r="D27" s="87">
        <f t="shared" si="9"/>
        <v>23.2</v>
      </c>
      <c r="E27" s="87">
        <f t="shared" si="9"/>
        <v>28.5</v>
      </c>
      <c r="F27" s="87">
        <f t="shared" si="9"/>
        <v>21.6</v>
      </c>
      <c r="G27" s="87">
        <f t="shared" si="9"/>
        <v>9.9</v>
      </c>
      <c r="H27" s="87">
        <f t="shared" si="9"/>
        <v>96.7</v>
      </c>
      <c r="I27" s="66">
        <f t="shared" si="4"/>
        <v>5145</v>
      </c>
      <c r="J27" s="87">
        <f t="shared" si="10"/>
        <v>16.8</v>
      </c>
      <c r="K27" s="87">
        <f t="shared" si="10"/>
        <v>28</v>
      </c>
      <c r="L27" s="87">
        <f t="shared" si="10"/>
        <v>28.5</v>
      </c>
      <c r="M27" s="87">
        <f t="shared" si="10"/>
        <v>17.899999999999999</v>
      </c>
      <c r="N27" s="87">
        <f t="shared" si="10"/>
        <v>6.4</v>
      </c>
      <c r="O27" s="87">
        <f t="shared" si="10"/>
        <v>97.6</v>
      </c>
      <c r="P27" s="66">
        <f t="shared" si="6"/>
        <v>10755</v>
      </c>
      <c r="Q27" s="87">
        <f t="shared" si="11"/>
        <v>15.7</v>
      </c>
      <c r="R27" s="87">
        <f t="shared" si="11"/>
        <v>26.5</v>
      </c>
      <c r="S27" s="87">
        <f t="shared" si="11"/>
        <v>28.5</v>
      </c>
      <c r="T27" s="87">
        <f t="shared" si="11"/>
        <v>19.100000000000001</v>
      </c>
      <c r="U27" s="87">
        <f t="shared" si="11"/>
        <v>7.6</v>
      </c>
      <c r="V27" s="87">
        <f t="shared" si="11"/>
        <v>97.3</v>
      </c>
      <c r="W27" s="66">
        <f t="shared" si="8"/>
        <v>15900</v>
      </c>
      <c r="X27" s="6"/>
      <c r="Y27" s="107"/>
      <c r="Z27" s="92"/>
      <c r="AA27" s="92"/>
      <c r="AB27" s="92"/>
      <c r="AC27" s="92"/>
      <c r="AD27" s="92"/>
      <c r="AE27" s="92"/>
      <c r="AF27" s="75"/>
      <c r="AG27" s="92"/>
      <c r="AH27" s="92"/>
      <c r="AI27" s="92"/>
      <c r="AJ27" s="92"/>
      <c r="AK27" s="92"/>
      <c r="AL27" s="92"/>
      <c r="AM27" s="75"/>
      <c r="AN27" s="92"/>
      <c r="AO27" s="92"/>
      <c r="AP27" s="92"/>
      <c r="AQ27" s="92"/>
      <c r="AR27" s="92"/>
      <c r="AS27" s="92"/>
      <c r="AT27" s="75"/>
      <c r="AV27" s="111"/>
      <c r="AW27" s="89"/>
      <c r="AX27" s="89"/>
      <c r="AY27" s="89"/>
      <c r="AZ27" s="89"/>
      <c r="BA27" s="89"/>
      <c r="BB27" s="89"/>
      <c r="BC27" s="89"/>
      <c r="BD27" s="89"/>
      <c r="BE27" s="89"/>
      <c r="BF27" s="89"/>
      <c r="BG27" s="89"/>
      <c r="BH27" s="89"/>
      <c r="BI27" s="89"/>
      <c r="BJ27" s="89"/>
      <c r="BK27" s="89"/>
      <c r="BL27" s="89"/>
      <c r="BM27" s="89"/>
      <c r="BN27" s="89"/>
      <c r="BO27" s="89"/>
      <c r="BP27" s="89"/>
      <c r="BQ27" s="89"/>
    </row>
    <row r="28" spans="2:69" x14ac:dyDescent="0.2">
      <c r="B28" s="17" t="s">
        <v>22</v>
      </c>
      <c r="C28" s="87">
        <f t="shared" si="9"/>
        <v>13.3</v>
      </c>
      <c r="D28" s="87">
        <f t="shared" si="9"/>
        <v>19.5</v>
      </c>
      <c r="E28" s="87">
        <f t="shared" si="9"/>
        <v>25.7</v>
      </c>
      <c r="F28" s="87">
        <f t="shared" si="9"/>
        <v>23.2</v>
      </c>
      <c r="G28" s="87">
        <f t="shared" si="9"/>
        <v>12.6</v>
      </c>
      <c r="H28" s="87">
        <f t="shared" si="9"/>
        <v>94.3</v>
      </c>
      <c r="I28" s="66">
        <f t="shared" si="4"/>
        <v>27586</v>
      </c>
      <c r="J28" s="87">
        <f t="shared" si="10"/>
        <v>14.7</v>
      </c>
      <c r="K28" s="87">
        <f t="shared" si="10"/>
        <v>21.5</v>
      </c>
      <c r="L28" s="87">
        <f t="shared" si="10"/>
        <v>27.4</v>
      </c>
      <c r="M28" s="87">
        <f t="shared" si="10"/>
        <v>22</v>
      </c>
      <c r="N28" s="87">
        <f t="shared" si="10"/>
        <v>10.9</v>
      </c>
      <c r="O28" s="87">
        <f t="shared" si="10"/>
        <v>96.4</v>
      </c>
      <c r="P28" s="66">
        <f t="shared" si="6"/>
        <v>64568</v>
      </c>
      <c r="Q28" s="87">
        <f t="shared" si="11"/>
        <v>14.3</v>
      </c>
      <c r="R28" s="87">
        <f t="shared" si="11"/>
        <v>20.9</v>
      </c>
      <c r="S28" s="87">
        <f t="shared" si="11"/>
        <v>26.9</v>
      </c>
      <c r="T28" s="87">
        <f t="shared" si="11"/>
        <v>22.3</v>
      </c>
      <c r="U28" s="87">
        <f t="shared" si="11"/>
        <v>11.4</v>
      </c>
      <c r="V28" s="87">
        <f t="shared" si="11"/>
        <v>95.8</v>
      </c>
      <c r="W28" s="66">
        <f t="shared" si="8"/>
        <v>92154</v>
      </c>
      <c r="X28" s="6"/>
      <c r="Y28" s="107"/>
      <c r="Z28" s="92"/>
      <c r="AA28" s="92"/>
      <c r="AB28" s="92"/>
      <c r="AC28" s="92"/>
      <c r="AD28" s="92"/>
      <c r="AE28" s="92"/>
      <c r="AF28" s="75"/>
      <c r="AG28" s="92"/>
      <c r="AH28" s="92"/>
      <c r="AI28" s="92"/>
      <c r="AJ28" s="92"/>
      <c r="AK28" s="92"/>
      <c r="AL28" s="92"/>
      <c r="AM28" s="75"/>
      <c r="AN28" s="92"/>
      <c r="AO28" s="92"/>
      <c r="AP28" s="92"/>
      <c r="AQ28" s="92"/>
      <c r="AR28" s="92"/>
      <c r="AS28" s="92"/>
      <c r="AT28" s="75"/>
      <c r="AV28" s="111"/>
      <c r="AW28" s="89"/>
      <c r="AX28" s="89"/>
      <c r="AY28" s="89"/>
      <c r="AZ28" s="89"/>
      <c r="BA28" s="89"/>
      <c r="BB28" s="89"/>
      <c r="BC28" s="89"/>
      <c r="BD28" s="89"/>
      <c r="BE28" s="89"/>
      <c r="BF28" s="89"/>
      <c r="BG28" s="89"/>
      <c r="BH28" s="89"/>
      <c r="BI28" s="89"/>
      <c r="BJ28" s="89"/>
      <c r="BK28" s="89"/>
      <c r="BL28" s="89"/>
      <c r="BM28" s="89"/>
      <c r="BN28" s="89"/>
      <c r="BO28" s="89"/>
      <c r="BP28" s="89"/>
      <c r="BQ28" s="89"/>
    </row>
    <row r="29" spans="2:69" x14ac:dyDescent="0.2">
      <c r="B29" s="17" t="s">
        <v>51</v>
      </c>
      <c r="C29" s="87">
        <f t="shared" si="9"/>
        <v>7.3</v>
      </c>
      <c r="D29" s="87">
        <f t="shared" si="9"/>
        <v>18.7</v>
      </c>
      <c r="E29" s="87">
        <f t="shared" si="9"/>
        <v>28.3</v>
      </c>
      <c r="F29" s="87">
        <f t="shared" si="9"/>
        <v>24.2</v>
      </c>
      <c r="G29" s="87">
        <f t="shared" si="9"/>
        <v>13.3</v>
      </c>
      <c r="H29" s="87">
        <f t="shared" si="9"/>
        <v>91.9</v>
      </c>
      <c r="I29" s="66">
        <f t="shared" si="4"/>
        <v>14148</v>
      </c>
      <c r="J29" s="87">
        <f t="shared" si="10"/>
        <v>12.7</v>
      </c>
      <c r="K29" s="87">
        <f t="shared" si="10"/>
        <v>26.4</v>
      </c>
      <c r="L29" s="87">
        <f t="shared" si="10"/>
        <v>30.2</v>
      </c>
      <c r="M29" s="87">
        <f t="shared" si="10"/>
        <v>18.600000000000001</v>
      </c>
      <c r="N29" s="87">
        <f t="shared" si="10"/>
        <v>7.7</v>
      </c>
      <c r="O29" s="87">
        <f t="shared" si="10"/>
        <v>95.5</v>
      </c>
      <c r="P29" s="66">
        <f t="shared" si="6"/>
        <v>17308</v>
      </c>
      <c r="Q29" s="87">
        <f t="shared" si="11"/>
        <v>10.3</v>
      </c>
      <c r="R29" s="87">
        <f t="shared" si="11"/>
        <v>22.9</v>
      </c>
      <c r="S29" s="87">
        <f t="shared" si="11"/>
        <v>29.4</v>
      </c>
      <c r="T29" s="87">
        <f t="shared" si="11"/>
        <v>21.1</v>
      </c>
      <c r="U29" s="87">
        <f t="shared" si="11"/>
        <v>10.199999999999999</v>
      </c>
      <c r="V29" s="87">
        <f t="shared" si="11"/>
        <v>93.8</v>
      </c>
      <c r="W29" s="66">
        <f t="shared" si="8"/>
        <v>31456</v>
      </c>
      <c r="X29" s="6"/>
      <c r="Y29" s="107"/>
      <c r="Z29" s="92"/>
      <c r="AA29" s="92"/>
      <c r="AB29" s="92"/>
      <c r="AC29" s="92"/>
      <c r="AD29" s="92"/>
      <c r="AE29" s="92"/>
      <c r="AF29" s="75"/>
      <c r="AG29" s="92"/>
      <c r="AH29" s="92"/>
      <c r="AI29" s="92"/>
      <c r="AJ29" s="92"/>
      <c r="AK29" s="92"/>
      <c r="AL29" s="92"/>
      <c r="AM29" s="75"/>
      <c r="AN29" s="92"/>
      <c r="AO29" s="92"/>
      <c r="AP29" s="92"/>
      <c r="AQ29" s="92"/>
      <c r="AR29" s="92"/>
      <c r="AS29" s="92"/>
      <c r="AT29" s="75"/>
      <c r="AV29" s="111"/>
      <c r="AW29" s="89"/>
      <c r="AX29" s="89"/>
      <c r="AY29" s="89"/>
      <c r="AZ29" s="89"/>
      <c r="BA29" s="89"/>
      <c r="BB29" s="89"/>
      <c r="BC29" s="89"/>
      <c r="BD29" s="89"/>
      <c r="BE29" s="89"/>
      <c r="BF29" s="89"/>
      <c r="BG29" s="89"/>
      <c r="BH29" s="89"/>
      <c r="BI29" s="89"/>
      <c r="BJ29" s="89"/>
      <c r="BK29" s="89"/>
      <c r="BL29" s="89"/>
      <c r="BM29" s="89"/>
      <c r="BN29" s="89"/>
      <c r="BO29" s="89"/>
      <c r="BP29" s="89"/>
      <c r="BQ29" s="89"/>
    </row>
    <row r="30" spans="2:69" x14ac:dyDescent="0.2">
      <c r="B30" s="17" t="s">
        <v>23</v>
      </c>
      <c r="C30" s="87">
        <f t="shared" si="9"/>
        <v>6.9</v>
      </c>
      <c r="D30" s="87">
        <f t="shared" si="9"/>
        <v>23</v>
      </c>
      <c r="E30" s="87">
        <f t="shared" si="9"/>
        <v>35.1</v>
      </c>
      <c r="F30" s="87">
        <f t="shared" si="9"/>
        <v>21.9</v>
      </c>
      <c r="G30" s="87">
        <f t="shared" si="9"/>
        <v>8</v>
      </c>
      <c r="H30" s="87">
        <f t="shared" si="9"/>
        <v>94.8</v>
      </c>
      <c r="I30" s="66">
        <f t="shared" si="4"/>
        <v>6559</v>
      </c>
      <c r="J30" s="87">
        <f t="shared" si="10"/>
        <v>11.3</v>
      </c>
      <c r="K30" s="87">
        <f t="shared" si="10"/>
        <v>27.6</v>
      </c>
      <c r="L30" s="87">
        <f t="shared" si="10"/>
        <v>32.799999999999997</v>
      </c>
      <c r="M30" s="87">
        <f t="shared" si="10"/>
        <v>17.899999999999999</v>
      </c>
      <c r="N30" s="87">
        <f t="shared" si="10"/>
        <v>6.6</v>
      </c>
      <c r="O30" s="87">
        <f t="shared" si="10"/>
        <v>96.3</v>
      </c>
      <c r="P30" s="66">
        <f t="shared" si="6"/>
        <v>8219</v>
      </c>
      <c r="Q30" s="87">
        <f t="shared" si="11"/>
        <v>9.4</v>
      </c>
      <c r="R30" s="87">
        <f t="shared" si="11"/>
        <v>25.5</v>
      </c>
      <c r="S30" s="87">
        <f t="shared" si="11"/>
        <v>33.799999999999997</v>
      </c>
      <c r="T30" s="87">
        <f t="shared" si="11"/>
        <v>19.7</v>
      </c>
      <c r="U30" s="87">
        <f t="shared" si="11"/>
        <v>7.2</v>
      </c>
      <c r="V30" s="87">
        <f t="shared" si="11"/>
        <v>95.7</v>
      </c>
      <c r="W30" s="66">
        <f t="shared" si="8"/>
        <v>14778</v>
      </c>
      <c r="X30" s="6"/>
      <c r="Y30" s="107"/>
      <c r="Z30" s="92"/>
      <c r="AA30" s="92"/>
      <c r="AB30" s="92"/>
      <c r="AC30" s="92"/>
      <c r="AD30" s="92"/>
      <c r="AE30" s="92"/>
      <c r="AF30" s="75"/>
      <c r="AG30" s="92"/>
      <c r="AH30" s="92"/>
      <c r="AI30" s="92"/>
      <c r="AJ30" s="92"/>
      <c r="AK30" s="92"/>
      <c r="AL30" s="92"/>
      <c r="AM30" s="75"/>
      <c r="AN30" s="92"/>
      <c r="AO30" s="92"/>
      <c r="AP30" s="92"/>
      <c r="AQ30" s="92"/>
      <c r="AR30" s="92"/>
      <c r="AS30" s="92"/>
      <c r="AT30" s="75"/>
      <c r="AV30" s="111"/>
      <c r="AW30" s="89"/>
      <c r="AX30" s="89"/>
      <c r="AY30" s="89"/>
      <c r="AZ30" s="89"/>
      <c r="BA30" s="89"/>
      <c r="BB30" s="89"/>
      <c r="BC30" s="89"/>
      <c r="BD30" s="89"/>
      <c r="BE30" s="89"/>
      <c r="BF30" s="89"/>
      <c r="BG30" s="89"/>
      <c r="BH30" s="89"/>
      <c r="BI30" s="89"/>
      <c r="BJ30" s="89"/>
      <c r="BK30" s="89"/>
      <c r="BL30" s="89"/>
      <c r="BM30" s="89"/>
      <c r="BN30" s="89"/>
      <c r="BO30" s="89"/>
      <c r="BP30" s="89"/>
      <c r="BQ30" s="89"/>
    </row>
    <row r="31" spans="2:69" x14ac:dyDescent="0.2">
      <c r="B31" s="17" t="s">
        <v>24</v>
      </c>
      <c r="C31" s="87">
        <f t="shared" si="9"/>
        <v>26.8</v>
      </c>
      <c r="D31" s="87">
        <f t="shared" si="9"/>
        <v>20.6</v>
      </c>
      <c r="E31" s="87">
        <f t="shared" si="9"/>
        <v>17.399999999999999</v>
      </c>
      <c r="F31" s="87">
        <f t="shared" si="9"/>
        <v>14.7</v>
      </c>
      <c r="G31" s="87">
        <f t="shared" si="9"/>
        <v>11.4</v>
      </c>
      <c r="H31" s="87">
        <f t="shared" si="9"/>
        <v>90.9</v>
      </c>
      <c r="I31" s="66">
        <f t="shared" si="4"/>
        <v>3820</v>
      </c>
      <c r="J31" s="87">
        <f t="shared" si="10"/>
        <v>25.3</v>
      </c>
      <c r="K31" s="87">
        <f t="shared" si="10"/>
        <v>19.5</v>
      </c>
      <c r="L31" s="87">
        <f t="shared" si="10"/>
        <v>19.3</v>
      </c>
      <c r="M31" s="87">
        <f t="shared" si="10"/>
        <v>15.1</v>
      </c>
      <c r="N31" s="87">
        <f t="shared" si="10"/>
        <v>11.6</v>
      </c>
      <c r="O31" s="87">
        <f t="shared" si="10"/>
        <v>90.7</v>
      </c>
      <c r="P31" s="66">
        <f t="shared" si="6"/>
        <v>9344</v>
      </c>
      <c r="Q31" s="87">
        <f t="shared" si="11"/>
        <v>25.7</v>
      </c>
      <c r="R31" s="87">
        <f t="shared" si="11"/>
        <v>19.8</v>
      </c>
      <c r="S31" s="87">
        <f t="shared" si="11"/>
        <v>18.7</v>
      </c>
      <c r="T31" s="87">
        <f t="shared" si="11"/>
        <v>15</v>
      </c>
      <c r="U31" s="87">
        <f t="shared" si="11"/>
        <v>11.5</v>
      </c>
      <c r="V31" s="87">
        <f t="shared" si="11"/>
        <v>90.7</v>
      </c>
      <c r="W31" s="66">
        <f t="shared" si="8"/>
        <v>13164</v>
      </c>
      <c r="X31" s="6"/>
      <c r="Y31" s="107"/>
      <c r="Z31" s="92"/>
      <c r="AA31" s="92"/>
      <c r="AB31" s="92"/>
      <c r="AC31" s="92"/>
      <c r="AD31" s="92"/>
      <c r="AE31" s="92"/>
      <c r="AF31" s="75"/>
      <c r="AG31" s="92"/>
      <c r="AH31" s="92"/>
      <c r="AI31" s="92"/>
      <c r="AJ31" s="92"/>
      <c r="AK31" s="92"/>
      <c r="AL31" s="92"/>
      <c r="AM31" s="75"/>
      <c r="AN31" s="92"/>
      <c r="AO31" s="92"/>
      <c r="AP31" s="92"/>
      <c r="AQ31" s="92"/>
      <c r="AR31" s="92"/>
      <c r="AS31" s="92"/>
      <c r="AT31" s="75"/>
      <c r="AV31" s="111"/>
      <c r="AW31" s="89"/>
      <c r="AX31" s="89"/>
      <c r="AY31" s="89"/>
      <c r="AZ31" s="89"/>
      <c r="BA31" s="89"/>
      <c r="BB31" s="89"/>
      <c r="BC31" s="89"/>
      <c r="BD31" s="89"/>
      <c r="BE31" s="89"/>
      <c r="BF31" s="89"/>
      <c r="BG31" s="89"/>
      <c r="BH31" s="89"/>
      <c r="BI31" s="89"/>
      <c r="BJ31" s="89"/>
      <c r="BK31" s="89"/>
      <c r="BL31" s="89"/>
      <c r="BM31" s="89"/>
      <c r="BN31" s="89"/>
      <c r="BO31" s="89"/>
      <c r="BP31" s="89"/>
      <c r="BQ31" s="89"/>
    </row>
    <row r="32" spans="2:69" x14ac:dyDescent="0.2">
      <c r="B32" s="17" t="s">
        <v>25</v>
      </c>
      <c r="C32" s="87">
        <f t="shared" si="9"/>
        <v>25</v>
      </c>
      <c r="D32" s="87">
        <f t="shared" si="9"/>
        <v>19.399999999999999</v>
      </c>
      <c r="E32" s="87">
        <f t="shared" si="9"/>
        <v>19.3</v>
      </c>
      <c r="F32" s="87">
        <f t="shared" si="9"/>
        <v>17.100000000000001</v>
      </c>
      <c r="G32" s="87">
        <f t="shared" si="9"/>
        <v>11.2</v>
      </c>
      <c r="H32" s="87">
        <f t="shared" si="9"/>
        <v>92</v>
      </c>
      <c r="I32" s="66">
        <f t="shared" si="4"/>
        <v>1961</v>
      </c>
      <c r="J32" s="87">
        <f t="shared" si="10"/>
        <v>22.8</v>
      </c>
      <c r="K32" s="87">
        <f t="shared" si="10"/>
        <v>18.899999999999999</v>
      </c>
      <c r="L32" s="87">
        <f t="shared" si="10"/>
        <v>20.9</v>
      </c>
      <c r="M32" s="87">
        <f t="shared" si="10"/>
        <v>17.100000000000001</v>
      </c>
      <c r="N32" s="87">
        <f t="shared" si="10"/>
        <v>12.7</v>
      </c>
      <c r="O32" s="87">
        <f t="shared" si="10"/>
        <v>92.4</v>
      </c>
      <c r="P32" s="66">
        <f t="shared" si="6"/>
        <v>3345</v>
      </c>
      <c r="Q32" s="87">
        <f t="shared" si="11"/>
        <v>23.6</v>
      </c>
      <c r="R32" s="87">
        <f t="shared" si="11"/>
        <v>19.100000000000001</v>
      </c>
      <c r="S32" s="87">
        <f t="shared" si="11"/>
        <v>20.3</v>
      </c>
      <c r="T32" s="87">
        <f t="shared" si="11"/>
        <v>17.100000000000001</v>
      </c>
      <c r="U32" s="87">
        <f t="shared" si="11"/>
        <v>12.1</v>
      </c>
      <c r="V32" s="87">
        <f t="shared" si="11"/>
        <v>92.3</v>
      </c>
      <c r="W32" s="66">
        <f t="shared" si="8"/>
        <v>5306</v>
      </c>
      <c r="X32" s="6"/>
      <c r="Y32" s="107"/>
      <c r="Z32" s="92"/>
      <c r="AA32" s="92"/>
      <c r="AB32" s="92"/>
      <c r="AC32" s="92"/>
      <c r="AD32" s="92"/>
      <c r="AE32" s="92"/>
      <c r="AF32" s="75"/>
      <c r="AG32" s="92"/>
      <c r="AH32" s="92"/>
      <c r="AI32" s="92"/>
      <c r="AJ32" s="92"/>
      <c r="AK32" s="92"/>
      <c r="AL32" s="92"/>
      <c r="AM32" s="75"/>
      <c r="AN32" s="92"/>
      <c r="AO32" s="92"/>
      <c r="AP32" s="92"/>
      <c r="AQ32" s="92"/>
      <c r="AR32" s="92"/>
      <c r="AS32" s="92"/>
      <c r="AT32" s="75"/>
      <c r="AV32" s="111"/>
      <c r="AW32" s="89"/>
      <c r="AX32" s="89"/>
      <c r="AY32" s="89"/>
      <c r="AZ32" s="89"/>
      <c r="BA32" s="89"/>
      <c r="BB32" s="89"/>
      <c r="BC32" s="89"/>
      <c r="BD32" s="89"/>
      <c r="BE32" s="89"/>
      <c r="BF32" s="89"/>
      <c r="BG32" s="89"/>
      <c r="BH32" s="89"/>
      <c r="BI32" s="89"/>
      <c r="BJ32" s="89"/>
      <c r="BK32" s="89"/>
      <c r="BL32" s="89"/>
      <c r="BM32" s="89"/>
      <c r="BN32" s="89"/>
      <c r="BO32" s="89"/>
      <c r="BP32" s="89"/>
      <c r="BQ32" s="89"/>
    </row>
    <row r="33" spans="1:69" x14ac:dyDescent="0.2">
      <c r="B33" s="17" t="s">
        <v>26</v>
      </c>
      <c r="C33" s="87">
        <f t="shared" si="9"/>
        <v>22</v>
      </c>
      <c r="D33" s="87">
        <f t="shared" si="9"/>
        <v>21.3</v>
      </c>
      <c r="E33" s="87">
        <f t="shared" si="9"/>
        <v>21.3</v>
      </c>
      <c r="F33" s="87">
        <f t="shared" si="9"/>
        <v>15.3</v>
      </c>
      <c r="G33" s="87">
        <f t="shared" si="9"/>
        <v>11.1</v>
      </c>
      <c r="H33" s="87">
        <f t="shared" si="9"/>
        <v>91</v>
      </c>
      <c r="I33" s="66">
        <f t="shared" si="4"/>
        <v>2139</v>
      </c>
      <c r="J33" s="87">
        <f t="shared" si="10"/>
        <v>21.1</v>
      </c>
      <c r="K33" s="87">
        <f t="shared" si="10"/>
        <v>20.3</v>
      </c>
      <c r="L33" s="87">
        <f t="shared" si="10"/>
        <v>20.100000000000001</v>
      </c>
      <c r="M33" s="87">
        <f t="shared" si="10"/>
        <v>17.2</v>
      </c>
      <c r="N33" s="87">
        <f t="shared" si="10"/>
        <v>11.7</v>
      </c>
      <c r="O33" s="87">
        <f t="shared" si="10"/>
        <v>90.3</v>
      </c>
      <c r="P33" s="66">
        <f t="shared" si="6"/>
        <v>4864</v>
      </c>
      <c r="Q33" s="87">
        <f t="shared" si="11"/>
        <v>21.4</v>
      </c>
      <c r="R33" s="87">
        <f t="shared" si="11"/>
        <v>20.6</v>
      </c>
      <c r="S33" s="87">
        <f t="shared" si="11"/>
        <v>20.399999999999999</v>
      </c>
      <c r="T33" s="87">
        <f t="shared" si="11"/>
        <v>16.600000000000001</v>
      </c>
      <c r="U33" s="87">
        <f t="shared" si="11"/>
        <v>11.5</v>
      </c>
      <c r="V33" s="87">
        <f t="shared" si="11"/>
        <v>90.5</v>
      </c>
      <c r="W33" s="66">
        <f t="shared" si="8"/>
        <v>7003</v>
      </c>
      <c r="X33" s="6"/>
      <c r="Y33" s="107"/>
      <c r="Z33" s="92"/>
      <c r="AA33" s="92"/>
      <c r="AB33" s="92"/>
      <c r="AC33" s="92"/>
      <c r="AD33" s="92"/>
      <c r="AE33" s="92"/>
      <c r="AF33" s="75"/>
      <c r="AG33" s="92"/>
      <c r="AH33" s="92"/>
      <c r="AI33" s="92"/>
      <c r="AJ33" s="92"/>
      <c r="AK33" s="92"/>
      <c r="AL33" s="92"/>
      <c r="AM33" s="75"/>
      <c r="AN33" s="92"/>
      <c r="AO33" s="92"/>
      <c r="AP33" s="92"/>
      <c r="AQ33" s="92"/>
      <c r="AR33" s="92"/>
      <c r="AS33" s="92"/>
      <c r="AT33" s="75"/>
      <c r="AV33" s="111"/>
      <c r="AW33" s="89"/>
      <c r="AX33" s="89"/>
      <c r="AY33" s="89"/>
      <c r="AZ33" s="89"/>
      <c r="BA33" s="89"/>
      <c r="BB33" s="89"/>
      <c r="BC33" s="89"/>
      <c r="BD33" s="89"/>
      <c r="BE33" s="89"/>
      <c r="BF33" s="89"/>
      <c r="BG33" s="89"/>
      <c r="BH33" s="89"/>
      <c r="BI33" s="89"/>
      <c r="BJ33" s="89"/>
      <c r="BK33" s="89"/>
      <c r="BL33" s="89"/>
      <c r="BM33" s="89"/>
      <c r="BN33" s="89"/>
      <c r="BO33" s="89"/>
      <c r="BP33" s="89"/>
      <c r="BQ33" s="89"/>
    </row>
    <row r="34" spans="1:69" x14ac:dyDescent="0.2">
      <c r="B34" s="17" t="s">
        <v>27</v>
      </c>
      <c r="C34" s="87">
        <f t="shared" si="9"/>
        <v>49.3</v>
      </c>
      <c r="D34" s="87">
        <f t="shared" si="9"/>
        <v>21.7</v>
      </c>
      <c r="E34" s="87">
        <f t="shared" si="9"/>
        <v>11.4</v>
      </c>
      <c r="F34" s="87">
        <f t="shared" si="9"/>
        <v>6.4</v>
      </c>
      <c r="G34" s="87">
        <f t="shared" si="9"/>
        <v>4.8</v>
      </c>
      <c r="H34" s="87">
        <f t="shared" si="9"/>
        <v>93.6</v>
      </c>
      <c r="I34" s="66">
        <f t="shared" si="4"/>
        <v>1599</v>
      </c>
      <c r="J34" s="87">
        <f t="shared" si="10"/>
        <v>51.4</v>
      </c>
      <c r="K34" s="87">
        <f t="shared" si="10"/>
        <v>19.399999999999999</v>
      </c>
      <c r="L34" s="87">
        <f t="shared" si="10"/>
        <v>11</v>
      </c>
      <c r="M34" s="87">
        <f t="shared" si="10"/>
        <v>8.1999999999999993</v>
      </c>
      <c r="N34" s="87">
        <f t="shared" si="10"/>
        <v>5.2</v>
      </c>
      <c r="O34" s="87">
        <f t="shared" si="10"/>
        <v>95.2</v>
      </c>
      <c r="P34" s="66">
        <f t="shared" si="6"/>
        <v>2174</v>
      </c>
      <c r="Q34" s="87">
        <f t="shared" si="11"/>
        <v>50.5</v>
      </c>
      <c r="R34" s="87">
        <f t="shared" si="11"/>
        <v>20.399999999999999</v>
      </c>
      <c r="S34" s="87">
        <f t="shared" si="11"/>
        <v>11.2</v>
      </c>
      <c r="T34" s="87">
        <f t="shared" si="11"/>
        <v>7.4</v>
      </c>
      <c r="U34" s="87">
        <f t="shared" si="11"/>
        <v>5</v>
      </c>
      <c r="V34" s="87">
        <f t="shared" si="11"/>
        <v>94.5</v>
      </c>
      <c r="W34" s="66">
        <f t="shared" si="8"/>
        <v>3773</v>
      </c>
      <c r="X34" s="6"/>
      <c r="Y34" s="107"/>
      <c r="Z34" s="92"/>
      <c r="AA34" s="92"/>
      <c r="AB34" s="92"/>
      <c r="AC34" s="92"/>
      <c r="AD34" s="92"/>
      <c r="AE34" s="92"/>
      <c r="AF34" s="75"/>
      <c r="AG34" s="92"/>
      <c r="AH34" s="92"/>
      <c r="AI34" s="92"/>
      <c r="AJ34" s="92"/>
      <c r="AK34" s="92"/>
      <c r="AL34" s="92"/>
      <c r="AM34" s="75"/>
      <c r="AN34" s="92"/>
      <c r="AO34" s="92"/>
      <c r="AP34" s="92"/>
      <c r="AQ34" s="92"/>
      <c r="AR34" s="92"/>
      <c r="AS34" s="92"/>
      <c r="AT34" s="75"/>
      <c r="AV34" s="111"/>
      <c r="AW34" s="89"/>
      <c r="AX34" s="89"/>
      <c r="AY34" s="89"/>
      <c r="AZ34" s="89"/>
      <c r="BA34" s="89"/>
      <c r="BB34" s="89"/>
      <c r="BC34" s="89"/>
      <c r="BD34" s="89"/>
      <c r="BE34" s="89"/>
      <c r="BF34" s="89"/>
      <c r="BG34" s="89"/>
      <c r="BH34" s="89"/>
      <c r="BI34" s="89"/>
      <c r="BJ34" s="89"/>
      <c r="BK34" s="89"/>
      <c r="BL34" s="89"/>
      <c r="BM34" s="89"/>
      <c r="BN34" s="89"/>
      <c r="BO34" s="89"/>
      <c r="BP34" s="89"/>
      <c r="BQ34" s="89"/>
    </row>
    <row r="35" spans="1:69" x14ac:dyDescent="0.2">
      <c r="B35" s="17" t="s">
        <v>28</v>
      </c>
      <c r="C35" s="87">
        <f t="shared" si="9"/>
        <v>26.1</v>
      </c>
      <c r="D35" s="87">
        <f t="shared" si="9"/>
        <v>20.3</v>
      </c>
      <c r="E35" s="87">
        <f t="shared" si="9"/>
        <v>19.899999999999999</v>
      </c>
      <c r="F35" s="87">
        <f t="shared" si="9"/>
        <v>15.7</v>
      </c>
      <c r="G35" s="87">
        <f t="shared" si="9"/>
        <v>9.4</v>
      </c>
      <c r="H35" s="87">
        <f t="shared" si="9"/>
        <v>91.4</v>
      </c>
      <c r="I35" s="66">
        <f t="shared" si="4"/>
        <v>2548</v>
      </c>
      <c r="J35" s="87">
        <f t="shared" si="10"/>
        <v>32</v>
      </c>
      <c r="K35" s="87">
        <f t="shared" si="10"/>
        <v>22.6</v>
      </c>
      <c r="L35" s="87">
        <f t="shared" si="10"/>
        <v>20.8</v>
      </c>
      <c r="M35" s="87">
        <f t="shared" si="10"/>
        <v>12.4</v>
      </c>
      <c r="N35" s="87">
        <f t="shared" si="10"/>
        <v>6.9</v>
      </c>
      <c r="O35" s="87">
        <f t="shared" si="10"/>
        <v>94.6</v>
      </c>
      <c r="P35" s="66">
        <f t="shared" si="6"/>
        <v>3124</v>
      </c>
      <c r="Q35" s="87">
        <f t="shared" si="11"/>
        <v>29.4</v>
      </c>
      <c r="R35" s="87">
        <f t="shared" si="11"/>
        <v>21.6</v>
      </c>
      <c r="S35" s="87">
        <f t="shared" si="11"/>
        <v>20.399999999999999</v>
      </c>
      <c r="T35" s="87">
        <f t="shared" si="11"/>
        <v>13.9</v>
      </c>
      <c r="U35" s="87">
        <f t="shared" si="11"/>
        <v>8</v>
      </c>
      <c r="V35" s="87">
        <f t="shared" si="11"/>
        <v>93.2</v>
      </c>
      <c r="W35" s="66">
        <f t="shared" si="8"/>
        <v>5672</v>
      </c>
      <c r="X35" s="6"/>
      <c r="Y35" s="107"/>
      <c r="Z35" s="92"/>
      <c r="AA35" s="92"/>
      <c r="AB35" s="92"/>
      <c r="AC35" s="92"/>
      <c r="AD35" s="92"/>
      <c r="AE35" s="92"/>
      <c r="AF35" s="75"/>
      <c r="AG35" s="92"/>
      <c r="AH35" s="92"/>
      <c r="AI35" s="92"/>
      <c r="AJ35" s="92"/>
      <c r="AK35" s="92"/>
      <c r="AL35" s="92"/>
      <c r="AM35" s="75"/>
      <c r="AN35" s="92"/>
      <c r="AO35" s="92"/>
      <c r="AP35" s="92"/>
      <c r="AQ35" s="92"/>
      <c r="AR35" s="92"/>
      <c r="AS35" s="92"/>
      <c r="AT35" s="75"/>
      <c r="AV35" s="111"/>
      <c r="AW35" s="89"/>
      <c r="AX35" s="89"/>
      <c r="AY35" s="89"/>
      <c r="AZ35" s="89"/>
      <c r="BA35" s="89"/>
      <c r="BB35" s="89"/>
      <c r="BC35" s="89"/>
      <c r="BD35" s="89"/>
      <c r="BE35" s="89"/>
      <c r="BF35" s="89"/>
      <c r="BG35" s="89"/>
      <c r="BH35" s="89"/>
      <c r="BI35" s="89"/>
      <c r="BJ35" s="89"/>
      <c r="BK35" s="89"/>
      <c r="BL35" s="89"/>
      <c r="BM35" s="89"/>
      <c r="BN35" s="89"/>
      <c r="BO35" s="89"/>
      <c r="BP35" s="89"/>
      <c r="BQ35" s="89"/>
    </row>
    <row r="36" spans="1:69" x14ac:dyDescent="0.2">
      <c r="B36" s="17" t="s">
        <v>29</v>
      </c>
      <c r="C36" s="87">
        <f t="shared" si="9"/>
        <v>18.399999999999999</v>
      </c>
      <c r="D36" s="87">
        <f t="shared" si="9"/>
        <v>19.899999999999999</v>
      </c>
      <c r="E36" s="87">
        <f t="shared" si="9"/>
        <v>20.7</v>
      </c>
      <c r="F36" s="87">
        <f t="shared" si="9"/>
        <v>17.3</v>
      </c>
      <c r="G36" s="87">
        <f t="shared" si="9"/>
        <v>12.9</v>
      </c>
      <c r="H36" s="87">
        <f t="shared" si="9"/>
        <v>89.3</v>
      </c>
      <c r="I36" s="66">
        <f t="shared" si="4"/>
        <v>6703</v>
      </c>
      <c r="J36" s="87">
        <f t="shared" si="10"/>
        <v>20.6</v>
      </c>
      <c r="K36" s="87">
        <f t="shared" si="10"/>
        <v>23</v>
      </c>
      <c r="L36" s="87">
        <f t="shared" si="10"/>
        <v>21.4</v>
      </c>
      <c r="M36" s="87">
        <f t="shared" si="10"/>
        <v>16.399999999999999</v>
      </c>
      <c r="N36" s="87">
        <f t="shared" si="10"/>
        <v>10.4</v>
      </c>
      <c r="O36" s="87">
        <f t="shared" si="10"/>
        <v>91.9</v>
      </c>
      <c r="P36" s="66">
        <f t="shared" si="6"/>
        <v>13643</v>
      </c>
      <c r="Q36" s="87">
        <f t="shared" si="11"/>
        <v>19.899999999999999</v>
      </c>
      <c r="R36" s="87">
        <f t="shared" si="11"/>
        <v>22</v>
      </c>
      <c r="S36" s="87">
        <f t="shared" si="11"/>
        <v>21.2</v>
      </c>
      <c r="T36" s="87">
        <f t="shared" si="11"/>
        <v>16.7</v>
      </c>
      <c r="U36" s="87">
        <f t="shared" si="11"/>
        <v>11.3</v>
      </c>
      <c r="V36" s="87">
        <f t="shared" si="11"/>
        <v>91</v>
      </c>
      <c r="W36" s="66">
        <f t="shared" si="8"/>
        <v>20346</v>
      </c>
      <c r="X36" s="6"/>
      <c r="Y36" s="107"/>
      <c r="Z36" s="92"/>
      <c r="AA36" s="92"/>
      <c r="AB36" s="92"/>
      <c r="AC36" s="92"/>
      <c r="AD36" s="92"/>
      <c r="AE36" s="92"/>
      <c r="AF36" s="75"/>
      <c r="AG36" s="92"/>
      <c r="AH36" s="92"/>
      <c r="AI36" s="92"/>
      <c r="AJ36" s="92"/>
      <c r="AK36" s="92"/>
      <c r="AL36" s="92"/>
      <c r="AM36" s="75"/>
      <c r="AN36" s="92"/>
      <c r="AO36" s="92"/>
      <c r="AP36" s="92"/>
      <c r="AQ36" s="92"/>
      <c r="AR36" s="92"/>
      <c r="AS36" s="92"/>
      <c r="AT36" s="75"/>
      <c r="AV36" s="111"/>
      <c r="AW36" s="89"/>
      <c r="AX36" s="89"/>
      <c r="AY36" s="89"/>
      <c r="AZ36" s="89"/>
      <c r="BA36" s="89"/>
      <c r="BB36" s="89"/>
      <c r="BC36" s="89"/>
      <c r="BD36" s="89"/>
      <c r="BE36" s="89"/>
      <c r="BF36" s="89"/>
      <c r="BG36" s="89"/>
      <c r="BH36" s="89"/>
      <c r="BI36" s="89"/>
      <c r="BJ36" s="89"/>
      <c r="BK36" s="89"/>
      <c r="BL36" s="89"/>
      <c r="BM36" s="89"/>
      <c r="BN36" s="89"/>
      <c r="BO36" s="89"/>
      <c r="BP36" s="89"/>
      <c r="BQ36" s="89"/>
    </row>
    <row r="37" spans="1:69" x14ac:dyDescent="0.2">
      <c r="B37" s="17" t="s">
        <v>30</v>
      </c>
      <c r="C37" s="87">
        <f t="shared" si="9"/>
        <v>13.1</v>
      </c>
      <c r="D37" s="87">
        <f t="shared" si="9"/>
        <v>19.100000000000001</v>
      </c>
      <c r="E37" s="87">
        <f t="shared" si="9"/>
        <v>23.1</v>
      </c>
      <c r="F37" s="87">
        <f t="shared" si="9"/>
        <v>22.1</v>
      </c>
      <c r="G37" s="87">
        <f t="shared" si="9"/>
        <v>13.9</v>
      </c>
      <c r="H37" s="87">
        <f t="shared" si="9"/>
        <v>91.4</v>
      </c>
      <c r="I37" s="66">
        <f t="shared" si="4"/>
        <v>6612</v>
      </c>
      <c r="J37" s="87">
        <f t="shared" si="10"/>
        <v>17.100000000000001</v>
      </c>
      <c r="K37" s="87">
        <f t="shared" si="10"/>
        <v>23.5</v>
      </c>
      <c r="L37" s="87">
        <f t="shared" si="10"/>
        <v>23.8</v>
      </c>
      <c r="M37" s="87">
        <f t="shared" si="10"/>
        <v>18.7</v>
      </c>
      <c r="N37" s="87">
        <f t="shared" si="10"/>
        <v>11.1</v>
      </c>
      <c r="O37" s="87">
        <f t="shared" si="10"/>
        <v>94.2</v>
      </c>
      <c r="P37" s="66">
        <f t="shared" si="6"/>
        <v>3896</v>
      </c>
      <c r="Q37" s="87">
        <f t="shared" si="11"/>
        <v>14.6</v>
      </c>
      <c r="R37" s="87">
        <f t="shared" si="11"/>
        <v>20.8</v>
      </c>
      <c r="S37" s="87">
        <f t="shared" si="11"/>
        <v>23.4</v>
      </c>
      <c r="T37" s="87">
        <f t="shared" si="11"/>
        <v>20.8</v>
      </c>
      <c r="U37" s="87">
        <f t="shared" si="11"/>
        <v>12.9</v>
      </c>
      <c r="V37" s="87">
        <f t="shared" si="11"/>
        <v>92.5</v>
      </c>
      <c r="W37" s="66">
        <f t="shared" si="8"/>
        <v>10508</v>
      </c>
      <c r="X37" s="6"/>
      <c r="Y37" s="107"/>
      <c r="Z37" s="92"/>
      <c r="AA37" s="92"/>
      <c r="AB37" s="92"/>
      <c r="AC37" s="92"/>
      <c r="AD37" s="92"/>
      <c r="AE37" s="92"/>
      <c r="AF37" s="75"/>
      <c r="AG37" s="92"/>
      <c r="AH37" s="92"/>
      <c r="AI37" s="92"/>
      <c r="AJ37" s="92"/>
      <c r="AK37" s="92"/>
      <c r="AL37" s="92"/>
      <c r="AM37" s="75"/>
      <c r="AN37" s="92"/>
      <c r="AO37" s="92"/>
      <c r="AP37" s="92"/>
      <c r="AQ37" s="92"/>
      <c r="AR37" s="92"/>
      <c r="AS37" s="92"/>
      <c r="AT37" s="75"/>
      <c r="AV37" s="111"/>
      <c r="AW37" s="89"/>
      <c r="AX37" s="89"/>
      <c r="AY37" s="89"/>
      <c r="AZ37" s="89"/>
      <c r="BA37" s="89"/>
      <c r="BB37" s="89"/>
      <c r="BC37" s="89"/>
      <c r="BD37" s="89"/>
      <c r="BE37" s="89"/>
      <c r="BF37" s="89"/>
      <c r="BG37" s="89"/>
      <c r="BH37" s="89"/>
      <c r="BI37" s="89"/>
      <c r="BJ37" s="89"/>
      <c r="BK37" s="89"/>
      <c r="BL37" s="89"/>
      <c r="BM37" s="89"/>
      <c r="BN37" s="89"/>
      <c r="BO37" s="89"/>
      <c r="BP37" s="89"/>
      <c r="BQ37" s="89"/>
    </row>
    <row r="38" spans="1:69" x14ac:dyDescent="0.2">
      <c r="B38" s="17" t="s">
        <v>31</v>
      </c>
      <c r="C38" s="87">
        <f t="shared" si="9"/>
        <v>7.4</v>
      </c>
      <c r="D38" s="87">
        <f t="shared" si="9"/>
        <v>11.5</v>
      </c>
      <c r="E38" s="87">
        <f t="shared" si="9"/>
        <v>17.5</v>
      </c>
      <c r="F38" s="87">
        <f t="shared" si="9"/>
        <v>22.3</v>
      </c>
      <c r="G38" s="87">
        <f t="shared" si="9"/>
        <v>23.2</v>
      </c>
      <c r="H38" s="87">
        <f t="shared" si="9"/>
        <v>81.900000000000006</v>
      </c>
      <c r="I38" s="66">
        <f t="shared" si="4"/>
        <v>15499</v>
      </c>
      <c r="J38" s="87">
        <f t="shared" si="10"/>
        <v>15.1</v>
      </c>
      <c r="K38" s="87">
        <f t="shared" si="10"/>
        <v>17.100000000000001</v>
      </c>
      <c r="L38" s="87">
        <f t="shared" si="10"/>
        <v>20.8</v>
      </c>
      <c r="M38" s="87">
        <f t="shared" si="10"/>
        <v>20.3</v>
      </c>
      <c r="N38" s="87">
        <f t="shared" si="10"/>
        <v>15.8</v>
      </c>
      <c r="O38" s="87">
        <f t="shared" si="10"/>
        <v>89.1</v>
      </c>
      <c r="P38" s="66">
        <f t="shared" si="6"/>
        <v>10362</v>
      </c>
      <c r="Q38" s="87">
        <f t="shared" si="11"/>
        <v>10.5</v>
      </c>
      <c r="R38" s="87">
        <f t="shared" si="11"/>
        <v>13.7</v>
      </c>
      <c r="S38" s="87">
        <f t="shared" si="11"/>
        <v>18.8</v>
      </c>
      <c r="T38" s="87">
        <f t="shared" si="11"/>
        <v>21.5</v>
      </c>
      <c r="U38" s="87">
        <f t="shared" si="11"/>
        <v>20.3</v>
      </c>
      <c r="V38" s="87">
        <f t="shared" si="11"/>
        <v>84.8</v>
      </c>
      <c r="W38" s="66">
        <f t="shared" si="8"/>
        <v>25861</v>
      </c>
      <c r="X38" s="6"/>
      <c r="Y38" s="107"/>
      <c r="Z38" s="92"/>
      <c r="AA38" s="92"/>
      <c r="AB38" s="92"/>
      <c r="AC38" s="92"/>
      <c r="AD38" s="92"/>
      <c r="AE38" s="92"/>
      <c r="AF38" s="75"/>
      <c r="AG38" s="92"/>
      <c r="AH38" s="92"/>
      <c r="AI38" s="92"/>
      <c r="AJ38" s="92"/>
      <c r="AK38" s="92"/>
      <c r="AL38" s="92"/>
      <c r="AM38" s="75"/>
      <c r="AN38" s="92"/>
      <c r="AO38" s="92"/>
      <c r="AP38" s="92"/>
      <c r="AQ38" s="92"/>
      <c r="AR38" s="92"/>
      <c r="AS38" s="92"/>
      <c r="AT38" s="75"/>
      <c r="AV38" s="111"/>
      <c r="AW38" s="89"/>
      <c r="AX38" s="89"/>
      <c r="AY38" s="89"/>
      <c r="AZ38" s="89"/>
      <c r="BA38" s="89"/>
      <c r="BB38" s="89"/>
      <c r="BC38" s="89"/>
      <c r="BD38" s="89"/>
      <c r="BE38" s="89"/>
      <c r="BF38" s="89"/>
      <c r="BG38" s="89"/>
      <c r="BH38" s="89"/>
      <c r="BI38" s="89"/>
      <c r="BJ38" s="89"/>
      <c r="BK38" s="89"/>
      <c r="BL38" s="89"/>
      <c r="BM38" s="89"/>
      <c r="BN38" s="89"/>
      <c r="BO38" s="89"/>
      <c r="BP38" s="89"/>
      <c r="BQ38" s="89"/>
    </row>
    <row r="39" spans="1:69" x14ac:dyDescent="0.2">
      <c r="B39" s="17" t="s">
        <v>32</v>
      </c>
      <c r="C39" s="87">
        <f t="shared" ref="C39:H40" si="12">IF(OR(C81=1,C81=2),"x",ROUND(C81/$I81*100,1))</f>
        <v>8.1</v>
      </c>
      <c r="D39" s="87">
        <f t="shared" si="12"/>
        <v>12.6</v>
      </c>
      <c r="E39" s="87">
        <f t="shared" si="12"/>
        <v>18.5</v>
      </c>
      <c r="F39" s="87">
        <f t="shared" si="12"/>
        <v>20.3</v>
      </c>
      <c r="G39" s="87">
        <f t="shared" si="12"/>
        <v>18.600000000000001</v>
      </c>
      <c r="H39" s="87">
        <f t="shared" si="12"/>
        <v>78.2</v>
      </c>
      <c r="I39" s="66">
        <f t="shared" si="4"/>
        <v>38080</v>
      </c>
      <c r="J39" s="87">
        <f t="shared" ref="J39:O40" si="13">IF(OR(J81=1,J81=2),"x",ROUND(J81/$P81*100,1))</f>
        <v>9.9</v>
      </c>
      <c r="K39" s="87">
        <f t="shared" si="13"/>
        <v>14.6</v>
      </c>
      <c r="L39" s="87">
        <f t="shared" si="13"/>
        <v>19.2</v>
      </c>
      <c r="M39" s="87">
        <f t="shared" si="13"/>
        <v>19.7</v>
      </c>
      <c r="N39" s="87">
        <f t="shared" si="13"/>
        <v>18.399999999999999</v>
      </c>
      <c r="O39" s="87">
        <f t="shared" si="13"/>
        <v>81.8</v>
      </c>
      <c r="P39" s="66">
        <f t="shared" si="6"/>
        <v>42345</v>
      </c>
      <c r="Q39" s="87">
        <f t="shared" ref="Q39:V40" si="14">IF(OR(Q81=1,Q81=2),"x",ROUND(Q81/$W81*100,1))</f>
        <v>9.1</v>
      </c>
      <c r="R39" s="87">
        <f t="shared" si="14"/>
        <v>13.6</v>
      </c>
      <c r="S39" s="87">
        <f t="shared" si="14"/>
        <v>18.899999999999999</v>
      </c>
      <c r="T39" s="87">
        <f t="shared" si="14"/>
        <v>20</v>
      </c>
      <c r="U39" s="87">
        <f t="shared" si="14"/>
        <v>18.5</v>
      </c>
      <c r="V39" s="87">
        <f t="shared" si="14"/>
        <v>80.099999999999994</v>
      </c>
      <c r="W39" s="66">
        <f t="shared" si="8"/>
        <v>80425</v>
      </c>
      <c r="X39" s="6"/>
      <c r="Y39" s="107"/>
      <c r="Z39" s="92"/>
      <c r="AA39" s="92"/>
      <c r="AB39" s="92"/>
      <c r="AC39" s="92"/>
      <c r="AD39" s="92"/>
      <c r="AE39" s="92"/>
      <c r="AF39" s="75"/>
      <c r="AG39" s="92"/>
      <c r="AH39" s="92"/>
      <c r="AI39" s="92"/>
      <c r="AJ39" s="92"/>
      <c r="AK39" s="92"/>
      <c r="AL39" s="92"/>
      <c r="AM39" s="75"/>
      <c r="AN39" s="92"/>
      <c r="AO39" s="92"/>
      <c r="AP39" s="92"/>
      <c r="AQ39" s="92"/>
      <c r="AR39" s="92"/>
      <c r="AS39" s="92"/>
      <c r="AT39" s="75"/>
      <c r="AV39" s="111"/>
      <c r="AW39" s="89"/>
      <c r="AX39" s="89"/>
      <c r="AY39" s="89"/>
      <c r="AZ39" s="89"/>
      <c r="BA39" s="89"/>
      <c r="BB39" s="89"/>
      <c r="BC39" s="89"/>
      <c r="BD39" s="89"/>
      <c r="BE39" s="89"/>
      <c r="BF39" s="89"/>
      <c r="BG39" s="89"/>
      <c r="BH39" s="89"/>
      <c r="BI39" s="89"/>
      <c r="BJ39" s="89"/>
      <c r="BK39" s="89"/>
      <c r="BL39" s="89"/>
      <c r="BM39" s="89"/>
      <c r="BN39" s="89"/>
      <c r="BO39" s="89"/>
      <c r="BP39" s="89"/>
      <c r="BQ39" s="89"/>
    </row>
    <row r="40" spans="1:69" x14ac:dyDescent="0.2">
      <c r="B40" s="18" t="s">
        <v>46</v>
      </c>
      <c r="C40" s="87">
        <f t="shared" si="12"/>
        <v>14.4</v>
      </c>
      <c r="D40" s="87">
        <f t="shared" si="12"/>
        <v>16.100000000000001</v>
      </c>
      <c r="E40" s="87">
        <f t="shared" si="12"/>
        <v>19.7</v>
      </c>
      <c r="F40" s="87">
        <f t="shared" si="12"/>
        <v>18.8</v>
      </c>
      <c r="G40" s="87">
        <f t="shared" si="12"/>
        <v>14.9</v>
      </c>
      <c r="H40" s="87">
        <f t="shared" si="12"/>
        <v>83.9</v>
      </c>
      <c r="I40" s="66">
        <f t="shared" si="4"/>
        <v>449980</v>
      </c>
      <c r="J40" s="87">
        <f t="shared" si="13"/>
        <v>17.100000000000001</v>
      </c>
      <c r="K40" s="87">
        <f t="shared" si="13"/>
        <v>19.2</v>
      </c>
      <c r="L40" s="87">
        <f t="shared" si="13"/>
        <v>21.5</v>
      </c>
      <c r="M40" s="87">
        <f t="shared" si="13"/>
        <v>17.899999999999999</v>
      </c>
      <c r="N40" s="87">
        <f t="shared" si="13"/>
        <v>12.6</v>
      </c>
      <c r="O40" s="87">
        <f t="shared" si="13"/>
        <v>88.3</v>
      </c>
      <c r="P40" s="66">
        <f t="shared" si="6"/>
        <v>523609</v>
      </c>
      <c r="Q40" s="87">
        <f t="shared" si="14"/>
        <v>15.8</v>
      </c>
      <c r="R40" s="87">
        <f t="shared" si="14"/>
        <v>17.8</v>
      </c>
      <c r="S40" s="87">
        <f t="shared" si="14"/>
        <v>20.7</v>
      </c>
      <c r="T40" s="87">
        <f t="shared" si="14"/>
        <v>18.3</v>
      </c>
      <c r="U40" s="87">
        <f t="shared" si="14"/>
        <v>13.7</v>
      </c>
      <c r="V40" s="87">
        <f t="shared" si="14"/>
        <v>86.3</v>
      </c>
      <c r="W40" s="66">
        <f t="shared" si="8"/>
        <v>973589</v>
      </c>
      <c r="X40" s="6"/>
      <c r="Y40" s="108"/>
      <c r="Z40" s="92"/>
      <c r="AA40" s="92"/>
      <c r="AB40" s="92"/>
      <c r="AC40" s="92"/>
      <c r="AD40" s="92"/>
      <c r="AE40" s="92"/>
      <c r="AF40" s="75"/>
      <c r="AG40" s="92"/>
      <c r="AH40" s="92"/>
      <c r="AI40" s="92"/>
      <c r="AJ40" s="92"/>
      <c r="AK40" s="92"/>
      <c r="AL40" s="92"/>
      <c r="AM40" s="75"/>
      <c r="AN40" s="92"/>
      <c r="AO40" s="92"/>
      <c r="AP40" s="92"/>
      <c r="AQ40" s="92"/>
      <c r="AR40" s="92"/>
      <c r="AS40" s="92"/>
      <c r="AT40" s="75"/>
      <c r="AV40" s="112"/>
      <c r="AW40" s="89"/>
      <c r="AX40" s="89"/>
      <c r="AY40" s="89"/>
      <c r="AZ40" s="89"/>
      <c r="BA40" s="89"/>
      <c r="BB40" s="89"/>
      <c r="BC40" s="89"/>
      <c r="BD40" s="89"/>
      <c r="BE40" s="89"/>
      <c r="BF40" s="89"/>
      <c r="BG40" s="89"/>
      <c r="BH40" s="89"/>
      <c r="BI40" s="89"/>
      <c r="BJ40" s="89"/>
      <c r="BK40" s="89"/>
      <c r="BL40" s="89"/>
      <c r="BM40" s="89"/>
      <c r="BN40" s="89"/>
      <c r="BO40" s="89"/>
      <c r="BP40" s="89"/>
      <c r="BQ40" s="89"/>
    </row>
    <row r="41" spans="1:69" x14ac:dyDescent="0.2">
      <c r="B41" s="33"/>
      <c r="AW41" s="89"/>
      <c r="AX41" s="89"/>
      <c r="AY41" s="89"/>
      <c r="AZ41" s="89"/>
      <c r="BA41" s="89"/>
      <c r="BB41" s="89"/>
      <c r="BC41" s="89"/>
      <c r="BD41" s="89"/>
      <c r="BE41" s="89"/>
      <c r="BF41" s="89"/>
      <c r="BG41" s="89"/>
      <c r="BH41" s="89"/>
      <c r="BI41" s="89"/>
      <c r="BJ41" s="89"/>
      <c r="BK41" s="89"/>
      <c r="BL41" s="89"/>
      <c r="BM41" s="89"/>
      <c r="BN41" s="89"/>
      <c r="BO41" s="89"/>
      <c r="BP41" s="89"/>
      <c r="BQ41" s="89"/>
    </row>
    <row r="42" spans="1:69" x14ac:dyDescent="0.2">
      <c r="AW42" s="89"/>
      <c r="AX42" s="89"/>
      <c r="AY42" s="89"/>
      <c r="AZ42" s="89"/>
      <c r="BA42" s="89"/>
      <c r="BB42" s="89"/>
      <c r="BC42" s="89"/>
      <c r="BD42" s="89"/>
      <c r="BE42" s="89"/>
      <c r="BF42" s="89"/>
      <c r="BG42" s="89"/>
      <c r="BH42" s="89"/>
      <c r="BI42" s="89"/>
      <c r="BJ42" s="89"/>
      <c r="BK42" s="89"/>
      <c r="BL42" s="89"/>
      <c r="BM42" s="89"/>
      <c r="BN42" s="89"/>
      <c r="BO42" s="89"/>
      <c r="BP42" s="89"/>
      <c r="BQ42" s="89"/>
    </row>
    <row r="43" spans="1:69" x14ac:dyDescent="0.2">
      <c r="A43" s="7" t="s">
        <v>64</v>
      </c>
      <c r="B43" s="7" t="s">
        <v>64</v>
      </c>
      <c r="AW43" s="89"/>
      <c r="AX43" s="89"/>
      <c r="AY43" s="89"/>
      <c r="AZ43" s="89"/>
      <c r="BA43" s="89"/>
      <c r="BB43" s="89"/>
      <c r="BC43" s="89"/>
      <c r="BD43" s="89"/>
      <c r="BE43" s="89"/>
      <c r="BF43" s="89"/>
      <c r="BG43" s="89"/>
      <c r="BH43" s="89"/>
      <c r="BI43" s="89"/>
      <c r="BJ43" s="89"/>
      <c r="BK43" s="89"/>
      <c r="BL43" s="89"/>
      <c r="BM43" s="89"/>
      <c r="BN43" s="89"/>
      <c r="BO43" s="89"/>
      <c r="BP43" s="89"/>
      <c r="BQ43" s="89"/>
    </row>
    <row r="44" spans="1:69" x14ac:dyDescent="0.2">
      <c r="AW44" s="89"/>
      <c r="AX44" s="89"/>
      <c r="AY44" s="89"/>
      <c r="AZ44" s="89"/>
      <c r="BA44" s="89"/>
      <c r="BB44" s="89"/>
      <c r="BC44" s="89"/>
      <c r="BD44" s="89"/>
      <c r="BE44" s="89"/>
      <c r="BF44" s="89"/>
      <c r="BG44" s="89"/>
      <c r="BH44" s="89"/>
      <c r="BI44" s="89"/>
      <c r="BJ44" s="89"/>
      <c r="BK44" s="89"/>
      <c r="BL44" s="89"/>
      <c r="BM44" s="89"/>
      <c r="BN44" s="89"/>
      <c r="BO44" s="89"/>
      <c r="BP44" s="89"/>
      <c r="BQ44" s="89"/>
    </row>
    <row r="45" spans="1:69" x14ac:dyDescent="0.2">
      <c r="C45" s="7" t="s">
        <v>42</v>
      </c>
      <c r="J45" s="7" t="s">
        <v>43</v>
      </c>
      <c r="Q45" s="7" t="s">
        <v>54</v>
      </c>
      <c r="AW45" s="89"/>
      <c r="AX45" s="89"/>
      <c r="AY45" s="89"/>
      <c r="AZ45" s="89"/>
      <c r="BA45" s="89"/>
      <c r="BB45" s="89"/>
      <c r="BC45" s="89"/>
      <c r="BD45" s="89"/>
      <c r="BE45" s="89"/>
      <c r="BF45" s="89"/>
      <c r="BG45" s="89"/>
      <c r="BH45" s="89"/>
      <c r="BI45" s="89"/>
      <c r="BJ45" s="89"/>
      <c r="BK45" s="89"/>
      <c r="BL45" s="89"/>
      <c r="BM45" s="89"/>
      <c r="BN45" s="89"/>
      <c r="BO45" s="89"/>
      <c r="BP45" s="89"/>
      <c r="BQ45" s="89"/>
    </row>
    <row r="46" spans="1:69" x14ac:dyDescent="0.2">
      <c r="C46" s="7" t="s">
        <v>33</v>
      </c>
      <c r="D46" s="7" t="s">
        <v>34</v>
      </c>
      <c r="E46" s="7" t="s">
        <v>35</v>
      </c>
      <c r="F46" s="7" t="s">
        <v>36</v>
      </c>
      <c r="G46" s="7" t="s">
        <v>37</v>
      </c>
      <c r="H46" s="7" t="s">
        <v>47</v>
      </c>
      <c r="I46" s="7" t="s">
        <v>54</v>
      </c>
      <c r="J46" s="7" t="s">
        <v>33</v>
      </c>
      <c r="K46" s="7" t="s">
        <v>34</v>
      </c>
      <c r="L46" s="7" t="s">
        <v>35</v>
      </c>
      <c r="M46" s="7" t="s">
        <v>36</v>
      </c>
      <c r="N46" s="7" t="s">
        <v>37</v>
      </c>
      <c r="O46" s="7" t="s">
        <v>47</v>
      </c>
      <c r="P46" s="7" t="s">
        <v>54</v>
      </c>
      <c r="Q46" s="7" t="s">
        <v>33</v>
      </c>
      <c r="R46" s="7" t="s">
        <v>34</v>
      </c>
      <c r="S46" s="7" t="s">
        <v>35</v>
      </c>
      <c r="T46" s="7" t="s">
        <v>36</v>
      </c>
      <c r="U46" s="7" t="s">
        <v>37</v>
      </c>
      <c r="V46" s="7" t="s">
        <v>47</v>
      </c>
      <c r="W46" s="7" t="s">
        <v>54</v>
      </c>
      <c r="AW46" s="89"/>
      <c r="AX46" s="89"/>
      <c r="AY46" s="89"/>
      <c r="AZ46" s="89"/>
      <c r="BA46" s="89"/>
      <c r="BB46" s="89"/>
      <c r="BC46" s="89"/>
      <c r="BD46" s="89"/>
      <c r="BE46" s="89"/>
      <c r="BF46" s="89"/>
      <c r="BG46" s="89"/>
      <c r="BH46" s="89"/>
      <c r="BI46" s="89"/>
      <c r="BJ46" s="89"/>
      <c r="BK46" s="89"/>
      <c r="BL46" s="89"/>
      <c r="BM46" s="89"/>
      <c r="BN46" s="89"/>
      <c r="BO46" s="89"/>
      <c r="BP46" s="89"/>
      <c r="BQ46" s="89"/>
    </row>
    <row r="48" spans="1:69" x14ac:dyDescent="0.2">
      <c r="A48" s="7" t="s">
        <v>72</v>
      </c>
      <c r="B48" s="7" t="s">
        <v>0</v>
      </c>
      <c r="C48" s="7">
        <v>4048</v>
      </c>
      <c r="D48" s="7">
        <v>4397</v>
      </c>
      <c r="E48" s="7">
        <v>5036</v>
      </c>
      <c r="F48" s="7">
        <v>4944</v>
      </c>
      <c r="G48" s="7">
        <v>4827</v>
      </c>
      <c r="H48" s="7">
        <v>23252</v>
      </c>
      <c r="I48" s="7">
        <v>29446</v>
      </c>
      <c r="J48" s="7">
        <v>6275</v>
      </c>
      <c r="K48" s="7">
        <v>6232</v>
      </c>
      <c r="L48" s="7">
        <v>6535</v>
      </c>
      <c r="M48" s="7">
        <v>6092</v>
      </c>
      <c r="N48" s="7">
        <v>5482</v>
      </c>
      <c r="O48" s="7">
        <v>30616</v>
      </c>
      <c r="P48" s="7">
        <v>37177</v>
      </c>
      <c r="Q48" s="7">
        <v>10323</v>
      </c>
      <c r="R48" s="7">
        <v>10629</v>
      </c>
      <c r="S48" s="7">
        <v>11571</v>
      </c>
      <c r="T48" s="7">
        <v>11036</v>
      </c>
      <c r="U48" s="7">
        <v>10309</v>
      </c>
      <c r="V48" s="7">
        <v>53868</v>
      </c>
      <c r="W48" s="7">
        <v>66623</v>
      </c>
    </row>
    <row r="49" spans="2:23" x14ac:dyDescent="0.2">
      <c r="B49" s="7" t="s">
        <v>1</v>
      </c>
      <c r="C49" s="7">
        <v>4750</v>
      </c>
      <c r="D49" s="7">
        <v>4405</v>
      </c>
      <c r="E49" s="7">
        <v>4582</v>
      </c>
      <c r="F49" s="7">
        <v>4184</v>
      </c>
      <c r="G49" s="7">
        <v>3727</v>
      </c>
      <c r="H49" s="7">
        <v>21648</v>
      </c>
      <c r="I49" s="7">
        <v>25986</v>
      </c>
      <c r="J49" s="7">
        <v>4188</v>
      </c>
      <c r="K49" s="7">
        <v>4270</v>
      </c>
      <c r="L49" s="7">
        <v>4334</v>
      </c>
      <c r="M49" s="7">
        <v>3751</v>
      </c>
      <c r="N49" s="7">
        <v>3163</v>
      </c>
      <c r="O49" s="7">
        <v>19706</v>
      </c>
      <c r="P49" s="7">
        <v>23457</v>
      </c>
      <c r="Q49" s="7">
        <v>8938</v>
      </c>
      <c r="R49" s="7">
        <v>8675</v>
      </c>
      <c r="S49" s="7">
        <v>8916</v>
      </c>
      <c r="T49" s="7">
        <v>7935</v>
      </c>
      <c r="U49" s="7">
        <v>6890</v>
      </c>
      <c r="V49" s="7">
        <v>41354</v>
      </c>
      <c r="W49" s="7">
        <v>49443</v>
      </c>
    </row>
    <row r="50" spans="2:23" x14ac:dyDescent="0.2">
      <c r="B50" s="7" t="s">
        <v>2</v>
      </c>
      <c r="C50" s="7">
        <v>5418</v>
      </c>
      <c r="D50" s="7">
        <v>4488</v>
      </c>
      <c r="E50" s="7">
        <v>4781</v>
      </c>
      <c r="F50" s="7">
        <v>4459</v>
      </c>
      <c r="G50" s="7">
        <v>4054</v>
      </c>
      <c r="H50" s="7">
        <v>23200</v>
      </c>
      <c r="I50" s="7">
        <v>28419</v>
      </c>
      <c r="J50" s="7">
        <v>1999</v>
      </c>
      <c r="K50" s="7">
        <v>1528</v>
      </c>
      <c r="L50" s="7">
        <v>1546</v>
      </c>
      <c r="M50" s="7">
        <v>1338</v>
      </c>
      <c r="N50" s="7">
        <v>1110</v>
      </c>
      <c r="O50" s="7">
        <v>7521</v>
      </c>
      <c r="P50" s="7">
        <v>8668</v>
      </c>
      <c r="Q50" s="7">
        <v>7417</v>
      </c>
      <c r="R50" s="7">
        <v>6016</v>
      </c>
      <c r="S50" s="7">
        <v>6327</v>
      </c>
      <c r="T50" s="7">
        <v>5797</v>
      </c>
      <c r="U50" s="7">
        <v>5164</v>
      </c>
      <c r="V50" s="7">
        <v>30721</v>
      </c>
      <c r="W50" s="7">
        <v>37087</v>
      </c>
    </row>
    <row r="51" spans="2:23" x14ac:dyDescent="0.2">
      <c r="B51" s="7" t="s">
        <v>3</v>
      </c>
      <c r="C51" s="7">
        <v>765</v>
      </c>
      <c r="D51" s="7">
        <v>698</v>
      </c>
      <c r="E51" s="7">
        <v>953</v>
      </c>
      <c r="F51" s="7">
        <v>899</v>
      </c>
      <c r="G51" s="7">
        <v>783</v>
      </c>
      <c r="H51" s="7">
        <v>4098</v>
      </c>
      <c r="I51" s="7">
        <v>4983</v>
      </c>
      <c r="J51" s="7">
        <v>329</v>
      </c>
      <c r="K51" s="7">
        <v>380</v>
      </c>
      <c r="L51" s="7">
        <v>470</v>
      </c>
      <c r="M51" s="7">
        <v>453</v>
      </c>
      <c r="N51" s="7">
        <v>412</v>
      </c>
      <c r="O51" s="7">
        <v>2044</v>
      </c>
      <c r="P51" s="7">
        <v>2497</v>
      </c>
      <c r="Q51" s="7">
        <v>1094</v>
      </c>
      <c r="R51" s="7">
        <v>1078</v>
      </c>
      <c r="S51" s="7">
        <v>1423</v>
      </c>
      <c r="T51" s="7">
        <v>1352</v>
      </c>
      <c r="U51" s="7">
        <v>1195</v>
      </c>
      <c r="V51" s="7">
        <v>6142</v>
      </c>
      <c r="W51" s="7">
        <v>7480</v>
      </c>
    </row>
    <row r="52" spans="2:23" x14ac:dyDescent="0.2">
      <c r="B52" s="7" t="s">
        <v>4</v>
      </c>
      <c r="C52" s="7">
        <v>10564</v>
      </c>
      <c r="D52" s="7">
        <v>7049</v>
      </c>
      <c r="E52" s="7">
        <v>6909</v>
      </c>
      <c r="F52" s="7">
        <v>6644</v>
      </c>
      <c r="G52" s="7">
        <v>5855</v>
      </c>
      <c r="H52" s="7">
        <v>37021</v>
      </c>
      <c r="I52" s="7">
        <v>46279</v>
      </c>
      <c r="J52" s="7">
        <v>8146</v>
      </c>
      <c r="K52" s="7">
        <v>6039</v>
      </c>
      <c r="L52" s="7">
        <v>5368</v>
      </c>
      <c r="M52" s="7">
        <v>4636</v>
      </c>
      <c r="N52" s="7">
        <v>3897</v>
      </c>
      <c r="O52" s="7">
        <v>28086</v>
      </c>
      <c r="P52" s="7">
        <v>33179</v>
      </c>
      <c r="Q52" s="7">
        <v>18710</v>
      </c>
      <c r="R52" s="7">
        <v>13088</v>
      </c>
      <c r="S52" s="7">
        <v>12277</v>
      </c>
      <c r="T52" s="7">
        <v>11280</v>
      </c>
      <c r="U52" s="7">
        <v>9752</v>
      </c>
      <c r="V52" s="7">
        <v>65107</v>
      </c>
      <c r="W52" s="7">
        <v>79458</v>
      </c>
    </row>
    <row r="53" spans="2:23" x14ac:dyDescent="0.2">
      <c r="B53" s="7" t="s">
        <v>5</v>
      </c>
      <c r="C53" s="7">
        <v>2385</v>
      </c>
      <c r="D53" s="7">
        <v>1118</v>
      </c>
      <c r="E53" s="7">
        <v>819</v>
      </c>
      <c r="F53" s="7">
        <v>645</v>
      </c>
      <c r="G53" s="7">
        <v>435</v>
      </c>
      <c r="H53" s="7">
        <v>5402</v>
      </c>
      <c r="I53" s="7">
        <v>5911</v>
      </c>
      <c r="J53" s="7">
        <v>1566</v>
      </c>
      <c r="K53" s="7">
        <v>690</v>
      </c>
      <c r="L53" s="7">
        <v>482</v>
      </c>
      <c r="M53" s="7">
        <v>355</v>
      </c>
      <c r="N53" s="7">
        <v>216</v>
      </c>
      <c r="O53" s="7">
        <v>3309</v>
      </c>
      <c r="P53" s="7">
        <v>3510</v>
      </c>
      <c r="Q53" s="7">
        <v>3951</v>
      </c>
      <c r="R53" s="7">
        <v>1808</v>
      </c>
      <c r="S53" s="7">
        <v>1301</v>
      </c>
      <c r="T53" s="7">
        <v>1000</v>
      </c>
      <c r="U53" s="7">
        <v>651</v>
      </c>
      <c r="V53" s="7">
        <v>8711</v>
      </c>
      <c r="W53" s="7">
        <v>9421</v>
      </c>
    </row>
    <row r="54" spans="2:23" x14ac:dyDescent="0.2">
      <c r="B54" s="7" t="s">
        <v>6</v>
      </c>
      <c r="C54" s="7">
        <v>940</v>
      </c>
      <c r="D54" s="7">
        <v>1538</v>
      </c>
      <c r="E54" s="7">
        <v>2169</v>
      </c>
      <c r="F54" s="7">
        <v>2353</v>
      </c>
      <c r="G54" s="7">
        <v>1878</v>
      </c>
      <c r="H54" s="7">
        <v>8878</v>
      </c>
      <c r="I54" s="7">
        <v>10591</v>
      </c>
      <c r="J54" s="7">
        <v>1102</v>
      </c>
      <c r="K54" s="7">
        <v>1483</v>
      </c>
      <c r="L54" s="7">
        <v>1730</v>
      </c>
      <c r="M54" s="7">
        <v>1535</v>
      </c>
      <c r="N54" s="7">
        <v>1123</v>
      </c>
      <c r="O54" s="7">
        <v>6973</v>
      </c>
      <c r="P54" s="7">
        <v>7808</v>
      </c>
      <c r="Q54" s="7">
        <v>2042</v>
      </c>
      <c r="R54" s="7">
        <v>3021</v>
      </c>
      <c r="S54" s="7">
        <v>3899</v>
      </c>
      <c r="T54" s="7">
        <v>3888</v>
      </c>
      <c r="U54" s="7">
        <v>3001</v>
      </c>
      <c r="V54" s="7">
        <v>15851</v>
      </c>
      <c r="W54" s="7">
        <v>18399</v>
      </c>
    </row>
    <row r="55" spans="2:23" x14ac:dyDescent="0.2">
      <c r="B55" s="2" t="s">
        <v>168</v>
      </c>
      <c r="C55" s="7">
        <v>569</v>
      </c>
      <c r="D55" s="7">
        <v>855</v>
      </c>
      <c r="E55" s="7">
        <v>1076</v>
      </c>
      <c r="F55" s="7">
        <v>1077</v>
      </c>
      <c r="G55" s="7">
        <v>871</v>
      </c>
      <c r="H55" s="7">
        <v>4448</v>
      </c>
      <c r="I55" s="7">
        <v>5524</v>
      </c>
      <c r="J55" s="7">
        <v>41</v>
      </c>
      <c r="K55" s="7">
        <v>77</v>
      </c>
      <c r="L55" s="7">
        <v>78</v>
      </c>
      <c r="M55" s="7">
        <v>93</v>
      </c>
      <c r="N55" s="7">
        <v>76</v>
      </c>
      <c r="O55" s="7">
        <v>365</v>
      </c>
      <c r="P55" s="7">
        <v>487</v>
      </c>
      <c r="Q55" s="7">
        <v>610</v>
      </c>
      <c r="R55" s="7">
        <v>932</v>
      </c>
      <c r="S55" s="7">
        <v>1154</v>
      </c>
      <c r="T55" s="7">
        <v>1170</v>
      </c>
      <c r="U55" s="7">
        <v>947</v>
      </c>
      <c r="V55" s="7">
        <v>4813</v>
      </c>
      <c r="W55" s="7">
        <v>6011</v>
      </c>
    </row>
    <row r="56" spans="2:23" x14ac:dyDescent="0.2">
      <c r="B56" s="7" t="s">
        <v>8</v>
      </c>
      <c r="C56" s="7">
        <v>416</v>
      </c>
      <c r="D56" s="7">
        <v>905</v>
      </c>
      <c r="E56" s="7">
        <v>1669</v>
      </c>
      <c r="F56" s="7">
        <v>2068</v>
      </c>
      <c r="G56" s="7">
        <v>1936</v>
      </c>
      <c r="H56" s="7">
        <v>6994</v>
      </c>
      <c r="I56" s="7">
        <v>9136</v>
      </c>
      <c r="J56" s="7">
        <v>406</v>
      </c>
      <c r="K56" s="7">
        <v>646</v>
      </c>
      <c r="L56" s="7">
        <v>1039</v>
      </c>
      <c r="M56" s="7">
        <v>1130</v>
      </c>
      <c r="N56" s="7">
        <v>918</v>
      </c>
      <c r="O56" s="7">
        <v>4139</v>
      </c>
      <c r="P56" s="7">
        <v>4996</v>
      </c>
      <c r="Q56" s="7">
        <v>822</v>
      </c>
      <c r="R56" s="7">
        <v>1551</v>
      </c>
      <c r="S56" s="7">
        <v>2708</v>
      </c>
      <c r="T56" s="7">
        <v>3198</v>
      </c>
      <c r="U56" s="7">
        <v>2854</v>
      </c>
      <c r="V56" s="7">
        <v>11133</v>
      </c>
      <c r="W56" s="7">
        <v>14132</v>
      </c>
    </row>
    <row r="57" spans="2:23" x14ac:dyDescent="0.2">
      <c r="B57" s="7" t="s">
        <v>9</v>
      </c>
      <c r="C57" s="7">
        <v>1</v>
      </c>
      <c r="D57" s="7">
        <v>5</v>
      </c>
      <c r="E57" s="7">
        <v>21</v>
      </c>
      <c r="F57" s="7">
        <v>24</v>
      </c>
      <c r="G57" s="7">
        <v>28</v>
      </c>
      <c r="H57" s="7">
        <v>79</v>
      </c>
      <c r="I57" s="7">
        <v>106</v>
      </c>
      <c r="J57" s="7">
        <v>46</v>
      </c>
      <c r="K57" s="7">
        <v>55</v>
      </c>
      <c r="L57" s="7">
        <v>80</v>
      </c>
      <c r="M57" s="7">
        <v>67</v>
      </c>
      <c r="N57" s="7">
        <v>59</v>
      </c>
      <c r="O57" s="7">
        <v>307</v>
      </c>
      <c r="P57" s="7">
        <v>346</v>
      </c>
      <c r="Q57" s="7">
        <v>47</v>
      </c>
      <c r="R57" s="7">
        <v>60</v>
      </c>
      <c r="S57" s="7">
        <v>101</v>
      </c>
      <c r="T57" s="7">
        <v>91</v>
      </c>
      <c r="U57" s="7">
        <v>87</v>
      </c>
      <c r="V57" s="7">
        <v>386</v>
      </c>
      <c r="W57" s="7">
        <v>452</v>
      </c>
    </row>
    <row r="58" spans="2:23" x14ac:dyDescent="0.2">
      <c r="B58" s="7" t="s">
        <v>10</v>
      </c>
      <c r="C58" s="7">
        <v>273</v>
      </c>
      <c r="D58" s="7">
        <v>560</v>
      </c>
      <c r="E58" s="7">
        <v>729</v>
      </c>
      <c r="F58" s="7">
        <v>759</v>
      </c>
      <c r="G58" s="7">
        <v>703</v>
      </c>
      <c r="H58" s="7">
        <v>3024</v>
      </c>
      <c r="I58" s="7">
        <v>4395</v>
      </c>
      <c r="J58" s="7">
        <v>182</v>
      </c>
      <c r="K58" s="7">
        <v>305</v>
      </c>
      <c r="L58" s="7">
        <v>416</v>
      </c>
      <c r="M58" s="7">
        <v>388</v>
      </c>
      <c r="N58" s="7">
        <v>419</v>
      </c>
      <c r="O58" s="7">
        <v>1710</v>
      </c>
      <c r="P58" s="7">
        <v>2433</v>
      </c>
      <c r="Q58" s="7">
        <v>455</v>
      </c>
      <c r="R58" s="7">
        <v>865</v>
      </c>
      <c r="S58" s="7">
        <v>1145</v>
      </c>
      <c r="T58" s="7">
        <v>1147</v>
      </c>
      <c r="U58" s="7">
        <v>1122</v>
      </c>
      <c r="V58" s="7">
        <v>4734</v>
      </c>
      <c r="W58" s="7">
        <v>6828</v>
      </c>
    </row>
    <row r="59" spans="2:23" x14ac:dyDescent="0.2">
      <c r="B59" s="7" t="s">
        <v>11</v>
      </c>
      <c r="C59" s="7">
        <v>1851</v>
      </c>
      <c r="D59" s="7">
        <v>3277</v>
      </c>
      <c r="E59" s="7">
        <v>4639</v>
      </c>
      <c r="F59" s="7">
        <v>4683</v>
      </c>
      <c r="G59" s="7">
        <v>3715</v>
      </c>
      <c r="H59" s="7">
        <v>18165</v>
      </c>
      <c r="I59" s="7">
        <v>21066</v>
      </c>
      <c r="J59" s="7">
        <v>1529</v>
      </c>
      <c r="K59" s="7">
        <v>2348</v>
      </c>
      <c r="L59" s="7">
        <v>3227</v>
      </c>
      <c r="M59" s="7">
        <v>3315</v>
      </c>
      <c r="N59" s="7">
        <v>2696</v>
      </c>
      <c r="O59" s="7">
        <v>13115</v>
      </c>
      <c r="P59" s="7">
        <v>15327</v>
      </c>
      <c r="Q59" s="7">
        <v>3380</v>
      </c>
      <c r="R59" s="7">
        <v>5625</v>
      </c>
      <c r="S59" s="7">
        <v>7866</v>
      </c>
      <c r="T59" s="7">
        <v>7998</v>
      </c>
      <c r="U59" s="7">
        <v>6411</v>
      </c>
      <c r="V59" s="7">
        <v>31280</v>
      </c>
      <c r="W59" s="7">
        <v>36393</v>
      </c>
    </row>
    <row r="60" spans="2:23" x14ac:dyDescent="0.2">
      <c r="B60" s="7" t="s">
        <v>12</v>
      </c>
      <c r="C60" s="7">
        <v>2802</v>
      </c>
      <c r="D60" s="7">
        <v>2808</v>
      </c>
      <c r="E60" s="7">
        <v>2956</v>
      </c>
      <c r="F60" s="7">
        <v>2590</v>
      </c>
      <c r="G60" s="7">
        <v>1939</v>
      </c>
      <c r="H60" s="7">
        <v>13095</v>
      </c>
      <c r="I60" s="7">
        <v>15126</v>
      </c>
      <c r="J60" s="7">
        <v>1535</v>
      </c>
      <c r="K60" s="7">
        <v>1411</v>
      </c>
      <c r="L60" s="7">
        <v>1345</v>
      </c>
      <c r="M60" s="7">
        <v>1109</v>
      </c>
      <c r="N60" s="7">
        <v>867</v>
      </c>
      <c r="O60" s="7">
        <v>6267</v>
      </c>
      <c r="P60" s="7">
        <v>7115</v>
      </c>
      <c r="Q60" s="7">
        <v>4337</v>
      </c>
      <c r="R60" s="7">
        <v>4219</v>
      </c>
      <c r="S60" s="7">
        <v>4301</v>
      </c>
      <c r="T60" s="7">
        <v>3699</v>
      </c>
      <c r="U60" s="7">
        <v>2806</v>
      </c>
      <c r="V60" s="7">
        <v>19362</v>
      </c>
      <c r="W60" s="7">
        <v>22241</v>
      </c>
    </row>
    <row r="61" spans="2:23" x14ac:dyDescent="0.2">
      <c r="B61" s="7" t="s">
        <v>13</v>
      </c>
      <c r="C61" s="7">
        <v>2998</v>
      </c>
      <c r="D61" s="7">
        <v>2821</v>
      </c>
      <c r="E61" s="7">
        <v>3252</v>
      </c>
      <c r="F61" s="7">
        <v>3000</v>
      </c>
      <c r="G61" s="7">
        <v>2260</v>
      </c>
      <c r="H61" s="7">
        <v>14331</v>
      </c>
      <c r="I61" s="7">
        <v>16301</v>
      </c>
      <c r="J61" s="7">
        <v>3643</v>
      </c>
      <c r="K61" s="7">
        <v>2622</v>
      </c>
      <c r="L61" s="7">
        <v>2709</v>
      </c>
      <c r="M61" s="7">
        <v>2219</v>
      </c>
      <c r="N61" s="7">
        <v>1550</v>
      </c>
      <c r="O61" s="7">
        <v>12743</v>
      </c>
      <c r="P61" s="7">
        <v>13975</v>
      </c>
      <c r="Q61" s="7">
        <v>6641</v>
      </c>
      <c r="R61" s="7">
        <v>5443</v>
      </c>
      <c r="S61" s="7">
        <v>5961</v>
      </c>
      <c r="T61" s="7">
        <v>5219</v>
      </c>
      <c r="U61" s="7">
        <v>3810</v>
      </c>
      <c r="V61" s="7">
        <v>27074</v>
      </c>
      <c r="W61" s="7">
        <v>30276</v>
      </c>
    </row>
    <row r="62" spans="2:23" x14ac:dyDescent="0.2">
      <c r="B62" s="7" t="s">
        <v>14</v>
      </c>
      <c r="C62" s="7">
        <v>1518</v>
      </c>
      <c r="D62" s="7">
        <v>1450</v>
      </c>
      <c r="E62" s="7">
        <v>1655</v>
      </c>
      <c r="F62" s="7">
        <v>1284</v>
      </c>
      <c r="G62" s="7">
        <v>946</v>
      </c>
      <c r="H62" s="7">
        <v>6853</v>
      </c>
      <c r="I62" s="7">
        <v>7802</v>
      </c>
      <c r="J62" s="7">
        <v>1453</v>
      </c>
      <c r="K62" s="7">
        <v>1189</v>
      </c>
      <c r="L62" s="7">
        <v>1102</v>
      </c>
      <c r="M62" s="7">
        <v>942</v>
      </c>
      <c r="N62" s="7">
        <v>671</v>
      </c>
      <c r="O62" s="7">
        <v>5357</v>
      </c>
      <c r="P62" s="7">
        <v>6097</v>
      </c>
      <c r="Q62" s="7">
        <v>2971</v>
      </c>
      <c r="R62" s="7">
        <v>2639</v>
      </c>
      <c r="S62" s="7">
        <v>2757</v>
      </c>
      <c r="T62" s="7">
        <v>2226</v>
      </c>
      <c r="U62" s="7">
        <v>1617</v>
      </c>
      <c r="V62" s="7">
        <v>12210</v>
      </c>
      <c r="W62" s="7">
        <v>13899</v>
      </c>
    </row>
    <row r="63" spans="2:23" x14ac:dyDescent="0.2">
      <c r="B63" s="7" t="s">
        <v>15</v>
      </c>
      <c r="C63" s="7">
        <v>3637</v>
      </c>
      <c r="D63" s="7">
        <v>4702</v>
      </c>
      <c r="E63" s="7">
        <v>5720</v>
      </c>
      <c r="F63" s="7">
        <v>4397</v>
      </c>
      <c r="G63" s="7">
        <v>2513</v>
      </c>
      <c r="H63" s="7">
        <v>20969</v>
      </c>
      <c r="I63" s="7">
        <v>22549</v>
      </c>
      <c r="J63" s="7">
        <v>4636</v>
      </c>
      <c r="K63" s="7">
        <v>5904</v>
      </c>
      <c r="L63" s="7">
        <v>6063</v>
      </c>
      <c r="M63" s="7">
        <v>4602</v>
      </c>
      <c r="N63" s="7">
        <v>2574</v>
      </c>
      <c r="O63" s="7">
        <v>23779</v>
      </c>
      <c r="P63" s="7">
        <v>25447</v>
      </c>
      <c r="Q63" s="7">
        <v>8273</v>
      </c>
      <c r="R63" s="7">
        <v>10606</v>
      </c>
      <c r="S63" s="7">
        <v>11783</v>
      </c>
      <c r="T63" s="7">
        <v>8999</v>
      </c>
      <c r="U63" s="7">
        <v>5087</v>
      </c>
      <c r="V63" s="7">
        <v>44748</v>
      </c>
      <c r="W63" s="7">
        <v>47996</v>
      </c>
    </row>
    <row r="64" spans="2:23" x14ac:dyDescent="0.2">
      <c r="B64" s="7" t="s">
        <v>16</v>
      </c>
      <c r="C64" s="7">
        <v>798</v>
      </c>
      <c r="D64" s="7">
        <v>1103</v>
      </c>
      <c r="E64" s="7">
        <v>1456</v>
      </c>
      <c r="F64" s="7">
        <v>1562</v>
      </c>
      <c r="G64" s="7">
        <v>1422</v>
      </c>
      <c r="H64" s="7">
        <v>6341</v>
      </c>
      <c r="I64" s="7">
        <v>8475</v>
      </c>
      <c r="J64" s="7">
        <v>1539</v>
      </c>
      <c r="K64" s="7">
        <v>1860</v>
      </c>
      <c r="L64" s="7">
        <v>2302</v>
      </c>
      <c r="M64" s="7">
        <v>2205</v>
      </c>
      <c r="N64" s="7">
        <v>1820</v>
      </c>
      <c r="O64" s="7">
        <v>9726</v>
      </c>
      <c r="P64" s="7">
        <v>12238</v>
      </c>
      <c r="Q64" s="7">
        <v>2337</v>
      </c>
      <c r="R64" s="7">
        <v>2963</v>
      </c>
      <c r="S64" s="7">
        <v>3758</v>
      </c>
      <c r="T64" s="7">
        <v>3767</v>
      </c>
      <c r="U64" s="7">
        <v>3242</v>
      </c>
      <c r="V64" s="7">
        <v>16067</v>
      </c>
      <c r="W64" s="7">
        <v>20713</v>
      </c>
    </row>
    <row r="65" spans="2:23" x14ac:dyDescent="0.2">
      <c r="B65" s="7" t="s">
        <v>17</v>
      </c>
      <c r="C65" s="7">
        <v>1529</v>
      </c>
      <c r="D65" s="7">
        <v>2724</v>
      </c>
      <c r="E65" s="7">
        <v>4039</v>
      </c>
      <c r="F65" s="7">
        <v>4705</v>
      </c>
      <c r="G65" s="7">
        <v>4381</v>
      </c>
      <c r="H65" s="7">
        <v>17378</v>
      </c>
      <c r="I65" s="7">
        <v>23810</v>
      </c>
      <c r="J65" s="7">
        <v>7004</v>
      </c>
      <c r="K65" s="7">
        <v>8708</v>
      </c>
      <c r="L65" s="7">
        <v>10234</v>
      </c>
      <c r="M65" s="7">
        <v>9366</v>
      </c>
      <c r="N65" s="7">
        <v>7310</v>
      </c>
      <c r="O65" s="7">
        <v>42622</v>
      </c>
      <c r="P65" s="7">
        <v>51952</v>
      </c>
      <c r="Q65" s="7">
        <v>8533</v>
      </c>
      <c r="R65" s="7">
        <v>11432</v>
      </c>
      <c r="S65" s="7">
        <v>14273</v>
      </c>
      <c r="T65" s="7">
        <v>14071</v>
      </c>
      <c r="U65" s="7">
        <v>11691</v>
      </c>
      <c r="V65" s="7">
        <v>60000</v>
      </c>
      <c r="W65" s="7">
        <v>75762</v>
      </c>
    </row>
    <row r="66" spans="2:23" x14ac:dyDescent="0.2">
      <c r="B66" s="7" t="s">
        <v>18</v>
      </c>
      <c r="C66" s="7">
        <v>937</v>
      </c>
      <c r="D66" s="7">
        <v>1411</v>
      </c>
      <c r="E66" s="7">
        <v>1983</v>
      </c>
      <c r="F66" s="7">
        <v>2269</v>
      </c>
      <c r="G66" s="7">
        <v>1868</v>
      </c>
      <c r="H66" s="7">
        <v>8468</v>
      </c>
      <c r="I66" s="7">
        <v>10816</v>
      </c>
      <c r="J66" s="7">
        <v>4158</v>
      </c>
      <c r="K66" s="7">
        <v>4697</v>
      </c>
      <c r="L66" s="7">
        <v>5678</v>
      </c>
      <c r="M66" s="7">
        <v>5229</v>
      </c>
      <c r="N66" s="7">
        <v>4012</v>
      </c>
      <c r="O66" s="7">
        <v>23774</v>
      </c>
      <c r="P66" s="7">
        <v>27799</v>
      </c>
      <c r="Q66" s="7">
        <v>5095</v>
      </c>
      <c r="R66" s="7">
        <v>6108</v>
      </c>
      <c r="S66" s="7">
        <v>7661</v>
      </c>
      <c r="T66" s="7">
        <v>7498</v>
      </c>
      <c r="U66" s="7">
        <v>5880</v>
      </c>
      <c r="V66" s="7">
        <v>32242</v>
      </c>
      <c r="W66" s="7">
        <v>38615</v>
      </c>
    </row>
    <row r="67" spans="2:23" x14ac:dyDescent="0.2">
      <c r="B67" s="7" t="s">
        <v>73</v>
      </c>
      <c r="C67" s="7">
        <v>476</v>
      </c>
      <c r="D67" s="7">
        <v>669</v>
      </c>
      <c r="E67" s="7">
        <v>842</v>
      </c>
      <c r="F67" s="7">
        <v>945</v>
      </c>
      <c r="G67" s="7">
        <v>775</v>
      </c>
      <c r="H67" s="7">
        <v>3707</v>
      </c>
      <c r="I67" s="7">
        <v>4904</v>
      </c>
      <c r="J67" s="7">
        <v>756</v>
      </c>
      <c r="K67" s="7">
        <v>977</v>
      </c>
      <c r="L67" s="7">
        <v>1210</v>
      </c>
      <c r="M67" s="7">
        <v>1104</v>
      </c>
      <c r="N67" s="7">
        <v>809</v>
      </c>
      <c r="O67" s="7">
        <v>4856</v>
      </c>
      <c r="P67" s="7">
        <v>5871</v>
      </c>
      <c r="Q67" s="7">
        <v>1232</v>
      </c>
      <c r="R67" s="7">
        <v>1646</v>
      </c>
      <c r="S67" s="7">
        <v>2052</v>
      </c>
      <c r="T67" s="7">
        <v>2049</v>
      </c>
      <c r="U67" s="7">
        <v>1584</v>
      </c>
      <c r="V67" s="7">
        <v>8563</v>
      </c>
      <c r="W67" s="7">
        <v>10775</v>
      </c>
    </row>
    <row r="68" spans="2:23" x14ac:dyDescent="0.2">
      <c r="B68" s="7" t="s">
        <v>20</v>
      </c>
      <c r="C68" s="7">
        <v>2393</v>
      </c>
      <c r="D68" s="7">
        <v>3032</v>
      </c>
      <c r="E68" s="7">
        <v>3563</v>
      </c>
      <c r="F68" s="7">
        <v>3205</v>
      </c>
      <c r="G68" s="7">
        <v>2099</v>
      </c>
      <c r="H68" s="7">
        <v>14292</v>
      </c>
      <c r="I68" s="7">
        <v>15956</v>
      </c>
      <c r="J68" s="7">
        <v>8927</v>
      </c>
      <c r="K68" s="7">
        <v>9099</v>
      </c>
      <c r="L68" s="7">
        <v>9436</v>
      </c>
      <c r="M68" s="7">
        <v>6263</v>
      </c>
      <c r="N68" s="7">
        <v>3427</v>
      </c>
      <c r="O68" s="7">
        <v>37152</v>
      </c>
      <c r="P68" s="7">
        <v>39283</v>
      </c>
      <c r="Q68" s="7">
        <v>11320</v>
      </c>
      <c r="R68" s="7">
        <v>12131</v>
      </c>
      <c r="S68" s="7">
        <v>12999</v>
      </c>
      <c r="T68" s="7">
        <v>9468</v>
      </c>
      <c r="U68" s="7">
        <v>5526</v>
      </c>
      <c r="V68" s="7">
        <v>51444</v>
      </c>
      <c r="W68" s="7">
        <v>55239</v>
      </c>
    </row>
    <row r="69" spans="2:23" x14ac:dyDescent="0.2">
      <c r="B69" s="7" t="s">
        <v>21</v>
      </c>
      <c r="C69" s="7">
        <v>693</v>
      </c>
      <c r="D69" s="7">
        <v>1196</v>
      </c>
      <c r="E69" s="7">
        <v>1464</v>
      </c>
      <c r="F69" s="7">
        <v>1113</v>
      </c>
      <c r="G69" s="7">
        <v>510</v>
      </c>
      <c r="H69" s="7">
        <v>4976</v>
      </c>
      <c r="I69" s="7">
        <v>5145</v>
      </c>
      <c r="J69" s="7">
        <v>1810</v>
      </c>
      <c r="K69" s="7">
        <v>3011</v>
      </c>
      <c r="L69" s="7">
        <v>3063</v>
      </c>
      <c r="M69" s="7">
        <v>1926</v>
      </c>
      <c r="N69" s="7">
        <v>691</v>
      </c>
      <c r="O69" s="7">
        <v>10501</v>
      </c>
      <c r="P69" s="7">
        <v>10755</v>
      </c>
      <c r="Q69" s="7">
        <v>2503</v>
      </c>
      <c r="R69" s="7">
        <v>4207</v>
      </c>
      <c r="S69" s="7">
        <v>4527</v>
      </c>
      <c r="T69" s="7">
        <v>3039</v>
      </c>
      <c r="U69" s="7">
        <v>1201</v>
      </c>
      <c r="V69" s="7">
        <v>15477</v>
      </c>
      <c r="W69" s="7">
        <v>15900</v>
      </c>
    </row>
    <row r="70" spans="2:23" x14ac:dyDescent="0.2">
      <c r="B70" s="7" t="s">
        <v>22</v>
      </c>
      <c r="C70" s="7">
        <v>3673</v>
      </c>
      <c r="D70" s="7">
        <v>5387</v>
      </c>
      <c r="E70" s="7">
        <v>7099</v>
      </c>
      <c r="F70" s="7">
        <v>6391</v>
      </c>
      <c r="G70" s="7">
        <v>3476</v>
      </c>
      <c r="H70" s="7">
        <v>26026</v>
      </c>
      <c r="I70" s="7">
        <v>27586</v>
      </c>
      <c r="J70" s="7">
        <v>9480</v>
      </c>
      <c r="K70" s="7">
        <v>13871</v>
      </c>
      <c r="L70" s="7">
        <v>17671</v>
      </c>
      <c r="M70" s="7">
        <v>14196</v>
      </c>
      <c r="N70" s="7">
        <v>7046</v>
      </c>
      <c r="O70" s="7">
        <v>62264</v>
      </c>
      <c r="P70" s="7">
        <v>64568</v>
      </c>
      <c r="Q70" s="7">
        <v>13153</v>
      </c>
      <c r="R70" s="7">
        <v>19258</v>
      </c>
      <c r="S70" s="7">
        <v>24770</v>
      </c>
      <c r="T70" s="7">
        <v>20587</v>
      </c>
      <c r="U70" s="7">
        <v>10522</v>
      </c>
      <c r="V70" s="7">
        <v>88290</v>
      </c>
      <c r="W70" s="7">
        <v>92154</v>
      </c>
    </row>
    <row r="71" spans="2:23" x14ac:dyDescent="0.2">
      <c r="B71" s="7" t="s">
        <v>61</v>
      </c>
      <c r="C71" s="7">
        <v>1033</v>
      </c>
      <c r="D71" s="7">
        <v>2642</v>
      </c>
      <c r="E71" s="7">
        <v>4005</v>
      </c>
      <c r="F71" s="7">
        <v>3428</v>
      </c>
      <c r="G71" s="7">
        <v>1888</v>
      </c>
      <c r="H71" s="7">
        <v>12996</v>
      </c>
      <c r="I71" s="7">
        <v>14148</v>
      </c>
      <c r="J71" s="7">
        <v>2192</v>
      </c>
      <c r="K71" s="7">
        <v>4562</v>
      </c>
      <c r="L71" s="7">
        <v>5228</v>
      </c>
      <c r="M71" s="7">
        <v>3216</v>
      </c>
      <c r="N71" s="7">
        <v>1326</v>
      </c>
      <c r="O71" s="7">
        <v>16524</v>
      </c>
      <c r="P71" s="7">
        <v>17308</v>
      </c>
      <c r="Q71" s="7">
        <v>3225</v>
      </c>
      <c r="R71" s="7">
        <v>7204</v>
      </c>
      <c r="S71" s="7">
        <v>9233</v>
      </c>
      <c r="T71" s="7">
        <v>6644</v>
      </c>
      <c r="U71" s="7">
        <v>3214</v>
      </c>
      <c r="V71" s="7">
        <v>29520</v>
      </c>
      <c r="W71" s="7">
        <v>31456</v>
      </c>
    </row>
    <row r="72" spans="2:23" x14ac:dyDescent="0.2">
      <c r="B72" s="7" t="s">
        <v>23</v>
      </c>
      <c r="C72" s="7">
        <v>453</v>
      </c>
      <c r="D72" s="7">
        <v>1508</v>
      </c>
      <c r="E72" s="7">
        <v>2302</v>
      </c>
      <c r="F72" s="7">
        <v>1434</v>
      </c>
      <c r="G72" s="7">
        <v>524</v>
      </c>
      <c r="H72" s="7">
        <v>6221</v>
      </c>
      <c r="I72" s="7">
        <v>6559</v>
      </c>
      <c r="J72" s="7">
        <v>931</v>
      </c>
      <c r="K72" s="7">
        <v>2267</v>
      </c>
      <c r="L72" s="7">
        <v>2698</v>
      </c>
      <c r="M72" s="7">
        <v>1473</v>
      </c>
      <c r="N72" s="7">
        <v>546</v>
      </c>
      <c r="O72" s="7">
        <v>7915</v>
      </c>
      <c r="P72" s="7">
        <v>8219</v>
      </c>
      <c r="Q72" s="7">
        <v>1384</v>
      </c>
      <c r="R72" s="7">
        <v>3775</v>
      </c>
      <c r="S72" s="7">
        <v>5000</v>
      </c>
      <c r="T72" s="7">
        <v>2907</v>
      </c>
      <c r="U72" s="7">
        <v>1070</v>
      </c>
      <c r="V72" s="7">
        <v>14136</v>
      </c>
      <c r="W72" s="7">
        <v>14778</v>
      </c>
    </row>
    <row r="73" spans="2:23" x14ac:dyDescent="0.2">
      <c r="B73" s="7" t="s">
        <v>24</v>
      </c>
      <c r="C73" s="7">
        <v>1024</v>
      </c>
      <c r="D73" s="7">
        <v>788</v>
      </c>
      <c r="E73" s="7">
        <v>664</v>
      </c>
      <c r="F73" s="7">
        <v>562</v>
      </c>
      <c r="G73" s="7">
        <v>435</v>
      </c>
      <c r="H73" s="7">
        <v>3473</v>
      </c>
      <c r="I73" s="7">
        <v>3820</v>
      </c>
      <c r="J73" s="7">
        <v>2361</v>
      </c>
      <c r="K73" s="7">
        <v>1824</v>
      </c>
      <c r="L73" s="7">
        <v>1799</v>
      </c>
      <c r="M73" s="7">
        <v>1407</v>
      </c>
      <c r="N73" s="7">
        <v>1080</v>
      </c>
      <c r="O73" s="7">
        <v>8471</v>
      </c>
      <c r="P73" s="7">
        <v>9344</v>
      </c>
      <c r="Q73" s="7">
        <v>3385</v>
      </c>
      <c r="R73" s="7">
        <v>2612</v>
      </c>
      <c r="S73" s="7">
        <v>2463</v>
      </c>
      <c r="T73" s="7">
        <v>1969</v>
      </c>
      <c r="U73" s="7">
        <v>1515</v>
      </c>
      <c r="V73" s="7">
        <v>11944</v>
      </c>
      <c r="W73" s="7">
        <v>13164</v>
      </c>
    </row>
    <row r="74" spans="2:23" x14ac:dyDescent="0.2">
      <c r="B74" s="7" t="s">
        <v>25</v>
      </c>
      <c r="C74" s="7">
        <v>490</v>
      </c>
      <c r="D74" s="7">
        <v>381</v>
      </c>
      <c r="E74" s="7">
        <v>379</v>
      </c>
      <c r="F74" s="7">
        <v>336</v>
      </c>
      <c r="G74" s="7">
        <v>219</v>
      </c>
      <c r="H74" s="7">
        <v>1805</v>
      </c>
      <c r="I74" s="7">
        <v>1961</v>
      </c>
      <c r="J74" s="7">
        <v>764</v>
      </c>
      <c r="K74" s="7">
        <v>632</v>
      </c>
      <c r="L74" s="7">
        <v>698</v>
      </c>
      <c r="M74" s="7">
        <v>572</v>
      </c>
      <c r="N74" s="7">
        <v>425</v>
      </c>
      <c r="O74" s="7">
        <v>3091</v>
      </c>
      <c r="P74" s="7">
        <v>3345</v>
      </c>
      <c r="Q74" s="7">
        <v>1254</v>
      </c>
      <c r="R74" s="7">
        <v>1013</v>
      </c>
      <c r="S74" s="7">
        <v>1077</v>
      </c>
      <c r="T74" s="7">
        <v>908</v>
      </c>
      <c r="U74" s="7">
        <v>644</v>
      </c>
      <c r="V74" s="7">
        <v>4896</v>
      </c>
      <c r="W74" s="7">
        <v>5306</v>
      </c>
    </row>
    <row r="75" spans="2:23" x14ac:dyDescent="0.2">
      <c r="B75" s="7" t="s">
        <v>26</v>
      </c>
      <c r="C75" s="7">
        <v>471</v>
      </c>
      <c r="D75" s="7">
        <v>455</v>
      </c>
      <c r="E75" s="7">
        <v>455</v>
      </c>
      <c r="F75" s="7">
        <v>328</v>
      </c>
      <c r="G75" s="7">
        <v>237</v>
      </c>
      <c r="H75" s="7">
        <v>1946</v>
      </c>
      <c r="I75" s="7">
        <v>2139</v>
      </c>
      <c r="J75" s="7">
        <v>1027</v>
      </c>
      <c r="K75" s="7">
        <v>986</v>
      </c>
      <c r="L75" s="7">
        <v>977</v>
      </c>
      <c r="M75" s="7">
        <v>835</v>
      </c>
      <c r="N75" s="7">
        <v>569</v>
      </c>
      <c r="O75" s="7">
        <v>4394</v>
      </c>
      <c r="P75" s="7">
        <v>4864</v>
      </c>
      <c r="Q75" s="7">
        <v>1498</v>
      </c>
      <c r="R75" s="7">
        <v>1441</v>
      </c>
      <c r="S75" s="7">
        <v>1432</v>
      </c>
      <c r="T75" s="7">
        <v>1163</v>
      </c>
      <c r="U75" s="7">
        <v>806</v>
      </c>
      <c r="V75" s="7">
        <v>6340</v>
      </c>
      <c r="W75" s="7">
        <v>7003</v>
      </c>
    </row>
    <row r="76" spans="2:23" x14ac:dyDescent="0.2">
      <c r="B76" s="7" t="s">
        <v>74</v>
      </c>
      <c r="C76" s="7">
        <v>789</v>
      </c>
      <c r="D76" s="7">
        <v>347</v>
      </c>
      <c r="E76" s="7">
        <v>182</v>
      </c>
      <c r="F76" s="7">
        <v>102</v>
      </c>
      <c r="G76" s="7">
        <v>76</v>
      </c>
      <c r="H76" s="7">
        <v>1496</v>
      </c>
      <c r="I76" s="7">
        <v>1599</v>
      </c>
      <c r="J76" s="7">
        <v>1117</v>
      </c>
      <c r="K76" s="7">
        <v>422</v>
      </c>
      <c r="L76" s="7">
        <v>239</v>
      </c>
      <c r="M76" s="7">
        <v>178</v>
      </c>
      <c r="N76" s="7">
        <v>114</v>
      </c>
      <c r="O76" s="7">
        <v>2070</v>
      </c>
      <c r="P76" s="7">
        <v>2174</v>
      </c>
      <c r="Q76" s="7">
        <v>1906</v>
      </c>
      <c r="R76" s="7">
        <v>769</v>
      </c>
      <c r="S76" s="7">
        <v>421</v>
      </c>
      <c r="T76" s="7">
        <v>280</v>
      </c>
      <c r="U76" s="7">
        <v>190</v>
      </c>
      <c r="V76" s="7">
        <v>3566</v>
      </c>
      <c r="W76" s="7">
        <v>3773</v>
      </c>
    </row>
    <row r="77" spans="2:23" x14ac:dyDescent="0.2">
      <c r="B77" s="7" t="s">
        <v>28</v>
      </c>
      <c r="C77" s="7">
        <v>666</v>
      </c>
      <c r="D77" s="7">
        <v>518</v>
      </c>
      <c r="E77" s="7">
        <v>507</v>
      </c>
      <c r="F77" s="7">
        <v>399</v>
      </c>
      <c r="G77" s="7">
        <v>239</v>
      </c>
      <c r="H77" s="7">
        <v>2329</v>
      </c>
      <c r="I77" s="7">
        <v>2548</v>
      </c>
      <c r="J77" s="7">
        <v>1000</v>
      </c>
      <c r="K77" s="7">
        <v>705</v>
      </c>
      <c r="L77" s="7">
        <v>649</v>
      </c>
      <c r="M77" s="7">
        <v>388</v>
      </c>
      <c r="N77" s="7">
        <v>214</v>
      </c>
      <c r="O77" s="7">
        <v>2956</v>
      </c>
      <c r="P77" s="7">
        <v>3124</v>
      </c>
      <c r="Q77" s="7">
        <v>1666</v>
      </c>
      <c r="R77" s="7">
        <v>1223</v>
      </c>
      <c r="S77" s="7">
        <v>1156</v>
      </c>
      <c r="T77" s="7">
        <v>787</v>
      </c>
      <c r="U77" s="7">
        <v>453</v>
      </c>
      <c r="V77" s="7">
        <v>5285</v>
      </c>
      <c r="W77" s="7">
        <v>5672</v>
      </c>
    </row>
    <row r="78" spans="2:23" x14ac:dyDescent="0.2">
      <c r="B78" s="7" t="s">
        <v>29</v>
      </c>
      <c r="C78" s="7">
        <v>1231</v>
      </c>
      <c r="D78" s="7">
        <v>1337</v>
      </c>
      <c r="E78" s="7">
        <v>1388</v>
      </c>
      <c r="F78" s="7">
        <v>1161</v>
      </c>
      <c r="G78" s="7">
        <v>867</v>
      </c>
      <c r="H78" s="7">
        <v>5984</v>
      </c>
      <c r="I78" s="7">
        <v>6703</v>
      </c>
      <c r="J78" s="7">
        <v>2811</v>
      </c>
      <c r="K78" s="7">
        <v>3133</v>
      </c>
      <c r="L78" s="7">
        <v>2925</v>
      </c>
      <c r="M78" s="7">
        <v>2242</v>
      </c>
      <c r="N78" s="7">
        <v>1423</v>
      </c>
      <c r="O78" s="7">
        <v>12534</v>
      </c>
      <c r="P78" s="7">
        <v>13643</v>
      </c>
      <c r="Q78" s="7">
        <v>4042</v>
      </c>
      <c r="R78" s="7">
        <v>4470</v>
      </c>
      <c r="S78" s="7">
        <v>4313</v>
      </c>
      <c r="T78" s="7">
        <v>3403</v>
      </c>
      <c r="U78" s="7">
        <v>2290</v>
      </c>
      <c r="V78" s="7">
        <v>18518</v>
      </c>
      <c r="W78" s="7">
        <v>20346</v>
      </c>
    </row>
    <row r="79" spans="2:23" x14ac:dyDescent="0.2">
      <c r="B79" s="7" t="s">
        <v>30</v>
      </c>
      <c r="C79" s="7">
        <v>869</v>
      </c>
      <c r="D79" s="7">
        <v>1266</v>
      </c>
      <c r="E79" s="7">
        <v>1530</v>
      </c>
      <c r="F79" s="7">
        <v>1461</v>
      </c>
      <c r="G79" s="7">
        <v>919</v>
      </c>
      <c r="H79" s="7">
        <v>6045</v>
      </c>
      <c r="I79" s="7">
        <v>6612</v>
      </c>
      <c r="J79" s="7">
        <v>665</v>
      </c>
      <c r="K79" s="7">
        <v>916</v>
      </c>
      <c r="L79" s="7">
        <v>929</v>
      </c>
      <c r="M79" s="7">
        <v>727</v>
      </c>
      <c r="N79" s="7">
        <v>434</v>
      </c>
      <c r="O79" s="7">
        <v>3671</v>
      </c>
      <c r="P79" s="7">
        <v>3896</v>
      </c>
      <c r="Q79" s="7">
        <v>1534</v>
      </c>
      <c r="R79" s="7">
        <v>2182</v>
      </c>
      <c r="S79" s="7">
        <v>2459</v>
      </c>
      <c r="T79" s="7">
        <v>2188</v>
      </c>
      <c r="U79" s="7">
        <v>1353</v>
      </c>
      <c r="V79" s="7">
        <v>9716</v>
      </c>
      <c r="W79" s="7">
        <v>10508</v>
      </c>
    </row>
    <row r="80" spans="2:23" x14ac:dyDescent="0.2">
      <c r="B80" s="7" t="s">
        <v>31</v>
      </c>
      <c r="C80" s="7">
        <v>1148</v>
      </c>
      <c r="D80" s="7">
        <v>1785</v>
      </c>
      <c r="E80" s="7">
        <v>2714</v>
      </c>
      <c r="F80" s="7">
        <v>3451</v>
      </c>
      <c r="G80" s="7">
        <v>3600</v>
      </c>
      <c r="H80" s="7">
        <v>12698</v>
      </c>
      <c r="I80" s="7">
        <v>15499</v>
      </c>
      <c r="J80" s="7">
        <v>1560</v>
      </c>
      <c r="K80" s="7">
        <v>1770</v>
      </c>
      <c r="L80" s="7">
        <v>2155</v>
      </c>
      <c r="M80" s="7">
        <v>2105</v>
      </c>
      <c r="N80" s="7">
        <v>1641</v>
      </c>
      <c r="O80" s="7">
        <v>9231</v>
      </c>
      <c r="P80" s="7">
        <v>10362</v>
      </c>
      <c r="Q80" s="7">
        <v>2708</v>
      </c>
      <c r="R80" s="7">
        <v>3555</v>
      </c>
      <c r="S80" s="7">
        <v>4869</v>
      </c>
      <c r="T80" s="7">
        <v>5556</v>
      </c>
      <c r="U80" s="7">
        <v>5241</v>
      </c>
      <c r="V80" s="7">
        <v>21929</v>
      </c>
      <c r="W80" s="7">
        <v>25861</v>
      </c>
    </row>
    <row r="81" spans="2:23" x14ac:dyDescent="0.2">
      <c r="B81" s="7" t="s">
        <v>32</v>
      </c>
      <c r="C81" s="7">
        <v>3103</v>
      </c>
      <c r="D81" s="7">
        <v>4793</v>
      </c>
      <c r="E81" s="7">
        <v>7057</v>
      </c>
      <c r="F81" s="7">
        <v>7746</v>
      </c>
      <c r="G81" s="7">
        <v>7075</v>
      </c>
      <c r="H81" s="7">
        <v>29774</v>
      </c>
      <c r="I81" s="7">
        <v>38080</v>
      </c>
      <c r="J81" s="7">
        <v>4198</v>
      </c>
      <c r="K81" s="7">
        <v>6163</v>
      </c>
      <c r="L81" s="7">
        <v>8112</v>
      </c>
      <c r="M81" s="7">
        <v>8357</v>
      </c>
      <c r="N81" s="7">
        <v>7791</v>
      </c>
      <c r="O81" s="7">
        <v>34621</v>
      </c>
      <c r="P81" s="7">
        <v>42345</v>
      </c>
      <c r="Q81" s="7">
        <v>7301</v>
      </c>
      <c r="R81" s="7">
        <v>10956</v>
      </c>
      <c r="S81" s="7">
        <v>15169</v>
      </c>
      <c r="T81" s="7">
        <v>16103</v>
      </c>
      <c r="U81" s="7">
        <v>14866</v>
      </c>
      <c r="V81" s="7">
        <v>64395</v>
      </c>
      <c r="W81" s="7">
        <v>80425</v>
      </c>
    </row>
    <row r="82" spans="2:23" x14ac:dyDescent="0.2">
      <c r="B82" s="7" t="s">
        <v>54</v>
      </c>
      <c r="C82" s="7">
        <v>64711</v>
      </c>
      <c r="D82" s="7">
        <v>72418</v>
      </c>
      <c r="E82" s="7">
        <v>88595</v>
      </c>
      <c r="F82" s="7">
        <v>84608</v>
      </c>
      <c r="G82" s="7">
        <v>67080</v>
      </c>
      <c r="H82" s="7">
        <v>377412</v>
      </c>
      <c r="I82" s="7">
        <v>449980</v>
      </c>
      <c r="J82" s="7">
        <v>89376</v>
      </c>
      <c r="K82" s="7">
        <v>100782</v>
      </c>
      <c r="L82" s="7">
        <v>112527</v>
      </c>
      <c r="M82" s="7">
        <v>93814</v>
      </c>
      <c r="N82" s="7">
        <v>65911</v>
      </c>
      <c r="O82" s="7">
        <v>462410</v>
      </c>
      <c r="P82" s="7">
        <v>523609</v>
      </c>
      <c r="Q82" s="7">
        <v>154087</v>
      </c>
      <c r="R82" s="7">
        <v>173200</v>
      </c>
      <c r="S82" s="7">
        <v>201122</v>
      </c>
      <c r="T82" s="7">
        <v>178422</v>
      </c>
      <c r="U82" s="7">
        <v>132991</v>
      </c>
      <c r="V82" s="7">
        <v>839822</v>
      </c>
      <c r="W82" s="7">
        <v>973589</v>
      </c>
    </row>
  </sheetData>
  <phoneticPr fontId="3" type="noConversion"/>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BQ310"/>
  <sheetViews>
    <sheetView showGridLines="0" topLeftCell="A28" workbookViewId="0">
      <selection activeCell="C69" sqref="C69"/>
    </sheetView>
  </sheetViews>
  <sheetFormatPr defaultColWidth="9.140625" defaultRowHeight="11.25" x14ac:dyDescent="0.2"/>
  <cols>
    <col min="1" max="1" width="9.140625" style="51"/>
    <col min="2" max="2" width="26.42578125" style="51" bestFit="1" customWidth="1"/>
    <col min="3" max="16384" width="9.140625" style="51"/>
  </cols>
  <sheetData>
    <row r="1" spans="1:69" x14ac:dyDescent="0.2">
      <c r="A1" s="49" t="s">
        <v>84</v>
      </c>
    </row>
    <row r="2" spans="1:69" x14ac:dyDescent="0.2">
      <c r="Y2" s="73"/>
      <c r="Z2" s="73"/>
      <c r="AA2" s="73"/>
      <c r="AB2" s="73"/>
      <c r="AC2" s="73"/>
      <c r="AD2" s="73"/>
      <c r="AE2" s="73"/>
      <c r="AF2" s="73"/>
      <c r="AG2" s="73"/>
      <c r="AH2" s="73"/>
      <c r="AI2" s="73"/>
      <c r="AJ2" s="73"/>
      <c r="AK2" s="73"/>
      <c r="AL2" s="73"/>
      <c r="AM2" s="73"/>
      <c r="AN2" s="73"/>
      <c r="AO2" s="73"/>
      <c r="AP2" s="73"/>
      <c r="AQ2" s="73"/>
      <c r="AR2" s="73"/>
      <c r="AS2" s="73"/>
      <c r="AT2" s="73"/>
      <c r="AV2" s="78"/>
      <c r="AW2" s="78"/>
      <c r="AX2" s="78"/>
      <c r="AY2" s="78"/>
      <c r="AZ2" s="78"/>
      <c r="BA2" s="78"/>
      <c r="BB2" s="78"/>
      <c r="BC2" s="78"/>
      <c r="BD2" s="78"/>
      <c r="BE2" s="78"/>
      <c r="BF2" s="78"/>
      <c r="BG2" s="78"/>
      <c r="BH2" s="78"/>
      <c r="BI2" s="78"/>
      <c r="BJ2" s="78"/>
      <c r="BK2" s="78"/>
      <c r="BL2" s="78"/>
      <c r="BM2" s="78"/>
      <c r="BN2" s="78"/>
      <c r="BO2" s="78"/>
      <c r="BP2" s="78"/>
      <c r="BQ2" s="78"/>
    </row>
    <row r="3" spans="1:69" x14ac:dyDescent="0.2">
      <c r="C3" s="56" t="s">
        <v>39</v>
      </c>
      <c r="D3" s="57"/>
      <c r="E3" s="57"/>
      <c r="F3" s="57"/>
      <c r="G3" s="57"/>
      <c r="H3" s="57"/>
      <c r="I3" s="57"/>
      <c r="J3" s="56" t="s">
        <v>40</v>
      </c>
      <c r="K3" s="57"/>
      <c r="L3" s="57"/>
      <c r="M3" s="57"/>
      <c r="N3" s="57"/>
      <c r="O3" s="57"/>
      <c r="P3" s="57"/>
      <c r="Q3" s="56" t="s">
        <v>54</v>
      </c>
      <c r="R3" s="57"/>
      <c r="S3" s="57"/>
      <c r="T3" s="57"/>
      <c r="U3" s="57"/>
      <c r="V3" s="57"/>
      <c r="W3" s="57"/>
      <c r="Y3" s="73"/>
      <c r="Z3" s="73"/>
      <c r="AA3" s="73"/>
      <c r="AB3" s="73"/>
      <c r="AC3" s="73"/>
      <c r="AD3" s="73"/>
      <c r="AE3" s="73"/>
      <c r="AF3" s="73"/>
      <c r="AG3" s="73"/>
      <c r="AH3" s="73"/>
      <c r="AI3" s="73"/>
      <c r="AJ3" s="73"/>
      <c r="AK3" s="73"/>
      <c r="AL3" s="73"/>
      <c r="AM3" s="73"/>
      <c r="AN3" s="73"/>
      <c r="AO3" s="73"/>
      <c r="AP3" s="73"/>
      <c r="AQ3" s="73"/>
      <c r="AR3" s="73"/>
      <c r="AS3" s="73"/>
      <c r="AT3" s="73"/>
      <c r="AV3" s="78"/>
      <c r="AW3" s="78"/>
      <c r="AX3" s="78"/>
      <c r="AY3" s="78"/>
      <c r="AZ3" s="78"/>
      <c r="BA3" s="78"/>
      <c r="BB3" s="78"/>
      <c r="BC3" s="78"/>
      <c r="BD3" s="78"/>
      <c r="BE3" s="78"/>
      <c r="BF3" s="78"/>
      <c r="BG3" s="78"/>
      <c r="BH3" s="78"/>
      <c r="BI3" s="78"/>
      <c r="BJ3" s="78"/>
      <c r="BK3" s="78"/>
      <c r="BL3" s="78"/>
      <c r="BM3" s="78"/>
      <c r="BN3" s="78"/>
      <c r="BO3" s="78"/>
      <c r="BP3" s="78"/>
      <c r="BQ3" s="78"/>
    </row>
    <row r="4" spans="1:69" x14ac:dyDescent="0.2">
      <c r="C4" s="56" t="s">
        <v>59</v>
      </c>
      <c r="D4" s="57"/>
      <c r="E4" s="57"/>
      <c r="F4" s="57"/>
      <c r="G4" s="57"/>
      <c r="H4" s="57"/>
      <c r="I4" s="57"/>
      <c r="J4" s="56" t="s">
        <v>59</v>
      </c>
      <c r="K4" s="57"/>
      <c r="L4" s="57"/>
      <c r="M4" s="57"/>
      <c r="N4" s="57"/>
      <c r="O4" s="57"/>
      <c r="P4" s="57"/>
      <c r="Q4" s="56" t="s">
        <v>59</v>
      </c>
      <c r="R4" s="57"/>
      <c r="S4" s="57"/>
      <c r="T4" s="57"/>
      <c r="U4" s="57"/>
      <c r="V4" s="57"/>
      <c r="W4" s="57"/>
      <c r="Y4" s="73"/>
      <c r="Z4" s="73"/>
      <c r="AA4" s="73"/>
      <c r="AB4" s="73"/>
      <c r="AC4" s="73"/>
      <c r="AD4" s="73"/>
      <c r="AE4" s="73"/>
      <c r="AF4" s="73"/>
      <c r="AG4" s="73"/>
      <c r="AH4" s="73"/>
      <c r="AI4" s="73"/>
      <c r="AJ4" s="73"/>
      <c r="AK4" s="73"/>
      <c r="AL4" s="73"/>
      <c r="AM4" s="73"/>
      <c r="AN4" s="73"/>
      <c r="AO4" s="73"/>
      <c r="AP4" s="73"/>
      <c r="AQ4" s="73"/>
      <c r="AR4" s="73"/>
      <c r="AS4" s="73"/>
      <c r="AT4" s="73"/>
      <c r="AV4" s="78"/>
      <c r="AW4" s="78"/>
      <c r="AX4" s="78"/>
      <c r="AY4" s="78"/>
      <c r="AZ4" s="78"/>
      <c r="BA4" s="78"/>
      <c r="BB4" s="78"/>
      <c r="BC4" s="78"/>
      <c r="BD4" s="78"/>
      <c r="BE4" s="78"/>
      <c r="BF4" s="78"/>
      <c r="BG4" s="78"/>
      <c r="BH4" s="78"/>
      <c r="BI4" s="78"/>
      <c r="BJ4" s="78"/>
      <c r="BK4" s="78"/>
      <c r="BL4" s="78"/>
      <c r="BM4" s="78"/>
      <c r="BN4" s="78"/>
      <c r="BO4" s="78"/>
      <c r="BP4" s="78"/>
      <c r="BQ4" s="78"/>
    </row>
    <row r="5" spans="1:69" x14ac:dyDescent="0.2">
      <c r="C5" s="56" t="s">
        <v>33</v>
      </c>
      <c r="D5" s="56" t="s">
        <v>34</v>
      </c>
      <c r="E5" s="56" t="s">
        <v>35</v>
      </c>
      <c r="F5" s="56" t="s">
        <v>36</v>
      </c>
      <c r="G5" s="56" t="s">
        <v>37</v>
      </c>
      <c r="H5" s="56" t="s">
        <v>47</v>
      </c>
      <c r="I5" s="56" t="s">
        <v>58</v>
      </c>
      <c r="J5" s="56" t="s">
        <v>33</v>
      </c>
      <c r="K5" s="56" t="s">
        <v>34</v>
      </c>
      <c r="L5" s="56" t="s">
        <v>35</v>
      </c>
      <c r="M5" s="56" t="s">
        <v>36</v>
      </c>
      <c r="N5" s="56" t="s">
        <v>37</v>
      </c>
      <c r="O5" s="56" t="s">
        <v>47</v>
      </c>
      <c r="P5" s="56" t="s">
        <v>58</v>
      </c>
      <c r="Q5" s="56" t="s">
        <v>33</v>
      </c>
      <c r="R5" s="56" t="s">
        <v>34</v>
      </c>
      <c r="S5" s="56" t="s">
        <v>35</v>
      </c>
      <c r="T5" s="56" t="s">
        <v>36</v>
      </c>
      <c r="U5" s="56" t="s">
        <v>37</v>
      </c>
      <c r="V5" s="57" t="s">
        <v>47</v>
      </c>
      <c r="W5" s="57" t="s">
        <v>58</v>
      </c>
      <c r="Y5" s="73"/>
      <c r="Z5" s="73"/>
      <c r="AA5" s="73"/>
      <c r="AB5" s="73"/>
      <c r="AC5" s="73"/>
      <c r="AD5" s="73"/>
      <c r="AE5" s="73"/>
      <c r="AF5" s="73"/>
      <c r="AG5" s="73"/>
      <c r="AH5" s="73"/>
      <c r="AI5" s="73"/>
      <c r="AJ5" s="73"/>
      <c r="AK5" s="73"/>
      <c r="AL5" s="73"/>
      <c r="AM5" s="73"/>
      <c r="AN5" s="73"/>
      <c r="AO5" s="73"/>
      <c r="AP5" s="73"/>
      <c r="AQ5" s="73"/>
      <c r="AR5" s="73"/>
      <c r="AS5" s="73"/>
      <c r="AT5" s="73"/>
      <c r="AV5" s="78"/>
      <c r="AW5" s="78"/>
      <c r="AX5" s="78"/>
      <c r="AY5" s="78"/>
      <c r="AZ5" s="78"/>
      <c r="BA5" s="78"/>
      <c r="BB5" s="78"/>
      <c r="BC5" s="78"/>
      <c r="BD5" s="78"/>
      <c r="BE5" s="78"/>
      <c r="BF5" s="78"/>
      <c r="BG5" s="78"/>
      <c r="BH5" s="78"/>
      <c r="BI5" s="78"/>
      <c r="BJ5" s="78"/>
      <c r="BK5" s="78"/>
      <c r="BL5" s="78"/>
      <c r="BM5" s="78"/>
      <c r="BN5" s="78"/>
      <c r="BO5" s="78"/>
      <c r="BP5" s="78"/>
      <c r="BQ5" s="78"/>
    </row>
    <row r="6" spans="1:69" x14ac:dyDescent="0.2">
      <c r="Y6" s="73"/>
      <c r="Z6" s="73"/>
      <c r="AA6" s="73"/>
      <c r="AB6" s="73"/>
      <c r="AC6" s="73"/>
      <c r="AD6" s="73"/>
      <c r="AE6" s="73"/>
      <c r="AF6" s="73"/>
      <c r="AG6" s="73"/>
      <c r="AH6" s="73"/>
      <c r="AI6" s="73"/>
      <c r="AJ6" s="73"/>
      <c r="AK6" s="73"/>
      <c r="AL6" s="73"/>
      <c r="AM6" s="73"/>
      <c r="AN6" s="73"/>
      <c r="AO6" s="73"/>
      <c r="AP6" s="73"/>
      <c r="AQ6" s="73"/>
      <c r="AR6" s="73"/>
      <c r="AS6" s="73"/>
      <c r="AT6" s="73"/>
      <c r="AV6" s="78"/>
      <c r="AW6" s="78"/>
      <c r="AX6" s="78"/>
      <c r="AY6" s="78"/>
      <c r="AZ6" s="78"/>
      <c r="BA6" s="78"/>
      <c r="BB6" s="78"/>
      <c r="BC6" s="78"/>
      <c r="BD6" s="78"/>
      <c r="BE6" s="78"/>
      <c r="BF6" s="78"/>
      <c r="BG6" s="78"/>
      <c r="BH6" s="78"/>
      <c r="BI6" s="78"/>
      <c r="BJ6" s="78"/>
      <c r="BK6" s="78"/>
      <c r="BL6" s="78"/>
      <c r="BM6" s="78"/>
      <c r="BN6" s="78"/>
      <c r="BO6" s="78"/>
      <c r="BP6" s="78"/>
      <c r="BQ6" s="78"/>
    </row>
    <row r="7" spans="1:69" x14ac:dyDescent="0.2">
      <c r="A7" s="56"/>
      <c r="B7" s="58" t="s">
        <v>0</v>
      </c>
      <c r="C7" s="87">
        <f>IF(OR(C49=1,C49=2),"x",ROUND(C49/$I49*100,1))</f>
        <v>13.9</v>
      </c>
      <c r="D7" s="87">
        <f t="shared" ref="D7:H7" si="0">IF(OR(D49=1,D49=2),"x",ROUND(D49/$I49*100,1))</f>
        <v>15</v>
      </c>
      <c r="E7" s="87">
        <f t="shared" si="0"/>
        <v>17.5</v>
      </c>
      <c r="F7" s="87">
        <f t="shared" si="0"/>
        <v>17.3</v>
      </c>
      <c r="G7" s="87">
        <f t="shared" si="0"/>
        <v>16.3</v>
      </c>
      <c r="H7" s="87">
        <f t="shared" si="0"/>
        <v>80.2</v>
      </c>
      <c r="I7" s="66">
        <f>ROUND(I49,0)</f>
        <v>38196</v>
      </c>
      <c r="J7" s="87">
        <f>IF(OR(J49=1,J49=2),"x",ROUND(J49/$P49*100,1))</f>
        <v>17</v>
      </c>
      <c r="K7" s="87">
        <f t="shared" ref="K7:O7" si="1">IF(OR(K49=1,K49=2),"x",ROUND(K49/$P49*100,1))</f>
        <v>16.399999999999999</v>
      </c>
      <c r="L7" s="87">
        <f t="shared" si="1"/>
        <v>17.7</v>
      </c>
      <c r="M7" s="87">
        <f t="shared" si="1"/>
        <v>17.100000000000001</v>
      </c>
      <c r="N7" s="87">
        <f t="shared" si="1"/>
        <v>14.8</v>
      </c>
      <c r="O7" s="87">
        <f t="shared" si="1"/>
        <v>83</v>
      </c>
      <c r="P7" s="66">
        <f>ROUND(P49,0)</f>
        <v>46138</v>
      </c>
      <c r="Q7" s="87">
        <f>IF(OR(Q49=1,Q49=2),"x",ROUND(Q49/$W49*100,1))</f>
        <v>15.6</v>
      </c>
      <c r="R7" s="87">
        <f t="shared" ref="R7:V7" si="2">IF(OR(R49=1,R49=2),"x",ROUND(R49/$W49*100,1))</f>
        <v>15.8</v>
      </c>
      <c r="S7" s="87">
        <f t="shared" si="2"/>
        <v>17.600000000000001</v>
      </c>
      <c r="T7" s="87">
        <f t="shared" si="2"/>
        <v>17.2</v>
      </c>
      <c r="U7" s="87">
        <f t="shared" si="2"/>
        <v>15.5</v>
      </c>
      <c r="V7" s="87">
        <f t="shared" si="2"/>
        <v>81.7</v>
      </c>
      <c r="W7" s="66">
        <f>ROUND(W49,0)</f>
        <v>84334</v>
      </c>
      <c r="X7" s="59"/>
      <c r="Y7" s="76"/>
      <c r="Z7" s="76"/>
      <c r="AA7" s="76"/>
      <c r="AB7" s="76"/>
      <c r="AC7" s="75"/>
      <c r="AD7" s="73"/>
      <c r="AE7" s="73"/>
      <c r="AF7" s="73"/>
      <c r="AG7" s="73"/>
      <c r="AH7" s="73"/>
      <c r="AI7" s="73"/>
      <c r="AJ7" s="73"/>
      <c r="AK7" s="73"/>
      <c r="AL7" s="73"/>
      <c r="AM7" s="73"/>
      <c r="AN7" s="73"/>
      <c r="AO7" s="73"/>
      <c r="AP7" s="73"/>
      <c r="AQ7" s="73"/>
      <c r="AR7" s="73"/>
      <c r="AS7" s="73"/>
      <c r="AT7" s="73"/>
      <c r="AV7" s="82"/>
      <c r="AW7" s="82"/>
      <c r="AX7" s="82"/>
      <c r="AY7" s="82"/>
      <c r="AZ7" s="82"/>
      <c r="BA7" s="82"/>
      <c r="BB7" s="82"/>
      <c r="BC7" s="82"/>
      <c r="BD7" s="82"/>
      <c r="BE7" s="82"/>
      <c r="BF7" s="82"/>
      <c r="BG7" s="82"/>
      <c r="BH7" s="82"/>
      <c r="BI7" s="82"/>
      <c r="BJ7" s="82"/>
      <c r="BK7" s="82"/>
      <c r="BL7" s="82"/>
      <c r="BM7" s="82"/>
      <c r="BN7" s="82"/>
      <c r="BO7" s="82"/>
      <c r="BP7" s="82"/>
      <c r="BQ7" s="82"/>
    </row>
    <row r="8" spans="1:69" x14ac:dyDescent="0.2">
      <c r="B8" s="58" t="s">
        <v>1</v>
      </c>
      <c r="C8" s="87">
        <f t="shared" ref="C8:H23" si="3">IF(OR(C50=1,C50=2),"x",ROUND(C50/$I50*100,1))</f>
        <v>17.600000000000001</v>
      </c>
      <c r="D8" s="87">
        <f t="shared" si="3"/>
        <v>17.399999999999999</v>
      </c>
      <c r="E8" s="87">
        <f t="shared" si="3"/>
        <v>17.399999999999999</v>
      </c>
      <c r="F8" s="87">
        <f t="shared" si="3"/>
        <v>16.3</v>
      </c>
      <c r="G8" s="87">
        <f t="shared" si="3"/>
        <v>14.2</v>
      </c>
      <c r="H8" s="87">
        <f t="shared" si="3"/>
        <v>82.8</v>
      </c>
      <c r="I8" s="66">
        <f t="shared" ref="I8:I41" si="4">ROUND(I50,0)</f>
        <v>35549</v>
      </c>
      <c r="J8" s="87">
        <f t="shared" ref="J8:O23" si="5">IF(OR(J50=1,J50=2),"x",ROUND(J50/$P50*100,1))</f>
        <v>17.5</v>
      </c>
      <c r="K8" s="87">
        <f t="shared" si="5"/>
        <v>18</v>
      </c>
      <c r="L8" s="87">
        <f t="shared" si="5"/>
        <v>18</v>
      </c>
      <c r="M8" s="87">
        <f t="shared" si="5"/>
        <v>16.3</v>
      </c>
      <c r="N8" s="87">
        <f t="shared" si="5"/>
        <v>13.8</v>
      </c>
      <c r="O8" s="87">
        <f t="shared" si="5"/>
        <v>83.6</v>
      </c>
      <c r="P8" s="66">
        <f t="shared" ref="P8:P41" si="6">ROUND(P50,0)</f>
        <v>30869</v>
      </c>
      <c r="Q8" s="87">
        <f t="shared" ref="Q8:V23" si="7">IF(OR(Q50=1,Q50=2),"x",ROUND(Q50/$W50*100,1))</f>
        <v>17.600000000000001</v>
      </c>
      <c r="R8" s="87">
        <f t="shared" si="7"/>
        <v>17.7</v>
      </c>
      <c r="S8" s="87">
        <f t="shared" si="7"/>
        <v>17.7</v>
      </c>
      <c r="T8" s="87">
        <f t="shared" si="7"/>
        <v>16.3</v>
      </c>
      <c r="U8" s="87">
        <f t="shared" si="7"/>
        <v>14</v>
      </c>
      <c r="V8" s="87">
        <f t="shared" si="7"/>
        <v>83.2</v>
      </c>
      <c r="W8" s="66">
        <f t="shared" ref="W8:W41" si="8">ROUND(W50,0)</f>
        <v>66418</v>
      </c>
      <c r="X8" s="59"/>
      <c r="Y8" s="76"/>
      <c r="Z8" s="76"/>
      <c r="AA8" s="76"/>
      <c r="AB8" s="76"/>
      <c r="AC8" s="75"/>
      <c r="AD8" s="73"/>
      <c r="AE8" s="73"/>
      <c r="AF8" s="73"/>
      <c r="AG8" s="73"/>
      <c r="AH8" s="73"/>
      <c r="AI8" s="73"/>
      <c r="AJ8" s="73"/>
      <c r="AK8" s="73"/>
      <c r="AL8" s="73"/>
      <c r="AM8" s="73"/>
      <c r="AN8" s="73"/>
      <c r="AO8" s="73"/>
      <c r="AP8" s="73"/>
      <c r="AQ8" s="73"/>
      <c r="AR8" s="73"/>
      <c r="AS8" s="73"/>
      <c r="AT8" s="73"/>
      <c r="AV8" s="82"/>
      <c r="AW8" s="82"/>
      <c r="AX8" s="82"/>
      <c r="AY8" s="82"/>
      <c r="AZ8" s="82"/>
      <c r="BA8" s="82"/>
      <c r="BB8" s="82"/>
      <c r="BC8" s="82"/>
      <c r="BD8" s="82"/>
      <c r="BE8" s="82"/>
      <c r="BF8" s="82"/>
      <c r="BG8" s="82"/>
      <c r="BH8" s="82"/>
      <c r="BI8" s="82"/>
      <c r="BJ8" s="82"/>
      <c r="BK8" s="82"/>
      <c r="BL8" s="82"/>
      <c r="BM8" s="82"/>
      <c r="BN8" s="82"/>
      <c r="BO8" s="82"/>
      <c r="BP8" s="82"/>
      <c r="BQ8" s="82"/>
    </row>
    <row r="9" spans="1:69" x14ac:dyDescent="0.2">
      <c r="B9" s="58" t="s">
        <v>2</v>
      </c>
      <c r="C9" s="87">
        <f t="shared" si="3"/>
        <v>19.3</v>
      </c>
      <c r="D9" s="87">
        <f t="shared" si="3"/>
        <v>15.5</v>
      </c>
      <c r="E9" s="87">
        <f t="shared" si="3"/>
        <v>16.600000000000001</v>
      </c>
      <c r="F9" s="87">
        <f t="shared" si="3"/>
        <v>15.7</v>
      </c>
      <c r="G9" s="87">
        <f t="shared" si="3"/>
        <v>14.3</v>
      </c>
      <c r="H9" s="87">
        <f t="shared" si="3"/>
        <v>81.5</v>
      </c>
      <c r="I9" s="66">
        <f t="shared" si="4"/>
        <v>37689</v>
      </c>
      <c r="J9" s="87">
        <f t="shared" si="5"/>
        <v>23.2</v>
      </c>
      <c r="K9" s="87">
        <f t="shared" si="5"/>
        <v>18.8</v>
      </c>
      <c r="L9" s="87">
        <f t="shared" si="5"/>
        <v>17.7</v>
      </c>
      <c r="M9" s="87">
        <f t="shared" si="5"/>
        <v>15.4</v>
      </c>
      <c r="N9" s="87">
        <f t="shared" si="5"/>
        <v>12.3</v>
      </c>
      <c r="O9" s="87">
        <f t="shared" si="5"/>
        <v>87.4</v>
      </c>
      <c r="P9" s="66">
        <f t="shared" si="6"/>
        <v>11390</v>
      </c>
      <c r="Q9" s="87">
        <f t="shared" si="7"/>
        <v>20.2</v>
      </c>
      <c r="R9" s="87">
        <f t="shared" si="7"/>
        <v>16.3</v>
      </c>
      <c r="S9" s="87">
        <f t="shared" si="7"/>
        <v>16.899999999999999</v>
      </c>
      <c r="T9" s="87">
        <f t="shared" si="7"/>
        <v>15.6</v>
      </c>
      <c r="U9" s="87">
        <f t="shared" si="7"/>
        <v>13.9</v>
      </c>
      <c r="V9" s="87">
        <f t="shared" si="7"/>
        <v>82.8</v>
      </c>
      <c r="W9" s="66">
        <f t="shared" si="8"/>
        <v>49079</v>
      </c>
      <c r="X9" s="59"/>
      <c r="Y9" s="76"/>
      <c r="Z9" s="76"/>
      <c r="AA9" s="76"/>
      <c r="AB9" s="76"/>
      <c r="AC9" s="75"/>
      <c r="AD9" s="73"/>
      <c r="AE9" s="73"/>
      <c r="AF9" s="73"/>
      <c r="AG9" s="73"/>
      <c r="AH9" s="73"/>
      <c r="AI9" s="73"/>
      <c r="AJ9" s="73"/>
      <c r="AK9" s="73"/>
      <c r="AL9" s="73"/>
      <c r="AM9" s="73"/>
      <c r="AN9" s="73"/>
      <c r="AO9" s="73"/>
      <c r="AP9" s="73"/>
      <c r="AQ9" s="73"/>
      <c r="AR9" s="73"/>
      <c r="AS9" s="73"/>
      <c r="AT9" s="73"/>
      <c r="AV9" s="82"/>
      <c r="AW9" s="82"/>
      <c r="AX9" s="82"/>
      <c r="AY9" s="82"/>
      <c r="AZ9" s="82"/>
      <c r="BA9" s="82"/>
      <c r="BB9" s="82"/>
      <c r="BC9" s="82"/>
      <c r="BD9" s="82"/>
      <c r="BE9" s="82"/>
      <c r="BF9" s="82"/>
      <c r="BG9" s="82"/>
      <c r="BH9" s="82"/>
      <c r="BI9" s="82"/>
      <c r="BJ9" s="82"/>
      <c r="BK9" s="82"/>
      <c r="BL9" s="82"/>
      <c r="BM9" s="82"/>
      <c r="BN9" s="82"/>
      <c r="BO9" s="82"/>
      <c r="BP9" s="82"/>
      <c r="BQ9" s="82"/>
    </row>
    <row r="10" spans="1:69" x14ac:dyDescent="0.2">
      <c r="B10" s="58" t="s">
        <v>3</v>
      </c>
      <c r="C10" s="87">
        <f t="shared" si="3"/>
        <v>14.8</v>
      </c>
      <c r="D10" s="87">
        <f t="shared" si="3"/>
        <v>14.9</v>
      </c>
      <c r="E10" s="87">
        <f t="shared" si="3"/>
        <v>18.8</v>
      </c>
      <c r="F10" s="87">
        <f t="shared" si="3"/>
        <v>18.5</v>
      </c>
      <c r="G10" s="87">
        <f t="shared" si="3"/>
        <v>15.1</v>
      </c>
      <c r="H10" s="87">
        <f t="shared" si="3"/>
        <v>81.900000000000006</v>
      </c>
      <c r="I10" s="66">
        <f t="shared" si="4"/>
        <v>5588</v>
      </c>
      <c r="J10" s="87">
        <f t="shared" si="5"/>
        <v>14.4</v>
      </c>
      <c r="K10" s="87">
        <f t="shared" si="5"/>
        <v>14.4</v>
      </c>
      <c r="L10" s="87">
        <f t="shared" si="5"/>
        <v>18.7</v>
      </c>
      <c r="M10" s="87">
        <f t="shared" si="5"/>
        <v>18.399999999999999</v>
      </c>
      <c r="N10" s="87">
        <f t="shared" si="5"/>
        <v>15.5</v>
      </c>
      <c r="O10" s="87">
        <f t="shared" si="5"/>
        <v>81.2</v>
      </c>
      <c r="P10" s="66">
        <f t="shared" si="6"/>
        <v>2599</v>
      </c>
      <c r="Q10" s="87">
        <f t="shared" si="7"/>
        <v>14.6</v>
      </c>
      <c r="R10" s="87">
        <f t="shared" si="7"/>
        <v>14.7</v>
      </c>
      <c r="S10" s="87">
        <f t="shared" si="7"/>
        <v>18.7</v>
      </c>
      <c r="T10" s="87">
        <f t="shared" si="7"/>
        <v>18.399999999999999</v>
      </c>
      <c r="U10" s="87">
        <f t="shared" si="7"/>
        <v>15.2</v>
      </c>
      <c r="V10" s="87">
        <f t="shared" si="7"/>
        <v>81.7</v>
      </c>
      <c r="W10" s="66">
        <f t="shared" si="8"/>
        <v>8187</v>
      </c>
      <c r="X10" s="59"/>
      <c r="Y10" s="76"/>
      <c r="Z10" s="76"/>
      <c r="AA10" s="76"/>
      <c r="AB10" s="76"/>
      <c r="AC10" s="75"/>
      <c r="AD10" s="73"/>
      <c r="AE10" s="73"/>
      <c r="AF10" s="73"/>
      <c r="AG10" s="73"/>
      <c r="AH10" s="73"/>
      <c r="AI10" s="73"/>
      <c r="AJ10" s="73"/>
      <c r="AK10" s="73"/>
      <c r="AL10" s="73"/>
      <c r="AM10" s="73"/>
      <c r="AN10" s="73"/>
      <c r="AO10" s="73"/>
      <c r="AP10" s="73"/>
      <c r="AQ10" s="73"/>
      <c r="AR10" s="73"/>
      <c r="AS10" s="73"/>
      <c r="AT10" s="73"/>
      <c r="AV10" s="82"/>
      <c r="AW10" s="82"/>
      <c r="AX10" s="82"/>
      <c r="AY10" s="82"/>
      <c r="AZ10" s="82"/>
      <c r="BA10" s="82"/>
      <c r="BB10" s="82"/>
      <c r="BC10" s="82"/>
      <c r="BD10" s="82"/>
      <c r="BE10" s="82"/>
      <c r="BF10" s="82"/>
      <c r="BG10" s="82"/>
      <c r="BH10" s="82"/>
      <c r="BI10" s="82"/>
      <c r="BJ10" s="82"/>
      <c r="BK10" s="82"/>
      <c r="BL10" s="82"/>
      <c r="BM10" s="82"/>
      <c r="BN10" s="82"/>
      <c r="BO10" s="82"/>
      <c r="BP10" s="82"/>
      <c r="BQ10" s="82"/>
    </row>
    <row r="11" spans="1:69" x14ac:dyDescent="0.2">
      <c r="B11" s="58" t="s">
        <v>4</v>
      </c>
      <c r="C11" s="87">
        <f t="shared" si="3"/>
        <v>23.9</v>
      </c>
      <c r="D11" s="87">
        <f t="shared" si="3"/>
        <v>14.9</v>
      </c>
      <c r="E11" s="87">
        <f t="shared" si="3"/>
        <v>14.6</v>
      </c>
      <c r="F11" s="87">
        <f t="shared" si="3"/>
        <v>13.8</v>
      </c>
      <c r="G11" s="87">
        <f t="shared" si="3"/>
        <v>12.4</v>
      </c>
      <c r="H11" s="87">
        <f t="shared" si="3"/>
        <v>79.5</v>
      </c>
      <c r="I11" s="66">
        <f t="shared" si="4"/>
        <v>61147</v>
      </c>
      <c r="J11" s="87">
        <f t="shared" si="5"/>
        <v>25</v>
      </c>
      <c r="K11" s="87">
        <f t="shared" si="5"/>
        <v>17.2</v>
      </c>
      <c r="L11" s="87">
        <f t="shared" si="5"/>
        <v>15.8</v>
      </c>
      <c r="M11" s="87">
        <f t="shared" si="5"/>
        <v>14.2</v>
      </c>
      <c r="N11" s="87">
        <f t="shared" si="5"/>
        <v>11.7</v>
      </c>
      <c r="O11" s="87">
        <f t="shared" si="5"/>
        <v>83.9</v>
      </c>
      <c r="P11" s="66">
        <f t="shared" si="6"/>
        <v>43439</v>
      </c>
      <c r="Q11" s="87">
        <f t="shared" si="7"/>
        <v>24.3</v>
      </c>
      <c r="R11" s="87">
        <f t="shared" si="7"/>
        <v>15.8</v>
      </c>
      <c r="S11" s="87">
        <f t="shared" si="7"/>
        <v>15.1</v>
      </c>
      <c r="T11" s="87">
        <f t="shared" si="7"/>
        <v>14</v>
      </c>
      <c r="U11" s="87">
        <f t="shared" si="7"/>
        <v>12.1</v>
      </c>
      <c r="V11" s="87">
        <f t="shared" si="7"/>
        <v>81.3</v>
      </c>
      <c r="W11" s="66">
        <f t="shared" si="8"/>
        <v>104586</v>
      </c>
      <c r="X11" s="59"/>
      <c r="Y11" s="76"/>
      <c r="Z11" s="76"/>
      <c r="AA11" s="76"/>
      <c r="AB11" s="76"/>
      <c r="AC11" s="75"/>
      <c r="AD11" s="73"/>
      <c r="AE11" s="73"/>
      <c r="AF11" s="73"/>
      <c r="AG11" s="73"/>
      <c r="AH11" s="73"/>
      <c r="AI11" s="73"/>
      <c r="AJ11" s="73"/>
      <c r="AK11" s="73"/>
      <c r="AL11" s="73"/>
      <c r="AM11" s="73"/>
      <c r="AN11" s="73"/>
      <c r="AO11" s="73"/>
      <c r="AP11" s="73"/>
      <c r="AQ11" s="73"/>
      <c r="AR11" s="73"/>
      <c r="AS11" s="73"/>
      <c r="AT11" s="73"/>
      <c r="AV11" s="82"/>
      <c r="AW11" s="82"/>
      <c r="AX11" s="82"/>
      <c r="AY11" s="82"/>
      <c r="AZ11" s="82"/>
      <c r="BA11" s="82"/>
      <c r="BB11" s="82"/>
      <c r="BC11" s="82"/>
      <c r="BD11" s="82"/>
      <c r="BE11" s="82"/>
      <c r="BF11" s="82"/>
      <c r="BG11" s="82"/>
      <c r="BH11" s="82"/>
      <c r="BI11" s="82"/>
      <c r="BJ11" s="82"/>
      <c r="BK11" s="82"/>
      <c r="BL11" s="82"/>
      <c r="BM11" s="82"/>
      <c r="BN11" s="82"/>
      <c r="BO11" s="82"/>
      <c r="BP11" s="82"/>
      <c r="BQ11" s="82"/>
    </row>
    <row r="12" spans="1:69" x14ac:dyDescent="0.2">
      <c r="B12" s="58" t="s">
        <v>5</v>
      </c>
      <c r="C12" s="87">
        <f t="shared" si="3"/>
        <v>39.9</v>
      </c>
      <c r="D12" s="87">
        <f t="shared" si="3"/>
        <v>17.5</v>
      </c>
      <c r="E12" s="87">
        <f t="shared" si="3"/>
        <v>13.8</v>
      </c>
      <c r="F12" s="87">
        <f t="shared" si="3"/>
        <v>10.4</v>
      </c>
      <c r="G12" s="87">
        <f t="shared" si="3"/>
        <v>7.5</v>
      </c>
      <c r="H12" s="87">
        <f t="shared" si="3"/>
        <v>89</v>
      </c>
      <c r="I12" s="66">
        <f t="shared" si="4"/>
        <v>8199</v>
      </c>
      <c r="J12" s="87">
        <f t="shared" si="5"/>
        <v>42.2</v>
      </c>
      <c r="K12" s="87">
        <f t="shared" si="5"/>
        <v>18.399999999999999</v>
      </c>
      <c r="L12" s="87">
        <f t="shared" si="5"/>
        <v>14.1</v>
      </c>
      <c r="M12" s="87">
        <f t="shared" si="5"/>
        <v>9.5</v>
      </c>
      <c r="N12" s="87">
        <f t="shared" si="5"/>
        <v>7.5</v>
      </c>
      <c r="O12" s="87">
        <f t="shared" si="5"/>
        <v>91.7</v>
      </c>
      <c r="P12" s="66">
        <f t="shared" si="6"/>
        <v>4228</v>
      </c>
      <c r="Q12" s="87">
        <f t="shared" si="7"/>
        <v>40.700000000000003</v>
      </c>
      <c r="R12" s="87">
        <f t="shared" si="7"/>
        <v>17.8</v>
      </c>
      <c r="S12" s="87">
        <f t="shared" si="7"/>
        <v>13.9</v>
      </c>
      <c r="T12" s="87">
        <f t="shared" si="7"/>
        <v>10.1</v>
      </c>
      <c r="U12" s="87">
        <f t="shared" si="7"/>
        <v>7.5</v>
      </c>
      <c r="V12" s="87">
        <f t="shared" si="7"/>
        <v>90</v>
      </c>
      <c r="W12" s="66">
        <f t="shared" si="8"/>
        <v>12427</v>
      </c>
      <c r="X12" s="59"/>
      <c r="Y12" s="76"/>
      <c r="Z12" s="76"/>
      <c r="AA12" s="76"/>
      <c r="AB12" s="76"/>
      <c r="AC12" s="75"/>
      <c r="AD12" s="73"/>
      <c r="AE12" s="73"/>
      <c r="AF12" s="73"/>
      <c r="AG12" s="73"/>
      <c r="AH12" s="73"/>
      <c r="AI12" s="73"/>
      <c r="AJ12" s="73"/>
      <c r="AK12" s="73"/>
      <c r="AL12" s="73"/>
      <c r="AM12" s="73"/>
      <c r="AN12" s="73"/>
      <c r="AO12" s="73"/>
      <c r="AP12" s="73"/>
      <c r="AQ12" s="73"/>
      <c r="AR12" s="73"/>
      <c r="AS12" s="73"/>
      <c r="AT12" s="73"/>
      <c r="AV12" s="82"/>
      <c r="AW12" s="82"/>
      <c r="AX12" s="82"/>
      <c r="AY12" s="82"/>
      <c r="AZ12" s="82"/>
      <c r="BA12" s="82"/>
      <c r="BB12" s="82"/>
      <c r="BC12" s="82"/>
      <c r="BD12" s="82"/>
      <c r="BE12" s="82"/>
      <c r="BF12" s="82"/>
      <c r="BG12" s="82"/>
      <c r="BH12" s="82"/>
      <c r="BI12" s="82"/>
      <c r="BJ12" s="82"/>
      <c r="BK12" s="82"/>
      <c r="BL12" s="82"/>
      <c r="BM12" s="82"/>
      <c r="BN12" s="82"/>
      <c r="BO12" s="82"/>
      <c r="BP12" s="82"/>
      <c r="BQ12" s="82"/>
    </row>
    <row r="13" spans="1:69" x14ac:dyDescent="0.2">
      <c r="B13" s="58" t="s">
        <v>6</v>
      </c>
      <c r="C13" s="87">
        <f t="shared" si="3"/>
        <v>7.5</v>
      </c>
      <c r="D13" s="87">
        <f t="shared" si="3"/>
        <v>13.5</v>
      </c>
      <c r="E13" s="87">
        <f t="shared" si="3"/>
        <v>21.4</v>
      </c>
      <c r="F13" s="87">
        <f t="shared" si="3"/>
        <v>22.4</v>
      </c>
      <c r="G13" s="87">
        <f t="shared" si="3"/>
        <v>18.5</v>
      </c>
      <c r="H13" s="87">
        <f t="shared" si="3"/>
        <v>83.3</v>
      </c>
      <c r="I13" s="66">
        <f t="shared" si="4"/>
        <v>12448</v>
      </c>
      <c r="J13" s="87">
        <f t="shared" si="5"/>
        <v>12.9</v>
      </c>
      <c r="K13" s="87">
        <f t="shared" si="5"/>
        <v>19.3</v>
      </c>
      <c r="L13" s="87">
        <f t="shared" si="5"/>
        <v>21.6</v>
      </c>
      <c r="M13" s="87">
        <f t="shared" si="5"/>
        <v>20.8</v>
      </c>
      <c r="N13" s="87">
        <f t="shared" si="5"/>
        <v>14.9</v>
      </c>
      <c r="O13" s="87">
        <f t="shared" si="5"/>
        <v>89.4</v>
      </c>
      <c r="P13" s="66">
        <f t="shared" si="6"/>
        <v>9180</v>
      </c>
      <c r="Q13" s="87">
        <f t="shared" si="7"/>
        <v>9.8000000000000007</v>
      </c>
      <c r="R13" s="87">
        <f t="shared" si="7"/>
        <v>16</v>
      </c>
      <c r="S13" s="87">
        <f t="shared" si="7"/>
        <v>21.5</v>
      </c>
      <c r="T13" s="87">
        <f t="shared" si="7"/>
        <v>21.7</v>
      </c>
      <c r="U13" s="87">
        <f t="shared" si="7"/>
        <v>17</v>
      </c>
      <c r="V13" s="87">
        <f t="shared" si="7"/>
        <v>85.9</v>
      </c>
      <c r="W13" s="66">
        <f t="shared" si="8"/>
        <v>21628</v>
      </c>
      <c r="X13" s="59"/>
      <c r="Y13" s="76"/>
      <c r="Z13" s="76"/>
      <c r="AA13" s="76"/>
      <c r="AB13" s="76"/>
      <c r="AC13" s="75"/>
      <c r="AD13" s="73"/>
      <c r="AE13" s="73"/>
      <c r="AF13" s="73"/>
      <c r="AG13" s="73"/>
      <c r="AH13" s="73"/>
      <c r="AI13" s="73"/>
      <c r="AJ13" s="73"/>
      <c r="AK13" s="73"/>
      <c r="AL13" s="73"/>
      <c r="AM13" s="73"/>
      <c r="AN13" s="73"/>
      <c r="AO13" s="73"/>
      <c r="AP13" s="73"/>
      <c r="AQ13" s="73"/>
      <c r="AR13" s="73"/>
      <c r="AS13" s="73"/>
      <c r="AT13" s="73"/>
      <c r="AV13" s="82"/>
      <c r="AW13" s="82"/>
      <c r="AX13" s="82"/>
      <c r="AY13" s="82"/>
      <c r="AZ13" s="82"/>
      <c r="BA13" s="82"/>
      <c r="BB13" s="82"/>
      <c r="BC13" s="82"/>
      <c r="BD13" s="82"/>
      <c r="BE13" s="82"/>
      <c r="BF13" s="82"/>
      <c r="BG13" s="82"/>
      <c r="BH13" s="82"/>
      <c r="BI13" s="82"/>
      <c r="BJ13" s="82"/>
      <c r="BK13" s="82"/>
      <c r="BL13" s="82"/>
      <c r="BM13" s="82"/>
      <c r="BN13" s="82"/>
      <c r="BO13" s="82"/>
      <c r="BP13" s="82"/>
      <c r="BQ13" s="82"/>
    </row>
    <row r="14" spans="1:69" x14ac:dyDescent="0.2">
      <c r="B14" s="2" t="s">
        <v>168</v>
      </c>
      <c r="C14" s="87">
        <f t="shared" si="3"/>
        <v>9.6999999999999993</v>
      </c>
      <c r="D14" s="87">
        <f t="shared" si="3"/>
        <v>14.5</v>
      </c>
      <c r="E14" s="87">
        <f t="shared" si="3"/>
        <v>19.3</v>
      </c>
      <c r="F14" s="87">
        <f t="shared" si="3"/>
        <v>19.2</v>
      </c>
      <c r="G14" s="87">
        <f t="shared" si="3"/>
        <v>16.100000000000001</v>
      </c>
      <c r="H14" s="87">
        <f t="shared" si="3"/>
        <v>78.8</v>
      </c>
      <c r="I14" s="66">
        <f t="shared" si="4"/>
        <v>6306</v>
      </c>
      <c r="J14" s="87">
        <f t="shared" si="5"/>
        <v>11.5</v>
      </c>
      <c r="K14" s="87">
        <f t="shared" si="5"/>
        <v>16.7</v>
      </c>
      <c r="L14" s="87">
        <f t="shared" si="5"/>
        <v>18.100000000000001</v>
      </c>
      <c r="M14" s="87">
        <f t="shared" si="5"/>
        <v>19.100000000000001</v>
      </c>
      <c r="N14" s="87">
        <f t="shared" si="5"/>
        <v>15.9</v>
      </c>
      <c r="O14" s="87">
        <f t="shared" si="5"/>
        <v>81.3</v>
      </c>
      <c r="P14" s="66">
        <f t="shared" si="6"/>
        <v>540</v>
      </c>
      <c r="Q14" s="87">
        <f t="shared" si="7"/>
        <v>9.8000000000000007</v>
      </c>
      <c r="R14" s="87">
        <f t="shared" si="7"/>
        <v>14.6</v>
      </c>
      <c r="S14" s="87">
        <f t="shared" si="7"/>
        <v>19.2</v>
      </c>
      <c r="T14" s="87">
        <f t="shared" si="7"/>
        <v>19.2</v>
      </c>
      <c r="U14" s="87">
        <f t="shared" si="7"/>
        <v>16.100000000000001</v>
      </c>
      <c r="V14" s="87">
        <f t="shared" si="7"/>
        <v>79</v>
      </c>
      <c r="W14" s="66">
        <f t="shared" si="8"/>
        <v>6846</v>
      </c>
      <c r="X14" s="59"/>
      <c r="Y14" s="76"/>
      <c r="Z14" s="76"/>
      <c r="AA14" s="76"/>
      <c r="AB14" s="76"/>
      <c r="AC14" s="75"/>
      <c r="AD14" s="73"/>
      <c r="AE14" s="73"/>
      <c r="AF14" s="73"/>
      <c r="AG14" s="73"/>
      <c r="AH14" s="73"/>
      <c r="AI14" s="73"/>
      <c r="AJ14" s="73"/>
      <c r="AK14" s="73"/>
      <c r="AL14" s="73"/>
      <c r="AM14" s="73"/>
      <c r="AN14" s="73"/>
      <c r="AO14" s="73"/>
      <c r="AP14" s="73"/>
      <c r="AQ14" s="73"/>
      <c r="AR14" s="73"/>
      <c r="AS14" s="73"/>
      <c r="AT14" s="73"/>
      <c r="AV14" s="82"/>
      <c r="AW14" s="82"/>
      <c r="AX14" s="82"/>
      <c r="AY14" s="82"/>
      <c r="AZ14" s="82"/>
      <c r="BA14" s="82"/>
      <c r="BB14" s="82"/>
      <c r="BC14" s="82"/>
      <c r="BD14" s="82"/>
      <c r="BE14" s="82"/>
      <c r="BF14" s="82"/>
      <c r="BG14" s="82"/>
      <c r="BH14" s="82"/>
      <c r="BI14" s="82"/>
      <c r="BJ14" s="82"/>
      <c r="BK14" s="82"/>
      <c r="BL14" s="82"/>
      <c r="BM14" s="82"/>
      <c r="BN14" s="82"/>
      <c r="BO14" s="82"/>
      <c r="BP14" s="82"/>
      <c r="BQ14" s="82"/>
    </row>
    <row r="15" spans="1:69" x14ac:dyDescent="0.2">
      <c r="B15" s="58" t="s">
        <v>8</v>
      </c>
      <c r="C15" s="87">
        <f t="shared" si="3"/>
        <v>4.5999999999999996</v>
      </c>
      <c r="D15" s="87">
        <f t="shared" si="3"/>
        <v>10.199999999999999</v>
      </c>
      <c r="E15" s="87">
        <f t="shared" si="3"/>
        <v>19</v>
      </c>
      <c r="F15" s="87">
        <f t="shared" si="3"/>
        <v>23</v>
      </c>
      <c r="G15" s="87">
        <f t="shared" si="3"/>
        <v>21.2</v>
      </c>
      <c r="H15" s="87">
        <f t="shared" si="3"/>
        <v>77.900000000000006</v>
      </c>
      <c r="I15" s="66">
        <f t="shared" si="4"/>
        <v>10263</v>
      </c>
      <c r="J15" s="87">
        <f t="shared" si="5"/>
        <v>8.5</v>
      </c>
      <c r="K15" s="87">
        <f t="shared" si="5"/>
        <v>14.5</v>
      </c>
      <c r="L15" s="87">
        <f t="shared" si="5"/>
        <v>21.8</v>
      </c>
      <c r="M15" s="87">
        <f t="shared" si="5"/>
        <v>22.1</v>
      </c>
      <c r="N15" s="87">
        <f t="shared" si="5"/>
        <v>18</v>
      </c>
      <c r="O15" s="87">
        <f t="shared" si="5"/>
        <v>84.8</v>
      </c>
      <c r="P15" s="66">
        <f t="shared" si="6"/>
        <v>5556</v>
      </c>
      <c r="Q15" s="87">
        <f t="shared" si="7"/>
        <v>5.9</v>
      </c>
      <c r="R15" s="87">
        <f t="shared" si="7"/>
        <v>11.7</v>
      </c>
      <c r="S15" s="87">
        <f t="shared" si="7"/>
        <v>20</v>
      </c>
      <c r="T15" s="87">
        <f t="shared" si="7"/>
        <v>22.7</v>
      </c>
      <c r="U15" s="87">
        <f t="shared" si="7"/>
        <v>20.100000000000001</v>
      </c>
      <c r="V15" s="87">
        <f t="shared" si="7"/>
        <v>80.3</v>
      </c>
      <c r="W15" s="66">
        <f t="shared" si="8"/>
        <v>15819</v>
      </c>
      <c r="X15" s="59"/>
      <c r="Y15" s="76"/>
      <c r="Z15" s="76"/>
      <c r="AA15" s="76"/>
      <c r="AB15" s="76"/>
      <c r="AC15" s="75"/>
      <c r="AD15" s="73"/>
      <c r="AE15" s="73"/>
      <c r="AF15" s="73"/>
      <c r="AG15" s="73"/>
      <c r="AH15" s="73"/>
      <c r="AI15" s="73"/>
      <c r="AJ15" s="73"/>
      <c r="AK15" s="73"/>
      <c r="AL15" s="73"/>
      <c r="AM15" s="73"/>
      <c r="AN15" s="73"/>
      <c r="AO15" s="73"/>
      <c r="AP15" s="73"/>
      <c r="AQ15" s="73"/>
      <c r="AR15" s="73"/>
      <c r="AS15" s="73"/>
      <c r="AT15" s="73"/>
      <c r="AV15" s="82"/>
      <c r="AW15" s="82"/>
      <c r="AX15" s="82"/>
      <c r="AY15" s="82"/>
      <c r="AZ15" s="82"/>
      <c r="BA15" s="82"/>
      <c r="BB15" s="82"/>
      <c r="BC15" s="82"/>
      <c r="BD15" s="82"/>
      <c r="BE15" s="82"/>
      <c r="BF15" s="82"/>
      <c r="BG15" s="82"/>
      <c r="BH15" s="82"/>
      <c r="BI15" s="82"/>
      <c r="BJ15" s="82"/>
      <c r="BK15" s="82"/>
      <c r="BL15" s="82"/>
      <c r="BM15" s="82"/>
      <c r="BN15" s="82"/>
      <c r="BO15" s="82"/>
      <c r="BP15" s="82"/>
      <c r="BQ15" s="82"/>
    </row>
    <row r="16" spans="1:69" x14ac:dyDescent="0.2">
      <c r="B16" s="58" t="s">
        <v>9</v>
      </c>
      <c r="C16" s="87" t="str">
        <f t="shared" si="3"/>
        <v>x</v>
      </c>
      <c r="D16" s="87">
        <f t="shared" si="3"/>
        <v>6.1</v>
      </c>
      <c r="E16" s="87">
        <f t="shared" si="3"/>
        <v>14.3</v>
      </c>
      <c r="F16" s="87">
        <f t="shared" si="3"/>
        <v>17.3</v>
      </c>
      <c r="G16" s="87">
        <f t="shared" si="3"/>
        <v>26.5</v>
      </c>
      <c r="H16" s="87">
        <f t="shared" si="3"/>
        <v>65.3</v>
      </c>
      <c r="I16" s="66">
        <f t="shared" si="4"/>
        <v>98</v>
      </c>
      <c r="J16" s="87">
        <f t="shared" si="5"/>
        <v>9.3000000000000007</v>
      </c>
      <c r="K16" s="87">
        <f t="shared" si="5"/>
        <v>22.1</v>
      </c>
      <c r="L16" s="87">
        <f t="shared" si="5"/>
        <v>24.7</v>
      </c>
      <c r="M16" s="87">
        <f t="shared" si="5"/>
        <v>17.8</v>
      </c>
      <c r="N16" s="87">
        <f t="shared" si="5"/>
        <v>14.5</v>
      </c>
      <c r="O16" s="87">
        <f t="shared" si="5"/>
        <v>88.4</v>
      </c>
      <c r="P16" s="66">
        <f t="shared" si="6"/>
        <v>421</v>
      </c>
      <c r="Q16" s="87">
        <f t="shared" si="7"/>
        <v>7.7</v>
      </c>
      <c r="R16" s="87">
        <f t="shared" si="7"/>
        <v>19.100000000000001</v>
      </c>
      <c r="S16" s="87">
        <f t="shared" si="7"/>
        <v>22.7</v>
      </c>
      <c r="T16" s="87">
        <f t="shared" si="7"/>
        <v>17.7</v>
      </c>
      <c r="U16" s="87">
        <f t="shared" si="7"/>
        <v>16.8</v>
      </c>
      <c r="V16" s="87">
        <f t="shared" si="7"/>
        <v>84</v>
      </c>
      <c r="W16" s="66">
        <f t="shared" si="8"/>
        <v>519</v>
      </c>
      <c r="X16" s="59"/>
      <c r="Y16" s="76"/>
      <c r="Z16" s="76"/>
      <c r="AA16" s="76"/>
      <c r="AB16" s="76"/>
      <c r="AC16" s="75"/>
      <c r="AD16" s="73"/>
      <c r="AE16" s="73"/>
      <c r="AF16" s="73"/>
      <c r="AG16" s="73"/>
      <c r="AH16" s="73"/>
      <c r="AI16" s="73"/>
      <c r="AJ16" s="73"/>
      <c r="AK16" s="73"/>
      <c r="AL16" s="73"/>
      <c r="AM16" s="73"/>
      <c r="AN16" s="73"/>
      <c r="AO16" s="73"/>
      <c r="AP16" s="73"/>
      <c r="AQ16" s="73"/>
      <c r="AR16" s="73"/>
      <c r="AS16" s="73"/>
      <c r="AT16" s="73"/>
      <c r="AV16" s="82"/>
      <c r="AW16" s="82"/>
      <c r="AX16" s="82"/>
      <c r="AY16" s="82"/>
      <c r="AZ16" s="82"/>
      <c r="BA16" s="82"/>
      <c r="BB16" s="82"/>
      <c r="BC16" s="82"/>
      <c r="BD16" s="82"/>
      <c r="BE16" s="82"/>
      <c r="BF16" s="82"/>
      <c r="BG16" s="82"/>
      <c r="BH16" s="82"/>
      <c r="BI16" s="82"/>
      <c r="BJ16" s="82"/>
      <c r="BK16" s="82"/>
      <c r="BL16" s="82"/>
      <c r="BM16" s="82"/>
      <c r="BN16" s="82"/>
      <c r="BO16" s="82"/>
      <c r="BP16" s="82"/>
      <c r="BQ16" s="82"/>
    </row>
    <row r="17" spans="2:69" x14ac:dyDescent="0.2">
      <c r="B17" s="58" t="s">
        <v>10</v>
      </c>
      <c r="C17" s="87">
        <f t="shared" si="3"/>
        <v>6.3</v>
      </c>
      <c r="D17" s="87">
        <f t="shared" si="3"/>
        <v>12.5</v>
      </c>
      <c r="E17" s="87">
        <f t="shared" si="3"/>
        <v>17.7</v>
      </c>
      <c r="F17" s="87">
        <f t="shared" si="3"/>
        <v>16.2</v>
      </c>
      <c r="G17" s="87">
        <f t="shared" si="3"/>
        <v>16</v>
      </c>
      <c r="H17" s="87">
        <f t="shared" si="3"/>
        <v>68.599999999999994</v>
      </c>
      <c r="I17" s="66">
        <f t="shared" si="4"/>
        <v>4407</v>
      </c>
      <c r="J17" s="87">
        <f t="shared" si="5"/>
        <v>8.6</v>
      </c>
      <c r="K17" s="87">
        <f t="shared" si="5"/>
        <v>11.8</v>
      </c>
      <c r="L17" s="87">
        <f t="shared" si="5"/>
        <v>17</v>
      </c>
      <c r="M17" s="87">
        <f t="shared" si="5"/>
        <v>17.100000000000001</v>
      </c>
      <c r="N17" s="87">
        <f t="shared" si="5"/>
        <v>17.100000000000001</v>
      </c>
      <c r="O17" s="87">
        <f t="shared" si="5"/>
        <v>71.8</v>
      </c>
      <c r="P17" s="66">
        <f t="shared" si="6"/>
        <v>2433</v>
      </c>
      <c r="Q17" s="87">
        <f t="shared" si="7"/>
        <v>7.1</v>
      </c>
      <c r="R17" s="87">
        <f t="shared" si="7"/>
        <v>12.3</v>
      </c>
      <c r="S17" s="87">
        <f t="shared" si="7"/>
        <v>17.399999999999999</v>
      </c>
      <c r="T17" s="87">
        <f t="shared" si="7"/>
        <v>16.5</v>
      </c>
      <c r="U17" s="87">
        <f t="shared" si="7"/>
        <v>16.399999999999999</v>
      </c>
      <c r="V17" s="87">
        <f t="shared" si="7"/>
        <v>69.8</v>
      </c>
      <c r="W17" s="66">
        <f t="shared" si="8"/>
        <v>6840</v>
      </c>
      <c r="X17" s="59"/>
      <c r="Y17" s="76"/>
      <c r="Z17" s="76"/>
      <c r="AA17" s="76"/>
      <c r="AB17" s="76"/>
      <c r="AC17" s="75"/>
      <c r="AD17" s="73"/>
      <c r="AE17" s="73"/>
      <c r="AF17" s="73"/>
      <c r="AG17" s="73"/>
      <c r="AH17" s="73"/>
      <c r="AI17" s="73"/>
      <c r="AJ17" s="73"/>
      <c r="AK17" s="73"/>
      <c r="AL17" s="73"/>
      <c r="AM17" s="73"/>
      <c r="AN17" s="73"/>
      <c r="AO17" s="73"/>
      <c r="AP17" s="73"/>
      <c r="AQ17" s="73"/>
      <c r="AR17" s="73"/>
      <c r="AS17" s="73"/>
      <c r="AT17" s="73"/>
      <c r="AV17" s="82"/>
      <c r="AW17" s="82"/>
      <c r="AX17" s="82"/>
      <c r="AY17" s="82"/>
      <c r="AZ17" s="82"/>
      <c r="BA17" s="82"/>
      <c r="BB17" s="82"/>
      <c r="BC17" s="82"/>
      <c r="BD17" s="82"/>
      <c r="BE17" s="82"/>
      <c r="BF17" s="82"/>
      <c r="BG17" s="82"/>
      <c r="BH17" s="82"/>
      <c r="BI17" s="82"/>
      <c r="BJ17" s="82"/>
      <c r="BK17" s="82"/>
      <c r="BL17" s="82"/>
      <c r="BM17" s="82"/>
      <c r="BN17" s="82"/>
      <c r="BO17" s="82"/>
      <c r="BP17" s="82"/>
      <c r="BQ17" s="82"/>
    </row>
    <row r="18" spans="2:69" x14ac:dyDescent="0.2">
      <c r="B18" s="58" t="s">
        <v>11</v>
      </c>
      <c r="C18" s="87">
        <f t="shared" si="3"/>
        <v>8.5</v>
      </c>
      <c r="D18" s="87">
        <f t="shared" si="3"/>
        <v>16</v>
      </c>
      <c r="E18" s="87">
        <f t="shared" si="3"/>
        <v>22.4</v>
      </c>
      <c r="F18" s="87">
        <f t="shared" si="3"/>
        <v>21.3</v>
      </c>
      <c r="G18" s="87">
        <f t="shared" si="3"/>
        <v>17.600000000000001</v>
      </c>
      <c r="H18" s="87">
        <f t="shared" si="3"/>
        <v>85.7</v>
      </c>
      <c r="I18" s="66">
        <f t="shared" si="4"/>
        <v>24154</v>
      </c>
      <c r="J18" s="87">
        <f t="shared" si="5"/>
        <v>10</v>
      </c>
      <c r="K18" s="87">
        <f t="shared" si="5"/>
        <v>16.899999999999999</v>
      </c>
      <c r="L18" s="87">
        <f t="shared" si="5"/>
        <v>21.8</v>
      </c>
      <c r="M18" s="87">
        <f t="shared" si="5"/>
        <v>20.3</v>
      </c>
      <c r="N18" s="87">
        <f t="shared" si="5"/>
        <v>17.100000000000001</v>
      </c>
      <c r="O18" s="87">
        <f t="shared" si="5"/>
        <v>86.1</v>
      </c>
      <c r="P18" s="66">
        <f t="shared" si="6"/>
        <v>18009</v>
      </c>
      <c r="Q18" s="87">
        <f t="shared" si="7"/>
        <v>9.1</v>
      </c>
      <c r="R18" s="87">
        <f t="shared" si="7"/>
        <v>16.399999999999999</v>
      </c>
      <c r="S18" s="87">
        <f t="shared" si="7"/>
        <v>22.1</v>
      </c>
      <c r="T18" s="87">
        <f t="shared" si="7"/>
        <v>20.9</v>
      </c>
      <c r="U18" s="87">
        <f t="shared" si="7"/>
        <v>17.399999999999999</v>
      </c>
      <c r="V18" s="87">
        <f t="shared" si="7"/>
        <v>85.9</v>
      </c>
      <c r="W18" s="66">
        <f t="shared" si="8"/>
        <v>42163</v>
      </c>
      <c r="X18" s="59"/>
      <c r="Y18" s="76"/>
      <c r="Z18" s="76"/>
      <c r="AA18" s="76"/>
      <c r="AB18" s="76"/>
      <c r="AC18" s="75"/>
      <c r="AD18" s="73"/>
      <c r="AE18" s="73"/>
      <c r="AF18" s="73"/>
      <c r="AG18" s="73"/>
      <c r="AH18" s="73"/>
      <c r="AI18" s="73"/>
      <c r="AJ18" s="73"/>
      <c r="AK18" s="73"/>
      <c r="AL18" s="73"/>
      <c r="AM18" s="73"/>
      <c r="AN18" s="73"/>
      <c r="AO18" s="73"/>
      <c r="AP18" s="73"/>
      <c r="AQ18" s="73"/>
      <c r="AR18" s="73"/>
      <c r="AS18" s="73"/>
      <c r="AT18" s="73"/>
      <c r="AV18" s="82"/>
      <c r="AW18" s="82"/>
      <c r="AX18" s="82"/>
      <c r="AY18" s="82"/>
      <c r="AZ18" s="82"/>
      <c r="BA18" s="82"/>
      <c r="BB18" s="82"/>
      <c r="BC18" s="82"/>
      <c r="BD18" s="82"/>
      <c r="BE18" s="82"/>
      <c r="BF18" s="82"/>
      <c r="BG18" s="82"/>
      <c r="BH18" s="82"/>
      <c r="BI18" s="82"/>
      <c r="BJ18" s="82"/>
      <c r="BK18" s="82"/>
      <c r="BL18" s="82"/>
      <c r="BM18" s="82"/>
      <c r="BN18" s="82"/>
      <c r="BO18" s="82"/>
      <c r="BP18" s="82"/>
      <c r="BQ18" s="82"/>
    </row>
    <row r="19" spans="2:69" x14ac:dyDescent="0.2">
      <c r="B19" s="58" t="s">
        <v>12</v>
      </c>
      <c r="C19" s="87">
        <f t="shared" si="3"/>
        <v>18.899999999999999</v>
      </c>
      <c r="D19" s="87">
        <f t="shared" si="3"/>
        <v>18.899999999999999</v>
      </c>
      <c r="E19" s="87">
        <f t="shared" si="3"/>
        <v>19.5</v>
      </c>
      <c r="F19" s="87">
        <f t="shared" si="3"/>
        <v>16.5</v>
      </c>
      <c r="G19" s="87">
        <f t="shared" si="3"/>
        <v>12.5</v>
      </c>
      <c r="H19" s="87">
        <f t="shared" si="3"/>
        <v>86.4</v>
      </c>
      <c r="I19" s="66">
        <f t="shared" si="4"/>
        <v>18900</v>
      </c>
      <c r="J19" s="87">
        <f t="shared" si="5"/>
        <v>21.8</v>
      </c>
      <c r="K19" s="87">
        <f t="shared" si="5"/>
        <v>19.8</v>
      </c>
      <c r="L19" s="87">
        <f t="shared" si="5"/>
        <v>17.899999999999999</v>
      </c>
      <c r="M19" s="87">
        <f t="shared" si="5"/>
        <v>16.2</v>
      </c>
      <c r="N19" s="87">
        <f t="shared" si="5"/>
        <v>12.1</v>
      </c>
      <c r="O19" s="87">
        <f t="shared" si="5"/>
        <v>87.8</v>
      </c>
      <c r="P19" s="66">
        <f t="shared" si="6"/>
        <v>9031</v>
      </c>
      <c r="Q19" s="87">
        <f t="shared" si="7"/>
        <v>19.8</v>
      </c>
      <c r="R19" s="87">
        <f t="shared" si="7"/>
        <v>19.2</v>
      </c>
      <c r="S19" s="87">
        <f t="shared" si="7"/>
        <v>19</v>
      </c>
      <c r="T19" s="87">
        <f t="shared" si="7"/>
        <v>16.399999999999999</v>
      </c>
      <c r="U19" s="87">
        <f t="shared" si="7"/>
        <v>12.4</v>
      </c>
      <c r="V19" s="87">
        <f t="shared" si="7"/>
        <v>86.8</v>
      </c>
      <c r="W19" s="66">
        <f t="shared" si="8"/>
        <v>27931</v>
      </c>
      <c r="X19" s="59"/>
      <c r="Y19" s="76"/>
      <c r="Z19" s="76"/>
      <c r="AA19" s="76"/>
      <c r="AB19" s="76"/>
      <c r="AC19" s="75"/>
      <c r="AD19" s="73"/>
      <c r="AE19" s="73"/>
      <c r="AF19" s="73"/>
      <c r="AG19" s="73"/>
      <c r="AH19" s="73"/>
      <c r="AI19" s="73"/>
      <c r="AJ19" s="73"/>
      <c r="AK19" s="73"/>
      <c r="AL19" s="73"/>
      <c r="AM19" s="73"/>
      <c r="AN19" s="73"/>
      <c r="AO19" s="73"/>
      <c r="AP19" s="73"/>
      <c r="AQ19" s="73"/>
      <c r="AR19" s="73"/>
      <c r="AS19" s="73"/>
      <c r="AT19" s="73"/>
      <c r="AV19" s="82"/>
      <c r="AW19" s="82"/>
      <c r="AX19" s="82"/>
      <c r="AY19" s="82"/>
      <c r="AZ19" s="82"/>
      <c r="BA19" s="82"/>
      <c r="BB19" s="82"/>
      <c r="BC19" s="82"/>
      <c r="BD19" s="82"/>
      <c r="BE19" s="82"/>
      <c r="BF19" s="82"/>
      <c r="BG19" s="82"/>
      <c r="BH19" s="82"/>
      <c r="BI19" s="82"/>
      <c r="BJ19" s="82"/>
      <c r="BK19" s="82"/>
      <c r="BL19" s="82"/>
      <c r="BM19" s="82"/>
      <c r="BN19" s="82"/>
      <c r="BO19" s="82"/>
      <c r="BP19" s="82"/>
      <c r="BQ19" s="82"/>
    </row>
    <row r="20" spans="2:69" x14ac:dyDescent="0.2">
      <c r="B20" s="58" t="s">
        <v>13</v>
      </c>
      <c r="C20" s="87">
        <f t="shared" si="3"/>
        <v>17.7</v>
      </c>
      <c r="D20" s="87">
        <f t="shared" si="3"/>
        <v>17.399999999999999</v>
      </c>
      <c r="E20" s="87">
        <f t="shared" si="3"/>
        <v>20.399999999999999</v>
      </c>
      <c r="F20" s="87">
        <f t="shared" si="3"/>
        <v>18.3</v>
      </c>
      <c r="G20" s="87">
        <f t="shared" si="3"/>
        <v>13.4</v>
      </c>
      <c r="H20" s="87">
        <f t="shared" si="3"/>
        <v>87.3</v>
      </c>
      <c r="I20" s="66">
        <f t="shared" si="4"/>
        <v>20703</v>
      </c>
      <c r="J20" s="87">
        <f t="shared" si="5"/>
        <v>27.1</v>
      </c>
      <c r="K20" s="87">
        <f t="shared" si="5"/>
        <v>19.3</v>
      </c>
      <c r="L20" s="87">
        <f t="shared" si="5"/>
        <v>19.100000000000001</v>
      </c>
      <c r="M20" s="87">
        <f t="shared" si="5"/>
        <v>15.3</v>
      </c>
      <c r="N20" s="87">
        <f t="shared" si="5"/>
        <v>9.8000000000000007</v>
      </c>
      <c r="O20" s="87">
        <f t="shared" si="5"/>
        <v>90.6</v>
      </c>
      <c r="P20" s="66">
        <f t="shared" si="6"/>
        <v>18080</v>
      </c>
      <c r="Q20" s="87">
        <f t="shared" si="7"/>
        <v>22.1</v>
      </c>
      <c r="R20" s="87">
        <f t="shared" si="7"/>
        <v>18.3</v>
      </c>
      <c r="S20" s="87">
        <f t="shared" si="7"/>
        <v>19.8</v>
      </c>
      <c r="T20" s="87">
        <f t="shared" si="7"/>
        <v>16.899999999999999</v>
      </c>
      <c r="U20" s="87">
        <f t="shared" si="7"/>
        <v>11.7</v>
      </c>
      <c r="V20" s="87">
        <f t="shared" si="7"/>
        <v>88.8</v>
      </c>
      <c r="W20" s="66">
        <f t="shared" si="8"/>
        <v>38783</v>
      </c>
      <c r="X20" s="59"/>
      <c r="Y20" s="76"/>
      <c r="Z20" s="76"/>
      <c r="AA20" s="76"/>
      <c r="AB20" s="76"/>
      <c r="AC20" s="75"/>
      <c r="AD20" s="73"/>
      <c r="AE20" s="73"/>
      <c r="AF20" s="73"/>
      <c r="AG20" s="73"/>
      <c r="AH20" s="73"/>
      <c r="AI20" s="73"/>
      <c r="AJ20" s="73"/>
      <c r="AK20" s="73"/>
      <c r="AL20" s="73"/>
      <c r="AM20" s="73"/>
      <c r="AN20" s="73"/>
      <c r="AO20" s="73"/>
      <c r="AP20" s="73"/>
      <c r="AQ20" s="73"/>
      <c r="AR20" s="73"/>
      <c r="AS20" s="73"/>
      <c r="AT20" s="73"/>
      <c r="AV20" s="82"/>
      <c r="AW20" s="82"/>
      <c r="AX20" s="82"/>
      <c r="AY20" s="82"/>
      <c r="AZ20" s="82"/>
      <c r="BA20" s="82"/>
      <c r="BB20" s="82"/>
      <c r="BC20" s="82"/>
      <c r="BD20" s="82"/>
      <c r="BE20" s="82"/>
      <c r="BF20" s="82"/>
      <c r="BG20" s="82"/>
      <c r="BH20" s="82"/>
      <c r="BI20" s="82"/>
      <c r="BJ20" s="82"/>
      <c r="BK20" s="82"/>
      <c r="BL20" s="82"/>
      <c r="BM20" s="82"/>
      <c r="BN20" s="82"/>
      <c r="BO20" s="82"/>
      <c r="BP20" s="82"/>
      <c r="BQ20" s="82"/>
    </row>
    <row r="21" spans="2:69" x14ac:dyDescent="0.2">
      <c r="B21" s="58" t="s">
        <v>14</v>
      </c>
      <c r="C21" s="87">
        <f t="shared" si="3"/>
        <v>18.3</v>
      </c>
      <c r="D21" s="87">
        <f t="shared" si="3"/>
        <v>19.8</v>
      </c>
      <c r="E21" s="87">
        <f t="shared" si="3"/>
        <v>20.9</v>
      </c>
      <c r="F21" s="87">
        <f t="shared" si="3"/>
        <v>16.600000000000001</v>
      </c>
      <c r="G21" s="87">
        <f t="shared" si="3"/>
        <v>11.5</v>
      </c>
      <c r="H21" s="87">
        <f t="shared" si="3"/>
        <v>87.2</v>
      </c>
      <c r="I21" s="66">
        <f t="shared" si="4"/>
        <v>9941</v>
      </c>
      <c r="J21" s="87">
        <f t="shared" si="5"/>
        <v>23.5</v>
      </c>
      <c r="K21" s="87">
        <f t="shared" si="5"/>
        <v>19.5</v>
      </c>
      <c r="L21" s="87">
        <f t="shared" si="5"/>
        <v>18.8</v>
      </c>
      <c r="M21" s="87">
        <f t="shared" si="5"/>
        <v>15.9</v>
      </c>
      <c r="N21" s="87">
        <f t="shared" si="5"/>
        <v>10.6</v>
      </c>
      <c r="O21" s="87">
        <f t="shared" si="5"/>
        <v>88.1</v>
      </c>
      <c r="P21" s="66">
        <f t="shared" si="6"/>
        <v>8024</v>
      </c>
      <c r="Q21" s="87">
        <f t="shared" si="7"/>
        <v>20.6</v>
      </c>
      <c r="R21" s="87">
        <f t="shared" si="7"/>
        <v>19.7</v>
      </c>
      <c r="S21" s="87">
        <f t="shared" si="7"/>
        <v>19.899999999999999</v>
      </c>
      <c r="T21" s="87">
        <f t="shared" si="7"/>
        <v>16.3</v>
      </c>
      <c r="U21" s="87">
        <f t="shared" si="7"/>
        <v>11.1</v>
      </c>
      <c r="V21" s="87">
        <f t="shared" si="7"/>
        <v>87.6</v>
      </c>
      <c r="W21" s="66">
        <f t="shared" si="8"/>
        <v>17965</v>
      </c>
      <c r="X21" s="59"/>
      <c r="Y21" s="76"/>
      <c r="Z21" s="76"/>
      <c r="AA21" s="76"/>
      <c r="AB21" s="76"/>
      <c r="AC21" s="75"/>
      <c r="AD21" s="73"/>
      <c r="AE21" s="73"/>
      <c r="AF21" s="73"/>
      <c r="AG21" s="73"/>
      <c r="AH21" s="73"/>
      <c r="AI21" s="73"/>
      <c r="AJ21" s="73"/>
      <c r="AK21" s="73"/>
      <c r="AL21" s="73"/>
      <c r="AM21" s="73"/>
      <c r="AN21" s="73"/>
      <c r="AO21" s="73"/>
      <c r="AP21" s="73"/>
      <c r="AQ21" s="73"/>
      <c r="AR21" s="73"/>
      <c r="AS21" s="73"/>
      <c r="AT21" s="73"/>
      <c r="AV21" s="82"/>
      <c r="AW21" s="82"/>
      <c r="AX21" s="82"/>
      <c r="AY21" s="82"/>
      <c r="AZ21" s="82"/>
      <c r="BA21" s="82"/>
      <c r="BB21" s="82"/>
      <c r="BC21" s="82"/>
      <c r="BD21" s="82"/>
      <c r="BE21" s="82"/>
      <c r="BF21" s="82"/>
      <c r="BG21" s="82"/>
      <c r="BH21" s="82"/>
      <c r="BI21" s="82"/>
      <c r="BJ21" s="82"/>
      <c r="BK21" s="82"/>
      <c r="BL21" s="82"/>
      <c r="BM21" s="82"/>
      <c r="BN21" s="82"/>
      <c r="BO21" s="82"/>
      <c r="BP21" s="82"/>
      <c r="BQ21" s="82"/>
    </row>
    <row r="22" spans="2:69" x14ac:dyDescent="0.2">
      <c r="B22" s="58" t="s">
        <v>15</v>
      </c>
      <c r="C22" s="87">
        <f t="shared" si="3"/>
        <v>16.399999999999999</v>
      </c>
      <c r="D22" s="87">
        <f t="shared" si="3"/>
        <v>21.8</v>
      </c>
      <c r="E22" s="87">
        <f t="shared" si="3"/>
        <v>25.6</v>
      </c>
      <c r="F22" s="87">
        <f t="shared" si="3"/>
        <v>18.8</v>
      </c>
      <c r="G22" s="87">
        <f t="shared" si="3"/>
        <v>10.8</v>
      </c>
      <c r="H22" s="87">
        <f t="shared" si="3"/>
        <v>93.3</v>
      </c>
      <c r="I22" s="66">
        <f t="shared" si="4"/>
        <v>27846</v>
      </c>
      <c r="J22" s="87">
        <f t="shared" si="5"/>
        <v>18.100000000000001</v>
      </c>
      <c r="K22" s="87">
        <f t="shared" si="5"/>
        <v>22.8</v>
      </c>
      <c r="L22" s="87">
        <f t="shared" si="5"/>
        <v>24.8</v>
      </c>
      <c r="M22" s="87">
        <f t="shared" si="5"/>
        <v>17.899999999999999</v>
      </c>
      <c r="N22" s="87">
        <f t="shared" si="5"/>
        <v>10</v>
      </c>
      <c r="O22" s="87">
        <f t="shared" si="5"/>
        <v>93.6</v>
      </c>
      <c r="P22" s="66">
        <f t="shared" si="6"/>
        <v>31459</v>
      </c>
      <c r="Q22" s="87">
        <f t="shared" si="7"/>
        <v>17.3</v>
      </c>
      <c r="R22" s="87">
        <f t="shared" si="7"/>
        <v>22.3</v>
      </c>
      <c r="S22" s="87">
        <f t="shared" si="7"/>
        <v>25.1</v>
      </c>
      <c r="T22" s="87">
        <f t="shared" si="7"/>
        <v>18.3</v>
      </c>
      <c r="U22" s="87">
        <f t="shared" si="7"/>
        <v>10.4</v>
      </c>
      <c r="V22" s="87">
        <f t="shared" si="7"/>
        <v>93.4</v>
      </c>
      <c r="W22" s="66">
        <f t="shared" si="8"/>
        <v>59305</v>
      </c>
      <c r="X22" s="59"/>
      <c r="Y22" s="76"/>
      <c r="Z22" s="76"/>
      <c r="AA22" s="76"/>
      <c r="AB22" s="76"/>
      <c r="AC22" s="75"/>
      <c r="AD22" s="73"/>
      <c r="AE22" s="73"/>
      <c r="AF22" s="73"/>
      <c r="AG22" s="73"/>
      <c r="AH22" s="73"/>
      <c r="AI22" s="73"/>
      <c r="AJ22" s="73"/>
      <c r="AK22" s="73"/>
      <c r="AL22" s="73"/>
      <c r="AM22" s="73"/>
      <c r="AN22" s="73"/>
      <c r="AO22" s="73"/>
      <c r="AP22" s="73"/>
      <c r="AQ22" s="73"/>
      <c r="AR22" s="73"/>
      <c r="AS22" s="73"/>
      <c r="AT22" s="73"/>
      <c r="AV22" s="82"/>
      <c r="AW22" s="82"/>
      <c r="AX22" s="82"/>
      <c r="AY22" s="82"/>
      <c r="AZ22" s="82"/>
      <c r="BA22" s="82"/>
      <c r="BB22" s="82"/>
      <c r="BC22" s="82"/>
      <c r="BD22" s="82"/>
      <c r="BE22" s="82"/>
      <c r="BF22" s="82"/>
      <c r="BG22" s="82"/>
      <c r="BH22" s="82"/>
      <c r="BI22" s="82"/>
      <c r="BJ22" s="82"/>
      <c r="BK22" s="82"/>
      <c r="BL22" s="82"/>
      <c r="BM22" s="82"/>
      <c r="BN22" s="82"/>
      <c r="BO22" s="82"/>
      <c r="BP22" s="82"/>
      <c r="BQ22" s="82"/>
    </row>
    <row r="23" spans="2:69" x14ac:dyDescent="0.2">
      <c r="B23" s="58" t="s">
        <v>16</v>
      </c>
      <c r="C23" s="87">
        <f t="shared" si="3"/>
        <v>8.3000000000000007</v>
      </c>
      <c r="D23" s="87">
        <f t="shared" si="3"/>
        <v>12.2</v>
      </c>
      <c r="E23" s="87">
        <f t="shared" si="3"/>
        <v>16.8</v>
      </c>
      <c r="F23" s="87">
        <f t="shared" si="3"/>
        <v>18.899999999999999</v>
      </c>
      <c r="G23" s="87">
        <f t="shared" si="3"/>
        <v>17.2</v>
      </c>
      <c r="H23" s="87">
        <f t="shared" si="3"/>
        <v>73.5</v>
      </c>
      <c r="I23" s="66">
        <f t="shared" si="4"/>
        <v>9245</v>
      </c>
      <c r="J23" s="87">
        <f t="shared" si="5"/>
        <v>12.7</v>
      </c>
      <c r="K23" s="87">
        <f t="shared" si="5"/>
        <v>15.4</v>
      </c>
      <c r="L23" s="87">
        <f t="shared" si="5"/>
        <v>19.100000000000001</v>
      </c>
      <c r="M23" s="87">
        <f t="shared" si="5"/>
        <v>17.600000000000001</v>
      </c>
      <c r="N23" s="87">
        <f t="shared" si="5"/>
        <v>13.9</v>
      </c>
      <c r="O23" s="87">
        <f t="shared" si="5"/>
        <v>78.7</v>
      </c>
      <c r="P23" s="66">
        <f t="shared" si="6"/>
        <v>12854</v>
      </c>
      <c r="Q23" s="87">
        <f t="shared" si="7"/>
        <v>10.8</v>
      </c>
      <c r="R23" s="87">
        <f t="shared" si="7"/>
        <v>14.1</v>
      </c>
      <c r="S23" s="87">
        <f t="shared" si="7"/>
        <v>18.100000000000001</v>
      </c>
      <c r="T23" s="87">
        <f t="shared" si="7"/>
        <v>18.100000000000001</v>
      </c>
      <c r="U23" s="87">
        <f t="shared" si="7"/>
        <v>15.3</v>
      </c>
      <c r="V23" s="87">
        <f t="shared" si="7"/>
        <v>76.5</v>
      </c>
      <c r="W23" s="66">
        <f t="shared" si="8"/>
        <v>22099</v>
      </c>
      <c r="X23" s="59"/>
      <c r="Y23" s="76"/>
      <c r="Z23" s="76"/>
      <c r="AA23" s="76"/>
      <c r="AB23" s="76"/>
      <c r="AC23" s="75"/>
      <c r="AD23" s="73"/>
      <c r="AE23" s="73"/>
      <c r="AF23" s="73"/>
      <c r="AG23" s="73"/>
      <c r="AH23" s="73"/>
      <c r="AI23" s="73"/>
      <c r="AJ23" s="73"/>
      <c r="AK23" s="73"/>
      <c r="AL23" s="73"/>
      <c r="AM23" s="73"/>
      <c r="AN23" s="73"/>
      <c r="AO23" s="73"/>
      <c r="AP23" s="73"/>
      <c r="AQ23" s="73"/>
      <c r="AR23" s="73"/>
      <c r="AS23" s="73"/>
      <c r="AT23" s="73"/>
      <c r="AV23" s="82"/>
      <c r="AW23" s="82"/>
      <c r="AX23" s="82"/>
      <c r="AY23" s="82"/>
      <c r="AZ23" s="82"/>
      <c r="BA23" s="82"/>
      <c r="BB23" s="82"/>
      <c r="BC23" s="82"/>
      <c r="BD23" s="82"/>
      <c r="BE23" s="82"/>
      <c r="BF23" s="82"/>
      <c r="BG23" s="82"/>
      <c r="BH23" s="82"/>
      <c r="BI23" s="82"/>
      <c r="BJ23" s="82"/>
      <c r="BK23" s="82"/>
      <c r="BL23" s="82"/>
      <c r="BM23" s="82"/>
      <c r="BN23" s="82"/>
      <c r="BO23" s="82"/>
      <c r="BP23" s="82"/>
      <c r="BQ23" s="82"/>
    </row>
    <row r="24" spans="2:69" x14ac:dyDescent="0.2">
      <c r="B24" s="58" t="s">
        <v>17</v>
      </c>
      <c r="C24" s="87">
        <f t="shared" ref="C24:H39" si="9">IF(OR(C66=1,C66=2),"x",ROUND(C66/$I66*100,1))</f>
        <v>5.9</v>
      </c>
      <c r="D24" s="87">
        <f t="shared" si="9"/>
        <v>12</v>
      </c>
      <c r="E24" s="87">
        <f t="shared" si="9"/>
        <v>17.2</v>
      </c>
      <c r="F24" s="87">
        <f t="shared" si="9"/>
        <v>19.8</v>
      </c>
      <c r="G24" s="87">
        <f t="shared" si="9"/>
        <v>18.3</v>
      </c>
      <c r="H24" s="87">
        <f t="shared" si="9"/>
        <v>73.099999999999994</v>
      </c>
      <c r="I24" s="66">
        <f t="shared" si="4"/>
        <v>29051</v>
      </c>
      <c r="J24" s="87">
        <f t="shared" ref="J24:O39" si="10">IF(OR(J66=1,J66=2),"x",ROUND(J66/$P66*100,1))</f>
        <v>13.6</v>
      </c>
      <c r="K24" s="87">
        <f t="shared" si="10"/>
        <v>18.100000000000001</v>
      </c>
      <c r="L24" s="87">
        <f t="shared" si="10"/>
        <v>19.899999999999999</v>
      </c>
      <c r="M24" s="87">
        <f t="shared" si="10"/>
        <v>17.8</v>
      </c>
      <c r="N24" s="87">
        <f t="shared" si="10"/>
        <v>13.5</v>
      </c>
      <c r="O24" s="87">
        <f t="shared" si="10"/>
        <v>82.8</v>
      </c>
      <c r="P24" s="66">
        <f t="shared" si="6"/>
        <v>62486</v>
      </c>
      <c r="Q24" s="87">
        <f t="shared" ref="Q24:V39" si="11">IF(OR(Q66=1,Q66=2),"x",ROUND(Q66/$W66*100,1))</f>
        <v>11.1</v>
      </c>
      <c r="R24" s="87">
        <f t="shared" si="11"/>
        <v>16.100000000000001</v>
      </c>
      <c r="S24" s="87">
        <f t="shared" si="11"/>
        <v>19</v>
      </c>
      <c r="T24" s="87">
        <f t="shared" si="11"/>
        <v>18.399999999999999</v>
      </c>
      <c r="U24" s="87">
        <f t="shared" si="11"/>
        <v>15</v>
      </c>
      <c r="V24" s="87">
        <f t="shared" si="11"/>
        <v>79.7</v>
      </c>
      <c r="W24" s="66">
        <f t="shared" si="8"/>
        <v>91537</v>
      </c>
      <c r="X24" s="59"/>
      <c r="Y24" s="76"/>
      <c r="Z24" s="76"/>
      <c r="AA24" s="76"/>
      <c r="AB24" s="76"/>
      <c r="AC24" s="75"/>
      <c r="AD24" s="73"/>
      <c r="AE24" s="73"/>
      <c r="AF24" s="73"/>
      <c r="AG24" s="73"/>
      <c r="AH24" s="73"/>
      <c r="AI24" s="73"/>
      <c r="AJ24" s="73"/>
      <c r="AK24" s="73"/>
      <c r="AL24" s="73"/>
      <c r="AM24" s="73"/>
      <c r="AN24" s="73"/>
      <c r="AO24" s="73"/>
      <c r="AP24" s="73"/>
      <c r="AQ24" s="73"/>
      <c r="AR24" s="73"/>
      <c r="AS24" s="73"/>
      <c r="AT24" s="73"/>
      <c r="AV24" s="82"/>
      <c r="AW24" s="82"/>
      <c r="AX24" s="82"/>
      <c r="AY24" s="82"/>
      <c r="AZ24" s="82"/>
      <c r="BA24" s="82"/>
      <c r="BB24" s="82"/>
      <c r="BC24" s="82"/>
      <c r="BD24" s="82"/>
      <c r="BE24" s="82"/>
      <c r="BF24" s="82"/>
      <c r="BG24" s="82"/>
      <c r="BH24" s="82"/>
      <c r="BI24" s="82"/>
      <c r="BJ24" s="82"/>
      <c r="BK24" s="82"/>
      <c r="BL24" s="82"/>
      <c r="BM24" s="82"/>
      <c r="BN24" s="82"/>
      <c r="BO24" s="82"/>
      <c r="BP24" s="82"/>
      <c r="BQ24" s="82"/>
    </row>
    <row r="25" spans="2:69" x14ac:dyDescent="0.2">
      <c r="B25" s="58" t="s">
        <v>18</v>
      </c>
      <c r="C25" s="87">
        <f t="shared" si="9"/>
        <v>8.4</v>
      </c>
      <c r="D25" s="87">
        <f t="shared" si="9"/>
        <v>14.1</v>
      </c>
      <c r="E25" s="87">
        <f t="shared" si="9"/>
        <v>19.3</v>
      </c>
      <c r="F25" s="87">
        <f t="shared" si="9"/>
        <v>20.7</v>
      </c>
      <c r="G25" s="87">
        <f t="shared" si="9"/>
        <v>16.100000000000001</v>
      </c>
      <c r="H25" s="87">
        <f t="shared" si="9"/>
        <v>78.599999999999994</v>
      </c>
      <c r="I25" s="66">
        <f t="shared" si="4"/>
        <v>13311</v>
      </c>
      <c r="J25" s="87">
        <f t="shared" si="10"/>
        <v>14.8</v>
      </c>
      <c r="K25" s="87">
        <f t="shared" si="10"/>
        <v>18.100000000000001</v>
      </c>
      <c r="L25" s="87">
        <f t="shared" si="10"/>
        <v>21.7</v>
      </c>
      <c r="M25" s="87">
        <f t="shared" si="10"/>
        <v>17.899999999999999</v>
      </c>
      <c r="N25" s="87">
        <f t="shared" si="10"/>
        <v>13.3</v>
      </c>
      <c r="O25" s="87">
        <f t="shared" si="10"/>
        <v>85.7</v>
      </c>
      <c r="P25" s="66">
        <f t="shared" si="6"/>
        <v>34327</v>
      </c>
      <c r="Q25" s="87">
        <f t="shared" si="11"/>
        <v>13</v>
      </c>
      <c r="R25" s="87">
        <f t="shared" si="11"/>
        <v>17</v>
      </c>
      <c r="S25" s="87">
        <f t="shared" si="11"/>
        <v>21</v>
      </c>
      <c r="T25" s="87">
        <f t="shared" si="11"/>
        <v>18.600000000000001</v>
      </c>
      <c r="U25" s="87">
        <f t="shared" si="11"/>
        <v>14.1</v>
      </c>
      <c r="V25" s="87">
        <f t="shared" si="11"/>
        <v>83.7</v>
      </c>
      <c r="W25" s="66">
        <f t="shared" si="8"/>
        <v>47638</v>
      </c>
      <c r="X25" s="59"/>
      <c r="Y25" s="76"/>
      <c r="Z25" s="76"/>
      <c r="AA25" s="76"/>
      <c r="AB25" s="76"/>
      <c r="AC25" s="75"/>
      <c r="AD25" s="73"/>
      <c r="AE25" s="73"/>
      <c r="AF25" s="73"/>
      <c r="AG25" s="73"/>
      <c r="AH25" s="73"/>
      <c r="AI25" s="73"/>
      <c r="AJ25" s="73"/>
      <c r="AK25" s="73"/>
      <c r="AL25" s="73"/>
      <c r="AM25" s="73"/>
      <c r="AN25" s="73"/>
      <c r="AO25" s="73"/>
      <c r="AP25" s="73"/>
      <c r="AQ25" s="73"/>
      <c r="AR25" s="73"/>
      <c r="AS25" s="73"/>
      <c r="AT25" s="73"/>
      <c r="AV25" s="82"/>
      <c r="AW25" s="82"/>
      <c r="AX25" s="82"/>
      <c r="AY25" s="82"/>
      <c r="AZ25" s="82"/>
      <c r="BA25" s="82"/>
      <c r="BB25" s="82"/>
      <c r="BC25" s="82"/>
      <c r="BD25" s="82"/>
      <c r="BE25" s="82"/>
      <c r="BF25" s="82"/>
      <c r="BG25" s="82"/>
      <c r="BH25" s="82"/>
      <c r="BI25" s="82"/>
      <c r="BJ25" s="82"/>
      <c r="BK25" s="82"/>
      <c r="BL25" s="82"/>
      <c r="BM25" s="82"/>
      <c r="BN25" s="82"/>
      <c r="BO25" s="82"/>
      <c r="BP25" s="82"/>
      <c r="BQ25" s="82"/>
    </row>
    <row r="26" spans="2:69" x14ac:dyDescent="0.2">
      <c r="B26" s="58" t="s">
        <v>19</v>
      </c>
      <c r="C26" s="87">
        <f t="shared" si="9"/>
        <v>8.6999999999999993</v>
      </c>
      <c r="D26" s="87">
        <f t="shared" si="9"/>
        <v>13.3</v>
      </c>
      <c r="E26" s="87">
        <f t="shared" si="9"/>
        <v>17.899999999999999</v>
      </c>
      <c r="F26" s="87">
        <f t="shared" si="9"/>
        <v>19</v>
      </c>
      <c r="G26" s="87">
        <f t="shared" si="9"/>
        <v>15.7</v>
      </c>
      <c r="H26" s="87">
        <f t="shared" si="9"/>
        <v>74.7</v>
      </c>
      <c r="I26" s="66">
        <f t="shared" si="4"/>
        <v>5669</v>
      </c>
      <c r="J26" s="87">
        <f t="shared" si="10"/>
        <v>11.4</v>
      </c>
      <c r="K26" s="87">
        <f t="shared" si="10"/>
        <v>16.399999999999999</v>
      </c>
      <c r="L26" s="87">
        <f t="shared" si="10"/>
        <v>19.899999999999999</v>
      </c>
      <c r="M26" s="87">
        <f t="shared" si="10"/>
        <v>18.600000000000001</v>
      </c>
      <c r="N26" s="87">
        <f t="shared" si="10"/>
        <v>14.1</v>
      </c>
      <c r="O26" s="87">
        <f t="shared" si="10"/>
        <v>80.400000000000006</v>
      </c>
      <c r="P26" s="66">
        <f t="shared" si="6"/>
        <v>6783</v>
      </c>
      <c r="Q26" s="87">
        <f t="shared" si="11"/>
        <v>10.199999999999999</v>
      </c>
      <c r="R26" s="87">
        <f t="shared" si="11"/>
        <v>15</v>
      </c>
      <c r="S26" s="87">
        <f t="shared" si="11"/>
        <v>19</v>
      </c>
      <c r="T26" s="87">
        <f t="shared" si="11"/>
        <v>18.8</v>
      </c>
      <c r="U26" s="87">
        <f t="shared" si="11"/>
        <v>14.8</v>
      </c>
      <c r="V26" s="87">
        <f t="shared" si="11"/>
        <v>77.8</v>
      </c>
      <c r="W26" s="66">
        <f t="shared" si="8"/>
        <v>12452</v>
      </c>
      <c r="X26" s="59"/>
      <c r="Y26" s="76"/>
      <c r="Z26" s="76"/>
      <c r="AA26" s="76"/>
      <c r="AB26" s="76"/>
      <c r="AC26" s="75"/>
      <c r="AD26" s="73"/>
      <c r="AE26" s="73"/>
      <c r="AF26" s="73"/>
      <c r="AG26" s="73"/>
      <c r="AH26" s="73"/>
      <c r="AI26" s="73"/>
      <c r="AJ26" s="73"/>
      <c r="AK26" s="73"/>
      <c r="AL26" s="73"/>
      <c r="AM26" s="73"/>
      <c r="AN26" s="73"/>
      <c r="AO26" s="73"/>
      <c r="AP26" s="73"/>
      <c r="AQ26" s="73"/>
      <c r="AR26" s="73"/>
      <c r="AS26" s="73"/>
      <c r="AT26" s="73"/>
      <c r="AV26" s="82"/>
      <c r="AW26" s="82"/>
      <c r="AX26" s="82"/>
      <c r="AY26" s="82"/>
      <c r="AZ26" s="82"/>
      <c r="BA26" s="82"/>
      <c r="BB26" s="82"/>
      <c r="BC26" s="82"/>
      <c r="BD26" s="82"/>
      <c r="BE26" s="82"/>
      <c r="BF26" s="82"/>
      <c r="BG26" s="82"/>
      <c r="BH26" s="82"/>
      <c r="BI26" s="82"/>
      <c r="BJ26" s="82"/>
      <c r="BK26" s="82"/>
      <c r="BL26" s="82"/>
      <c r="BM26" s="82"/>
      <c r="BN26" s="82"/>
      <c r="BO26" s="82"/>
      <c r="BP26" s="82"/>
      <c r="BQ26" s="82"/>
    </row>
    <row r="27" spans="2:69" x14ac:dyDescent="0.2">
      <c r="B27" s="58" t="s">
        <v>20</v>
      </c>
      <c r="C27" s="87">
        <f t="shared" si="9"/>
        <v>16</v>
      </c>
      <c r="D27" s="87">
        <f t="shared" si="9"/>
        <v>19.399999999999999</v>
      </c>
      <c r="E27" s="87">
        <f t="shared" si="9"/>
        <v>23.7</v>
      </c>
      <c r="F27" s="87">
        <f t="shared" si="9"/>
        <v>18.7</v>
      </c>
      <c r="G27" s="87">
        <f t="shared" si="9"/>
        <v>12.5</v>
      </c>
      <c r="H27" s="87">
        <f t="shared" si="9"/>
        <v>90.3</v>
      </c>
      <c r="I27" s="66">
        <f t="shared" si="4"/>
        <v>18166</v>
      </c>
      <c r="J27" s="87">
        <f t="shared" si="10"/>
        <v>23.4</v>
      </c>
      <c r="K27" s="87">
        <f t="shared" si="10"/>
        <v>25.3</v>
      </c>
      <c r="L27" s="87">
        <f t="shared" si="10"/>
        <v>23.8</v>
      </c>
      <c r="M27" s="87">
        <f t="shared" si="10"/>
        <v>14.5</v>
      </c>
      <c r="N27" s="87">
        <f t="shared" si="10"/>
        <v>8</v>
      </c>
      <c r="O27" s="87">
        <f t="shared" si="10"/>
        <v>95.1</v>
      </c>
      <c r="P27" s="66">
        <f t="shared" si="6"/>
        <v>46778</v>
      </c>
      <c r="Q27" s="87">
        <f t="shared" si="11"/>
        <v>21.3</v>
      </c>
      <c r="R27" s="87">
        <f t="shared" si="11"/>
        <v>23.7</v>
      </c>
      <c r="S27" s="87">
        <f t="shared" si="11"/>
        <v>23.8</v>
      </c>
      <c r="T27" s="87">
        <f t="shared" si="11"/>
        <v>15.7</v>
      </c>
      <c r="U27" s="87">
        <f t="shared" si="11"/>
        <v>9.1999999999999993</v>
      </c>
      <c r="V27" s="87">
        <f t="shared" si="11"/>
        <v>93.7</v>
      </c>
      <c r="W27" s="66">
        <f t="shared" si="8"/>
        <v>64944</v>
      </c>
      <c r="X27" s="59"/>
      <c r="Y27" s="76"/>
      <c r="Z27" s="76"/>
      <c r="AA27" s="76"/>
      <c r="AB27" s="76"/>
      <c r="AC27" s="75"/>
      <c r="AD27" s="73"/>
      <c r="AE27" s="73"/>
      <c r="AF27" s="73"/>
      <c r="AG27" s="73"/>
      <c r="AH27" s="73"/>
      <c r="AI27" s="73"/>
      <c r="AJ27" s="73"/>
      <c r="AK27" s="73"/>
      <c r="AL27" s="73"/>
      <c r="AM27" s="73"/>
      <c r="AN27" s="73"/>
      <c r="AO27" s="73"/>
      <c r="AP27" s="73"/>
      <c r="AQ27" s="73"/>
      <c r="AR27" s="73"/>
      <c r="AS27" s="73"/>
      <c r="AT27" s="73"/>
      <c r="AV27" s="82"/>
      <c r="AW27" s="82"/>
      <c r="AX27" s="82"/>
      <c r="AY27" s="82"/>
      <c r="AZ27" s="82"/>
      <c r="BA27" s="82"/>
      <c r="BB27" s="82"/>
      <c r="BC27" s="82"/>
      <c r="BD27" s="82"/>
      <c r="BE27" s="82"/>
      <c r="BF27" s="82"/>
      <c r="BG27" s="82"/>
      <c r="BH27" s="82"/>
      <c r="BI27" s="82"/>
      <c r="BJ27" s="82"/>
      <c r="BK27" s="82"/>
      <c r="BL27" s="82"/>
      <c r="BM27" s="82"/>
      <c r="BN27" s="82"/>
      <c r="BO27" s="82"/>
      <c r="BP27" s="82"/>
      <c r="BQ27" s="82"/>
    </row>
    <row r="28" spans="2:69" x14ac:dyDescent="0.2">
      <c r="B28" s="58" t="s">
        <v>21</v>
      </c>
      <c r="C28" s="87">
        <f t="shared" si="9"/>
        <v>12.8</v>
      </c>
      <c r="D28" s="87">
        <f t="shared" si="9"/>
        <v>24.4</v>
      </c>
      <c r="E28" s="87">
        <f t="shared" si="9"/>
        <v>31.3</v>
      </c>
      <c r="F28" s="87">
        <f t="shared" si="9"/>
        <v>20.8</v>
      </c>
      <c r="G28" s="87">
        <f t="shared" si="9"/>
        <v>8.1</v>
      </c>
      <c r="H28" s="87">
        <f t="shared" si="9"/>
        <v>97.4</v>
      </c>
      <c r="I28" s="66">
        <f t="shared" si="4"/>
        <v>5923</v>
      </c>
      <c r="J28" s="87">
        <f t="shared" si="10"/>
        <v>16.100000000000001</v>
      </c>
      <c r="K28" s="87">
        <f t="shared" si="10"/>
        <v>30.2</v>
      </c>
      <c r="L28" s="87">
        <f t="shared" si="10"/>
        <v>30.1</v>
      </c>
      <c r="M28" s="87">
        <f t="shared" si="10"/>
        <v>16.8</v>
      </c>
      <c r="N28" s="87">
        <f t="shared" si="10"/>
        <v>5</v>
      </c>
      <c r="O28" s="87">
        <f t="shared" si="10"/>
        <v>98.3</v>
      </c>
      <c r="P28" s="66">
        <f t="shared" si="6"/>
        <v>12331</v>
      </c>
      <c r="Q28" s="87">
        <f t="shared" si="11"/>
        <v>15</v>
      </c>
      <c r="R28" s="87">
        <f t="shared" si="11"/>
        <v>28.3</v>
      </c>
      <c r="S28" s="87">
        <f t="shared" si="11"/>
        <v>30.5</v>
      </c>
      <c r="T28" s="87">
        <f t="shared" si="11"/>
        <v>18.100000000000001</v>
      </c>
      <c r="U28" s="87">
        <f t="shared" si="11"/>
        <v>6</v>
      </c>
      <c r="V28" s="87">
        <f t="shared" si="11"/>
        <v>98</v>
      </c>
      <c r="W28" s="66">
        <f t="shared" si="8"/>
        <v>18254</v>
      </c>
      <c r="X28" s="59"/>
      <c r="Y28" s="76"/>
      <c r="Z28" s="76"/>
      <c r="AA28" s="76"/>
      <c r="AB28" s="76"/>
      <c r="AC28" s="75"/>
      <c r="AD28" s="73"/>
      <c r="AE28" s="73"/>
      <c r="AF28" s="73"/>
      <c r="AG28" s="73"/>
      <c r="AH28" s="73"/>
      <c r="AI28" s="73"/>
      <c r="AJ28" s="73"/>
      <c r="AK28" s="73"/>
      <c r="AL28" s="73"/>
      <c r="AM28" s="73"/>
      <c r="AN28" s="73"/>
      <c r="AO28" s="73"/>
      <c r="AP28" s="73"/>
      <c r="AQ28" s="73"/>
      <c r="AR28" s="73"/>
      <c r="AS28" s="73"/>
      <c r="AT28" s="73"/>
      <c r="AV28" s="82"/>
      <c r="AW28" s="82"/>
      <c r="AX28" s="82"/>
      <c r="AY28" s="82"/>
      <c r="AZ28" s="82"/>
      <c r="BA28" s="82"/>
      <c r="BB28" s="82"/>
      <c r="BC28" s="82"/>
      <c r="BD28" s="82"/>
      <c r="BE28" s="82"/>
      <c r="BF28" s="82"/>
      <c r="BG28" s="82"/>
      <c r="BH28" s="82"/>
      <c r="BI28" s="82"/>
      <c r="BJ28" s="82"/>
      <c r="BK28" s="82"/>
      <c r="BL28" s="82"/>
      <c r="BM28" s="82"/>
      <c r="BN28" s="82"/>
      <c r="BO28" s="82"/>
      <c r="BP28" s="82"/>
      <c r="BQ28" s="82"/>
    </row>
    <row r="29" spans="2:69" x14ac:dyDescent="0.2">
      <c r="B29" s="58" t="s">
        <v>22</v>
      </c>
      <c r="C29" s="87">
        <f t="shared" si="9"/>
        <v>13</v>
      </c>
      <c r="D29" s="87">
        <f t="shared" si="9"/>
        <v>19.8</v>
      </c>
      <c r="E29" s="87">
        <f t="shared" si="9"/>
        <v>26.6</v>
      </c>
      <c r="F29" s="87">
        <f t="shared" si="9"/>
        <v>23.2</v>
      </c>
      <c r="G29" s="87">
        <f t="shared" si="9"/>
        <v>12.2</v>
      </c>
      <c r="H29" s="87">
        <f t="shared" si="9"/>
        <v>94.7</v>
      </c>
      <c r="I29" s="66">
        <f t="shared" si="4"/>
        <v>32647</v>
      </c>
      <c r="J29" s="87">
        <f t="shared" si="10"/>
        <v>15</v>
      </c>
      <c r="K29" s="87">
        <f t="shared" si="10"/>
        <v>22.1</v>
      </c>
      <c r="L29" s="87">
        <f t="shared" si="10"/>
        <v>27.8</v>
      </c>
      <c r="M29" s="87">
        <f t="shared" si="10"/>
        <v>21.7</v>
      </c>
      <c r="N29" s="87">
        <f t="shared" si="10"/>
        <v>10.1</v>
      </c>
      <c r="O29" s="87">
        <f t="shared" si="10"/>
        <v>96.7</v>
      </c>
      <c r="P29" s="66">
        <f t="shared" si="6"/>
        <v>78306</v>
      </c>
      <c r="Q29" s="87">
        <f t="shared" si="11"/>
        <v>14.4</v>
      </c>
      <c r="R29" s="87">
        <f t="shared" si="11"/>
        <v>21.4</v>
      </c>
      <c r="S29" s="87">
        <f t="shared" si="11"/>
        <v>27.4</v>
      </c>
      <c r="T29" s="87">
        <f t="shared" si="11"/>
        <v>22.2</v>
      </c>
      <c r="U29" s="87">
        <f t="shared" si="11"/>
        <v>10.7</v>
      </c>
      <c r="V29" s="87">
        <f t="shared" si="11"/>
        <v>96.1</v>
      </c>
      <c r="W29" s="66">
        <f t="shared" si="8"/>
        <v>110953</v>
      </c>
      <c r="X29" s="59"/>
      <c r="Y29" s="76"/>
      <c r="Z29" s="76"/>
      <c r="AA29" s="76"/>
      <c r="AB29" s="76"/>
      <c r="AC29" s="75"/>
      <c r="AD29" s="73"/>
      <c r="AE29" s="73"/>
      <c r="AF29" s="73"/>
      <c r="AG29" s="73"/>
      <c r="AH29" s="73"/>
      <c r="AI29" s="73"/>
      <c r="AJ29" s="73"/>
      <c r="AK29" s="73"/>
      <c r="AL29" s="73"/>
      <c r="AM29" s="73"/>
      <c r="AN29" s="73"/>
      <c r="AO29" s="73"/>
      <c r="AP29" s="73"/>
      <c r="AQ29" s="73"/>
      <c r="AR29" s="73"/>
      <c r="AS29" s="73"/>
      <c r="AT29" s="73"/>
      <c r="AV29" s="82"/>
      <c r="AW29" s="82"/>
      <c r="AX29" s="82"/>
      <c r="AY29" s="82"/>
      <c r="AZ29" s="82"/>
      <c r="BA29" s="82"/>
      <c r="BB29" s="82"/>
      <c r="BC29" s="82"/>
      <c r="BD29" s="82"/>
      <c r="BE29" s="82"/>
      <c r="BF29" s="82"/>
      <c r="BG29" s="82"/>
      <c r="BH29" s="82"/>
      <c r="BI29" s="82"/>
      <c r="BJ29" s="82"/>
      <c r="BK29" s="82"/>
      <c r="BL29" s="82"/>
      <c r="BM29" s="82"/>
      <c r="BN29" s="82"/>
      <c r="BO29" s="82"/>
      <c r="BP29" s="82"/>
      <c r="BQ29" s="82"/>
    </row>
    <row r="30" spans="2:69" x14ac:dyDescent="0.2">
      <c r="B30" s="58" t="s">
        <v>51</v>
      </c>
      <c r="C30" s="87">
        <f t="shared" si="9"/>
        <v>7</v>
      </c>
      <c r="D30" s="87">
        <f t="shared" si="9"/>
        <v>18.899999999999999</v>
      </c>
      <c r="E30" s="87">
        <f t="shared" si="9"/>
        <v>30.2</v>
      </c>
      <c r="F30" s="87">
        <f t="shared" si="9"/>
        <v>24.8</v>
      </c>
      <c r="G30" s="87">
        <f t="shared" si="9"/>
        <v>12</v>
      </c>
      <c r="H30" s="87">
        <f t="shared" si="9"/>
        <v>92.8</v>
      </c>
      <c r="I30" s="66">
        <f t="shared" si="4"/>
        <v>16249</v>
      </c>
      <c r="J30" s="87">
        <f t="shared" si="10"/>
        <v>12.4</v>
      </c>
      <c r="K30" s="87">
        <f t="shared" si="10"/>
        <v>26.7</v>
      </c>
      <c r="L30" s="87">
        <f t="shared" si="10"/>
        <v>30.9</v>
      </c>
      <c r="M30" s="87">
        <f t="shared" si="10"/>
        <v>18.7</v>
      </c>
      <c r="N30" s="87">
        <f t="shared" si="10"/>
        <v>7.2</v>
      </c>
      <c r="O30" s="87">
        <f t="shared" si="10"/>
        <v>95.9</v>
      </c>
      <c r="P30" s="66">
        <f t="shared" si="6"/>
        <v>20151</v>
      </c>
      <c r="Q30" s="87">
        <f t="shared" si="11"/>
        <v>10</v>
      </c>
      <c r="R30" s="87">
        <f t="shared" si="11"/>
        <v>23.2</v>
      </c>
      <c r="S30" s="87">
        <f t="shared" si="11"/>
        <v>30.6</v>
      </c>
      <c r="T30" s="87">
        <f t="shared" si="11"/>
        <v>21.4</v>
      </c>
      <c r="U30" s="87">
        <f t="shared" si="11"/>
        <v>9.3000000000000007</v>
      </c>
      <c r="V30" s="87">
        <f t="shared" si="11"/>
        <v>94.5</v>
      </c>
      <c r="W30" s="66">
        <f t="shared" si="8"/>
        <v>36400</v>
      </c>
      <c r="X30" s="59"/>
      <c r="Y30" s="76"/>
      <c r="Z30" s="76"/>
      <c r="AA30" s="76"/>
      <c r="AB30" s="76"/>
      <c r="AC30" s="75"/>
      <c r="AD30" s="73"/>
      <c r="AE30" s="73"/>
      <c r="AF30" s="73"/>
      <c r="AG30" s="73"/>
      <c r="AH30" s="73"/>
      <c r="AI30" s="73"/>
      <c r="AJ30" s="73"/>
      <c r="AK30" s="73"/>
      <c r="AL30" s="73"/>
      <c r="AM30" s="73"/>
      <c r="AN30" s="73"/>
      <c r="AO30" s="73"/>
      <c r="AP30" s="73"/>
      <c r="AQ30" s="73"/>
      <c r="AR30" s="73"/>
      <c r="AS30" s="73"/>
      <c r="AT30" s="73"/>
      <c r="AV30" s="82"/>
      <c r="AW30" s="82"/>
      <c r="AX30" s="82"/>
      <c r="AY30" s="82"/>
      <c r="AZ30" s="82"/>
      <c r="BA30" s="82"/>
      <c r="BB30" s="82"/>
      <c r="BC30" s="82"/>
      <c r="BD30" s="82"/>
      <c r="BE30" s="82"/>
      <c r="BF30" s="82"/>
      <c r="BG30" s="82"/>
      <c r="BH30" s="82"/>
      <c r="BI30" s="82"/>
      <c r="BJ30" s="82"/>
      <c r="BK30" s="82"/>
      <c r="BL30" s="82"/>
      <c r="BM30" s="82"/>
      <c r="BN30" s="82"/>
      <c r="BO30" s="82"/>
      <c r="BP30" s="82"/>
      <c r="BQ30" s="82"/>
    </row>
    <row r="31" spans="2:69" x14ac:dyDescent="0.2">
      <c r="B31" s="58" t="s">
        <v>23</v>
      </c>
      <c r="C31" s="87">
        <f t="shared" si="9"/>
        <v>7.6</v>
      </c>
      <c r="D31" s="87">
        <f t="shared" si="9"/>
        <v>22</v>
      </c>
      <c r="E31" s="87">
        <f t="shared" si="9"/>
        <v>33.200000000000003</v>
      </c>
      <c r="F31" s="87">
        <f t="shared" si="9"/>
        <v>22.1</v>
      </c>
      <c r="G31" s="87">
        <f t="shared" si="9"/>
        <v>9.5</v>
      </c>
      <c r="H31" s="87">
        <f t="shared" si="9"/>
        <v>94.5</v>
      </c>
      <c r="I31" s="66">
        <f t="shared" si="4"/>
        <v>7128</v>
      </c>
      <c r="J31" s="87">
        <f t="shared" si="10"/>
        <v>11.3</v>
      </c>
      <c r="K31" s="87">
        <f t="shared" si="10"/>
        <v>27.1</v>
      </c>
      <c r="L31" s="87">
        <f t="shared" si="10"/>
        <v>32.299999999999997</v>
      </c>
      <c r="M31" s="87">
        <f t="shared" si="10"/>
        <v>18.399999999999999</v>
      </c>
      <c r="N31" s="87">
        <f t="shared" si="10"/>
        <v>7</v>
      </c>
      <c r="O31" s="87">
        <f t="shared" si="10"/>
        <v>96.1</v>
      </c>
      <c r="P31" s="66">
        <f t="shared" si="6"/>
        <v>8850</v>
      </c>
      <c r="Q31" s="87">
        <f t="shared" si="11"/>
        <v>9.6999999999999993</v>
      </c>
      <c r="R31" s="87">
        <f t="shared" si="11"/>
        <v>24.8</v>
      </c>
      <c r="S31" s="87">
        <f t="shared" si="11"/>
        <v>32.700000000000003</v>
      </c>
      <c r="T31" s="87">
        <f t="shared" si="11"/>
        <v>20.100000000000001</v>
      </c>
      <c r="U31" s="87">
        <f t="shared" si="11"/>
        <v>8.1</v>
      </c>
      <c r="V31" s="87">
        <f t="shared" si="11"/>
        <v>95.4</v>
      </c>
      <c r="W31" s="66">
        <f t="shared" si="8"/>
        <v>15978</v>
      </c>
      <c r="X31" s="59"/>
      <c r="Y31" s="76"/>
      <c r="Z31" s="76"/>
      <c r="AA31" s="76"/>
      <c r="AB31" s="76"/>
      <c r="AC31" s="75"/>
      <c r="AD31" s="73"/>
      <c r="AE31" s="73"/>
      <c r="AF31" s="73"/>
      <c r="AG31" s="73"/>
      <c r="AH31" s="73"/>
      <c r="AI31" s="73"/>
      <c r="AJ31" s="73"/>
      <c r="AK31" s="73"/>
      <c r="AL31" s="73"/>
      <c r="AM31" s="73"/>
      <c r="AN31" s="73"/>
      <c r="AO31" s="73"/>
      <c r="AP31" s="73"/>
      <c r="AQ31" s="73"/>
      <c r="AR31" s="73"/>
      <c r="AS31" s="73"/>
      <c r="AT31" s="73"/>
      <c r="AV31" s="82"/>
      <c r="AW31" s="82"/>
      <c r="AX31" s="82"/>
      <c r="AY31" s="82"/>
      <c r="AZ31" s="82"/>
      <c r="BA31" s="82"/>
      <c r="BB31" s="82"/>
      <c r="BC31" s="82"/>
      <c r="BD31" s="82"/>
      <c r="BE31" s="82"/>
      <c r="BF31" s="82"/>
      <c r="BG31" s="82"/>
      <c r="BH31" s="82"/>
      <c r="BI31" s="82"/>
      <c r="BJ31" s="82"/>
      <c r="BK31" s="82"/>
      <c r="BL31" s="82"/>
      <c r="BM31" s="82"/>
      <c r="BN31" s="82"/>
      <c r="BO31" s="82"/>
      <c r="BP31" s="82"/>
      <c r="BQ31" s="82"/>
    </row>
    <row r="32" spans="2:69" x14ac:dyDescent="0.2">
      <c r="B32" s="58" t="s">
        <v>24</v>
      </c>
      <c r="C32" s="87">
        <f t="shared" si="9"/>
        <v>27.7</v>
      </c>
      <c r="D32" s="87">
        <f t="shared" si="9"/>
        <v>19</v>
      </c>
      <c r="E32" s="87">
        <f t="shared" si="9"/>
        <v>18.600000000000001</v>
      </c>
      <c r="F32" s="87">
        <f t="shared" si="9"/>
        <v>15.3</v>
      </c>
      <c r="G32" s="87">
        <f t="shared" si="9"/>
        <v>10.6</v>
      </c>
      <c r="H32" s="87">
        <f t="shared" si="9"/>
        <v>91.3</v>
      </c>
      <c r="I32" s="66">
        <f t="shared" si="4"/>
        <v>4621</v>
      </c>
      <c r="J32" s="87">
        <f t="shared" si="10"/>
        <v>25.7</v>
      </c>
      <c r="K32" s="87">
        <f t="shared" si="10"/>
        <v>19.399999999999999</v>
      </c>
      <c r="L32" s="87">
        <f t="shared" si="10"/>
        <v>18.2</v>
      </c>
      <c r="M32" s="87">
        <f t="shared" si="10"/>
        <v>15.4</v>
      </c>
      <c r="N32" s="87">
        <f t="shared" si="10"/>
        <v>11.9</v>
      </c>
      <c r="O32" s="87">
        <f t="shared" si="10"/>
        <v>90.6</v>
      </c>
      <c r="P32" s="66">
        <f t="shared" si="6"/>
        <v>11055</v>
      </c>
      <c r="Q32" s="87">
        <f t="shared" si="11"/>
        <v>26.3</v>
      </c>
      <c r="R32" s="87">
        <f t="shared" si="11"/>
        <v>19.3</v>
      </c>
      <c r="S32" s="87">
        <f t="shared" si="11"/>
        <v>18.3</v>
      </c>
      <c r="T32" s="87">
        <f t="shared" si="11"/>
        <v>15.4</v>
      </c>
      <c r="U32" s="87">
        <f t="shared" si="11"/>
        <v>11.5</v>
      </c>
      <c r="V32" s="87">
        <f t="shared" si="11"/>
        <v>90.8</v>
      </c>
      <c r="W32" s="66">
        <f t="shared" si="8"/>
        <v>15676</v>
      </c>
      <c r="X32" s="59"/>
      <c r="Y32" s="76"/>
      <c r="Z32" s="76"/>
      <c r="AA32" s="76"/>
      <c r="AB32" s="76"/>
      <c r="AC32" s="75"/>
      <c r="AD32" s="73"/>
      <c r="AE32" s="73"/>
      <c r="AF32" s="73"/>
      <c r="AG32" s="73"/>
      <c r="AH32" s="73"/>
      <c r="AI32" s="73"/>
      <c r="AJ32" s="73"/>
      <c r="AK32" s="73"/>
      <c r="AL32" s="73"/>
      <c r="AM32" s="73"/>
      <c r="AN32" s="73"/>
      <c r="AO32" s="73"/>
      <c r="AP32" s="73"/>
      <c r="AQ32" s="73"/>
      <c r="AR32" s="73"/>
      <c r="AS32" s="73"/>
      <c r="AT32" s="73"/>
      <c r="AV32" s="82"/>
      <c r="AW32" s="82"/>
      <c r="AX32" s="82"/>
      <c r="AY32" s="82"/>
      <c r="AZ32" s="82"/>
      <c r="BA32" s="82"/>
      <c r="BB32" s="82"/>
      <c r="BC32" s="82"/>
      <c r="BD32" s="82"/>
      <c r="BE32" s="82"/>
      <c r="BF32" s="82"/>
      <c r="BG32" s="82"/>
      <c r="BH32" s="82"/>
      <c r="BI32" s="82"/>
      <c r="BJ32" s="82"/>
      <c r="BK32" s="82"/>
      <c r="BL32" s="82"/>
      <c r="BM32" s="82"/>
      <c r="BN32" s="82"/>
      <c r="BO32" s="82"/>
      <c r="BP32" s="82"/>
      <c r="BQ32" s="82"/>
    </row>
    <row r="33" spans="1:69" x14ac:dyDescent="0.2">
      <c r="B33" s="58" t="s">
        <v>25</v>
      </c>
      <c r="C33" s="87">
        <f t="shared" si="9"/>
        <v>27.1</v>
      </c>
      <c r="D33" s="87">
        <f t="shared" si="9"/>
        <v>17.899999999999999</v>
      </c>
      <c r="E33" s="87">
        <f t="shared" si="9"/>
        <v>20</v>
      </c>
      <c r="F33" s="87">
        <f t="shared" si="9"/>
        <v>15.9</v>
      </c>
      <c r="G33" s="87">
        <f t="shared" si="9"/>
        <v>12.9</v>
      </c>
      <c r="H33" s="87">
        <f t="shared" si="9"/>
        <v>93.6</v>
      </c>
      <c r="I33" s="66">
        <f t="shared" si="4"/>
        <v>2280</v>
      </c>
      <c r="J33" s="87">
        <f t="shared" si="10"/>
        <v>23.7</v>
      </c>
      <c r="K33" s="87">
        <f t="shared" si="10"/>
        <v>17.899999999999999</v>
      </c>
      <c r="L33" s="87">
        <f t="shared" si="10"/>
        <v>20.2</v>
      </c>
      <c r="M33" s="87">
        <f t="shared" si="10"/>
        <v>17.600000000000001</v>
      </c>
      <c r="N33" s="87">
        <f t="shared" si="10"/>
        <v>13</v>
      </c>
      <c r="O33" s="87">
        <f t="shared" si="10"/>
        <v>92.4</v>
      </c>
      <c r="P33" s="66">
        <f t="shared" si="6"/>
        <v>3834</v>
      </c>
      <c r="Q33" s="87">
        <f t="shared" si="11"/>
        <v>25</v>
      </c>
      <c r="R33" s="87">
        <f t="shared" si="11"/>
        <v>17.899999999999999</v>
      </c>
      <c r="S33" s="87">
        <f t="shared" si="11"/>
        <v>20.100000000000001</v>
      </c>
      <c r="T33" s="87">
        <f t="shared" si="11"/>
        <v>17</v>
      </c>
      <c r="U33" s="87">
        <f t="shared" si="11"/>
        <v>12.9</v>
      </c>
      <c r="V33" s="87">
        <f t="shared" si="11"/>
        <v>92.9</v>
      </c>
      <c r="W33" s="66">
        <f t="shared" si="8"/>
        <v>6114</v>
      </c>
      <c r="X33" s="59"/>
      <c r="Y33" s="76"/>
      <c r="Z33" s="76"/>
      <c r="AA33" s="76"/>
      <c r="AB33" s="76"/>
      <c r="AC33" s="75"/>
      <c r="AD33" s="73"/>
      <c r="AE33" s="73"/>
      <c r="AF33" s="73"/>
      <c r="AG33" s="73"/>
      <c r="AH33" s="73"/>
      <c r="AI33" s="73"/>
      <c r="AJ33" s="73"/>
      <c r="AK33" s="73"/>
      <c r="AL33" s="73"/>
      <c r="AM33" s="73"/>
      <c r="AN33" s="73"/>
      <c r="AO33" s="73"/>
      <c r="AP33" s="73"/>
      <c r="AQ33" s="73"/>
      <c r="AR33" s="73"/>
      <c r="AS33" s="73"/>
      <c r="AT33" s="73"/>
      <c r="AV33" s="82"/>
      <c r="AW33" s="82"/>
      <c r="AX33" s="82"/>
      <c r="AY33" s="82"/>
      <c r="AZ33" s="82"/>
      <c r="BA33" s="82"/>
      <c r="BB33" s="82"/>
      <c r="BC33" s="82"/>
      <c r="BD33" s="82"/>
      <c r="BE33" s="82"/>
      <c r="BF33" s="82"/>
      <c r="BG33" s="82"/>
      <c r="BH33" s="82"/>
      <c r="BI33" s="82"/>
      <c r="BJ33" s="82"/>
      <c r="BK33" s="82"/>
      <c r="BL33" s="82"/>
      <c r="BM33" s="82"/>
      <c r="BN33" s="82"/>
      <c r="BO33" s="82"/>
      <c r="BP33" s="82"/>
      <c r="BQ33" s="82"/>
    </row>
    <row r="34" spans="1:69" x14ac:dyDescent="0.2">
      <c r="B34" s="58" t="s">
        <v>26</v>
      </c>
      <c r="C34" s="87">
        <f t="shared" si="9"/>
        <v>23.8</v>
      </c>
      <c r="D34" s="87">
        <f t="shared" si="9"/>
        <v>21.9</v>
      </c>
      <c r="E34" s="87">
        <f t="shared" si="9"/>
        <v>18.899999999999999</v>
      </c>
      <c r="F34" s="87">
        <f t="shared" si="9"/>
        <v>16.100000000000001</v>
      </c>
      <c r="G34" s="87">
        <f t="shared" si="9"/>
        <v>11.2</v>
      </c>
      <c r="H34" s="87">
        <f t="shared" si="9"/>
        <v>92</v>
      </c>
      <c r="I34" s="66">
        <f t="shared" si="4"/>
        <v>2598</v>
      </c>
      <c r="J34" s="87">
        <f t="shared" si="10"/>
        <v>21.4</v>
      </c>
      <c r="K34" s="87">
        <f t="shared" si="10"/>
        <v>20.2</v>
      </c>
      <c r="L34" s="87">
        <f t="shared" si="10"/>
        <v>19.5</v>
      </c>
      <c r="M34" s="87">
        <f t="shared" si="10"/>
        <v>16.8</v>
      </c>
      <c r="N34" s="87">
        <f t="shared" si="10"/>
        <v>12.5</v>
      </c>
      <c r="O34" s="87">
        <f t="shared" si="10"/>
        <v>90.4</v>
      </c>
      <c r="P34" s="66">
        <f t="shared" si="6"/>
        <v>5740</v>
      </c>
      <c r="Q34" s="87">
        <f t="shared" si="11"/>
        <v>22.1</v>
      </c>
      <c r="R34" s="87">
        <f t="shared" si="11"/>
        <v>20.7</v>
      </c>
      <c r="S34" s="87">
        <f t="shared" si="11"/>
        <v>19.3</v>
      </c>
      <c r="T34" s="87">
        <f t="shared" si="11"/>
        <v>16.600000000000001</v>
      </c>
      <c r="U34" s="87">
        <f t="shared" si="11"/>
        <v>12.1</v>
      </c>
      <c r="V34" s="87">
        <f t="shared" si="11"/>
        <v>90.9</v>
      </c>
      <c r="W34" s="66">
        <f t="shared" si="8"/>
        <v>8338</v>
      </c>
      <c r="X34" s="59"/>
      <c r="Y34" s="76"/>
      <c r="Z34" s="76"/>
      <c r="AA34" s="76"/>
      <c r="AB34" s="76"/>
      <c r="AC34" s="75"/>
      <c r="AD34" s="73"/>
      <c r="AE34" s="73"/>
      <c r="AF34" s="73"/>
      <c r="AG34" s="73"/>
      <c r="AH34" s="73"/>
      <c r="AI34" s="73"/>
      <c r="AJ34" s="73"/>
      <c r="AK34" s="73"/>
      <c r="AL34" s="73"/>
      <c r="AM34" s="73"/>
      <c r="AN34" s="73"/>
      <c r="AO34" s="73"/>
      <c r="AP34" s="73"/>
      <c r="AQ34" s="73"/>
      <c r="AR34" s="73"/>
      <c r="AS34" s="73"/>
      <c r="AT34" s="73"/>
      <c r="AV34" s="82"/>
      <c r="AW34" s="82"/>
      <c r="AX34" s="82"/>
      <c r="AY34" s="82"/>
      <c r="AZ34" s="82"/>
      <c r="BA34" s="82"/>
      <c r="BB34" s="82"/>
      <c r="BC34" s="82"/>
      <c r="BD34" s="82"/>
      <c r="BE34" s="82"/>
      <c r="BF34" s="82"/>
      <c r="BG34" s="82"/>
      <c r="BH34" s="82"/>
      <c r="BI34" s="82"/>
      <c r="BJ34" s="82"/>
      <c r="BK34" s="82"/>
      <c r="BL34" s="82"/>
      <c r="BM34" s="82"/>
      <c r="BN34" s="82"/>
      <c r="BO34" s="82"/>
      <c r="BP34" s="82"/>
      <c r="BQ34" s="82"/>
    </row>
    <row r="35" spans="1:69" x14ac:dyDescent="0.2">
      <c r="B35" s="58" t="s">
        <v>27</v>
      </c>
      <c r="C35" s="87">
        <f t="shared" si="9"/>
        <v>50.5</v>
      </c>
      <c r="D35" s="87">
        <f t="shared" si="9"/>
        <v>19.5</v>
      </c>
      <c r="E35" s="87">
        <f t="shared" si="9"/>
        <v>10.4</v>
      </c>
      <c r="F35" s="87">
        <f t="shared" si="9"/>
        <v>8.1999999999999993</v>
      </c>
      <c r="G35" s="87">
        <f t="shared" si="9"/>
        <v>5.6</v>
      </c>
      <c r="H35" s="87">
        <f t="shared" si="9"/>
        <v>94.3</v>
      </c>
      <c r="I35" s="66">
        <f t="shared" si="4"/>
        <v>1833</v>
      </c>
      <c r="J35" s="87">
        <f t="shared" si="10"/>
        <v>51</v>
      </c>
      <c r="K35" s="87">
        <f t="shared" si="10"/>
        <v>18.2</v>
      </c>
      <c r="L35" s="87">
        <f t="shared" si="10"/>
        <v>12.3</v>
      </c>
      <c r="M35" s="87">
        <f t="shared" si="10"/>
        <v>8.1</v>
      </c>
      <c r="N35" s="87">
        <f t="shared" si="10"/>
        <v>4.8</v>
      </c>
      <c r="O35" s="87">
        <f t="shared" si="10"/>
        <v>94.4</v>
      </c>
      <c r="P35" s="66">
        <f t="shared" si="6"/>
        <v>2643</v>
      </c>
      <c r="Q35" s="87">
        <f t="shared" si="11"/>
        <v>50.8</v>
      </c>
      <c r="R35" s="87">
        <f t="shared" si="11"/>
        <v>18.7</v>
      </c>
      <c r="S35" s="87">
        <f t="shared" si="11"/>
        <v>11.6</v>
      </c>
      <c r="T35" s="87">
        <f t="shared" si="11"/>
        <v>8.1999999999999993</v>
      </c>
      <c r="U35" s="87">
        <f t="shared" si="11"/>
        <v>5.2</v>
      </c>
      <c r="V35" s="87">
        <f t="shared" si="11"/>
        <v>94.3</v>
      </c>
      <c r="W35" s="66">
        <f t="shared" si="8"/>
        <v>4476</v>
      </c>
      <c r="X35" s="59"/>
      <c r="Y35" s="76"/>
      <c r="Z35" s="76"/>
      <c r="AA35" s="76"/>
      <c r="AB35" s="76"/>
      <c r="AC35" s="75"/>
      <c r="AD35" s="73"/>
      <c r="AE35" s="73"/>
      <c r="AF35" s="73"/>
      <c r="AG35" s="73"/>
      <c r="AH35" s="73"/>
      <c r="AI35" s="73"/>
      <c r="AJ35" s="73"/>
      <c r="AK35" s="73"/>
      <c r="AL35" s="73"/>
      <c r="AM35" s="73"/>
      <c r="AN35" s="73"/>
      <c r="AO35" s="73"/>
      <c r="AP35" s="73"/>
      <c r="AQ35" s="73"/>
      <c r="AR35" s="73"/>
      <c r="AS35" s="73"/>
      <c r="AT35" s="73"/>
      <c r="AV35" s="82"/>
      <c r="AW35" s="82"/>
      <c r="AX35" s="82"/>
      <c r="AY35" s="82"/>
      <c r="AZ35" s="82"/>
      <c r="BA35" s="82"/>
      <c r="BB35" s="82"/>
      <c r="BC35" s="82"/>
      <c r="BD35" s="82"/>
      <c r="BE35" s="82"/>
      <c r="BF35" s="82"/>
      <c r="BG35" s="82"/>
      <c r="BH35" s="82"/>
      <c r="BI35" s="82"/>
      <c r="BJ35" s="82"/>
      <c r="BK35" s="82"/>
      <c r="BL35" s="82"/>
      <c r="BM35" s="82"/>
      <c r="BN35" s="82"/>
      <c r="BO35" s="82"/>
      <c r="BP35" s="82"/>
      <c r="BQ35" s="82"/>
    </row>
    <row r="36" spans="1:69" x14ac:dyDescent="0.2">
      <c r="B36" s="58" t="s">
        <v>28</v>
      </c>
      <c r="C36" s="87">
        <f t="shared" si="9"/>
        <v>27.2</v>
      </c>
      <c r="D36" s="87">
        <f t="shared" si="9"/>
        <v>21.1</v>
      </c>
      <c r="E36" s="87">
        <f t="shared" si="9"/>
        <v>21</v>
      </c>
      <c r="F36" s="87">
        <f t="shared" si="9"/>
        <v>14.9</v>
      </c>
      <c r="G36" s="87">
        <f t="shared" si="9"/>
        <v>8.8000000000000007</v>
      </c>
      <c r="H36" s="87">
        <f t="shared" si="9"/>
        <v>93.1</v>
      </c>
      <c r="I36" s="66">
        <f t="shared" si="4"/>
        <v>3140</v>
      </c>
      <c r="J36" s="87">
        <f t="shared" si="10"/>
        <v>30.5</v>
      </c>
      <c r="K36" s="87">
        <f t="shared" si="10"/>
        <v>25.9</v>
      </c>
      <c r="L36" s="87">
        <f t="shared" si="10"/>
        <v>19.399999999999999</v>
      </c>
      <c r="M36" s="87">
        <f t="shared" si="10"/>
        <v>13</v>
      </c>
      <c r="N36" s="87">
        <f t="shared" si="10"/>
        <v>6.3</v>
      </c>
      <c r="O36" s="87">
        <f t="shared" si="10"/>
        <v>95.1</v>
      </c>
      <c r="P36" s="66">
        <f t="shared" si="6"/>
        <v>3961</v>
      </c>
      <c r="Q36" s="87">
        <f t="shared" si="11"/>
        <v>29</v>
      </c>
      <c r="R36" s="87">
        <f t="shared" si="11"/>
        <v>23.8</v>
      </c>
      <c r="S36" s="87">
        <f t="shared" si="11"/>
        <v>20.100000000000001</v>
      </c>
      <c r="T36" s="87">
        <f t="shared" si="11"/>
        <v>13.9</v>
      </c>
      <c r="U36" s="87">
        <f t="shared" si="11"/>
        <v>7.4</v>
      </c>
      <c r="V36" s="87">
        <f t="shared" si="11"/>
        <v>94.2</v>
      </c>
      <c r="W36" s="66">
        <f t="shared" si="8"/>
        <v>7101</v>
      </c>
      <c r="X36" s="59"/>
      <c r="Y36" s="76"/>
      <c r="Z36" s="76"/>
      <c r="AA36" s="76"/>
      <c r="AB36" s="76"/>
      <c r="AC36" s="75"/>
      <c r="AD36" s="73"/>
      <c r="AE36" s="73"/>
      <c r="AF36" s="73"/>
      <c r="AG36" s="73"/>
      <c r="AH36" s="73"/>
      <c r="AI36" s="73"/>
      <c r="AJ36" s="73"/>
      <c r="AK36" s="73"/>
      <c r="AL36" s="73"/>
      <c r="AM36" s="73"/>
      <c r="AN36" s="73"/>
      <c r="AO36" s="73"/>
      <c r="AP36" s="73"/>
      <c r="AQ36" s="73"/>
      <c r="AR36" s="73"/>
      <c r="AS36" s="73"/>
      <c r="AT36" s="73"/>
      <c r="AV36" s="82"/>
      <c r="AW36" s="82"/>
      <c r="AX36" s="82"/>
      <c r="AY36" s="82"/>
      <c r="AZ36" s="82"/>
      <c r="BA36" s="82"/>
      <c r="BB36" s="82"/>
      <c r="BC36" s="82"/>
      <c r="BD36" s="82"/>
      <c r="BE36" s="82"/>
      <c r="BF36" s="82"/>
      <c r="BG36" s="82"/>
      <c r="BH36" s="82"/>
      <c r="BI36" s="82"/>
      <c r="BJ36" s="82"/>
      <c r="BK36" s="82"/>
      <c r="BL36" s="82"/>
      <c r="BM36" s="82"/>
      <c r="BN36" s="82"/>
      <c r="BO36" s="82"/>
      <c r="BP36" s="82"/>
      <c r="BQ36" s="82"/>
    </row>
    <row r="37" spans="1:69" x14ac:dyDescent="0.2">
      <c r="B37" s="58" t="s">
        <v>29</v>
      </c>
      <c r="C37" s="87">
        <f t="shared" si="9"/>
        <v>16.600000000000001</v>
      </c>
      <c r="D37" s="87">
        <f t="shared" si="9"/>
        <v>19.8</v>
      </c>
      <c r="E37" s="87">
        <f t="shared" si="9"/>
        <v>23.2</v>
      </c>
      <c r="F37" s="87">
        <f t="shared" si="9"/>
        <v>18.100000000000001</v>
      </c>
      <c r="G37" s="87">
        <f t="shared" si="9"/>
        <v>11</v>
      </c>
      <c r="H37" s="87">
        <f t="shared" si="9"/>
        <v>88.7</v>
      </c>
      <c r="I37" s="66">
        <f t="shared" si="4"/>
        <v>8499</v>
      </c>
      <c r="J37" s="87">
        <f t="shared" si="10"/>
        <v>20.399999999999999</v>
      </c>
      <c r="K37" s="87">
        <f t="shared" si="10"/>
        <v>22.5</v>
      </c>
      <c r="L37" s="87">
        <f t="shared" si="10"/>
        <v>22.4</v>
      </c>
      <c r="M37" s="87">
        <f t="shared" si="10"/>
        <v>16.2</v>
      </c>
      <c r="N37" s="87">
        <f t="shared" si="10"/>
        <v>10.199999999999999</v>
      </c>
      <c r="O37" s="87">
        <f t="shared" si="10"/>
        <v>91.7</v>
      </c>
      <c r="P37" s="66">
        <f t="shared" si="6"/>
        <v>17899</v>
      </c>
      <c r="Q37" s="87">
        <f t="shared" si="11"/>
        <v>19.2</v>
      </c>
      <c r="R37" s="87">
        <f t="shared" si="11"/>
        <v>21.6</v>
      </c>
      <c r="S37" s="87">
        <f t="shared" si="11"/>
        <v>22.6</v>
      </c>
      <c r="T37" s="87">
        <f t="shared" si="11"/>
        <v>16.8</v>
      </c>
      <c r="U37" s="87">
        <f t="shared" si="11"/>
        <v>10.5</v>
      </c>
      <c r="V37" s="87">
        <f t="shared" si="11"/>
        <v>90.7</v>
      </c>
      <c r="W37" s="66">
        <f t="shared" si="8"/>
        <v>26398</v>
      </c>
      <c r="X37" s="59"/>
      <c r="Y37" s="76"/>
      <c r="Z37" s="76"/>
      <c r="AA37" s="76"/>
      <c r="AB37" s="76"/>
      <c r="AC37" s="75"/>
      <c r="AD37" s="73"/>
      <c r="AE37" s="73"/>
      <c r="AF37" s="73"/>
      <c r="AG37" s="73"/>
      <c r="AH37" s="73"/>
      <c r="AI37" s="73"/>
      <c r="AJ37" s="73"/>
      <c r="AK37" s="73"/>
      <c r="AL37" s="73"/>
      <c r="AM37" s="73"/>
      <c r="AN37" s="73"/>
      <c r="AO37" s="73"/>
      <c r="AP37" s="73"/>
      <c r="AQ37" s="73"/>
      <c r="AR37" s="73"/>
      <c r="AS37" s="73"/>
      <c r="AT37" s="73"/>
      <c r="AV37" s="82"/>
      <c r="AW37" s="82"/>
      <c r="AX37" s="82"/>
      <c r="AY37" s="82"/>
      <c r="AZ37" s="82"/>
      <c r="BA37" s="82"/>
      <c r="BB37" s="82"/>
      <c r="BC37" s="82"/>
      <c r="BD37" s="82"/>
      <c r="BE37" s="82"/>
      <c r="BF37" s="82"/>
      <c r="BG37" s="82"/>
      <c r="BH37" s="82"/>
      <c r="BI37" s="82"/>
      <c r="BJ37" s="82"/>
      <c r="BK37" s="82"/>
      <c r="BL37" s="82"/>
      <c r="BM37" s="82"/>
      <c r="BN37" s="82"/>
      <c r="BO37" s="82"/>
      <c r="BP37" s="82"/>
      <c r="BQ37" s="82"/>
    </row>
    <row r="38" spans="1:69" x14ac:dyDescent="0.2">
      <c r="B38" s="58" t="s">
        <v>30</v>
      </c>
      <c r="C38" s="87">
        <f t="shared" si="9"/>
        <v>12.8</v>
      </c>
      <c r="D38" s="87">
        <f t="shared" si="9"/>
        <v>18.899999999999999</v>
      </c>
      <c r="E38" s="87">
        <f t="shared" si="9"/>
        <v>24.5</v>
      </c>
      <c r="F38" s="87">
        <f t="shared" si="9"/>
        <v>21.5</v>
      </c>
      <c r="G38" s="87">
        <f t="shared" si="9"/>
        <v>14.1</v>
      </c>
      <c r="H38" s="87">
        <f t="shared" si="9"/>
        <v>91.9</v>
      </c>
      <c r="I38" s="66">
        <f t="shared" si="4"/>
        <v>7687</v>
      </c>
      <c r="J38" s="87">
        <f t="shared" si="10"/>
        <v>16.2</v>
      </c>
      <c r="K38" s="87">
        <f t="shared" si="10"/>
        <v>22.3</v>
      </c>
      <c r="L38" s="87">
        <f t="shared" si="10"/>
        <v>25.5</v>
      </c>
      <c r="M38" s="87">
        <f t="shared" si="10"/>
        <v>19.100000000000001</v>
      </c>
      <c r="N38" s="87">
        <f t="shared" si="10"/>
        <v>10.8</v>
      </c>
      <c r="O38" s="87">
        <f t="shared" si="10"/>
        <v>93.9</v>
      </c>
      <c r="P38" s="66">
        <f t="shared" si="6"/>
        <v>4496</v>
      </c>
      <c r="Q38" s="87">
        <f t="shared" si="11"/>
        <v>14.1</v>
      </c>
      <c r="R38" s="87">
        <f t="shared" si="11"/>
        <v>20.2</v>
      </c>
      <c r="S38" s="87">
        <f t="shared" si="11"/>
        <v>24.9</v>
      </c>
      <c r="T38" s="87">
        <f t="shared" si="11"/>
        <v>20.6</v>
      </c>
      <c r="U38" s="87">
        <f t="shared" si="11"/>
        <v>12.9</v>
      </c>
      <c r="V38" s="87">
        <f t="shared" si="11"/>
        <v>92.6</v>
      </c>
      <c r="W38" s="66">
        <f t="shared" si="8"/>
        <v>12183</v>
      </c>
      <c r="X38" s="59"/>
      <c r="Y38" s="76"/>
      <c r="Z38" s="76"/>
      <c r="AA38" s="76"/>
      <c r="AB38" s="76"/>
      <c r="AC38" s="75"/>
      <c r="AD38" s="73"/>
      <c r="AE38" s="73"/>
      <c r="AF38" s="73"/>
      <c r="AG38" s="73"/>
      <c r="AH38" s="73"/>
      <c r="AI38" s="73"/>
      <c r="AJ38" s="73"/>
      <c r="AK38" s="73"/>
      <c r="AL38" s="73"/>
      <c r="AM38" s="73"/>
      <c r="AN38" s="73"/>
      <c r="AO38" s="73"/>
      <c r="AP38" s="73"/>
      <c r="AQ38" s="73"/>
      <c r="AR38" s="73"/>
      <c r="AS38" s="73"/>
      <c r="AT38" s="73"/>
      <c r="AV38" s="82"/>
      <c r="AW38" s="82"/>
      <c r="AX38" s="82"/>
      <c r="AY38" s="82"/>
      <c r="AZ38" s="82"/>
      <c r="BA38" s="82"/>
      <c r="BB38" s="82"/>
      <c r="BC38" s="82"/>
      <c r="BD38" s="82"/>
      <c r="BE38" s="82"/>
      <c r="BF38" s="82"/>
      <c r="BG38" s="82"/>
      <c r="BH38" s="82"/>
      <c r="BI38" s="82"/>
      <c r="BJ38" s="82"/>
      <c r="BK38" s="82"/>
      <c r="BL38" s="82"/>
      <c r="BM38" s="82"/>
      <c r="BN38" s="82"/>
      <c r="BO38" s="82"/>
      <c r="BP38" s="82"/>
      <c r="BQ38" s="82"/>
    </row>
    <row r="39" spans="1:69" x14ac:dyDescent="0.2">
      <c r="B39" s="58" t="s">
        <v>31</v>
      </c>
      <c r="C39" s="87">
        <f t="shared" si="9"/>
        <v>7.4</v>
      </c>
      <c r="D39" s="87">
        <f t="shared" si="9"/>
        <v>11.8</v>
      </c>
      <c r="E39" s="87">
        <f t="shared" si="9"/>
        <v>18</v>
      </c>
      <c r="F39" s="87">
        <f t="shared" si="9"/>
        <v>22.3</v>
      </c>
      <c r="G39" s="87">
        <f t="shared" si="9"/>
        <v>23.3</v>
      </c>
      <c r="H39" s="87">
        <f t="shared" si="9"/>
        <v>82.9</v>
      </c>
      <c r="I39" s="66">
        <f t="shared" si="4"/>
        <v>16631</v>
      </c>
      <c r="J39" s="87">
        <f t="shared" si="10"/>
        <v>15.9</v>
      </c>
      <c r="K39" s="87">
        <f t="shared" si="10"/>
        <v>18</v>
      </c>
      <c r="L39" s="87">
        <f t="shared" si="10"/>
        <v>20.7</v>
      </c>
      <c r="M39" s="87">
        <f t="shared" si="10"/>
        <v>20.2</v>
      </c>
      <c r="N39" s="87">
        <f t="shared" si="10"/>
        <v>15.2</v>
      </c>
      <c r="O39" s="87">
        <f t="shared" si="10"/>
        <v>90</v>
      </c>
      <c r="P39" s="66">
        <f t="shared" si="6"/>
        <v>10672</v>
      </c>
      <c r="Q39" s="87">
        <f t="shared" si="11"/>
        <v>10.7</v>
      </c>
      <c r="R39" s="87">
        <f t="shared" si="11"/>
        <v>14.2</v>
      </c>
      <c r="S39" s="87">
        <f t="shared" si="11"/>
        <v>19</v>
      </c>
      <c r="T39" s="87">
        <f t="shared" si="11"/>
        <v>21.5</v>
      </c>
      <c r="U39" s="87">
        <f t="shared" si="11"/>
        <v>20.100000000000001</v>
      </c>
      <c r="V39" s="87">
        <f t="shared" si="11"/>
        <v>85.6</v>
      </c>
      <c r="W39" s="66">
        <f t="shared" si="8"/>
        <v>27303</v>
      </c>
      <c r="X39" s="59"/>
      <c r="Y39" s="76"/>
      <c r="Z39" s="76"/>
      <c r="AA39" s="76"/>
      <c r="AB39" s="76"/>
      <c r="AC39" s="75"/>
      <c r="AD39" s="73"/>
      <c r="AE39" s="73"/>
      <c r="AF39" s="73"/>
      <c r="AG39" s="73"/>
      <c r="AH39" s="73"/>
      <c r="AI39" s="73"/>
      <c r="AJ39" s="73"/>
      <c r="AK39" s="73"/>
      <c r="AL39" s="73"/>
      <c r="AM39" s="73"/>
      <c r="AN39" s="73"/>
      <c r="AO39" s="73"/>
      <c r="AP39" s="73"/>
      <c r="AQ39" s="73"/>
      <c r="AR39" s="73"/>
      <c r="AS39" s="73"/>
      <c r="AT39" s="73"/>
      <c r="AV39" s="82"/>
      <c r="AW39" s="82"/>
      <c r="AX39" s="82"/>
      <c r="AY39" s="82"/>
      <c r="AZ39" s="82"/>
      <c r="BA39" s="82"/>
      <c r="BB39" s="82"/>
      <c r="BC39" s="82"/>
      <c r="BD39" s="82"/>
      <c r="BE39" s="82"/>
      <c r="BF39" s="82"/>
      <c r="BG39" s="82"/>
      <c r="BH39" s="82"/>
      <c r="BI39" s="82"/>
      <c r="BJ39" s="82"/>
      <c r="BK39" s="82"/>
      <c r="BL39" s="82"/>
      <c r="BM39" s="82"/>
      <c r="BN39" s="82"/>
      <c r="BO39" s="82"/>
      <c r="BP39" s="82"/>
      <c r="BQ39" s="82"/>
    </row>
    <row r="40" spans="1:69" x14ac:dyDescent="0.2">
      <c r="B40" s="58" t="s">
        <v>32</v>
      </c>
      <c r="C40" s="87">
        <f t="shared" ref="C40:H41" si="12">IF(OR(C82=1,C82=2),"x",ROUND(C82/$I82*100,1))</f>
        <v>8.1</v>
      </c>
      <c r="D40" s="87">
        <f t="shared" si="12"/>
        <v>12.7</v>
      </c>
      <c r="E40" s="87">
        <f t="shared" si="12"/>
        <v>18.3</v>
      </c>
      <c r="F40" s="87">
        <f t="shared" si="12"/>
        <v>19.899999999999999</v>
      </c>
      <c r="G40" s="87">
        <f t="shared" si="12"/>
        <v>18.5</v>
      </c>
      <c r="H40" s="87">
        <f t="shared" si="12"/>
        <v>77.5</v>
      </c>
      <c r="I40" s="66">
        <f t="shared" si="4"/>
        <v>42227</v>
      </c>
      <c r="J40" s="87">
        <f t="shared" ref="J40:O41" si="13">IF(OR(J82=1,J82=2),"x",ROUND(J82/$P82*100,1))</f>
        <v>10.5</v>
      </c>
      <c r="K40" s="87">
        <f t="shared" si="13"/>
        <v>15</v>
      </c>
      <c r="L40" s="87">
        <f t="shared" si="13"/>
        <v>19.600000000000001</v>
      </c>
      <c r="M40" s="87">
        <f t="shared" si="13"/>
        <v>20.100000000000001</v>
      </c>
      <c r="N40" s="87">
        <f t="shared" si="13"/>
        <v>17.8</v>
      </c>
      <c r="O40" s="87">
        <f t="shared" si="13"/>
        <v>83</v>
      </c>
      <c r="P40" s="66">
        <f t="shared" si="6"/>
        <v>48597</v>
      </c>
      <c r="Q40" s="87">
        <f t="shared" ref="Q40:V41" si="14">IF(OR(Q82=1,Q82=2),"x",ROUND(Q82/$W82*100,1))</f>
        <v>9.4</v>
      </c>
      <c r="R40" s="87">
        <f t="shared" si="14"/>
        <v>13.9</v>
      </c>
      <c r="S40" s="87">
        <f t="shared" si="14"/>
        <v>19</v>
      </c>
      <c r="T40" s="87">
        <f t="shared" si="14"/>
        <v>20</v>
      </c>
      <c r="U40" s="87">
        <f t="shared" si="14"/>
        <v>18.100000000000001</v>
      </c>
      <c r="V40" s="87">
        <f t="shared" si="14"/>
        <v>80.400000000000006</v>
      </c>
      <c r="W40" s="66">
        <f t="shared" si="8"/>
        <v>90824</v>
      </c>
      <c r="X40" s="59"/>
      <c r="Y40" s="76"/>
      <c r="Z40" s="76"/>
      <c r="AA40" s="76"/>
      <c r="AB40" s="76"/>
      <c r="AC40" s="75"/>
      <c r="AD40" s="73"/>
      <c r="AE40" s="73"/>
      <c r="AF40" s="73"/>
      <c r="AG40" s="73"/>
      <c r="AH40" s="73"/>
      <c r="AI40" s="73"/>
      <c r="AJ40" s="73"/>
      <c r="AK40" s="73"/>
      <c r="AL40" s="73"/>
      <c r="AM40" s="73"/>
      <c r="AN40" s="73"/>
      <c r="AO40" s="73"/>
      <c r="AP40" s="73"/>
      <c r="AQ40" s="73"/>
      <c r="AR40" s="73"/>
      <c r="AS40" s="73"/>
      <c r="AT40" s="73"/>
      <c r="AV40" s="82"/>
      <c r="AW40" s="82"/>
      <c r="AX40" s="82"/>
      <c r="AY40" s="82"/>
      <c r="AZ40" s="82"/>
      <c r="BA40" s="82"/>
      <c r="BB40" s="82"/>
      <c r="BC40" s="82"/>
      <c r="BD40" s="82"/>
      <c r="BE40" s="82"/>
      <c r="BF40" s="82"/>
      <c r="BG40" s="82"/>
      <c r="BH40" s="82"/>
      <c r="BI40" s="82"/>
      <c r="BJ40" s="82"/>
      <c r="BK40" s="82"/>
      <c r="BL40" s="82"/>
      <c r="BM40" s="82"/>
      <c r="BN40" s="82"/>
      <c r="BO40" s="82"/>
      <c r="BP40" s="82"/>
      <c r="BQ40" s="82"/>
    </row>
    <row r="41" spans="1:69" x14ac:dyDescent="0.2">
      <c r="B41" s="60" t="s">
        <v>46</v>
      </c>
      <c r="C41" s="87">
        <f t="shared" si="12"/>
        <v>14.7</v>
      </c>
      <c r="D41" s="87">
        <f t="shared" si="12"/>
        <v>16.2</v>
      </c>
      <c r="E41" s="87">
        <f t="shared" si="12"/>
        <v>19.899999999999999</v>
      </c>
      <c r="F41" s="87">
        <f t="shared" si="12"/>
        <v>18.5</v>
      </c>
      <c r="G41" s="87">
        <f t="shared" si="12"/>
        <v>14.6</v>
      </c>
      <c r="H41" s="87">
        <f t="shared" si="12"/>
        <v>83.8</v>
      </c>
      <c r="I41" s="66">
        <f t="shared" si="4"/>
        <v>548339</v>
      </c>
      <c r="J41" s="87">
        <f t="shared" si="13"/>
        <v>17.399999999999999</v>
      </c>
      <c r="K41" s="87">
        <f t="shared" si="13"/>
        <v>19.7</v>
      </c>
      <c r="L41" s="87">
        <f t="shared" si="13"/>
        <v>21.6</v>
      </c>
      <c r="M41" s="87">
        <f t="shared" si="13"/>
        <v>17.7</v>
      </c>
      <c r="N41" s="87">
        <f t="shared" si="13"/>
        <v>12.1</v>
      </c>
      <c r="O41" s="87">
        <f t="shared" si="13"/>
        <v>88.6</v>
      </c>
      <c r="P41" s="66">
        <f t="shared" si="6"/>
        <v>633159</v>
      </c>
      <c r="Q41" s="87">
        <f t="shared" si="14"/>
        <v>16.100000000000001</v>
      </c>
      <c r="R41" s="87">
        <f t="shared" si="14"/>
        <v>18.100000000000001</v>
      </c>
      <c r="S41" s="87">
        <f t="shared" si="14"/>
        <v>20.8</v>
      </c>
      <c r="T41" s="87">
        <f t="shared" si="14"/>
        <v>18.100000000000001</v>
      </c>
      <c r="U41" s="87">
        <f t="shared" si="14"/>
        <v>13.3</v>
      </c>
      <c r="V41" s="87">
        <f t="shared" si="14"/>
        <v>86.4</v>
      </c>
      <c r="W41" s="66">
        <f t="shared" si="8"/>
        <v>1181498</v>
      </c>
      <c r="X41" s="59"/>
      <c r="Y41" s="76"/>
      <c r="Z41" s="76"/>
      <c r="AA41" s="76"/>
      <c r="AB41" s="76"/>
      <c r="AC41" s="75"/>
      <c r="AD41" s="73"/>
      <c r="AE41" s="73"/>
      <c r="AF41" s="73"/>
      <c r="AG41" s="73"/>
      <c r="AH41" s="73"/>
      <c r="AI41" s="73"/>
      <c r="AJ41" s="73"/>
      <c r="AK41" s="73"/>
      <c r="AL41" s="73"/>
      <c r="AM41" s="73"/>
      <c r="AN41" s="73"/>
      <c r="AO41" s="73"/>
      <c r="AP41" s="73"/>
      <c r="AQ41" s="73"/>
      <c r="AR41" s="73"/>
      <c r="AS41" s="73"/>
      <c r="AT41" s="73"/>
      <c r="AV41" s="82"/>
      <c r="AW41" s="82"/>
      <c r="AX41" s="82"/>
      <c r="AY41" s="82"/>
      <c r="AZ41" s="82"/>
      <c r="BA41" s="82"/>
      <c r="BB41" s="82"/>
      <c r="BC41" s="82"/>
      <c r="BD41" s="82"/>
      <c r="BE41" s="82"/>
      <c r="BF41" s="82"/>
      <c r="BG41" s="82"/>
      <c r="BH41" s="82"/>
      <c r="BI41" s="82"/>
      <c r="BJ41" s="82"/>
      <c r="BK41" s="82"/>
      <c r="BL41" s="82"/>
      <c r="BM41" s="82"/>
      <c r="BN41" s="82"/>
      <c r="BO41" s="82"/>
      <c r="BP41" s="82"/>
      <c r="BQ41" s="82"/>
    </row>
    <row r="42" spans="1:69" x14ac:dyDescent="0.2">
      <c r="B42" s="61"/>
      <c r="AW42" s="82"/>
      <c r="AX42" s="82"/>
      <c r="AY42" s="82"/>
      <c r="AZ42" s="82"/>
      <c r="BA42" s="82"/>
      <c r="BB42" s="82"/>
      <c r="BC42" s="82"/>
      <c r="BD42" s="82"/>
      <c r="BE42" s="82"/>
      <c r="BF42" s="82"/>
      <c r="BG42" s="82"/>
      <c r="BH42" s="82"/>
      <c r="BI42" s="82"/>
      <c r="BJ42" s="82"/>
      <c r="BK42" s="82"/>
      <c r="BL42" s="82"/>
      <c r="BM42" s="82"/>
      <c r="BN42" s="82"/>
      <c r="BO42" s="82"/>
      <c r="BP42" s="82"/>
      <c r="BQ42" s="82"/>
    </row>
    <row r="44" spans="1:69" x14ac:dyDescent="0.2">
      <c r="A44" s="51" t="s">
        <v>64</v>
      </c>
      <c r="B44" s="51" t="s">
        <v>64</v>
      </c>
    </row>
    <row r="46" spans="1:69" x14ac:dyDescent="0.2">
      <c r="C46" s="51" t="s">
        <v>39</v>
      </c>
      <c r="J46" s="51" t="s">
        <v>40</v>
      </c>
      <c r="Q46" s="51" t="s">
        <v>54</v>
      </c>
    </row>
    <row r="47" spans="1:69" x14ac:dyDescent="0.2">
      <c r="C47" s="51" t="s">
        <v>33</v>
      </c>
      <c r="D47" s="51" t="s">
        <v>34</v>
      </c>
      <c r="E47" s="51" t="s">
        <v>35</v>
      </c>
      <c r="F47" s="51" t="s">
        <v>36</v>
      </c>
      <c r="G47" s="51" t="s">
        <v>37</v>
      </c>
      <c r="H47" s="51" t="s">
        <v>70</v>
      </c>
      <c r="I47" s="51" t="s">
        <v>54</v>
      </c>
      <c r="J47" s="51" t="s">
        <v>33</v>
      </c>
      <c r="K47" s="51" t="s">
        <v>34</v>
      </c>
      <c r="L47" s="51" t="s">
        <v>35</v>
      </c>
      <c r="M47" s="51" t="s">
        <v>36</v>
      </c>
      <c r="N47" s="51" t="s">
        <v>37</v>
      </c>
      <c r="O47" s="51" t="s">
        <v>70</v>
      </c>
      <c r="P47" s="51" t="s">
        <v>54</v>
      </c>
      <c r="Q47" s="51" t="s">
        <v>33</v>
      </c>
      <c r="R47" s="51" t="s">
        <v>34</v>
      </c>
      <c r="S47" s="51" t="s">
        <v>35</v>
      </c>
      <c r="T47" s="51" t="s">
        <v>36</v>
      </c>
      <c r="U47" s="51" t="s">
        <v>37</v>
      </c>
      <c r="V47" s="51" t="s">
        <v>70</v>
      </c>
      <c r="W47" s="51" t="s">
        <v>54</v>
      </c>
    </row>
    <row r="48" spans="1:69" x14ac:dyDescent="0.2">
      <c r="C48" s="51" t="s">
        <v>71</v>
      </c>
      <c r="D48" s="51" t="s">
        <v>71</v>
      </c>
      <c r="E48" s="51" t="s">
        <v>71</v>
      </c>
      <c r="F48" s="51" t="s">
        <v>71</v>
      </c>
      <c r="G48" s="51" t="s">
        <v>71</v>
      </c>
      <c r="H48" s="51" t="s">
        <v>71</v>
      </c>
      <c r="I48" s="51" t="s">
        <v>71</v>
      </c>
      <c r="J48" s="51" t="s">
        <v>71</v>
      </c>
      <c r="K48" s="51" t="s">
        <v>71</v>
      </c>
      <c r="L48" s="51" t="s">
        <v>71</v>
      </c>
      <c r="M48" s="51" t="s">
        <v>71</v>
      </c>
      <c r="N48" s="51" t="s">
        <v>71</v>
      </c>
      <c r="O48" s="51" t="s">
        <v>71</v>
      </c>
      <c r="P48" s="51" t="s">
        <v>71</v>
      </c>
      <c r="Q48" s="51" t="s">
        <v>71</v>
      </c>
      <c r="R48" s="51" t="s">
        <v>71</v>
      </c>
      <c r="S48" s="51" t="s">
        <v>71</v>
      </c>
      <c r="T48" s="51" t="s">
        <v>71</v>
      </c>
      <c r="U48" s="51" t="s">
        <v>71</v>
      </c>
      <c r="V48" s="51" t="s">
        <v>71</v>
      </c>
      <c r="W48" s="51" t="s">
        <v>71</v>
      </c>
    </row>
    <row r="49" spans="1:23" x14ac:dyDescent="0.2">
      <c r="A49" s="51" t="s">
        <v>72</v>
      </c>
      <c r="B49" s="51" t="s">
        <v>0</v>
      </c>
      <c r="C49" s="51">
        <v>5320</v>
      </c>
      <c r="D49" s="51">
        <v>5741</v>
      </c>
      <c r="E49" s="51">
        <v>6693</v>
      </c>
      <c r="F49" s="51">
        <v>6619</v>
      </c>
      <c r="G49" s="51">
        <v>6243</v>
      </c>
      <c r="H49" s="51">
        <v>30616</v>
      </c>
      <c r="I49" s="51">
        <v>38196</v>
      </c>
      <c r="J49" s="51">
        <v>7829</v>
      </c>
      <c r="K49" s="51">
        <v>7547</v>
      </c>
      <c r="L49" s="51">
        <v>8186</v>
      </c>
      <c r="M49" s="51">
        <v>7911</v>
      </c>
      <c r="N49" s="51">
        <v>6839</v>
      </c>
      <c r="O49" s="51">
        <v>38312</v>
      </c>
      <c r="P49" s="51">
        <v>46138</v>
      </c>
      <c r="Q49" s="51">
        <v>13149</v>
      </c>
      <c r="R49" s="51">
        <v>13288</v>
      </c>
      <c r="S49" s="51">
        <v>14879</v>
      </c>
      <c r="T49" s="51">
        <v>14530</v>
      </c>
      <c r="U49" s="51">
        <v>13082</v>
      </c>
      <c r="V49" s="51">
        <v>68928</v>
      </c>
      <c r="W49" s="51">
        <v>84334</v>
      </c>
    </row>
    <row r="50" spans="1:23" x14ac:dyDescent="0.2">
      <c r="B50" s="51" t="s">
        <v>1</v>
      </c>
      <c r="C50" s="51">
        <v>6256</v>
      </c>
      <c r="D50" s="51">
        <v>6171</v>
      </c>
      <c r="E50" s="51">
        <v>6193</v>
      </c>
      <c r="F50" s="51">
        <v>5797</v>
      </c>
      <c r="G50" s="51">
        <v>5031</v>
      </c>
      <c r="H50" s="51">
        <v>29448</v>
      </c>
      <c r="I50" s="51">
        <v>35549</v>
      </c>
      <c r="J50" s="51">
        <v>5406</v>
      </c>
      <c r="K50" s="51">
        <v>5555</v>
      </c>
      <c r="L50" s="51">
        <v>5542</v>
      </c>
      <c r="M50" s="51">
        <v>5024</v>
      </c>
      <c r="N50" s="51">
        <v>4268</v>
      </c>
      <c r="O50" s="51">
        <v>25795</v>
      </c>
      <c r="P50" s="51">
        <v>30869</v>
      </c>
      <c r="Q50" s="51">
        <v>11662</v>
      </c>
      <c r="R50" s="51">
        <v>11726</v>
      </c>
      <c r="S50" s="51">
        <v>11735</v>
      </c>
      <c r="T50" s="51">
        <v>10821</v>
      </c>
      <c r="U50" s="51">
        <v>9299</v>
      </c>
      <c r="V50" s="51">
        <v>55243</v>
      </c>
      <c r="W50" s="51">
        <v>66418</v>
      </c>
    </row>
    <row r="51" spans="1:23" x14ac:dyDescent="0.2">
      <c r="B51" s="51" t="s">
        <v>2</v>
      </c>
      <c r="C51" s="51">
        <v>7271</v>
      </c>
      <c r="D51" s="51">
        <v>5846</v>
      </c>
      <c r="E51" s="51">
        <v>6270</v>
      </c>
      <c r="F51" s="51">
        <v>5919</v>
      </c>
      <c r="G51" s="51">
        <v>5395</v>
      </c>
      <c r="H51" s="51">
        <v>30701</v>
      </c>
      <c r="I51" s="51">
        <v>37689</v>
      </c>
      <c r="J51" s="51">
        <v>2639</v>
      </c>
      <c r="K51" s="51">
        <v>2143</v>
      </c>
      <c r="L51" s="51">
        <v>2014</v>
      </c>
      <c r="M51" s="51">
        <v>1754</v>
      </c>
      <c r="N51" s="51">
        <v>1406</v>
      </c>
      <c r="O51" s="51">
        <v>9956</v>
      </c>
      <c r="P51" s="51">
        <v>11390</v>
      </c>
      <c r="Q51" s="51">
        <v>9910</v>
      </c>
      <c r="R51" s="51">
        <v>7989</v>
      </c>
      <c r="S51" s="51">
        <v>8284</v>
      </c>
      <c r="T51" s="51">
        <v>7673</v>
      </c>
      <c r="U51" s="51">
        <v>6801</v>
      </c>
      <c r="V51" s="51">
        <v>40657</v>
      </c>
      <c r="W51" s="51">
        <v>49079</v>
      </c>
    </row>
    <row r="52" spans="1:23" x14ac:dyDescent="0.2">
      <c r="B52" s="51" t="s">
        <v>3</v>
      </c>
      <c r="C52" s="51">
        <v>825</v>
      </c>
      <c r="D52" s="51">
        <v>830</v>
      </c>
      <c r="E52" s="51">
        <v>1048</v>
      </c>
      <c r="F52" s="51">
        <v>1031</v>
      </c>
      <c r="G52" s="51">
        <v>844</v>
      </c>
      <c r="H52" s="51">
        <v>4578</v>
      </c>
      <c r="I52" s="51">
        <v>5588</v>
      </c>
      <c r="J52" s="51">
        <v>373</v>
      </c>
      <c r="K52" s="51">
        <v>373</v>
      </c>
      <c r="L52" s="51">
        <v>485</v>
      </c>
      <c r="M52" s="51">
        <v>477</v>
      </c>
      <c r="N52" s="51">
        <v>403</v>
      </c>
      <c r="O52" s="51">
        <v>2111</v>
      </c>
      <c r="P52" s="51">
        <v>2599</v>
      </c>
      <c r="Q52" s="51">
        <v>1198</v>
      </c>
      <c r="R52" s="51">
        <v>1203</v>
      </c>
      <c r="S52" s="51">
        <v>1533</v>
      </c>
      <c r="T52" s="51">
        <v>1508</v>
      </c>
      <c r="U52" s="51">
        <v>1247</v>
      </c>
      <c r="V52" s="51">
        <v>6689</v>
      </c>
      <c r="W52" s="51">
        <v>8187</v>
      </c>
    </row>
    <row r="53" spans="1:23" x14ac:dyDescent="0.2">
      <c r="B53" s="51" t="s">
        <v>4</v>
      </c>
      <c r="C53" s="51">
        <v>14603</v>
      </c>
      <c r="D53" s="51">
        <v>9091</v>
      </c>
      <c r="E53" s="51">
        <v>8906</v>
      </c>
      <c r="F53" s="51">
        <v>8425</v>
      </c>
      <c r="G53" s="51">
        <v>7564</v>
      </c>
      <c r="H53" s="51">
        <v>48589</v>
      </c>
      <c r="I53" s="51">
        <v>61147</v>
      </c>
      <c r="J53" s="51">
        <v>10862</v>
      </c>
      <c r="K53" s="51">
        <v>7465</v>
      </c>
      <c r="L53" s="51">
        <v>6881</v>
      </c>
      <c r="M53" s="51">
        <v>6176</v>
      </c>
      <c r="N53" s="51">
        <v>5078</v>
      </c>
      <c r="O53" s="51">
        <v>36462</v>
      </c>
      <c r="P53" s="51">
        <v>43439</v>
      </c>
      <c r="Q53" s="51">
        <v>25465</v>
      </c>
      <c r="R53" s="51">
        <v>16556</v>
      </c>
      <c r="S53" s="51">
        <v>15787</v>
      </c>
      <c r="T53" s="51">
        <v>14601</v>
      </c>
      <c r="U53" s="51">
        <v>12642</v>
      </c>
      <c r="V53" s="51">
        <v>85051</v>
      </c>
      <c r="W53" s="51">
        <v>104586</v>
      </c>
    </row>
    <row r="54" spans="1:23" x14ac:dyDescent="0.2">
      <c r="B54" s="51" t="s">
        <v>5</v>
      </c>
      <c r="C54" s="51">
        <v>3269</v>
      </c>
      <c r="D54" s="51">
        <v>1432</v>
      </c>
      <c r="E54" s="51">
        <v>1133</v>
      </c>
      <c r="F54" s="51">
        <v>854</v>
      </c>
      <c r="G54" s="51">
        <v>613</v>
      </c>
      <c r="H54" s="51">
        <v>7301</v>
      </c>
      <c r="I54" s="51">
        <v>8199</v>
      </c>
      <c r="J54" s="51">
        <v>1786</v>
      </c>
      <c r="K54" s="51">
        <v>779</v>
      </c>
      <c r="L54" s="51">
        <v>595</v>
      </c>
      <c r="M54" s="51">
        <v>401</v>
      </c>
      <c r="N54" s="51">
        <v>318</v>
      </c>
      <c r="O54" s="51">
        <v>3879</v>
      </c>
      <c r="P54" s="51">
        <v>4228</v>
      </c>
      <c r="Q54" s="51">
        <v>5055</v>
      </c>
      <c r="R54" s="51">
        <v>2211</v>
      </c>
      <c r="S54" s="51">
        <v>1728</v>
      </c>
      <c r="T54" s="51">
        <v>1255</v>
      </c>
      <c r="U54" s="51">
        <v>931</v>
      </c>
      <c r="V54" s="51">
        <v>11180</v>
      </c>
      <c r="W54" s="51">
        <v>12427</v>
      </c>
    </row>
    <row r="55" spans="1:23" x14ac:dyDescent="0.2">
      <c r="B55" s="51" t="s">
        <v>6</v>
      </c>
      <c r="C55" s="51">
        <v>928</v>
      </c>
      <c r="D55" s="51">
        <v>1684</v>
      </c>
      <c r="E55" s="51">
        <v>2665</v>
      </c>
      <c r="F55" s="51">
        <v>2788</v>
      </c>
      <c r="G55" s="51">
        <v>2298</v>
      </c>
      <c r="H55" s="51">
        <v>10363</v>
      </c>
      <c r="I55" s="51">
        <v>12448</v>
      </c>
      <c r="J55" s="51">
        <v>1184</v>
      </c>
      <c r="K55" s="51">
        <v>1769</v>
      </c>
      <c r="L55" s="51">
        <v>1984</v>
      </c>
      <c r="M55" s="51">
        <v>1905</v>
      </c>
      <c r="N55" s="51">
        <v>1369</v>
      </c>
      <c r="O55" s="51">
        <v>8211</v>
      </c>
      <c r="P55" s="51">
        <v>9180</v>
      </c>
      <c r="Q55" s="51">
        <v>2112</v>
      </c>
      <c r="R55" s="51">
        <v>3453</v>
      </c>
      <c r="S55" s="51">
        <v>4649</v>
      </c>
      <c r="T55" s="51">
        <v>4693</v>
      </c>
      <c r="U55" s="51">
        <v>3667</v>
      </c>
      <c r="V55" s="51">
        <v>18574</v>
      </c>
      <c r="W55" s="51">
        <v>21628</v>
      </c>
    </row>
    <row r="56" spans="1:23" x14ac:dyDescent="0.2">
      <c r="B56" s="2" t="s">
        <v>168</v>
      </c>
      <c r="C56" s="51">
        <v>612</v>
      </c>
      <c r="D56" s="51">
        <v>912</v>
      </c>
      <c r="E56" s="51">
        <v>1217</v>
      </c>
      <c r="F56" s="51">
        <v>1213</v>
      </c>
      <c r="G56" s="51">
        <v>1016</v>
      </c>
      <c r="H56" s="51">
        <v>4970</v>
      </c>
      <c r="I56" s="51">
        <v>6306</v>
      </c>
      <c r="J56" s="51">
        <v>62</v>
      </c>
      <c r="K56" s="51">
        <v>90</v>
      </c>
      <c r="L56" s="51">
        <v>98</v>
      </c>
      <c r="M56" s="51">
        <v>103</v>
      </c>
      <c r="N56" s="51">
        <v>86</v>
      </c>
      <c r="O56" s="51">
        <v>439</v>
      </c>
      <c r="P56" s="51">
        <v>540</v>
      </c>
      <c r="Q56" s="51">
        <v>674</v>
      </c>
      <c r="R56" s="51">
        <v>1002</v>
      </c>
      <c r="S56" s="51">
        <v>1315</v>
      </c>
      <c r="T56" s="51">
        <v>1316</v>
      </c>
      <c r="U56" s="51">
        <v>1102</v>
      </c>
      <c r="V56" s="51">
        <v>5409</v>
      </c>
      <c r="W56" s="51">
        <v>6846</v>
      </c>
    </row>
    <row r="57" spans="1:23" x14ac:dyDescent="0.2">
      <c r="B57" s="51" t="s">
        <v>8</v>
      </c>
      <c r="C57" s="51">
        <v>469</v>
      </c>
      <c r="D57" s="51">
        <v>1042</v>
      </c>
      <c r="E57" s="51">
        <v>1946</v>
      </c>
      <c r="F57" s="51">
        <v>2363</v>
      </c>
      <c r="G57" s="51">
        <v>2175</v>
      </c>
      <c r="H57" s="51">
        <v>7995</v>
      </c>
      <c r="I57" s="51">
        <v>10263</v>
      </c>
      <c r="J57" s="51">
        <v>471</v>
      </c>
      <c r="K57" s="51">
        <v>808</v>
      </c>
      <c r="L57" s="51">
        <v>1210</v>
      </c>
      <c r="M57" s="51">
        <v>1226</v>
      </c>
      <c r="N57" s="51">
        <v>999</v>
      </c>
      <c r="O57" s="51">
        <v>4714</v>
      </c>
      <c r="P57" s="51">
        <v>5556</v>
      </c>
      <c r="Q57" s="51">
        <v>940</v>
      </c>
      <c r="R57" s="51">
        <v>1850</v>
      </c>
      <c r="S57" s="51">
        <v>3156</v>
      </c>
      <c r="T57" s="51">
        <v>3589</v>
      </c>
      <c r="U57" s="51">
        <v>3174</v>
      </c>
      <c r="V57" s="51">
        <v>12709</v>
      </c>
      <c r="W57" s="51">
        <v>15819</v>
      </c>
    </row>
    <row r="58" spans="1:23" x14ac:dyDescent="0.2">
      <c r="B58" s="51" t="s">
        <v>9</v>
      </c>
      <c r="C58" s="51">
        <v>1</v>
      </c>
      <c r="D58" s="51">
        <v>6</v>
      </c>
      <c r="E58" s="51">
        <v>14</v>
      </c>
      <c r="F58" s="51">
        <v>17</v>
      </c>
      <c r="G58" s="51">
        <v>26</v>
      </c>
      <c r="H58" s="51">
        <v>64</v>
      </c>
      <c r="I58" s="51">
        <v>98</v>
      </c>
      <c r="J58" s="51">
        <v>39</v>
      </c>
      <c r="K58" s="51">
        <v>93</v>
      </c>
      <c r="L58" s="51">
        <v>104</v>
      </c>
      <c r="M58" s="51">
        <v>75</v>
      </c>
      <c r="N58" s="51">
        <v>61</v>
      </c>
      <c r="O58" s="51">
        <v>372</v>
      </c>
      <c r="P58" s="51">
        <v>421</v>
      </c>
      <c r="Q58" s="51">
        <v>40</v>
      </c>
      <c r="R58" s="51">
        <v>99</v>
      </c>
      <c r="S58" s="51">
        <v>118</v>
      </c>
      <c r="T58" s="51">
        <v>92</v>
      </c>
      <c r="U58" s="51">
        <v>87</v>
      </c>
      <c r="V58" s="51">
        <v>436</v>
      </c>
      <c r="W58" s="51">
        <v>519</v>
      </c>
    </row>
    <row r="59" spans="1:23" x14ac:dyDescent="0.2">
      <c r="B59" s="51" t="s">
        <v>10</v>
      </c>
      <c r="C59" s="51">
        <v>279</v>
      </c>
      <c r="D59" s="51">
        <v>550</v>
      </c>
      <c r="E59" s="51">
        <v>779</v>
      </c>
      <c r="F59" s="51">
        <v>712</v>
      </c>
      <c r="G59" s="51">
        <v>705</v>
      </c>
      <c r="H59" s="51">
        <v>3025</v>
      </c>
      <c r="I59" s="51">
        <v>4407</v>
      </c>
      <c r="J59" s="51">
        <v>210</v>
      </c>
      <c r="K59" s="51">
        <v>288</v>
      </c>
      <c r="L59" s="51">
        <v>414</v>
      </c>
      <c r="M59" s="51">
        <v>417</v>
      </c>
      <c r="N59" s="51">
        <v>417</v>
      </c>
      <c r="O59" s="51">
        <v>1746</v>
      </c>
      <c r="P59" s="51">
        <v>2433</v>
      </c>
      <c r="Q59" s="51">
        <v>489</v>
      </c>
      <c r="R59" s="51">
        <v>838</v>
      </c>
      <c r="S59" s="51">
        <v>1193</v>
      </c>
      <c r="T59" s="51">
        <v>1129</v>
      </c>
      <c r="U59" s="51">
        <v>1122</v>
      </c>
      <c r="V59" s="51">
        <v>4771</v>
      </c>
      <c r="W59" s="51">
        <v>6840</v>
      </c>
    </row>
    <row r="60" spans="1:23" x14ac:dyDescent="0.2">
      <c r="B60" s="51" t="s">
        <v>11</v>
      </c>
      <c r="C60" s="51">
        <v>2047</v>
      </c>
      <c r="D60" s="51">
        <v>3863</v>
      </c>
      <c r="E60" s="51">
        <v>5409</v>
      </c>
      <c r="F60" s="51">
        <v>5134</v>
      </c>
      <c r="G60" s="51">
        <v>4253</v>
      </c>
      <c r="H60" s="51">
        <v>20706</v>
      </c>
      <c r="I60" s="51">
        <v>24154</v>
      </c>
      <c r="J60" s="51">
        <v>1797</v>
      </c>
      <c r="K60" s="51">
        <v>3045</v>
      </c>
      <c r="L60" s="51">
        <v>3925</v>
      </c>
      <c r="M60" s="51">
        <v>3664</v>
      </c>
      <c r="N60" s="51">
        <v>3071</v>
      </c>
      <c r="O60" s="51">
        <v>15502</v>
      </c>
      <c r="P60" s="51">
        <v>18009</v>
      </c>
      <c r="Q60" s="51">
        <v>3844</v>
      </c>
      <c r="R60" s="51">
        <v>6908</v>
      </c>
      <c r="S60" s="51">
        <v>9334</v>
      </c>
      <c r="T60" s="51">
        <v>8798</v>
      </c>
      <c r="U60" s="51">
        <v>7324</v>
      </c>
      <c r="V60" s="51">
        <v>36208</v>
      </c>
      <c r="W60" s="51">
        <v>42163</v>
      </c>
    </row>
    <row r="61" spans="1:23" x14ac:dyDescent="0.2">
      <c r="B61" s="51" t="s">
        <v>12</v>
      </c>
      <c r="C61" s="51">
        <v>3571</v>
      </c>
      <c r="D61" s="51">
        <v>3580</v>
      </c>
      <c r="E61" s="51">
        <v>3694</v>
      </c>
      <c r="F61" s="51">
        <v>3115</v>
      </c>
      <c r="G61" s="51">
        <v>2361</v>
      </c>
      <c r="H61" s="51">
        <v>16321</v>
      </c>
      <c r="I61" s="51">
        <v>18900</v>
      </c>
      <c r="J61" s="51">
        <v>1969</v>
      </c>
      <c r="K61" s="51">
        <v>1786</v>
      </c>
      <c r="L61" s="51">
        <v>1620</v>
      </c>
      <c r="M61" s="51">
        <v>1462</v>
      </c>
      <c r="N61" s="51">
        <v>1091</v>
      </c>
      <c r="O61" s="51">
        <v>7928</v>
      </c>
      <c r="P61" s="51">
        <v>9031</v>
      </c>
      <c r="Q61" s="51">
        <v>5540</v>
      </c>
      <c r="R61" s="51">
        <v>5366</v>
      </c>
      <c r="S61" s="51">
        <v>5314</v>
      </c>
      <c r="T61" s="51">
        <v>4577</v>
      </c>
      <c r="U61" s="51">
        <v>3452</v>
      </c>
      <c r="V61" s="51">
        <v>24249</v>
      </c>
      <c r="W61" s="51">
        <v>27931</v>
      </c>
    </row>
    <row r="62" spans="1:23" x14ac:dyDescent="0.2">
      <c r="B62" s="51" t="s">
        <v>13</v>
      </c>
      <c r="C62" s="51">
        <v>3665</v>
      </c>
      <c r="D62" s="51">
        <v>3612</v>
      </c>
      <c r="E62" s="51">
        <v>4228</v>
      </c>
      <c r="F62" s="51">
        <v>3799</v>
      </c>
      <c r="G62" s="51">
        <v>2778</v>
      </c>
      <c r="H62" s="51">
        <v>18082</v>
      </c>
      <c r="I62" s="51">
        <v>20703</v>
      </c>
      <c r="J62" s="51">
        <v>4892</v>
      </c>
      <c r="K62" s="51">
        <v>3496</v>
      </c>
      <c r="L62" s="51">
        <v>3449</v>
      </c>
      <c r="M62" s="51">
        <v>2762</v>
      </c>
      <c r="N62" s="51">
        <v>1775</v>
      </c>
      <c r="O62" s="51">
        <v>16374</v>
      </c>
      <c r="P62" s="51">
        <v>18080</v>
      </c>
      <c r="Q62" s="51">
        <v>8557</v>
      </c>
      <c r="R62" s="51">
        <v>7108</v>
      </c>
      <c r="S62" s="51">
        <v>7677</v>
      </c>
      <c r="T62" s="51">
        <v>6561</v>
      </c>
      <c r="U62" s="51">
        <v>4553</v>
      </c>
      <c r="V62" s="51">
        <v>34456</v>
      </c>
      <c r="W62" s="51">
        <v>38783</v>
      </c>
    </row>
    <row r="63" spans="1:23" x14ac:dyDescent="0.2">
      <c r="B63" s="51" t="s">
        <v>14</v>
      </c>
      <c r="C63" s="51">
        <v>1822</v>
      </c>
      <c r="D63" s="51">
        <v>1971</v>
      </c>
      <c r="E63" s="51">
        <v>2073</v>
      </c>
      <c r="F63" s="51">
        <v>1655</v>
      </c>
      <c r="G63" s="51">
        <v>1148</v>
      </c>
      <c r="H63" s="51">
        <v>8669</v>
      </c>
      <c r="I63" s="51">
        <v>9941</v>
      </c>
      <c r="J63" s="51">
        <v>1882</v>
      </c>
      <c r="K63" s="51">
        <v>1561</v>
      </c>
      <c r="L63" s="51">
        <v>1508</v>
      </c>
      <c r="M63" s="51">
        <v>1272</v>
      </c>
      <c r="N63" s="51">
        <v>847</v>
      </c>
      <c r="O63" s="51">
        <v>7070</v>
      </c>
      <c r="P63" s="51">
        <v>8024</v>
      </c>
      <c r="Q63" s="51">
        <v>3704</v>
      </c>
      <c r="R63" s="51">
        <v>3532</v>
      </c>
      <c r="S63" s="51">
        <v>3581</v>
      </c>
      <c r="T63" s="51">
        <v>2927</v>
      </c>
      <c r="U63" s="51">
        <v>1995</v>
      </c>
      <c r="V63" s="51">
        <v>15739</v>
      </c>
      <c r="W63" s="51">
        <v>17965</v>
      </c>
    </row>
    <row r="64" spans="1:23" x14ac:dyDescent="0.2">
      <c r="B64" s="51" t="s">
        <v>15</v>
      </c>
      <c r="C64" s="51">
        <v>4555</v>
      </c>
      <c r="D64" s="51">
        <v>6067</v>
      </c>
      <c r="E64" s="51">
        <v>7119</v>
      </c>
      <c r="F64" s="51">
        <v>5240</v>
      </c>
      <c r="G64" s="51">
        <v>2998</v>
      </c>
      <c r="H64" s="51">
        <v>25979</v>
      </c>
      <c r="I64" s="51">
        <v>27846</v>
      </c>
      <c r="J64" s="51">
        <v>5683</v>
      </c>
      <c r="K64" s="51">
        <v>7183</v>
      </c>
      <c r="L64" s="51">
        <v>7792</v>
      </c>
      <c r="M64" s="51">
        <v>5626</v>
      </c>
      <c r="N64" s="51">
        <v>3154</v>
      </c>
      <c r="O64" s="51">
        <v>29438</v>
      </c>
      <c r="P64" s="51">
        <v>31459</v>
      </c>
      <c r="Q64" s="51">
        <v>10238</v>
      </c>
      <c r="R64" s="51">
        <v>13250</v>
      </c>
      <c r="S64" s="51">
        <v>14911</v>
      </c>
      <c r="T64" s="51">
        <v>10866</v>
      </c>
      <c r="U64" s="51">
        <v>6152</v>
      </c>
      <c r="V64" s="51">
        <v>55417</v>
      </c>
      <c r="W64" s="51">
        <v>59305</v>
      </c>
    </row>
    <row r="65" spans="2:23" x14ac:dyDescent="0.2">
      <c r="B65" s="51" t="s">
        <v>16</v>
      </c>
      <c r="C65" s="51">
        <v>769</v>
      </c>
      <c r="D65" s="51">
        <v>1132</v>
      </c>
      <c r="E65" s="51">
        <v>1551</v>
      </c>
      <c r="F65" s="51">
        <v>1750</v>
      </c>
      <c r="G65" s="51">
        <v>1592</v>
      </c>
      <c r="H65" s="51">
        <v>6794</v>
      </c>
      <c r="I65" s="51">
        <v>9245</v>
      </c>
      <c r="J65" s="51">
        <v>1627</v>
      </c>
      <c r="K65" s="51">
        <v>1985</v>
      </c>
      <c r="L65" s="51">
        <v>2451</v>
      </c>
      <c r="M65" s="51">
        <v>2256</v>
      </c>
      <c r="N65" s="51">
        <v>1791</v>
      </c>
      <c r="O65" s="51">
        <v>10110</v>
      </c>
      <c r="P65" s="51">
        <v>12854</v>
      </c>
      <c r="Q65" s="51">
        <v>2396</v>
      </c>
      <c r="R65" s="51">
        <v>3117</v>
      </c>
      <c r="S65" s="51">
        <v>4002</v>
      </c>
      <c r="T65" s="51">
        <v>4006</v>
      </c>
      <c r="U65" s="51">
        <v>3383</v>
      </c>
      <c r="V65" s="51">
        <v>16904</v>
      </c>
      <c r="W65" s="51">
        <v>22099</v>
      </c>
    </row>
    <row r="66" spans="2:23" x14ac:dyDescent="0.2">
      <c r="B66" s="51" t="s">
        <v>17</v>
      </c>
      <c r="C66" s="51">
        <v>1708</v>
      </c>
      <c r="D66" s="51">
        <v>3476</v>
      </c>
      <c r="E66" s="51">
        <v>4988</v>
      </c>
      <c r="F66" s="51">
        <v>5748</v>
      </c>
      <c r="G66" s="51">
        <v>5319</v>
      </c>
      <c r="H66" s="51">
        <v>21239</v>
      </c>
      <c r="I66" s="51">
        <v>29051</v>
      </c>
      <c r="J66" s="51">
        <v>8482</v>
      </c>
      <c r="K66" s="51">
        <v>11297</v>
      </c>
      <c r="L66" s="51">
        <v>12430</v>
      </c>
      <c r="M66" s="51">
        <v>11096</v>
      </c>
      <c r="N66" s="51">
        <v>8445</v>
      </c>
      <c r="O66" s="51">
        <v>51750</v>
      </c>
      <c r="P66" s="51">
        <v>62486</v>
      </c>
      <c r="Q66" s="51">
        <v>10190</v>
      </c>
      <c r="R66" s="51">
        <v>14773</v>
      </c>
      <c r="S66" s="51">
        <v>17418</v>
      </c>
      <c r="T66" s="51">
        <v>16844</v>
      </c>
      <c r="U66" s="51">
        <v>13764</v>
      </c>
      <c r="V66" s="51">
        <v>72989</v>
      </c>
      <c r="W66" s="51">
        <v>91537</v>
      </c>
    </row>
    <row r="67" spans="2:23" x14ac:dyDescent="0.2">
      <c r="B67" s="51" t="s">
        <v>18</v>
      </c>
      <c r="C67" s="51">
        <v>1122</v>
      </c>
      <c r="D67" s="51">
        <v>1876</v>
      </c>
      <c r="E67" s="51">
        <v>2572</v>
      </c>
      <c r="F67" s="51">
        <v>2749</v>
      </c>
      <c r="G67" s="51">
        <v>2138</v>
      </c>
      <c r="H67" s="51">
        <v>10457</v>
      </c>
      <c r="I67" s="51">
        <v>13311</v>
      </c>
      <c r="J67" s="51">
        <v>5071</v>
      </c>
      <c r="K67" s="51">
        <v>6201</v>
      </c>
      <c r="L67" s="51">
        <v>7455</v>
      </c>
      <c r="M67" s="51">
        <v>6128</v>
      </c>
      <c r="N67" s="51">
        <v>4574</v>
      </c>
      <c r="O67" s="51">
        <v>29429</v>
      </c>
      <c r="P67" s="51">
        <v>34327</v>
      </c>
      <c r="Q67" s="51">
        <v>6193</v>
      </c>
      <c r="R67" s="51">
        <v>8077</v>
      </c>
      <c r="S67" s="51">
        <v>10027</v>
      </c>
      <c r="T67" s="51">
        <v>8877</v>
      </c>
      <c r="U67" s="51">
        <v>6712</v>
      </c>
      <c r="V67" s="51">
        <v>39886</v>
      </c>
      <c r="W67" s="51">
        <v>47638</v>
      </c>
    </row>
    <row r="68" spans="2:23" x14ac:dyDescent="0.2">
      <c r="B68" s="51" t="s">
        <v>73</v>
      </c>
      <c r="C68" s="51">
        <v>495</v>
      </c>
      <c r="D68" s="51">
        <v>755</v>
      </c>
      <c r="E68" s="51">
        <v>1017</v>
      </c>
      <c r="F68" s="51">
        <v>1077</v>
      </c>
      <c r="G68" s="51">
        <v>892</v>
      </c>
      <c r="H68" s="51">
        <v>4236</v>
      </c>
      <c r="I68" s="51">
        <v>5669</v>
      </c>
      <c r="J68" s="51">
        <v>775</v>
      </c>
      <c r="K68" s="51">
        <v>1113</v>
      </c>
      <c r="L68" s="51">
        <v>1347</v>
      </c>
      <c r="M68" s="51">
        <v>1264</v>
      </c>
      <c r="N68" s="51">
        <v>955</v>
      </c>
      <c r="O68" s="51">
        <v>5454</v>
      </c>
      <c r="P68" s="51">
        <v>6783</v>
      </c>
      <c r="Q68" s="51">
        <v>1270</v>
      </c>
      <c r="R68" s="51">
        <v>1868</v>
      </c>
      <c r="S68" s="51">
        <v>2364</v>
      </c>
      <c r="T68" s="51">
        <v>2341</v>
      </c>
      <c r="U68" s="51">
        <v>1847</v>
      </c>
      <c r="V68" s="51">
        <v>9690</v>
      </c>
      <c r="W68" s="51">
        <v>12452</v>
      </c>
    </row>
    <row r="69" spans="2:23" x14ac:dyDescent="0.2">
      <c r="B69" s="51" t="s">
        <v>20</v>
      </c>
      <c r="C69" s="51">
        <v>2902</v>
      </c>
      <c r="D69" s="51">
        <v>3531</v>
      </c>
      <c r="E69" s="51">
        <v>4301</v>
      </c>
      <c r="F69" s="51">
        <v>3400</v>
      </c>
      <c r="G69" s="51">
        <v>2265</v>
      </c>
      <c r="H69" s="51">
        <v>16399</v>
      </c>
      <c r="I69" s="51">
        <v>18166</v>
      </c>
      <c r="J69" s="51">
        <v>10952</v>
      </c>
      <c r="K69" s="51">
        <v>11840</v>
      </c>
      <c r="L69" s="51">
        <v>11141</v>
      </c>
      <c r="M69" s="51">
        <v>6806</v>
      </c>
      <c r="N69" s="51">
        <v>3734</v>
      </c>
      <c r="O69" s="51">
        <v>44473</v>
      </c>
      <c r="P69" s="51">
        <v>46778</v>
      </c>
      <c r="Q69" s="51">
        <v>13854</v>
      </c>
      <c r="R69" s="51">
        <v>15371</v>
      </c>
      <c r="S69" s="51">
        <v>15442</v>
      </c>
      <c r="T69" s="51">
        <v>10206</v>
      </c>
      <c r="U69" s="51">
        <v>5999</v>
      </c>
      <c r="V69" s="51">
        <v>60872</v>
      </c>
      <c r="W69" s="51">
        <v>64944</v>
      </c>
    </row>
    <row r="70" spans="2:23" x14ac:dyDescent="0.2">
      <c r="B70" s="51" t="s">
        <v>21</v>
      </c>
      <c r="C70" s="51">
        <v>756</v>
      </c>
      <c r="D70" s="51">
        <v>1446</v>
      </c>
      <c r="E70" s="51">
        <v>1853</v>
      </c>
      <c r="F70" s="51">
        <v>1232</v>
      </c>
      <c r="G70" s="51">
        <v>481</v>
      </c>
      <c r="H70" s="51">
        <v>5768</v>
      </c>
      <c r="I70" s="51">
        <v>5923</v>
      </c>
      <c r="J70" s="51">
        <v>1981</v>
      </c>
      <c r="K70" s="51">
        <v>3723</v>
      </c>
      <c r="L70" s="51">
        <v>3717</v>
      </c>
      <c r="M70" s="51">
        <v>2074</v>
      </c>
      <c r="N70" s="51">
        <v>622</v>
      </c>
      <c r="O70" s="51">
        <v>12117</v>
      </c>
      <c r="P70" s="51">
        <v>12331</v>
      </c>
      <c r="Q70" s="51">
        <v>2737</v>
      </c>
      <c r="R70" s="51">
        <v>5169</v>
      </c>
      <c r="S70" s="51">
        <v>5570</v>
      </c>
      <c r="T70" s="51">
        <v>3306</v>
      </c>
      <c r="U70" s="51">
        <v>1103</v>
      </c>
      <c r="V70" s="51">
        <v>17885</v>
      </c>
      <c r="W70" s="51">
        <v>18254</v>
      </c>
    </row>
    <row r="71" spans="2:23" x14ac:dyDescent="0.2">
      <c r="B71" s="51" t="s">
        <v>22</v>
      </c>
      <c r="C71" s="51">
        <v>4243</v>
      </c>
      <c r="D71" s="51">
        <v>6449</v>
      </c>
      <c r="E71" s="51">
        <v>8683</v>
      </c>
      <c r="F71" s="51">
        <v>7562</v>
      </c>
      <c r="G71" s="51">
        <v>3993</v>
      </c>
      <c r="H71" s="51">
        <v>30930</v>
      </c>
      <c r="I71" s="51">
        <v>32647</v>
      </c>
      <c r="J71" s="51">
        <v>11740</v>
      </c>
      <c r="K71" s="51">
        <v>17287</v>
      </c>
      <c r="L71" s="51">
        <v>21766</v>
      </c>
      <c r="M71" s="51">
        <v>17021</v>
      </c>
      <c r="N71" s="51">
        <v>7901</v>
      </c>
      <c r="O71" s="51">
        <v>75715</v>
      </c>
      <c r="P71" s="51">
        <v>78306</v>
      </c>
      <c r="Q71" s="51">
        <v>15983</v>
      </c>
      <c r="R71" s="51">
        <v>23736</v>
      </c>
      <c r="S71" s="51">
        <v>30449</v>
      </c>
      <c r="T71" s="51">
        <v>24583</v>
      </c>
      <c r="U71" s="51">
        <v>11894</v>
      </c>
      <c r="V71" s="51">
        <v>106645</v>
      </c>
      <c r="W71" s="51">
        <v>110953</v>
      </c>
    </row>
    <row r="72" spans="2:23" x14ac:dyDescent="0.2">
      <c r="B72" s="51" t="s">
        <v>61</v>
      </c>
      <c r="C72" s="51">
        <v>1137</v>
      </c>
      <c r="D72" s="51">
        <v>3071</v>
      </c>
      <c r="E72" s="51">
        <v>4903</v>
      </c>
      <c r="F72" s="51">
        <v>4030</v>
      </c>
      <c r="G72" s="51">
        <v>1945</v>
      </c>
      <c r="H72" s="51">
        <v>15086</v>
      </c>
      <c r="I72" s="51">
        <v>16249</v>
      </c>
      <c r="J72" s="51">
        <v>2492</v>
      </c>
      <c r="K72" s="51">
        <v>5384</v>
      </c>
      <c r="L72" s="51">
        <v>6221</v>
      </c>
      <c r="M72" s="51">
        <v>3777</v>
      </c>
      <c r="N72" s="51">
        <v>1453</v>
      </c>
      <c r="O72" s="51">
        <v>19327</v>
      </c>
      <c r="P72" s="51">
        <v>20151</v>
      </c>
      <c r="Q72" s="51">
        <v>3629</v>
      </c>
      <c r="R72" s="51">
        <v>8455</v>
      </c>
      <c r="S72" s="51">
        <v>11124</v>
      </c>
      <c r="T72" s="51">
        <v>7807</v>
      </c>
      <c r="U72" s="51">
        <v>3398</v>
      </c>
      <c r="V72" s="51">
        <v>34413</v>
      </c>
      <c r="W72" s="51">
        <v>36400</v>
      </c>
    </row>
    <row r="73" spans="2:23" x14ac:dyDescent="0.2">
      <c r="B73" s="51" t="s">
        <v>23</v>
      </c>
      <c r="C73" s="51">
        <v>542</v>
      </c>
      <c r="D73" s="51">
        <v>1571</v>
      </c>
      <c r="E73" s="51">
        <v>2367</v>
      </c>
      <c r="F73" s="51">
        <v>1578</v>
      </c>
      <c r="G73" s="51">
        <v>680</v>
      </c>
      <c r="H73" s="51">
        <v>6738</v>
      </c>
      <c r="I73" s="51">
        <v>7128</v>
      </c>
      <c r="J73" s="51">
        <v>1000</v>
      </c>
      <c r="K73" s="51">
        <v>2396</v>
      </c>
      <c r="L73" s="51">
        <v>2858</v>
      </c>
      <c r="M73" s="51">
        <v>1626</v>
      </c>
      <c r="N73" s="51">
        <v>621</v>
      </c>
      <c r="O73" s="51">
        <v>8501</v>
      </c>
      <c r="P73" s="51">
        <v>8850</v>
      </c>
      <c r="Q73" s="51">
        <v>1542</v>
      </c>
      <c r="R73" s="51">
        <v>3967</v>
      </c>
      <c r="S73" s="51">
        <v>5225</v>
      </c>
      <c r="T73" s="51">
        <v>3204</v>
      </c>
      <c r="U73" s="51">
        <v>1301</v>
      </c>
      <c r="V73" s="51">
        <v>15239</v>
      </c>
      <c r="W73" s="51">
        <v>15978</v>
      </c>
    </row>
    <row r="74" spans="2:23" x14ac:dyDescent="0.2">
      <c r="B74" s="51" t="s">
        <v>24</v>
      </c>
      <c r="C74" s="51">
        <v>1280</v>
      </c>
      <c r="D74" s="51">
        <v>879</v>
      </c>
      <c r="E74" s="51">
        <v>861</v>
      </c>
      <c r="F74" s="51">
        <v>707</v>
      </c>
      <c r="G74" s="51">
        <v>490</v>
      </c>
      <c r="H74" s="51">
        <v>4217</v>
      </c>
      <c r="I74" s="51">
        <v>4621</v>
      </c>
      <c r="J74" s="51">
        <v>2838</v>
      </c>
      <c r="K74" s="51">
        <v>2149</v>
      </c>
      <c r="L74" s="51">
        <v>2010</v>
      </c>
      <c r="M74" s="51">
        <v>1706</v>
      </c>
      <c r="N74" s="51">
        <v>1317</v>
      </c>
      <c r="O74" s="51">
        <v>10020</v>
      </c>
      <c r="P74" s="51">
        <v>11055</v>
      </c>
      <c r="Q74" s="51">
        <v>4118</v>
      </c>
      <c r="R74" s="51">
        <v>3028</v>
      </c>
      <c r="S74" s="51">
        <v>2871</v>
      </c>
      <c r="T74" s="51">
        <v>2413</v>
      </c>
      <c r="U74" s="51">
        <v>1807</v>
      </c>
      <c r="V74" s="51">
        <v>14237</v>
      </c>
      <c r="W74" s="51">
        <v>15676</v>
      </c>
    </row>
    <row r="75" spans="2:23" x14ac:dyDescent="0.2">
      <c r="B75" s="51" t="s">
        <v>25</v>
      </c>
      <c r="C75" s="51">
        <v>617</v>
      </c>
      <c r="D75" s="51">
        <v>407</v>
      </c>
      <c r="E75" s="51">
        <v>455</v>
      </c>
      <c r="F75" s="51">
        <v>363</v>
      </c>
      <c r="G75" s="51">
        <v>293</v>
      </c>
      <c r="H75" s="51">
        <v>2135</v>
      </c>
      <c r="I75" s="51">
        <v>2280</v>
      </c>
      <c r="J75" s="51">
        <v>909</v>
      </c>
      <c r="K75" s="51">
        <v>687</v>
      </c>
      <c r="L75" s="51">
        <v>775</v>
      </c>
      <c r="M75" s="51">
        <v>674</v>
      </c>
      <c r="N75" s="51">
        <v>498</v>
      </c>
      <c r="O75" s="51">
        <v>3543</v>
      </c>
      <c r="P75" s="51">
        <v>3834</v>
      </c>
      <c r="Q75" s="51">
        <v>1526</v>
      </c>
      <c r="R75" s="51">
        <v>1094</v>
      </c>
      <c r="S75" s="51">
        <v>1230</v>
      </c>
      <c r="T75" s="51">
        <v>1037</v>
      </c>
      <c r="U75" s="51">
        <v>791</v>
      </c>
      <c r="V75" s="51">
        <v>5678</v>
      </c>
      <c r="W75" s="51">
        <v>6114</v>
      </c>
    </row>
    <row r="76" spans="2:23" x14ac:dyDescent="0.2">
      <c r="B76" s="51" t="s">
        <v>26</v>
      </c>
      <c r="C76" s="51">
        <v>619</v>
      </c>
      <c r="D76" s="51">
        <v>568</v>
      </c>
      <c r="E76" s="51">
        <v>492</v>
      </c>
      <c r="F76" s="51">
        <v>418</v>
      </c>
      <c r="G76" s="51">
        <v>292</v>
      </c>
      <c r="H76" s="51">
        <v>2389</v>
      </c>
      <c r="I76" s="51">
        <v>2598</v>
      </c>
      <c r="J76" s="51">
        <v>1226</v>
      </c>
      <c r="K76" s="51">
        <v>1160</v>
      </c>
      <c r="L76" s="51">
        <v>1121</v>
      </c>
      <c r="M76" s="51">
        <v>965</v>
      </c>
      <c r="N76" s="51">
        <v>719</v>
      </c>
      <c r="O76" s="51">
        <v>5191</v>
      </c>
      <c r="P76" s="51">
        <v>5740</v>
      </c>
      <c r="Q76" s="51">
        <v>1845</v>
      </c>
      <c r="R76" s="51">
        <v>1728</v>
      </c>
      <c r="S76" s="51">
        <v>1613</v>
      </c>
      <c r="T76" s="51">
        <v>1383</v>
      </c>
      <c r="U76" s="51">
        <v>1011</v>
      </c>
      <c r="V76" s="51">
        <v>7580</v>
      </c>
      <c r="W76" s="51">
        <v>8338</v>
      </c>
    </row>
    <row r="77" spans="2:23" x14ac:dyDescent="0.2">
      <c r="B77" s="51" t="s">
        <v>74</v>
      </c>
      <c r="C77" s="51">
        <v>925</v>
      </c>
      <c r="D77" s="51">
        <v>358</v>
      </c>
      <c r="E77" s="51">
        <v>191</v>
      </c>
      <c r="F77" s="51">
        <v>151</v>
      </c>
      <c r="G77" s="51">
        <v>103</v>
      </c>
      <c r="H77" s="51">
        <v>1728</v>
      </c>
      <c r="I77" s="51">
        <v>1833</v>
      </c>
      <c r="J77" s="51">
        <v>1347</v>
      </c>
      <c r="K77" s="51">
        <v>480</v>
      </c>
      <c r="L77" s="51">
        <v>326</v>
      </c>
      <c r="M77" s="51">
        <v>214</v>
      </c>
      <c r="N77" s="51">
        <v>128</v>
      </c>
      <c r="O77" s="51">
        <v>2495</v>
      </c>
      <c r="P77" s="51">
        <v>2643</v>
      </c>
      <c r="Q77" s="51">
        <v>2272</v>
      </c>
      <c r="R77" s="51">
        <v>838</v>
      </c>
      <c r="S77" s="51">
        <v>517</v>
      </c>
      <c r="T77" s="51">
        <v>365</v>
      </c>
      <c r="U77" s="51">
        <v>231</v>
      </c>
      <c r="V77" s="51">
        <v>4223</v>
      </c>
      <c r="W77" s="51">
        <v>4476</v>
      </c>
    </row>
    <row r="78" spans="2:23" x14ac:dyDescent="0.2">
      <c r="B78" s="51" t="s">
        <v>28</v>
      </c>
      <c r="C78" s="51">
        <v>854</v>
      </c>
      <c r="D78" s="51">
        <v>663</v>
      </c>
      <c r="E78" s="51">
        <v>660</v>
      </c>
      <c r="F78" s="51">
        <v>469</v>
      </c>
      <c r="G78" s="51">
        <v>277</v>
      </c>
      <c r="H78" s="51">
        <v>2923</v>
      </c>
      <c r="I78" s="51">
        <v>3140</v>
      </c>
      <c r="J78" s="51">
        <v>1207</v>
      </c>
      <c r="K78" s="51">
        <v>1026</v>
      </c>
      <c r="L78" s="51">
        <v>770</v>
      </c>
      <c r="M78" s="51">
        <v>516</v>
      </c>
      <c r="N78" s="51">
        <v>248</v>
      </c>
      <c r="O78" s="51">
        <v>3767</v>
      </c>
      <c r="P78" s="51">
        <v>3961</v>
      </c>
      <c r="Q78" s="51">
        <v>2061</v>
      </c>
      <c r="R78" s="51">
        <v>1689</v>
      </c>
      <c r="S78" s="51">
        <v>1430</v>
      </c>
      <c r="T78" s="51">
        <v>985</v>
      </c>
      <c r="U78" s="51">
        <v>525</v>
      </c>
      <c r="V78" s="51">
        <v>6690</v>
      </c>
      <c r="W78" s="51">
        <v>7101</v>
      </c>
    </row>
    <row r="79" spans="2:23" x14ac:dyDescent="0.2">
      <c r="B79" s="51" t="s">
        <v>29</v>
      </c>
      <c r="C79" s="51">
        <v>1409</v>
      </c>
      <c r="D79" s="51">
        <v>1680</v>
      </c>
      <c r="E79" s="51">
        <v>1969</v>
      </c>
      <c r="F79" s="51">
        <v>1542</v>
      </c>
      <c r="G79" s="51">
        <v>939</v>
      </c>
      <c r="H79" s="51">
        <v>7539</v>
      </c>
      <c r="I79" s="51">
        <v>8499</v>
      </c>
      <c r="J79" s="51">
        <v>3656</v>
      </c>
      <c r="K79" s="51">
        <v>4027</v>
      </c>
      <c r="L79" s="51">
        <v>4001</v>
      </c>
      <c r="M79" s="51">
        <v>2898</v>
      </c>
      <c r="N79" s="51">
        <v>1832</v>
      </c>
      <c r="O79" s="51">
        <v>16414</v>
      </c>
      <c r="P79" s="51">
        <v>17899</v>
      </c>
      <c r="Q79" s="51">
        <v>5065</v>
      </c>
      <c r="R79" s="51">
        <v>5707</v>
      </c>
      <c r="S79" s="51">
        <v>5970</v>
      </c>
      <c r="T79" s="51">
        <v>4440</v>
      </c>
      <c r="U79" s="51">
        <v>2771</v>
      </c>
      <c r="V79" s="51">
        <v>23953</v>
      </c>
      <c r="W79" s="51">
        <v>26398</v>
      </c>
    </row>
    <row r="80" spans="2:23" x14ac:dyDescent="0.2">
      <c r="B80" s="51" t="s">
        <v>30</v>
      </c>
      <c r="C80" s="51">
        <v>984</v>
      </c>
      <c r="D80" s="51">
        <v>1456</v>
      </c>
      <c r="E80" s="51">
        <v>1886</v>
      </c>
      <c r="F80" s="51">
        <v>1655</v>
      </c>
      <c r="G80" s="51">
        <v>1082</v>
      </c>
      <c r="H80" s="51">
        <v>7063</v>
      </c>
      <c r="I80" s="51">
        <v>7687</v>
      </c>
      <c r="J80" s="51">
        <v>729</v>
      </c>
      <c r="K80" s="51">
        <v>1003</v>
      </c>
      <c r="L80" s="51">
        <v>1146</v>
      </c>
      <c r="M80" s="51">
        <v>859</v>
      </c>
      <c r="N80" s="51">
        <v>484</v>
      </c>
      <c r="O80" s="51">
        <v>4221</v>
      </c>
      <c r="P80" s="51">
        <v>4496</v>
      </c>
      <c r="Q80" s="51">
        <v>1713</v>
      </c>
      <c r="R80" s="51">
        <v>2459</v>
      </c>
      <c r="S80" s="51">
        <v>3032</v>
      </c>
      <c r="T80" s="51">
        <v>2514</v>
      </c>
      <c r="U80" s="51">
        <v>1566</v>
      </c>
      <c r="V80" s="51">
        <v>11284</v>
      </c>
      <c r="W80" s="51">
        <v>12183</v>
      </c>
    </row>
    <row r="81" spans="1:23" x14ac:dyDescent="0.2">
      <c r="B81" s="51" t="s">
        <v>31</v>
      </c>
      <c r="C81" s="51">
        <v>1235</v>
      </c>
      <c r="D81" s="51">
        <v>1964</v>
      </c>
      <c r="E81" s="51">
        <v>2986</v>
      </c>
      <c r="F81" s="51">
        <v>3717</v>
      </c>
      <c r="G81" s="51">
        <v>3877</v>
      </c>
      <c r="H81" s="51">
        <v>13779</v>
      </c>
      <c r="I81" s="51">
        <v>16631</v>
      </c>
      <c r="J81" s="51">
        <v>1695</v>
      </c>
      <c r="K81" s="51">
        <v>1917</v>
      </c>
      <c r="L81" s="51">
        <v>2212</v>
      </c>
      <c r="M81" s="51">
        <v>2159</v>
      </c>
      <c r="N81" s="51">
        <v>1620</v>
      </c>
      <c r="O81" s="51">
        <v>9603</v>
      </c>
      <c r="P81" s="51">
        <v>10672</v>
      </c>
      <c r="Q81" s="51">
        <v>2930</v>
      </c>
      <c r="R81" s="51">
        <v>3881</v>
      </c>
      <c r="S81" s="51">
        <v>5198</v>
      </c>
      <c r="T81" s="51">
        <v>5876</v>
      </c>
      <c r="U81" s="51">
        <v>5497</v>
      </c>
      <c r="V81" s="51">
        <v>23382</v>
      </c>
      <c r="W81" s="51">
        <v>27303</v>
      </c>
    </row>
    <row r="82" spans="1:23" x14ac:dyDescent="0.2">
      <c r="B82" s="51" t="s">
        <v>32</v>
      </c>
      <c r="C82" s="51">
        <v>3400</v>
      </c>
      <c r="D82" s="51">
        <v>5365</v>
      </c>
      <c r="E82" s="51">
        <v>7746</v>
      </c>
      <c r="F82" s="51">
        <v>8404</v>
      </c>
      <c r="G82" s="51">
        <v>7808</v>
      </c>
      <c r="H82" s="51">
        <v>32723</v>
      </c>
      <c r="I82" s="51">
        <v>42227</v>
      </c>
      <c r="J82" s="51">
        <v>5121</v>
      </c>
      <c r="K82" s="51">
        <v>7276</v>
      </c>
      <c r="L82" s="51">
        <v>9517</v>
      </c>
      <c r="M82" s="51">
        <v>9777</v>
      </c>
      <c r="N82" s="51">
        <v>8633</v>
      </c>
      <c r="O82" s="51">
        <v>40324</v>
      </c>
      <c r="P82" s="51">
        <v>48597</v>
      </c>
      <c r="Q82" s="51">
        <v>8521</v>
      </c>
      <c r="R82" s="51">
        <v>12641</v>
      </c>
      <c r="S82" s="51">
        <v>17263</v>
      </c>
      <c r="T82" s="51">
        <v>18181</v>
      </c>
      <c r="U82" s="51">
        <v>16441</v>
      </c>
      <c r="V82" s="51">
        <v>73047</v>
      </c>
      <c r="W82" s="51">
        <v>90824</v>
      </c>
    </row>
    <row r="83" spans="1:23" x14ac:dyDescent="0.2">
      <c r="B83" s="51" t="s">
        <v>54</v>
      </c>
      <c r="C83" s="51">
        <v>80490</v>
      </c>
      <c r="D83" s="51">
        <v>89045</v>
      </c>
      <c r="E83" s="51">
        <v>108868</v>
      </c>
      <c r="F83" s="51">
        <v>101233</v>
      </c>
      <c r="G83" s="51">
        <v>79914</v>
      </c>
      <c r="H83" s="51">
        <v>459550</v>
      </c>
      <c r="I83" s="51">
        <v>548339</v>
      </c>
      <c r="J83" s="51">
        <v>109932</v>
      </c>
      <c r="K83" s="51">
        <v>124932</v>
      </c>
      <c r="L83" s="51">
        <v>137071</v>
      </c>
      <c r="M83" s="51">
        <v>112071</v>
      </c>
      <c r="N83" s="51">
        <v>76757</v>
      </c>
      <c r="O83" s="51">
        <v>560763</v>
      </c>
      <c r="P83" s="51">
        <v>633159</v>
      </c>
      <c r="Q83" s="51">
        <v>190422</v>
      </c>
      <c r="R83" s="51">
        <v>213977</v>
      </c>
      <c r="S83" s="51">
        <v>245939</v>
      </c>
      <c r="T83" s="51">
        <v>213304</v>
      </c>
      <c r="U83" s="51">
        <v>156671</v>
      </c>
      <c r="V83" s="51">
        <v>1020313</v>
      </c>
      <c r="W83" s="51">
        <v>1181498</v>
      </c>
    </row>
    <row r="90" spans="1:23" x14ac:dyDescent="0.2">
      <c r="A90" s="51" t="s">
        <v>77</v>
      </c>
      <c r="C90" s="51" t="s">
        <v>64</v>
      </c>
      <c r="D90" s="51" t="s">
        <v>64</v>
      </c>
      <c r="E90" s="51" t="s">
        <v>68</v>
      </c>
    </row>
    <row r="91" spans="1:23" x14ac:dyDescent="0.2">
      <c r="E91" s="51" t="s">
        <v>33</v>
      </c>
      <c r="F91" s="51" t="s">
        <v>34</v>
      </c>
      <c r="G91" s="51" t="s">
        <v>35</v>
      </c>
      <c r="H91" s="51" t="s">
        <v>36</v>
      </c>
      <c r="I91" s="51" t="s">
        <v>37</v>
      </c>
      <c r="J91" s="51" t="s">
        <v>47</v>
      </c>
      <c r="K91" s="51" t="s">
        <v>54</v>
      </c>
    </row>
    <row r="92" spans="1:23" x14ac:dyDescent="0.2">
      <c r="E92" s="51" t="s">
        <v>71</v>
      </c>
      <c r="F92" s="51" t="s">
        <v>71</v>
      </c>
      <c r="G92" s="51" t="s">
        <v>71</v>
      </c>
      <c r="H92" s="51" t="s">
        <v>71</v>
      </c>
      <c r="I92" s="51" t="s">
        <v>71</v>
      </c>
      <c r="J92" s="51" t="s">
        <v>71</v>
      </c>
      <c r="K92" s="51" t="s">
        <v>71</v>
      </c>
    </row>
    <row r="93" spans="1:23" x14ac:dyDescent="0.2">
      <c r="A93" s="51" t="s">
        <v>65</v>
      </c>
      <c r="B93" s="51" t="s">
        <v>54</v>
      </c>
      <c r="C93" s="51" t="s">
        <v>72</v>
      </c>
      <c r="D93" s="51" t="s">
        <v>0</v>
      </c>
      <c r="E93" s="51">
        <v>13149</v>
      </c>
      <c r="F93" s="51">
        <v>13288</v>
      </c>
      <c r="G93" s="51">
        <v>14879</v>
      </c>
      <c r="H93" s="51">
        <v>14530</v>
      </c>
      <c r="I93" s="51">
        <v>13082</v>
      </c>
      <c r="J93" s="51">
        <v>68928</v>
      </c>
      <c r="K93" s="51">
        <v>84334</v>
      </c>
    </row>
    <row r="94" spans="1:23" x14ac:dyDescent="0.2">
      <c r="D94" s="51" t="s">
        <v>1</v>
      </c>
      <c r="E94" s="51">
        <v>11662</v>
      </c>
      <c r="F94" s="51">
        <v>11726</v>
      </c>
      <c r="G94" s="51">
        <v>11735</v>
      </c>
      <c r="H94" s="51">
        <v>10821</v>
      </c>
      <c r="I94" s="51">
        <v>9299</v>
      </c>
      <c r="J94" s="51">
        <v>55243</v>
      </c>
      <c r="K94" s="51">
        <v>66418</v>
      </c>
    </row>
    <row r="95" spans="1:23" x14ac:dyDescent="0.2">
      <c r="D95" s="51" t="s">
        <v>2</v>
      </c>
      <c r="E95" s="51">
        <v>9910</v>
      </c>
      <c r="F95" s="51">
        <v>7989</v>
      </c>
      <c r="G95" s="51">
        <v>8284</v>
      </c>
      <c r="H95" s="51">
        <v>7673</v>
      </c>
      <c r="I95" s="51">
        <v>6801</v>
      </c>
      <c r="J95" s="51">
        <v>40657</v>
      </c>
      <c r="K95" s="51">
        <v>49079</v>
      </c>
    </row>
    <row r="96" spans="1:23" x14ac:dyDescent="0.2">
      <c r="D96" s="51" t="s">
        <v>3</v>
      </c>
      <c r="E96" s="51">
        <v>1198</v>
      </c>
      <c r="F96" s="51">
        <v>1203</v>
      </c>
      <c r="G96" s="51">
        <v>1533</v>
      </c>
      <c r="H96" s="51">
        <v>1508</v>
      </c>
      <c r="I96" s="51">
        <v>1247</v>
      </c>
      <c r="J96" s="51">
        <v>6689</v>
      </c>
      <c r="K96" s="51">
        <v>8187</v>
      </c>
    </row>
    <row r="97" spans="4:11" x14ac:dyDescent="0.2">
      <c r="D97" s="51" t="s">
        <v>4</v>
      </c>
      <c r="E97" s="51">
        <v>25465</v>
      </c>
      <c r="F97" s="51">
        <v>16556</v>
      </c>
      <c r="G97" s="51">
        <v>15787</v>
      </c>
      <c r="H97" s="51">
        <v>14601</v>
      </c>
      <c r="I97" s="51">
        <v>12642</v>
      </c>
      <c r="J97" s="51">
        <v>85051</v>
      </c>
      <c r="K97" s="51">
        <v>104586</v>
      </c>
    </row>
    <row r="98" spans="4:11" x14ac:dyDescent="0.2">
      <c r="D98" s="51" t="s">
        <v>5</v>
      </c>
      <c r="E98" s="51">
        <v>5055</v>
      </c>
      <c r="F98" s="51">
        <v>2211</v>
      </c>
      <c r="G98" s="51">
        <v>1728</v>
      </c>
      <c r="H98" s="51">
        <v>1255</v>
      </c>
      <c r="I98" s="51">
        <v>931</v>
      </c>
      <c r="J98" s="51">
        <v>11180</v>
      </c>
      <c r="K98" s="51">
        <v>12427</v>
      </c>
    </row>
    <row r="99" spans="4:11" x14ac:dyDescent="0.2">
      <c r="D99" s="51" t="s">
        <v>6</v>
      </c>
      <c r="E99" s="51">
        <v>2112</v>
      </c>
      <c r="F99" s="51">
        <v>3453</v>
      </c>
      <c r="G99" s="51">
        <v>4649</v>
      </c>
      <c r="H99" s="51">
        <v>4693</v>
      </c>
      <c r="I99" s="51">
        <v>3667</v>
      </c>
      <c r="J99" s="51">
        <v>18574</v>
      </c>
      <c r="K99" s="51">
        <v>21628</v>
      </c>
    </row>
    <row r="100" spans="4:11" x14ac:dyDescent="0.2">
      <c r="D100" s="51" t="s">
        <v>7</v>
      </c>
      <c r="E100" s="51">
        <v>674</v>
      </c>
      <c r="F100" s="51">
        <v>1002</v>
      </c>
      <c r="G100" s="51">
        <v>1315</v>
      </c>
      <c r="H100" s="51">
        <v>1316</v>
      </c>
      <c r="I100" s="51">
        <v>1102</v>
      </c>
      <c r="J100" s="51">
        <v>5409</v>
      </c>
      <c r="K100" s="51">
        <v>6846</v>
      </c>
    </row>
    <row r="101" spans="4:11" x14ac:dyDescent="0.2">
      <c r="D101" s="51" t="s">
        <v>8</v>
      </c>
      <c r="E101" s="51">
        <v>940</v>
      </c>
      <c r="F101" s="51">
        <v>1850</v>
      </c>
      <c r="G101" s="51">
        <v>3156</v>
      </c>
      <c r="H101" s="51">
        <v>3589</v>
      </c>
      <c r="I101" s="51">
        <v>3174</v>
      </c>
      <c r="J101" s="51">
        <v>12709</v>
      </c>
      <c r="K101" s="51">
        <v>15819</v>
      </c>
    </row>
    <row r="102" spans="4:11" x14ac:dyDescent="0.2">
      <c r="D102" s="51" t="s">
        <v>9</v>
      </c>
      <c r="E102" s="51">
        <v>40</v>
      </c>
      <c r="F102" s="51">
        <v>99</v>
      </c>
      <c r="G102" s="51">
        <v>118</v>
      </c>
      <c r="H102" s="51">
        <v>92</v>
      </c>
      <c r="I102" s="51">
        <v>87</v>
      </c>
      <c r="J102" s="51">
        <v>436</v>
      </c>
      <c r="K102" s="51">
        <v>519</v>
      </c>
    </row>
    <row r="103" spans="4:11" x14ac:dyDescent="0.2">
      <c r="D103" s="51" t="s">
        <v>10</v>
      </c>
      <c r="E103" s="51">
        <v>489</v>
      </c>
      <c r="F103" s="51">
        <v>838</v>
      </c>
      <c r="G103" s="51">
        <v>1193</v>
      </c>
      <c r="H103" s="51">
        <v>1129</v>
      </c>
      <c r="I103" s="51">
        <v>1122</v>
      </c>
      <c r="J103" s="51">
        <v>4771</v>
      </c>
      <c r="K103" s="51">
        <v>6840</v>
      </c>
    </row>
    <row r="104" spans="4:11" x14ac:dyDescent="0.2">
      <c r="D104" s="51" t="s">
        <v>11</v>
      </c>
      <c r="E104" s="51">
        <v>3844</v>
      </c>
      <c r="F104" s="51">
        <v>6908</v>
      </c>
      <c r="G104" s="51">
        <v>9334</v>
      </c>
      <c r="H104" s="51">
        <v>8798</v>
      </c>
      <c r="I104" s="51">
        <v>7324</v>
      </c>
      <c r="J104" s="51">
        <v>36208</v>
      </c>
      <c r="K104" s="51">
        <v>42163</v>
      </c>
    </row>
    <row r="105" spans="4:11" x14ac:dyDescent="0.2">
      <c r="D105" s="51" t="s">
        <v>12</v>
      </c>
      <c r="E105" s="51">
        <v>5540</v>
      </c>
      <c r="F105" s="51">
        <v>5366</v>
      </c>
      <c r="G105" s="51">
        <v>5314</v>
      </c>
      <c r="H105" s="51">
        <v>4577</v>
      </c>
      <c r="I105" s="51">
        <v>3452</v>
      </c>
      <c r="J105" s="51">
        <v>24249</v>
      </c>
      <c r="K105" s="51">
        <v>27931</v>
      </c>
    </row>
    <row r="106" spans="4:11" x14ac:dyDescent="0.2">
      <c r="D106" s="51" t="s">
        <v>13</v>
      </c>
      <c r="E106" s="51">
        <v>8557</v>
      </c>
      <c r="F106" s="51">
        <v>7108</v>
      </c>
      <c r="G106" s="51">
        <v>7677</v>
      </c>
      <c r="H106" s="51">
        <v>6561</v>
      </c>
      <c r="I106" s="51">
        <v>4553</v>
      </c>
      <c r="J106" s="51">
        <v>34456</v>
      </c>
      <c r="K106" s="51">
        <v>38783</v>
      </c>
    </row>
    <row r="107" spans="4:11" x14ac:dyDescent="0.2">
      <c r="D107" s="51" t="s">
        <v>14</v>
      </c>
      <c r="E107" s="51">
        <v>3704</v>
      </c>
      <c r="F107" s="51">
        <v>3532</v>
      </c>
      <c r="G107" s="51">
        <v>3581</v>
      </c>
      <c r="H107" s="51">
        <v>2927</v>
      </c>
      <c r="I107" s="51">
        <v>1995</v>
      </c>
      <c r="J107" s="51">
        <v>15739</v>
      </c>
      <c r="K107" s="51">
        <v>17965</v>
      </c>
    </row>
    <row r="108" spans="4:11" x14ac:dyDescent="0.2">
      <c r="D108" s="51" t="s">
        <v>15</v>
      </c>
      <c r="E108" s="51">
        <v>10238</v>
      </c>
      <c r="F108" s="51">
        <v>13250</v>
      </c>
      <c r="G108" s="51">
        <v>14911</v>
      </c>
      <c r="H108" s="51">
        <v>10866</v>
      </c>
      <c r="I108" s="51">
        <v>6152</v>
      </c>
      <c r="J108" s="51">
        <v>55417</v>
      </c>
      <c r="K108" s="51">
        <v>59305</v>
      </c>
    </row>
    <row r="109" spans="4:11" x14ac:dyDescent="0.2">
      <c r="D109" s="51" t="s">
        <v>16</v>
      </c>
      <c r="E109" s="51">
        <v>2396</v>
      </c>
      <c r="F109" s="51">
        <v>3117</v>
      </c>
      <c r="G109" s="51">
        <v>4002</v>
      </c>
      <c r="H109" s="51">
        <v>4006</v>
      </c>
      <c r="I109" s="51">
        <v>3383</v>
      </c>
      <c r="J109" s="51">
        <v>16904</v>
      </c>
      <c r="K109" s="51">
        <v>22099</v>
      </c>
    </row>
    <row r="110" spans="4:11" x14ac:dyDescent="0.2">
      <c r="D110" s="51" t="s">
        <v>17</v>
      </c>
      <c r="E110" s="51">
        <v>10190</v>
      </c>
      <c r="F110" s="51">
        <v>14773</v>
      </c>
      <c r="G110" s="51">
        <v>17418</v>
      </c>
      <c r="H110" s="51">
        <v>16844</v>
      </c>
      <c r="I110" s="51">
        <v>13764</v>
      </c>
      <c r="J110" s="51">
        <v>72989</v>
      </c>
      <c r="K110" s="51">
        <v>91537</v>
      </c>
    </row>
    <row r="111" spans="4:11" x14ac:dyDescent="0.2">
      <c r="D111" s="51" t="s">
        <v>18</v>
      </c>
      <c r="E111" s="51">
        <v>6193</v>
      </c>
      <c r="F111" s="51">
        <v>8077</v>
      </c>
      <c r="G111" s="51">
        <v>10027</v>
      </c>
      <c r="H111" s="51">
        <v>8877</v>
      </c>
      <c r="I111" s="51">
        <v>6712</v>
      </c>
      <c r="J111" s="51">
        <v>39886</v>
      </c>
      <c r="K111" s="51">
        <v>47638</v>
      </c>
    </row>
    <row r="112" spans="4:11" x14ac:dyDescent="0.2">
      <c r="D112" s="51" t="s">
        <v>73</v>
      </c>
      <c r="E112" s="51">
        <v>1270</v>
      </c>
      <c r="F112" s="51">
        <v>1868</v>
      </c>
      <c r="G112" s="51">
        <v>2364</v>
      </c>
      <c r="H112" s="51">
        <v>2341</v>
      </c>
      <c r="I112" s="51">
        <v>1847</v>
      </c>
      <c r="J112" s="51">
        <v>9690</v>
      </c>
      <c r="K112" s="51">
        <v>12452</v>
      </c>
    </row>
    <row r="113" spans="2:11" x14ac:dyDescent="0.2">
      <c r="D113" s="51" t="s">
        <v>20</v>
      </c>
      <c r="E113" s="51">
        <v>13854</v>
      </c>
      <c r="F113" s="51">
        <v>15371</v>
      </c>
      <c r="G113" s="51">
        <v>15442</v>
      </c>
      <c r="H113" s="51">
        <v>10206</v>
      </c>
      <c r="I113" s="51">
        <v>5999</v>
      </c>
      <c r="J113" s="51">
        <v>60872</v>
      </c>
      <c r="K113" s="51">
        <v>64944</v>
      </c>
    </row>
    <row r="114" spans="2:11" x14ac:dyDescent="0.2">
      <c r="D114" s="51" t="s">
        <v>21</v>
      </c>
      <c r="E114" s="51">
        <v>2737</v>
      </c>
      <c r="F114" s="51">
        <v>5169</v>
      </c>
      <c r="G114" s="51">
        <v>5570</v>
      </c>
      <c r="H114" s="51">
        <v>3306</v>
      </c>
      <c r="I114" s="51">
        <v>1103</v>
      </c>
      <c r="J114" s="51">
        <v>17885</v>
      </c>
      <c r="K114" s="51">
        <v>18254</v>
      </c>
    </row>
    <row r="115" spans="2:11" x14ac:dyDescent="0.2">
      <c r="D115" s="51" t="s">
        <v>22</v>
      </c>
      <c r="E115" s="51">
        <v>15983</v>
      </c>
      <c r="F115" s="51">
        <v>23736</v>
      </c>
      <c r="G115" s="51">
        <v>30449</v>
      </c>
      <c r="H115" s="51">
        <v>24583</v>
      </c>
      <c r="I115" s="51">
        <v>11894</v>
      </c>
      <c r="J115" s="51">
        <v>106645</v>
      </c>
      <c r="K115" s="51">
        <v>110953</v>
      </c>
    </row>
    <row r="116" spans="2:11" x14ac:dyDescent="0.2">
      <c r="D116" s="51" t="s">
        <v>61</v>
      </c>
      <c r="E116" s="51">
        <v>3629</v>
      </c>
      <c r="F116" s="51">
        <v>8455</v>
      </c>
      <c r="G116" s="51">
        <v>11124</v>
      </c>
      <c r="H116" s="51">
        <v>7807</v>
      </c>
      <c r="I116" s="51">
        <v>3398</v>
      </c>
      <c r="J116" s="51">
        <v>34413</v>
      </c>
      <c r="K116" s="51">
        <v>36400</v>
      </c>
    </row>
    <row r="117" spans="2:11" x14ac:dyDescent="0.2">
      <c r="D117" s="51" t="s">
        <v>23</v>
      </c>
      <c r="E117" s="51">
        <v>1542</v>
      </c>
      <c r="F117" s="51">
        <v>3967</v>
      </c>
      <c r="G117" s="51">
        <v>5225</v>
      </c>
      <c r="H117" s="51">
        <v>3204</v>
      </c>
      <c r="I117" s="51">
        <v>1301</v>
      </c>
      <c r="J117" s="51">
        <v>15239</v>
      </c>
      <c r="K117" s="51">
        <v>15978</v>
      </c>
    </row>
    <row r="118" spans="2:11" x14ac:dyDescent="0.2">
      <c r="D118" s="51" t="s">
        <v>24</v>
      </c>
      <c r="E118" s="51">
        <v>4118</v>
      </c>
      <c r="F118" s="51">
        <v>3028</v>
      </c>
      <c r="G118" s="51">
        <v>2871</v>
      </c>
      <c r="H118" s="51">
        <v>2413</v>
      </c>
      <c r="I118" s="51">
        <v>1807</v>
      </c>
      <c r="J118" s="51">
        <v>14237</v>
      </c>
      <c r="K118" s="51">
        <v>15676</v>
      </c>
    </row>
    <row r="119" spans="2:11" x14ac:dyDescent="0.2">
      <c r="D119" s="51" t="s">
        <v>25</v>
      </c>
      <c r="E119" s="51">
        <v>1526</v>
      </c>
      <c r="F119" s="51">
        <v>1094</v>
      </c>
      <c r="G119" s="51">
        <v>1230</v>
      </c>
      <c r="H119" s="51">
        <v>1037</v>
      </c>
      <c r="I119" s="51">
        <v>791</v>
      </c>
      <c r="J119" s="51">
        <v>5678</v>
      </c>
      <c r="K119" s="51">
        <v>6114</v>
      </c>
    </row>
    <row r="120" spans="2:11" x14ac:dyDescent="0.2">
      <c r="D120" s="51" t="s">
        <v>26</v>
      </c>
      <c r="E120" s="51">
        <v>1845</v>
      </c>
      <c r="F120" s="51">
        <v>1728</v>
      </c>
      <c r="G120" s="51">
        <v>1613</v>
      </c>
      <c r="H120" s="51">
        <v>1383</v>
      </c>
      <c r="I120" s="51">
        <v>1011</v>
      </c>
      <c r="J120" s="51">
        <v>7580</v>
      </c>
      <c r="K120" s="51">
        <v>8338</v>
      </c>
    </row>
    <row r="121" spans="2:11" x14ac:dyDescent="0.2">
      <c r="D121" s="51" t="s">
        <v>74</v>
      </c>
      <c r="E121" s="51">
        <v>2273</v>
      </c>
      <c r="F121" s="51">
        <v>838</v>
      </c>
      <c r="G121" s="51">
        <v>517</v>
      </c>
      <c r="H121" s="51">
        <v>365</v>
      </c>
      <c r="I121" s="51">
        <v>231</v>
      </c>
      <c r="J121" s="51">
        <v>4224</v>
      </c>
      <c r="K121" s="51">
        <v>4477</v>
      </c>
    </row>
    <row r="122" spans="2:11" x14ac:dyDescent="0.2">
      <c r="D122" s="51" t="s">
        <v>28</v>
      </c>
      <c r="E122" s="51">
        <v>2061</v>
      </c>
      <c r="F122" s="51">
        <v>1689</v>
      </c>
      <c r="G122" s="51">
        <v>1430</v>
      </c>
      <c r="H122" s="51">
        <v>985</v>
      </c>
      <c r="I122" s="51">
        <v>525</v>
      </c>
      <c r="J122" s="51">
        <v>6690</v>
      </c>
      <c r="K122" s="51">
        <v>7101</v>
      </c>
    </row>
    <row r="123" spans="2:11" x14ac:dyDescent="0.2">
      <c r="D123" s="51" t="s">
        <v>29</v>
      </c>
      <c r="E123" s="51">
        <v>5065</v>
      </c>
      <c r="F123" s="51">
        <v>5707</v>
      </c>
      <c r="G123" s="51">
        <v>5970</v>
      </c>
      <c r="H123" s="51">
        <v>4440</v>
      </c>
      <c r="I123" s="51">
        <v>2771</v>
      </c>
      <c r="J123" s="51">
        <v>23953</v>
      </c>
      <c r="K123" s="51">
        <v>26398</v>
      </c>
    </row>
    <row r="124" spans="2:11" x14ac:dyDescent="0.2">
      <c r="D124" s="51" t="s">
        <v>30</v>
      </c>
      <c r="E124" s="51">
        <v>1713</v>
      </c>
      <c r="F124" s="51">
        <v>2459</v>
      </c>
      <c r="G124" s="51">
        <v>3032</v>
      </c>
      <c r="H124" s="51">
        <v>2514</v>
      </c>
      <c r="I124" s="51">
        <v>1566</v>
      </c>
      <c r="J124" s="51">
        <v>11284</v>
      </c>
      <c r="K124" s="51">
        <v>12183</v>
      </c>
    </row>
    <row r="125" spans="2:11" x14ac:dyDescent="0.2">
      <c r="D125" s="51" t="s">
        <v>31</v>
      </c>
      <c r="E125" s="51">
        <v>2930</v>
      </c>
      <c r="F125" s="51">
        <v>3881</v>
      </c>
      <c r="G125" s="51">
        <v>5198</v>
      </c>
      <c r="H125" s="51">
        <v>5876</v>
      </c>
      <c r="I125" s="51">
        <v>5497</v>
      </c>
      <c r="J125" s="51">
        <v>23382</v>
      </c>
      <c r="K125" s="51">
        <v>27303</v>
      </c>
    </row>
    <row r="126" spans="2:11" x14ac:dyDescent="0.2">
      <c r="D126" s="51" t="s">
        <v>32</v>
      </c>
      <c r="E126" s="51">
        <v>8521</v>
      </c>
      <c r="F126" s="51">
        <v>12641</v>
      </c>
      <c r="G126" s="51">
        <v>17263</v>
      </c>
      <c r="H126" s="51">
        <v>18181</v>
      </c>
      <c r="I126" s="51">
        <v>16441</v>
      </c>
      <c r="J126" s="51">
        <v>73047</v>
      </c>
      <c r="K126" s="51">
        <v>90824</v>
      </c>
    </row>
    <row r="127" spans="2:11" x14ac:dyDescent="0.2">
      <c r="D127" s="51" t="s">
        <v>54</v>
      </c>
      <c r="E127" s="51">
        <v>190423</v>
      </c>
      <c r="F127" s="51">
        <v>213977</v>
      </c>
      <c r="G127" s="51">
        <v>245939</v>
      </c>
      <c r="H127" s="51">
        <v>213304</v>
      </c>
      <c r="I127" s="51">
        <v>156671</v>
      </c>
      <c r="J127" s="51">
        <v>1020314</v>
      </c>
      <c r="K127" s="51">
        <v>1181499</v>
      </c>
    </row>
    <row r="128" spans="2:11" x14ac:dyDescent="0.2">
      <c r="B128" s="51" t="s">
        <v>66</v>
      </c>
      <c r="C128" s="51" t="s">
        <v>72</v>
      </c>
      <c r="D128" s="51" t="s">
        <v>0</v>
      </c>
      <c r="E128" s="51">
        <v>5320</v>
      </c>
      <c r="F128" s="51">
        <v>5741</v>
      </c>
      <c r="G128" s="51">
        <v>6693</v>
      </c>
      <c r="H128" s="51">
        <v>6619</v>
      </c>
      <c r="I128" s="51">
        <v>6243</v>
      </c>
      <c r="J128" s="51">
        <v>30616</v>
      </c>
      <c r="K128" s="51">
        <v>38196</v>
      </c>
    </row>
    <row r="129" spans="4:11" x14ac:dyDescent="0.2">
      <c r="D129" s="51" t="s">
        <v>1</v>
      </c>
      <c r="E129" s="51">
        <v>6256</v>
      </c>
      <c r="F129" s="51">
        <v>6171</v>
      </c>
      <c r="G129" s="51">
        <v>6193</v>
      </c>
      <c r="H129" s="51">
        <v>5797</v>
      </c>
      <c r="I129" s="51">
        <v>5031</v>
      </c>
      <c r="J129" s="51">
        <v>29448</v>
      </c>
      <c r="K129" s="51">
        <v>35549</v>
      </c>
    </row>
    <row r="130" spans="4:11" x14ac:dyDescent="0.2">
      <c r="D130" s="51" t="s">
        <v>2</v>
      </c>
      <c r="E130" s="51">
        <v>7271</v>
      </c>
      <c r="F130" s="51">
        <v>5846</v>
      </c>
      <c r="G130" s="51">
        <v>6270</v>
      </c>
      <c r="H130" s="51">
        <v>5919</v>
      </c>
      <c r="I130" s="51">
        <v>5395</v>
      </c>
      <c r="J130" s="51">
        <v>30701</v>
      </c>
      <c r="K130" s="51">
        <v>37689</v>
      </c>
    </row>
    <row r="131" spans="4:11" x14ac:dyDescent="0.2">
      <c r="D131" s="51" t="s">
        <v>3</v>
      </c>
      <c r="E131" s="51">
        <v>825</v>
      </c>
      <c r="F131" s="51">
        <v>830</v>
      </c>
      <c r="G131" s="51">
        <v>1048</v>
      </c>
      <c r="H131" s="51">
        <v>1031</v>
      </c>
      <c r="I131" s="51">
        <v>844</v>
      </c>
      <c r="J131" s="51">
        <v>4578</v>
      </c>
      <c r="K131" s="51">
        <v>5588</v>
      </c>
    </row>
    <row r="132" spans="4:11" x14ac:dyDescent="0.2">
      <c r="D132" s="51" t="s">
        <v>4</v>
      </c>
      <c r="E132" s="51">
        <v>14603</v>
      </c>
      <c r="F132" s="51">
        <v>9091</v>
      </c>
      <c r="G132" s="51">
        <v>8906</v>
      </c>
      <c r="H132" s="51">
        <v>8425</v>
      </c>
      <c r="I132" s="51">
        <v>7564</v>
      </c>
      <c r="J132" s="51">
        <v>48589</v>
      </c>
      <c r="K132" s="51">
        <v>61147</v>
      </c>
    </row>
    <row r="133" spans="4:11" x14ac:dyDescent="0.2">
      <c r="D133" s="51" t="s">
        <v>5</v>
      </c>
      <c r="E133" s="51">
        <v>3269</v>
      </c>
      <c r="F133" s="51">
        <v>1432</v>
      </c>
      <c r="G133" s="51">
        <v>1133</v>
      </c>
      <c r="H133" s="51">
        <v>854</v>
      </c>
      <c r="I133" s="51">
        <v>613</v>
      </c>
      <c r="J133" s="51">
        <v>7301</v>
      </c>
      <c r="K133" s="51">
        <v>8199</v>
      </c>
    </row>
    <row r="134" spans="4:11" x14ac:dyDescent="0.2">
      <c r="D134" s="51" t="s">
        <v>6</v>
      </c>
      <c r="E134" s="51">
        <v>928</v>
      </c>
      <c r="F134" s="51">
        <v>1684</v>
      </c>
      <c r="G134" s="51">
        <v>2665</v>
      </c>
      <c r="H134" s="51">
        <v>2788</v>
      </c>
      <c r="I134" s="51">
        <v>2298</v>
      </c>
      <c r="J134" s="51">
        <v>10363</v>
      </c>
      <c r="K134" s="51">
        <v>12448</v>
      </c>
    </row>
    <row r="135" spans="4:11" x14ac:dyDescent="0.2">
      <c r="D135" s="51" t="s">
        <v>7</v>
      </c>
      <c r="E135" s="51">
        <v>612</v>
      </c>
      <c r="F135" s="51">
        <v>912</v>
      </c>
      <c r="G135" s="51">
        <v>1217</v>
      </c>
      <c r="H135" s="51">
        <v>1213</v>
      </c>
      <c r="I135" s="51">
        <v>1016</v>
      </c>
      <c r="J135" s="51">
        <v>4970</v>
      </c>
      <c r="K135" s="51">
        <v>6306</v>
      </c>
    </row>
    <row r="136" spans="4:11" x14ac:dyDescent="0.2">
      <c r="D136" s="51" t="s">
        <v>8</v>
      </c>
      <c r="E136" s="51">
        <v>469</v>
      </c>
      <c r="F136" s="51">
        <v>1042</v>
      </c>
      <c r="G136" s="51">
        <v>1946</v>
      </c>
      <c r="H136" s="51">
        <v>2363</v>
      </c>
      <c r="I136" s="51">
        <v>2175</v>
      </c>
      <c r="J136" s="51">
        <v>7995</v>
      </c>
      <c r="K136" s="51">
        <v>10263</v>
      </c>
    </row>
    <row r="137" spans="4:11" x14ac:dyDescent="0.2">
      <c r="D137" s="51" t="s">
        <v>9</v>
      </c>
      <c r="E137" s="51">
        <v>1</v>
      </c>
      <c r="F137" s="51">
        <v>6</v>
      </c>
      <c r="G137" s="51">
        <v>14</v>
      </c>
      <c r="H137" s="51">
        <v>17</v>
      </c>
      <c r="I137" s="51">
        <v>26</v>
      </c>
      <c r="J137" s="51">
        <v>64</v>
      </c>
      <c r="K137" s="51">
        <v>98</v>
      </c>
    </row>
    <row r="138" spans="4:11" x14ac:dyDescent="0.2">
      <c r="D138" s="51" t="s">
        <v>10</v>
      </c>
      <c r="E138" s="51">
        <v>279</v>
      </c>
      <c r="F138" s="51">
        <v>550</v>
      </c>
      <c r="G138" s="51">
        <v>779</v>
      </c>
      <c r="H138" s="51">
        <v>712</v>
      </c>
      <c r="I138" s="51">
        <v>705</v>
      </c>
      <c r="J138" s="51">
        <v>3025</v>
      </c>
      <c r="K138" s="51">
        <v>4407</v>
      </c>
    </row>
    <row r="139" spans="4:11" x14ac:dyDescent="0.2">
      <c r="D139" s="51" t="s">
        <v>11</v>
      </c>
      <c r="E139" s="51">
        <v>2047</v>
      </c>
      <c r="F139" s="51">
        <v>3863</v>
      </c>
      <c r="G139" s="51">
        <v>5409</v>
      </c>
      <c r="H139" s="51">
        <v>5134</v>
      </c>
      <c r="I139" s="51">
        <v>4253</v>
      </c>
      <c r="J139" s="51">
        <v>20706</v>
      </c>
      <c r="K139" s="51">
        <v>24154</v>
      </c>
    </row>
    <row r="140" spans="4:11" x14ac:dyDescent="0.2">
      <c r="D140" s="51" t="s">
        <v>12</v>
      </c>
      <c r="E140" s="51">
        <v>3571</v>
      </c>
      <c r="F140" s="51">
        <v>3580</v>
      </c>
      <c r="G140" s="51">
        <v>3694</v>
      </c>
      <c r="H140" s="51">
        <v>3115</v>
      </c>
      <c r="I140" s="51">
        <v>2361</v>
      </c>
      <c r="J140" s="51">
        <v>16321</v>
      </c>
      <c r="K140" s="51">
        <v>18900</v>
      </c>
    </row>
    <row r="141" spans="4:11" x14ac:dyDescent="0.2">
      <c r="D141" s="51" t="s">
        <v>13</v>
      </c>
      <c r="E141" s="51">
        <v>3665</v>
      </c>
      <c r="F141" s="51">
        <v>3612</v>
      </c>
      <c r="G141" s="51">
        <v>4228</v>
      </c>
      <c r="H141" s="51">
        <v>3799</v>
      </c>
      <c r="I141" s="51">
        <v>2778</v>
      </c>
      <c r="J141" s="51">
        <v>18082</v>
      </c>
      <c r="K141" s="51">
        <v>20703</v>
      </c>
    </row>
    <row r="142" spans="4:11" x14ac:dyDescent="0.2">
      <c r="D142" s="51" t="s">
        <v>14</v>
      </c>
      <c r="E142" s="51">
        <v>1822</v>
      </c>
      <c r="F142" s="51">
        <v>1971</v>
      </c>
      <c r="G142" s="51">
        <v>2073</v>
      </c>
      <c r="H142" s="51">
        <v>1655</v>
      </c>
      <c r="I142" s="51">
        <v>1148</v>
      </c>
      <c r="J142" s="51">
        <v>8669</v>
      </c>
      <c r="K142" s="51">
        <v>9941</v>
      </c>
    </row>
    <row r="143" spans="4:11" x14ac:dyDescent="0.2">
      <c r="D143" s="51" t="s">
        <v>15</v>
      </c>
      <c r="E143" s="51">
        <v>4555</v>
      </c>
      <c r="F143" s="51">
        <v>6067</v>
      </c>
      <c r="G143" s="51">
        <v>7119</v>
      </c>
      <c r="H143" s="51">
        <v>5240</v>
      </c>
      <c r="I143" s="51">
        <v>2998</v>
      </c>
      <c r="J143" s="51">
        <v>25979</v>
      </c>
      <c r="K143" s="51">
        <v>27846</v>
      </c>
    </row>
    <row r="144" spans="4:11" x14ac:dyDescent="0.2">
      <c r="D144" s="51" t="s">
        <v>16</v>
      </c>
      <c r="E144" s="51">
        <v>769</v>
      </c>
      <c r="F144" s="51">
        <v>1132</v>
      </c>
      <c r="G144" s="51">
        <v>1551</v>
      </c>
      <c r="H144" s="51">
        <v>1750</v>
      </c>
      <c r="I144" s="51">
        <v>1592</v>
      </c>
      <c r="J144" s="51">
        <v>6794</v>
      </c>
      <c r="K144" s="51">
        <v>9245</v>
      </c>
    </row>
    <row r="145" spans="4:11" x14ac:dyDescent="0.2">
      <c r="D145" s="51" t="s">
        <v>17</v>
      </c>
      <c r="E145" s="51">
        <v>1708</v>
      </c>
      <c r="F145" s="51">
        <v>3476</v>
      </c>
      <c r="G145" s="51">
        <v>4988</v>
      </c>
      <c r="H145" s="51">
        <v>5748</v>
      </c>
      <c r="I145" s="51">
        <v>5319</v>
      </c>
      <c r="J145" s="51">
        <v>21239</v>
      </c>
      <c r="K145" s="51">
        <v>29051</v>
      </c>
    </row>
    <row r="146" spans="4:11" x14ac:dyDescent="0.2">
      <c r="D146" s="51" t="s">
        <v>18</v>
      </c>
      <c r="E146" s="51">
        <v>1122</v>
      </c>
      <c r="F146" s="51">
        <v>1876</v>
      </c>
      <c r="G146" s="51">
        <v>2572</v>
      </c>
      <c r="H146" s="51">
        <v>2749</v>
      </c>
      <c r="I146" s="51">
        <v>2138</v>
      </c>
      <c r="J146" s="51">
        <v>10457</v>
      </c>
      <c r="K146" s="51">
        <v>13311</v>
      </c>
    </row>
    <row r="147" spans="4:11" x14ac:dyDescent="0.2">
      <c r="D147" s="51" t="s">
        <v>73</v>
      </c>
      <c r="E147" s="51">
        <v>495</v>
      </c>
      <c r="F147" s="51">
        <v>755</v>
      </c>
      <c r="G147" s="51">
        <v>1017</v>
      </c>
      <c r="H147" s="51">
        <v>1077</v>
      </c>
      <c r="I147" s="51">
        <v>892</v>
      </c>
      <c r="J147" s="51">
        <v>4236</v>
      </c>
      <c r="K147" s="51">
        <v>5669</v>
      </c>
    </row>
    <row r="148" spans="4:11" x14ac:dyDescent="0.2">
      <c r="D148" s="51" t="s">
        <v>20</v>
      </c>
      <c r="E148" s="51">
        <v>2902</v>
      </c>
      <c r="F148" s="51">
        <v>3531</v>
      </c>
      <c r="G148" s="51">
        <v>4301</v>
      </c>
      <c r="H148" s="51">
        <v>3400</v>
      </c>
      <c r="I148" s="51">
        <v>2265</v>
      </c>
      <c r="J148" s="51">
        <v>16399</v>
      </c>
      <c r="K148" s="51">
        <v>18166</v>
      </c>
    </row>
    <row r="149" spans="4:11" x14ac:dyDescent="0.2">
      <c r="D149" s="51" t="s">
        <v>21</v>
      </c>
      <c r="E149" s="51">
        <v>756</v>
      </c>
      <c r="F149" s="51">
        <v>1446</v>
      </c>
      <c r="G149" s="51">
        <v>1853</v>
      </c>
      <c r="H149" s="51">
        <v>1232</v>
      </c>
      <c r="I149" s="51">
        <v>481</v>
      </c>
      <c r="J149" s="51">
        <v>5768</v>
      </c>
      <c r="K149" s="51">
        <v>5923</v>
      </c>
    </row>
    <row r="150" spans="4:11" x14ac:dyDescent="0.2">
      <c r="D150" s="51" t="s">
        <v>22</v>
      </c>
      <c r="E150" s="51">
        <v>4243</v>
      </c>
      <c r="F150" s="51">
        <v>6449</v>
      </c>
      <c r="G150" s="51">
        <v>8683</v>
      </c>
      <c r="H150" s="51">
        <v>7562</v>
      </c>
      <c r="I150" s="51">
        <v>3993</v>
      </c>
      <c r="J150" s="51">
        <v>30930</v>
      </c>
      <c r="K150" s="51">
        <v>32647</v>
      </c>
    </row>
    <row r="151" spans="4:11" x14ac:dyDescent="0.2">
      <c r="D151" s="51" t="s">
        <v>61</v>
      </c>
      <c r="E151" s="51">
        <v>1137</v>
      </c>
      <c r="F151" s="51">
        <v>3071</v>
      </c>
      <c r="G151" s="51">
        <v>4903</v>
      </c>
      <c r="H151" s="51">
        <v>4030</v>
      </c>
      <c r="I151" s="51">
        <v>1945</v>
      </c>
      <c r="J151" s="51">
        <v>15086</v>
      </c>
      <c r="K151" s="51">
        <v>16249</v>
      </c>
    </row>
    <row r="152" spans="4:11" x14ac:dyDescent="0.2">
      <c r="D152" s="51" t="s">
        <v>23</v>
      </c>
      <c r="E152" s="51">
        <v>542</v>
      </c>
      <c r="F152" s="51">
        <v>1571</v>
      </c>
      <c r="G152" s="51">
        <v>2367</v>
      </c>
      <c r="H152" s="51">
        <v>1578</v>
      </c>
      <c r="I152" s="51">
        <v>680</v>
      </c>
      <c r="J152" s="51">
        <v>6738</v>
      </c>
      <c r="K152" s="51">
        <v>7128</v>
      </c>
    </row>
    <row r="153" spans="4:11" x14ac:dyDescent="0.2">
      <c r="D153" s="51" t="s">
        <v>24</v>
      </c>
      <c r="E153" s="51">
        <v>1280</v>
      </c>
      <c r="F153" s="51">
        <v>879</v>
      </c>
      <c r="G153" s="51">
        <v>861</v>
      </c>
      <c r="H153" s="51">
        <v>707</v>
      </c>
      <c r="I153" s="51">
        <v>490</v>
      </c>
      <c r="J153" s="51">
        <v>4217</v>
      </c>
      <c r="K153" s="51">
        <v>4621</v>
      </c>
    </row>
    <row r="154" spans="4:11" x14ac:dyDescent="0.2">
      <c r="D154" s="51" t="s">
        <v>25</v>
      </c>
      <c r="E154" s="51">
        <v>617</v>
      </c>
      <c r="F154" s="51">
        <v>407</v>
      </c>
      <c r="G154" s="51">
        <v>455</v>
      </c>
      <c r="H154" s="51">
        <v>363</v>
      </c>
      <c r="I154" s="51">
        <v>293</v>
      </c>
      <c r="J154" s="51">
        <v>2135</v>
      </c>
      <c r="K154" s="51">
        <v>2280</v>
      </c>
    </row>
    <row r="155" spans="4:11" x14ac:dyDescent="0.2">
      <c r="D155" s="51" t="s">
        <v>26</v>
      </c>
      <c r="E155" s="51">
        <v>619</v>
      </c>
      <c r="F155" s="51">
        <v>568</v>
      </c>
      <c r="G155" s="51">
        <v>492</v>
      </c>
      <c r="H155" s="51">
        <v>418</v>
      </c>
      <c r="I155" s="51">
        <v>292</v>
      </c>
      <c r="J155" s="51">
        <v>2389</v>
      </c>
      <c r="K155" s="51">
        <v>2598</v>
      </c>
    </row>
    <row r="156" spans="4:11" x14ac:dyDescent="0.2">
      <c r="D156" s="51" t="s">
        <v>74</v>
      </c>
      <c r="E156" s="51">
        <v>925</v>
      </c>
      <c r="F156" s="51">
        <v>358</v>
      </c>
      <c r="G156" s="51">
        <v>191</v>
      </c>
      <c r="H156" s="51">
        <v>151</v>
      </c>
      <c r="I156" s="51">
        <v>103</v>
      </c>
      <c r="J156" s="51">
        <v>1728</v>
      </c>
      <c r="K156" s="51">
        <v>1833</v>
      </c>
    </row>
    <row r="157" spans="4:11" x14ac:dyDescent="0.2">
      <c r="D157" s="51" t="s">
        <v>28</v>
      </c>
      <c r="E157" s="51">
        <v>854</v>
      </c>
      <c r="F157" s="51">
        <v>663</v>
      </c>
      <c r="G157" s="51">
        <v>660</v>
      </c>
      <c r="H157" s="51">
        <v>469</v>
      </c>
      <c r="I157" s="51">
        <v>277</v>
      </c>
      <c r="J157" s="51">
        <v>2923</v>
      </c>
      <c r="K157" s="51">
        <v>3140</v>
      </c>
    </row>
    <row r="158" spans="4:11" x14ac:dyDescent="0.2">
      <c r="D158" s="51" t="s">
        <v>29</v>
      </c>
      <c r="E158" s="51">
        <v>1409</v>
      </c>
      <c r="F158" s="51">
        <v>1680</v>
      </c>
      <c r="G158" s="51">
        <v>1969</v>
      </c>
      <c r="H158" s="51">
        <v>1542</v>
      </c>
      <c r="I158" s="51">
        <v>939</v>
      </c>
      <c r="J158" s="51">
        <v>7539</v>
      </c>
      <c r="K158" s="51">
        <v>8499</v>
      </c>
    </row>
    <row r="159" spans="4:11" x14ac:dyDescent="0.2">
      <c r="D159" s="51" t="s">
        <v>30</v>
      </c>
      <c r="E159" s="51">
        <v>984</v>
      </c>
      <c r="F159" s="51">
        <v>1456</v>
      </c>
      <c r="G159" s="51">
        <v>1886</v>
      </c>
      <c r="H159" s="51">
        <v>1655</v>
      </c>
      <c r="I159" s="51">
        <v>1082</v>
      </c>
      <c r="J159" s="51">
        <v>7063</v>
      </c>
      <c r="K159" s="51">
        <v>7687</v>
      </c>
    </row>
    <row r="160" spans="4:11" x14ac:dyDescent="0.2">
      <c r="D160" s="51" t="s">
        <v>31</v>
      </c>
      <c r="E160" s="51">
        <v>1235</v>
      </c>
      <c r="F160" s="51">
        <v>1964</v>
      </c>
      <c r="G160" s="51">
        <v>2986</v>
      </c>
      <c r="H160" s="51">
        <v>3717</v>
      </c>
      <c r="I160" s="51">
        <v>3877</v>
      </c>
      <c r="J160" s="51">
        <v>13779</v>
      </c>
      <c r="K160" s="51">
        <v>16631</v>
      </c>
    </row>
    <row r="161" spans="2:11" x14ac:dyDescent="0.2">
      <c r="D161" s="51" t="s">
        <v>32</v>
      </c>
      <c r="E161" s="51">
        <v>3400</v>
      </c>
      <c r="F161" s="51">
        <v>5365</v>
      </c>
      <c r="G161" s="51">
        <v>7746</v>
      </c>
      <c r="H161" s="51">
        <v>8404</v>
      </c>
      <c r="I161" s="51">
        <v>7808</v>
      </c>
      <c r="J161" s="51">
        <v>32723</v>
      </c>
      <c r="K161" s="51">
        <v>42227</v>
      </c>
    </row>
    <row r="162" spans="2:11" x14ac:dyDescent="0.2">
      <c r="D162" s="51" t="s">
        <v>54</v>
      </c>
      <c r="E162" s="51">
        <v>80490</v>
      </c>
      <c r="F162" s="51">
        <v>89045</v>
      </c>
      <c r="G162" s="51">
        <v>108868</v>
      </c>
      <c r="H162" s="51">
        <v>101233</v>
      </c>
      <c r="I162" s="51">
        <v>79914</v>
      </c>
      <c r="J162" s="51">
        <v>459550</v>
      </c>
      <c r="K162" s="51">
        <v>548339</v>
      </c>
    </row>
    <row r="163" spans="2:11" x14ac:dyDescent="0.2">
      <c r="B163" s="51" t="s">
        <v>67</v>
      </c>
      <c r="C163" s="51" t="s">
        <v>72</v>
      </c>
      <c r="D163" s="51" t="s">
        <v>0</v>
      </c>
      <c r="E163" s="51">
        <v>7829</v>
      </c>
      <c r="F163" s="51">
        <v>7547</v>
      </c>
      <c r="G163" s="51">
        <v>8186</v>
      </c>
      <c r="H163" s="51">
        <v>7911</v>
      </c>
      <c r="I163" s="51">
        <v>6839</v>
      </c>
      <c r="J163" s="51">
        <v>38312</v>
      </c>
      <c r="K163" s="51">
        <v>46138</v>
      </c>
    </row>
    <row r="164" spans="2:11" x14ac:dyDescent="0.2">
      <c r="D164" s="51" t="s">
        <v>1</v>
      </c>
      <c r="E164" s="51">
        <v>5406</v>
      </c>
      <c r="F164" s="51">
        <v>5555</v>
      </c>
      <c r="G164" s="51">
        <v>5542</v>
      </c>
      <c r="H164" s="51">
        <v>5024</v>
      </c>
      <c r="I164" s="51">
        <v>4268</v>
      </c>
      <c r="J164" s="51">
        <v>25795</v>
      </c>
      <c r="K164" s="51">
        <v>30869</v>
      </c>
    </row>
    <row r="165" spans="2:11" x14ac:dyDescent="0.2">
      <c r="D165" s="51" t="s">
        <v>2</v>
      </c>
      <c r="E165" s="51">
        <v>2639</v>
      </c>
      <c r="F165" s="51">
        <v>2143</v>
      </c>
      <c r="G165" s="51">
        <v>2014</v>
      </c>
      <c r="H165" s="51">
        <v>1754</v>
      </c>
      <c r="I165" s="51">
        <v>1406</v>
      </c>
      <c r="J165" s="51">
        <v>9956</v>
      </c>
      <c r="K165" s="51">
        <v>11390</v>
      </c>
    </row>
    <row r="166" spans="2:11" x14ac:dyDescent="0.2">
      <c r="D166" s="51" t="s">
        <v>3</v>
      </c>
      <c r="E166" s="51">
        <v>373</v>
      </c>
      <c r="F166" s="51">
        <v>373</v>
      </c>
      <c r="G166" s="51">
        <v>485</v>
      </c>
      <c r="H166" s="51">
        <v>477</v>
      </c>
      <c r="I166" s="51">
        <v>403</v>
      </c>
      <c r="J166" s="51">
        <v>2111</v>
      </c>
      <c r="K166" s="51">
        <v>2599</v>
      </c>
    </row>
    <row r="167" spans="2:11" x14ac:dyDescent="0.2">
      <c r="D167" s="51" t="s">
        <v>4</v>
      </c>
      <c r="E167" s="51">
        <v>10862</v>
      </c>
      <c r="F167" s="51">
        <v>7465</v>
      </c>
      <c r="G167" s="51">
        <v>6881</v>
      </c>
      <c r="H167" s="51">
        <v>6176</v>
      </c>
      <c r="I167" s="51">
        <v>5078</v>
      </c>
      <c r="J167" s="51">
        <v>36462</v>
      </c>
      <c r="K167" s="51">
        <v>43439</v>
      </c>
    </row>
    <row r="168" spans="2:11" x14ac:dyDescent="0.2">
      <c r="D168" s="51" t="s">
        <v>5</v>
      </c>
      <c r="E168" s="51">
        <v>1786</v>
      </c>
      <c r="F168" s="51">
        <v>779</v>
      </c>
      <c r="G168" s="51">
        <v>595</v>
      </c>
      <c r="H168" s="51">
        <v>401</v>
      </c>
      <c r="I168" s="51">
        <v>318</v>
      </c>
      <c r="J168" s="51">
        <v>3879</v>
      </c>
      <c r="K168" s="51">
        <v>4228</v>
      </c>
    </row>
    <row r="169" spans="2:11" x14ac:dyDescent="0.2">
      <c r="D169" s="51" t="s">
        <v>6</v>
      </c>
      <c r="E169" s="51">
        <v>1184</v>
      </c>
      <c r="F169" s="51">
        <v>1769</v>
      </c>
      <c r="G169" s="51">
        <v>1984</v>
      </c>
      <c r="H169" s="51">
        <v>1905</v>
      </c>
      <c r="I169" s="51">
        <v>1369</v>
      </c>
      <c r="J169" s="51">
        <v>8211</v>
      </c>
      <c r="K169" s="51">
        <v>9180</v>
      </c>
    </row>
    <row r="170" spans="2:11" x14ac:dyDescent="0.2">
      <c r="D170" s="51" t="s">
        <v>7</v>
      </c>
      <c r="E170" s="51">
        <v>62</v>
      </c>
      <c r="F170" s="51">
        <v>90</v>
      </c>
      <c r="G170" s="51">
        <v>98</v>
      </c>
      <c r="H170" s="51">
        <v>103</v>
      </c>
      <c r="I170" s="51">
        <v>86</v>
      </c>
      <c r="J170" s="51">
        <v>439</v>
      </c>
      <c r="K170" s="51">
        <v>540</v>
      </c>
    </row>
    <row r="171" spans="2:11" x14ac:dyDescent="0.2">
      <c r="D171" s="51" t="s">
        <v>8</v>
      </c>
      <c r="E171" s="51">
        <v>471</v>
      </c>
      <c r="F171" s="51">
        <v>808</v>
      </c>
      <c r="G171" s="51">
        <v>1210</v>
      </c>
      <c r="H171" s="51">
        <v>1226</v>
      </c>
      <c r="I171" s="51">
        <v>999</v>
      </c>
      <c r="J171" s="51">
        <v>4714</v>
      </c>
      <c r="K171" s="51">
        <v>5556</v>
      </c>
    </row>
    <row r="172" spans="2:11" x14ac:dyDescent="0.2">
      <c r="D172" s="51" t="s">
        <v>9</v>
      </c>
      <c r="E172" s="51">
        <v>39</v>
      </c>
      <c r="F172" s="51">
        <v>93</v>
      </c>
      <c r="G172" s="51">
        <v>104</v>
      </c>
      <c r="H172" s="51">
        <v>75</v>
      </c>
      <c r="I172" s="51">
        <v>61</v>
      </c>
      <c r="J172" s="51">
        <v>372</v>
      </c>
      <c r="K172" s="51">
        <v>421</v>
      </c>
    </row>
    <row r="173" spans="2:11" x14ac:dyDescent="0.2">
      <c r="D173" s="51" t="s">
        <v>10</v>
      </c>
      <c r="E173" s="51">
        <v>210</v>
      </c>
      <c r="F173" s="51">
        <v>288</v>
      </c>
      <c r="G173" s="51">
        <v>414</v>
      </c>
      <c r="H173" s="51">
        <v>417</v>
      </c>
      <c r="I173" s="51">
        <v>417</v>
      </c>
      <c r="J173" s="51">
        <v>1746</v>
      </c>
      <c r="K173" s="51">
        <v>2433</v>
      </c>
    </row>
    <row r="174" spans="2:11" x14ac:dyDescent="0.2">
      <c r="D174" s="51" t="s">
        <v>11</v>
      </c>
      <c r="E174" s="51">
        <v>1797</v>
      </c>
      <c r="F174" s="51">
        <v>3045</v>
      </c>
      <c r="G174" s="51">
        <v>3925</v>
      </c>
      <c r="H174" s="51">
        <v>3664</v>
      </c>
      <c r="I174" s="51">
        <v>3071</v>
      </c>
      <c r="J174" s="51">
        <v>15502</v>
      </c>
      <c r="K174" s="51">
        <v>18009</v>
      </c>
    </row>
    <row r="175" spans="2:11" x14ac:dyDescent="0.2">
      <c r="D175" s="51" t="s">
        <v>12</v>
      </c>
      <c r="E175" s="51">
        <v>1969</v>
      </c>
      <c r="F175" s="51">
        <v>1786</v>
      </c>
      <c r="G175" s="51">
        <v>1620</v>
      </c>
      <c r="H175" s="51">
        <v>1462</v>
      </c>
      <c r="I175" s="51">
        <v>1091</v>
      </c>
      <c r="J175" s="51">
        <v>7928</v>
      </c>
      <c r="K175" s="51">
        <v>9031</v>
      </c>
    </row>
    <row r="176" spans="2:11" x14ac:dyDescent="0.2">
      <c r="D176" s="51" t="s">
        <v>13</v>
      </c>
      <c r="E176" s="51">
        <v>4892</v>
      </c>
      <c r="F176" s="51">
        <v>3496</v>
      </c>
      <c r="G176" s="51">
        <v>3449</v>
      </c>
      <c r="H176" s="51">
        <v>2762</v>
      </c>
      <c r="I176" s="51">
        <v>1775</v>
      </c>
      <c r="J176" s="51">
        <v>16374</v>
      </c>
      <c r="K176" s="51">
        <v>18080</v>
      </c>
    </row>
    <row r="177" spans="4:11" x14ac:dyDescent="0.2">
      <c r="D177" s="51" t="s">
        <v>14</v>
      </c>
      <c r="E177" s="51">
        <v>1882</v>
      </c>
      <c r="F177" s="51">
        <v>1561</v>
      </c>
      <c r="G177" s="51">
        <v>1508</v>
      </c>
      <c r="H177" s="51">
        <v>1272</v>
      </c>
      <c r="I177" s="51">
        <v>847</v>
      </c>
      <c r="J177" s="51">
        <v>7070</v>
      </c>
      <c r="K177" s="51">
        <v>8024</v>
      </c>
    </row>
    <row r="178" spans="4:11" x14ac:dyDescent="0.2">
      <c r="D178" s="51" t="s">
        <v>15</v>
      </c>
      <c r="E178" s="51">
        <v>5683</v>
      </c>
      <c r="F178" s="51">
        <v>7183</v>
      </c>
      <c r="G178" s="51">
        <v>7792</v>
      </c>
      <c r="H178" s="51">
        <v>5626</v>
      </c>
      <c r="I178" s="51">
        <v>3154</v>
      </c>
      <c r="J178" s="51">
        <v>29438</v>
      </c>
      <c r="K178" s="51">
        <v>31459</v>
      </c>
    </row>
    <row r="179" spans="4:11" x14ac:dyDescent="0.2">
      <c r="D179" s="51" t="s">
        <v>16</v>
      </c>
      <c r="E179" s="51">
        <v>1627</v>
      </c>
      <c r="F179" s="51">
        <v>1985</v>
      </c>
      <c r="G179" s="51">
        <v>2451</v>
      </c>
      <c r="H179" s="51">
        <v>2256</v>
      </c>
      <c r="I179" s="51">
        <v>1791</v>
      </c>
      <c r="J179" s="51">
        <v>10110</v>
      </c>
      <c r="K179" s="51">
        <v>12854</v>
      </c>
    </row>
    <row r="180" spans="4:11" x14ac:dyDescent="0.2">
      <c r="D180" s="51" t="s">
        <v>17</v>
      </c>
      <c r="E180" s="51">
        <v>8482</v>
      </c>
      <c r="F180" s="51">
        <v>11297</v>
      </c>
      <c r="G180" s="51">
        <v>12430</v>
      </c>
      <c r="H180" s="51">
        <v>11096</v>
      </c>
      <c r="I180" s="51">
        <v>8445</v>
      </c>
      <c r="J180" s="51">
        <v>51750</v>
      </c>
      <c r="K180" s="51">
        <v>62486</v>
      </c>
    </row>
    <row r="181" spans="4:11" x14ac:dyDescent="0.2">
      <c r="D181" s="51" t="s">
        <v>18</v>
      </c>
      <c r="E181" s="51">
        <v>5071</v>
      </c>
      <c r="F181" s="51">
        <v>6201</v>
      </c>
      <c r="G181" s="51">
        <v>7455</v>
      </c>
      <c r="H181" s="51">
        <v>6128</v>
      </c>
      <c r="I181" s="51">
        <v>4574</v>
      </c>
      <c r="J181" s="51">
        <v>29429</v>
      </c>
      <c r="K181" s="51">
        <v>34327</v>
      </c>
    </row>
    <row r="182" spans="4:11" x14ac:dyDescent="0.2">
      <c r="D182" s="51" t="s">
        <v>73</v>
      </c>
      <c r="E182" s="51">
        <v>775</v>
      </c>
      <c r="F182" s="51">
        <v>1113</v>
      </c>
      <c r="G182" s="51">
        <v>1347</v>
      </c>
      <c r="H182" s="51">
        <v>1264</v>
      </c>
      <c r="I182" s="51">
        <v>955</v>
      </c>
      <c r="J182" s="51">
        <v>5454</v>
      </c>
      <c r="K182" s="51">
        <v>6783</v>
      </c>
    </row>
    <row r="183" spans="4:11" x14ac:dyDescent="0.2">
      <c r="D183" s="51" t="s">
        <v>20</v>
      </c>
      <c r="E183" s="51">
        <v>10952</v>
      </c>
      <c r="F183" s="51">
        <v>11840</v>
      </c>
      <c r="G183" s="51">
        <v>11141</v>
      </c>
      <c r="H183" s="51">
        <v>6806</v>
      </c>
      <c r="I183" s="51">
        <v>3734</v>
      </c>
      <c r="J183" s="51">
        <v>44473</v>
      </c>
      <c r="K183" s="51">
        <v>46778</v>
      </c>
    </row>
    <row r="184" spans="4:11" x14ac:dyDescent="0.2">
      <c r="D184" s="51" t="s">
        <v>21</v>
      </c>
      <c r="E184" s="51">
        <v>1981</v>
      </c>
      <c r="F184" s="51">
        <v>3723</v>
      </c>
      <c r="G184" s="51">
        <v>3717</v>
      </c>
      <c r="H184" s="51">
        <v>2074</v>
      </c>
      <c r="I184" s="51">
        <v>622</v>
      </c>
      <c r="J184" s="51">
        <v>12117</v>
      </c>
      <c r="K184" s="51">
        <v>12331</v>
      </c>
    </row>
    <row r="185" spans="4:11" x14ac:dyDescent="0.2">
      <c r="D185" s="51" t="s">
        <v>22</v>
      </c>
      <c r="E185" s="51">
        <v>11740</v>
      </c>
      <c r="F185" s="51">
        <v>17287</v>
      </c>
      <c r="G185" s="51">
        <v>21766</v>
      </c>
      <c r="H185" s="51">
        <v>17021</v>
      </c>
      <c r="I185" s="51">
        <v>7901</v>
      </c>
      <c r="J185" s="51">
        <v>75715</v>
      </c>
      <c r="K185" s="51">
        <v>78306</v>
      </c>
    </row>
    <row r="186" spans="4:11" x14ac:dyDescent="0.2">
      <c r="D186" s="51" t="s">
        <v>61</v>
      </c>
      <c r="E186" s="51">
        <v>2492</v>
      </c>
      <c r="F186" s="51">
        <v>5384</v>
      </c>
      <c r="G186" s="51">
        <v>6221</v>
      </c>
      <c r="H186" s="51">
        <v>3777</v>
      </c>
      <c r="I186" s="51">
        <v>1453</v>
      </c>
      <c r="J186" s="51">
        <v>19327</v>
      </c>
      <c r="K186" s="51">
        <v>20151</v>
      </c>
    </row>
    <row r="187" spans="4:11" x14ac:dyDescent="0.2">
      <c r="D187" s="51" t="s">
        <v>23</v>
      </c>
      <c r="E187" s="51">
        <v>1000</v>
      </c>
      <c r="F187" s="51">
        <v>2396</v>
      </c>
      <c r="G187" s="51">
        <v>2858</v>
      </c>
      <c r="H187" s="51">
        <v>1626</v>
      </c>
      <c r="I187" s="51">
        <v>621</v>
      </c>
      <c r="J187" s="51">
        <v>8501</v>
      </c>
      <c r="K187" s="51">
        <v>8850</v>
      </c>
    </row>
    <row r="188" spans="4:11" x14ac:dyDescent="0.2">
      <c r="D188" s="51" t="s">
        <v>24</v>
      </c>
      <c r="E188" s="51">
        <v>2838</v>
      </c>
      <c r="F188" s="51">
        <v>2149</v>
      </c>
      <c r="G188" s="51">
        <v>2010</v>
      </c>
      <c r="H188" s="51">
        <v>1706</v>
      </c>
      <c r="I188" s="51">
        <v>1317</v>
      </c>
      <c r="J188" s="51">
        <v>10020</v>
      </c>
      <c r="K188" s="51">
        <v>11055</v>
      </c>
    </row>
    <row r="189" spans="4:11" x14ac:dyDescent="0.2">
      <c r="D189" s="51" t="s">
        <v>25</v>
      </c>
      <c r="E189" s="51">
        <v>909</v>
      </c>
      <c r="F189" s="51">
        <v>687</v>
      </c>
      <c r="G189" s="51">
        <v>775</v>
      </c>
      <c r="H189" s="51">
        <v>674</v>
      </c>
      <c r="I189" s="51">
        <v>498</v>
      </c>
      <c r="J189" s="51">
        <v>3543</v>
      </c>
      <c r="K189" s="51">
        <v>3834</v>
      </c>
    </row>
    <row r="190" spans="4:11" x14ac:dyDescent="0.2">
      <c r="D190" s="51" t="s">
        <v>26</v>
      </c>
      <c r="E190" s="51">
        <v>1226</v>
      </c>
      <c r="F190" s="51">
        <v>1160</v>
      </c>
      <c r="G190" s="51">
        <v>1121</v>
      </c>
      <c r="H190" s="51">
        <v>965</v>
      </c>
      <c r="I190" s="51">
        <v>719</v>
      </c>
      <c r="J190" s="51">
        <v>5191</v>
      </c>
      <c r="K190" s="51">
        <v>5740</v>
      </c>
    </row>
    <row r="191" spans="4:11" x14ac:dyDescent="0.2">
      <c r="D191" s="51" t="s">
        <v>74</v>
      </c>
      <c r="E191" s="51">
        <v>1348</v>
      </c>
      <c r="F191" s="51">
        <v>480</v>
      </c>
      <c r="G191" s="51">
        <v>326</v>
      </c>
      <c r="H191" s="51">
        <v>214</v>
      </c>
      <c r="I191" s="51">
        <v>128</v>
      </c>
      <c r="J191" s="51">
        <v>2496</v>
      </c>
      <c r="K191" s="51">
        <v>2644</v>
      </c>
    </row>
    <row r="192" spans="4:11" x14ac:dyDescent="0.2">
      <c r="D192" s="51" t="s">
        <v>28</v>
      </c>
      <c r="E192" s="51">
        <v>1207</v>
      </c>
      <c r="F192" s="51">
        <v>1026</v>
      </c>
      <c r="G192" s="51">
        <v>770</v>
      </c>
      <c r="H192" s="51">
        <v>516</v>
      </c>
      <c r="I192" s="51">
        <v>248</v>
      </c>
      <c r="J192" s="51">
        <v>3767</v>
      </c>
      <c r="K192" s="51">
        <v>3961</v>
      </c>
    </row>
    <row r="193" spans="4:16" x14ac:dyDescent="0.2">
      <c r="D193" s="51" t="s">
        <v>29</v>
      </c>
      <c r="E193" s="51">
        <v>3656</v>
      </c>
      <c r="F193" s="51">
        <v>4027</v>
      </c>
      <c r="G193" s="51">
        <v>4001</v>
      </c>
      <c r="H193" s="51">
        <v>2898</v>
      </c>
      <c r="I193" s="51">
        <v>1832</v>
      </c>
      <c r="J193" s="51">
        <v>16414</v>
      </c>
      <c r="K193" s="51">
        <v>17899</v>
      </c>
    </row>
    <row r="194" spans="4:16" x14ac:dyDescent="0.2">
      <c r="D194" s="51" t="s">
        <v>30</v>
      </c>
      <c r="E194" s="51">
        <v>729</v>
      </c>
      <c r="F194" s="51">
        <v>1003</v>
      </c>
      <c r="G194" s="51">
        <v>1146</v>
      </c>
      <c r="H194" s="51">
        <v>859</v>
      </c>
      <c r="I194" s="51">
        <v>484</v>
      </c>
      <c r="J194" s="51">
        <v>4221</v>
      </c>
      <c r="K194" s="51">
        <v>4496</v>
      </c>
    </row>
    <row r="195" spans="4:16" x14ac:dyDescent="0.2">
      <c r="D195" s="51" t="s">
        <v>31</v>
      </c>
      <c r="E195" s="51">
        <v>1695</v>
      </c>
      <c r="F195" s="51">
        <v>1917</v>
      </c>
      <c r="G195" s="51">
        <v>2212</v>
      </c>
      <c r="H195" s="51">
        <v>2159</v>
      </c>
      <c r="I195" s="51">
        <v>1620</v>
      </c>
      <c r="J195" s="51">
        <v>9603</v>
      </c>
      <c r="K195" s="51">
        <v>10672</v>
      </c>
    </row>
    <row r="196" spans="4:16" x14ac:dyDescent="0.2">
      <c r="D196" s="51" t="s">
        <v>32</v>
      </c>
      <c r="E196" s="51">
        <v>5121</v>
      </c>
      <c r="F196" s="51">
        <v>7276</v>
      </c>
      <c r="G196" s="51">
        <v>9517</v>
      </c>
      <c r="H196" s="51">
        <v>9777</v>
      </c>
      <c r="I196" s="51">
        <v>8633</v>
      </c>
      <c r="J196" s="51">
        <v>40324</v>
      </c>
      <c r="K196" s="51">
        <v>48597</v>
      </c>
    </row>
    <row r="197" spans="4:16" x14ac:dyDescent="0.2">
      <c r="D197" s="51" t="s">
        <v>54</v>
      </c>
      <c r="E197" s="51">
        <v>109933</v>
      </c>
      <c r="F197" s="51">
        <v>124932</v>
      </c>
      <c r="G197" s="51">
        <v>137071</v>
      </c>
      <c r="H197" s="51">
        <v>112071</v>
      </c>
      <c r="I197" s="51">
        <v>76757</v>
      </c>
      <c r="J197" s="51">
        <v>560764</v>
      </c>
      <c r="K197" s="51">
        <v>633160</v>
      </c>
    </row>
    <row r="203" spans="4:16" x14ac:dyDescent="0.2">
      <c r="D203" s="62"/>
      <c r="E203" s="62"/>
      <c r="F203" s="62"/>
      <c r="G203" s="62"/>
      <c r="H203" s="62"/>
      <c r="I203" s="62"/>
      <c r="J203" s="62"/>
      <c r="K203" s="62"/>
      <c r="L203" s="62"/>
      <c r="M203" s="62"/>
      <c r="N203" s="62"/>
      <c r="O203" s="62"/>
      <c r="P203" s="62"/>
    </row>
    <row r="204" spans="4:16" x14ac:dyDescent="0.2">
      <c r="D204" s="62"/>
      <c r="E204" s="62"/>
      <c r="F204" s="62"/>
      <c r="G204" s="62"/>
      <c r="H204" s="62"/>
      <c r="I204" s="62"/>
      <c r="J204" s="62"/>
      <c r="K204" s="62"/>
      <c r="L204" s="62"/>
      <c r="M204" s="62"/>
      <c r="N204" s="62"/>
      <c r="O204" s="62"/>
      <c r="P204" s="62"/>
    </row>
    <row r="205" spans="4:16" x14ac:dyDescent="0.2">
      <c r="D205" s="62"/>
      <c r="E205" s="62"/>
      <c r="F205" s="62"/>
      <c r="G205" s="62"/>
      <c r="H205" s="62"/>
      <c r="I205" s="62"/>
      <c r="J205" s="62"/>
      <c r="K205" s="62"/>
      <c r="L205" s="62"/>
      <c r="M205" s="62"/>
      <c r="N205" s="62"/>
      <c r="O205" s="62"/>
      <c r="P205" s="62"/>
    </row>
    <row r="206" spans="4:16" x14ac:dyDescent="0.2">
      <c r="D206" s="62"/>
      <c r="E206" s="62"/>
      <c r="F206" s="62"/>
      <c r="G206" s="62"/>
      <c r="H206" s="62"/>
      <c r="I206" s="62"/>
      <c r="J206" s="62"/>
      <c r="K206" s="62"/>
      <c r="L206" s="62"/>
      <c r="M206" s="62"/>
      <c r="N206" s="62"/>
      <c r="O206" s="62"/>
      <c r="P206" s="62"/>
    </row>
    <row r="207" spans="4:16" x14ac:dyDescent="0.2">
      <c r="D207" s="62"/>
      <c r="E207" s="62"/>
      <c r="F207" s="62"/>
      <c r="G207" s="62"/>
      <c r="H207" s="62"/>
      <c r="I207" s="62"/>
      <c r="J207" s="62"/>
      <c r="K207" s="62"/>
      <c r="L207" s="62"/>
      <c r="M207" s="62"/>
      <c r="N207" s="62"/>
      <c r="O207" s="62"/>
      <c r="P207" s="62"/>
    </row>
    <row r="208" spans="4:16" x14ac:dyDescent="0.2">
      <c r="D208" s="62"/>
      <c r="E208" s="62"/>
      <c r="F208" s="62"/>
      <c r="G208" s="62"/>
      <c r="H208" s="62"/>
      <c r="I208" s="62"/>
      <c r="J208" s="62"/>
      <c r="K208" s="62"/>
      <c r="L208" s="62"/>
      <c r="M208" s="62"/>
      <c r="N208" s="62"/>
      <c r="O208" s="62"/>
      <c r="P208" s="62"/>
    </row>
    <row r="209" spans="4:16" x14ac:dyDescent="0.2">
      <c r="D209" s="62"/>
      <c r="E209" s="62"/>
      <c r="F209" s="62"/>
      <c r="G209" s="62"/>
      <c r="H209" s="62"/>
      <c r="I209" s="62"/>
      <c r="J209" s="62"/>
      <c r="K209" s="62"/>
      <c r="L209" s="62"/>
      <c r="M209" s="62"/>
      <c r="N209" s="62"/>
      <c r="O209" s="62"/>
      <c r="P209" s="62"/>
    </row>
    <row r="210" spans="4:16" x14ac:dyDescent="0.2">
      <c r="D210" s="62"/>
      <c r="E210" s="62"/>
      <c r="F210" s="62"/>
      <c r="G210" s="62"/>
      <c r="H210" s="62"/>
      <c r="I210" s="62"/>
      <c r="J210" s="62"/>
      <c r="K210" s="62"/>
      <c r="L210" s="62"/>
      <c r="M210" s="62"/>
      <c r="N210" s="62"/>
      <c r="O210" s="62"/>
      <c r="P210" s="62"/>
    </row>
    <row r="211" spans="4:16" x14ac:dyDescent="0.2">
      <c r="D211" s="62"/>
      <c r="E211" s="62"/>
      <c r="F211" s="62"/>
      <c r="G211" s="62"/>
      <c r="H211" s="62"/>
      <c r="I211" s="62"/>
      <c r="J211" s="62"/>
      <c r="K211" s="62"/>
      <c r="L211" s="62"/>
      <c r="M211" s="62"/>
      <c r="N211" s="62"/>
      <c r="O211" s="62"/>
      <c r="P211" s="62"/>
    </row>
    <row r="212" spans="4:16" x14ac:dyDescent="0.2">
      <c r="D212" s="62"/>
      <c r="E212" s="62"/>
      <c r="F212" s="62"/>
      <c r="G212" s="62"/>
      <c r="H212" s="62"/>
      <c r="I212" s="62"/>
      <c r="J212" s="62"/>
      <c r="K212" s="62"/>
      <c r="L212" s="62"/>
      <c r="M212" s="62"/>
      <c r="N212" s="62"/>
      <c r="O212" s="62"/>
      <c r="P212" s="62"/>
    </row>
    <row r="213" spans="4:16" x14ac:dyDescent="0.2">
      <c r="D213" s="62"/>
      <c r="E213" s="62"/>
      <c r="F213" s="62"/>
      <c r="G213" s="62"/>
      <c r="H213" s="62"/>
      <c r="I213" s="62"/>
      <c r="J213" s="62"/>
      <c r="K213" s="62"/>
      <c r="L213" s="62"/>
      <c r="M213" s="62"/>
      <c r="N213" s="62"/>
      <c r="O213" s="62"/>
      <c r="P213" s="62"/>
    </row>
    <row r="214" spans="4:16" x14ac:dyDescent="0.2">
      <c r="D214" s="62"/>
      <c r="E214" s="62"/>
      <c r="F214" s="62"/>
      <c r="G214" s="62"/>
      <c r="H214" s="62"/>
      <c r="I214" s="62"/>
      <c r="J214" s="62"/>
      <c r="K214" s="62"/>
      <c r="L214" s="62"/>
      <c r="M214" s="62"/>
      <c r="N214" s="62"/>
      <c r="O214" s="62"/>
      <c r="P214" s="62"/>
    </row>
    <row r="215" spans="4:16" x14ac:dyDescent="0.2">
      <c r="D215" s="62"/>
      <c r="E215" s="62"/>
      <c r="F215" s="62"/>
      <c r="G215" s="62"/>
      <c r="H215" s="62"/>
      <c r="I215" s="62"/>
      <c r="J215" s="62"/>
      <c r="K215" s="62"/>
      <c r="L215" s="62"/>
      <c r="M215" s="62"/>
      <c r="N215" s="62"/>
      <c r="O215" s="62"/>
      <c r="P215" s="62"/>
    </row>
    <row r="216" spans="4:16" x14ac:dyDescent="0.2">
      <c r="D216" s="62"/>
      <c r="E216" s="62"/>
      <c r="F216" s="62"/>
      <c r="G216" s="62"/>
      <c r="H216" s="62"/>
      <c r="I216" s="62"/>
      <c r="J216" s="62"/>
      <c r="K216" s="62"/>
      <c r="L216" s="62"/>
      <c r="M216" s="62"/>
      <c r="N216" s="62"/>
      <c r="O216" s="62"/>
      <c r="P216" s="62"/>
    </row>
    <row r="217" spans="4:16" x14ac:dyDescent="0.2">
      <c r="D217" s="62"/>
      <c r="E217" s="62"/>
      <c r="F217" s="62"/>
      <c r="G217" s="62"/>
      <c r="H217" s="62"/>
      <c r="I217" s="62"/>
      <c r="J217" s="62"/>
      <c r="K217" s="62"/>
      <c r="L217" s="62"/>
      <c r="M217" s="62"/>
      <c r="N217" s="62"/>
      <c r="O217" s="62"/>
      <c r="P217" s="62"/>
    </row>
    <row r="218" spans="4:16" x14ac:dyDescent="0.2">
      <c r="D218" s="62"/>
      <c r="E218" s="62"/>
      <c r="F218" s="62"/>
      <c r="G218" s="62"/>
      <c r="H218" s="62"/>
      <c r="I218" s="62"/>
      <c r="J218" s="62"/>
      <c r="K218" s="62"/>
      <c r="L218" s="62"/>
      <c r="M218" s="62"/>
      <c r="N218" s="62"/>
      <c r="O218" s="62"/>
      <c r="P218" s="62"/>
    </row>
    <row r="219" spans="4:16" x14ac:dyDescent="0.2">
      <c r="D219" s="62"/>
      <c r="E219" s="62"/>
      <c r="F219" s="62"/>
      <c r="G219" s="62"/>
      <c r="H219" s="62"/>
      <c r="I219" s="62"/>
      <c r="J219" s="62"/>
      <c r="K219" s="62"/>
      <c r="L219" s="62"/>
      <c r="M219" s="62"/>
      <c r="N219" s="62"/>
      <c r="O219" s="62"/>
      <c r="P219" s="62"/>
    </row>
    <row r="220" spans="4:16" x14ac:dyDescent="0.2">
      <c r="D220" s="62"/>
      <c r="E220" s="62"/>
      <c r="F220" s="62"/>
      <c r="G220" s="62"/>
      <c r="H220" s="62"/>
      <c r="I220" s="62"/>
      <c r="J220" s="62"/>
      <c r="K220" s="62"/>
      <c r="L220" s="62"/>
      <c r="M220" s="62"/>
      <c r="N220" s="62"/>
      <c r="O220" s="62"/>
      <c r="P220" s="62"/>
    </row>
    <row r="221" spans="4:16" x14ac:dyDescent="0.2">
      <c r="D221" s="62"/>
      <c r="E221" s="62"/>
      <c r="F221" s="62"/>
      <c r="G221" s="62"/>
      <c r="H221" s="62"/>
      <c r="I221" s="62"/>
      <c r="J221" s="62"/>
      <c r="K221" s="62"/>
      <c r="L221" s="62"/>
      <c r="M221" s="62"/>
      <c r="N221" s="62"/>
      <c r="O221" s="62"/>
      <c r="P221" s="62"/>
    </row>
    <row r="222" spans="4:16" x14ac:dyDescent="0.2">
      <c r="D222" s="62"/>
      <c r="E222" s="62"/>
      <c r="F222" s="62"/>
      <c r="G222" s="62"/>
      <c r="H222" s="62"/>
      <c r="I222" s="62"/>
      <c r="J222" s="62"/>
      <c r="K222" s="62"/>
      <c r="L222" s="62"/>
      <c r="M222" s="62"/>
      <c r="N222" s="62"/>
      <c r="O222" s="62"/>
      <c r="P222" s="62"/>
    </row>
    <row r="223" spans="4:16" x14ac:dyDescent="0.2">
      <c r="D223" s="62"/>
      <c r="E223" s="62"/>
      <c r="F223" s="62"/>
      <c r="G223" s="62"/>
      <c r="H223" s="62"/>
      <c r="I223" s="62"/>
      <c r="J223" s="62"/>
      <c r="K223" s="62"/>
      <c r="L223" s="62"/>
      <c r="M223" s="62"/>
      <c r="N223" s="62"/>
      <c r="O223" s="62"/>
      <c r="P223" s="62"/>
    </row>
    <row r="224" spans="4:16" x14ac:dyDescent="0.2">
      <c r="D224" s="62"/>
      <c r="E224" s="62"/>
      <c r="F224" s="62"/>
      <c r="G224" s="62"/>
      <c r="H224" s="62"/>
      <c r="I224" s="62"/>
      <c r="J224" s="62"/>
      <c r="K224" s="62"/>
      <c r="L224" s="62"/>
      <c r="M224" s="62"/>
      <c r="N224" s="62"/>
      <c r="O224" s="62"/>
      <c r="P224" s="62"/>
    </row>
    <row r="225" spans="4:16" x14ac:dyDescent="0.2">
      <c r="D225" s="62"/>
      <c r="E225" s="62"/>
      <c r="F225" s="62"/>
      <c r="G225" s="62"/>
      <c r="H225" s="62"/>
      <c r="I225" s="62"/>
      <c r="J225" s="62"/>
      <c r="K225" s="62"/>
      <c r="L225" s="62"/>
      <c r="M225" s="62"/>
      <c r="N225" s="62"/>
      <c r="O225" s="62"/>
      <c r="P225" s="62"/>
    </row>
    <row r="226" spans="4:16" x14ac:dyDescent="0.2">
      <c r="D226" s="62"/>
      <c r="E226" s="62"/>
      <c r="F226" s="62"/>
      <c r="G226" s="62"/>
      <c r="H226" s="62"/>
      <c r="I226" s="62"/>
      <c r="J226" s="62"/>
      <c r="K226" s="62"/>
      <c r="L226" s="62"/>
      <c r="M226" s="62"/>
      <c r="N226" s="62"/>
      <c r="O226" s="62"/>
      <c r="P226" s="62"/>
    </row>
    <row r="227" spans="4:16" x14ac:dyDescent="0.2">
      <c r="D227" s="62"/>
      <c r="E227" s="62"/>
      <c r="F227" s="62"/>
      <c r="G227" s="62"/>
      <c r="H227" s="62"/>
      <c r="I227" s="62"/>
      <c r="J227" s="62"/>
      <c r="K227" s="62"/>
      <c r="L227" s="62"/>
      <c r="M227" s="62"/>
      <c r="N227" s="62"/>
      <c r="O227" s="62"/>
      <c r="P227" s="62"/>
    </row>
    <row r="228" spans="4:16" x14ac:dyDescent="0.2">
      <c r="D228" s="62"/>
      <c r="E228" s="62"/>
      <c r="F228" s="62"/>
      <c r="G228" s="62"/>
      <c r="H228" s="62"/>
      <c r="I228" s="62"/>
      <c r="J228" s="62"/>
      <c r="K228" s="62"/>
      <c r="L228" s="62"/>
      <c r="M228" s="62"/>
      <c r="N228" s="62"/>
      <c r="O228" s="62"/>
      <c r="P228" s="62"/>
    </row>
    <row r="229" spans="4:16" x14ac:dyDescent="0.2">
      <c r="D229" s="62"/>
      <c r="E229" s="62"/>
      <c r="F229" s="62"/>
      <c r="G229" s="62"/>
      <c r="H229" s="62"/>
      <c r="I229" s="62"/>
      <c r="J229" s="62"/>
      <c r="K229" s="62"/>
      <c r="L229" s="62"/>
      <c r="M229" s="62"/>
      <c r="N229" s="62"/>
      <c r="O229" s="62"/>
      <c r="P229" s="62"/>
    </row>
    <row r="230" spans="4:16" x14ac:dyDescent="0.2">
      <c r="D230" s="62"/>
      <c r="E230" s="62"/>
      <c r="F230" s="62"/>
      <c r="G230" s="62"/>
      <c r="H230" s="62"/>
      <c r="I230" s="62"/>
      <c r="J230" s="62"/>
      <c r="K230" s="62"/>
      <c r="L230" s="62"/>
      <c r="M230" s="62"/>
      <c r="N230" s="62"/>
      <c r="O230" s="62"/>
      <c r="P230" s="62"/>
    </row>
    <row r="231" spans="4:16" x14ac:dyDescent="0.2">
      <c r="D231" s="62"/>
      <c r="E231" s="62"/>
      <c r="F231" s="62"/>
      <c r="G231" s="62"/>
      <c r="H231" s="62"/>
      <c r="I231" s="62"/>
      <c r="J231" s="62"/>
      <c r="K231" s="62"/>
      <c r="L231" s="62"/>
      <c r="M231" s="62"/>
      <c r="N231" s="62"/>
      <c r="O231" s="62"/>
      <c r="P231" s="62"/>
    </row>
    <row r="232" spans="4:16" x14ac:dyDescent="0.2">
      <c r="D232" s="62"/>
      <c r="E232" s="62"/>
      <c r="F232" s="62"/>
      <c r="G232" s="62"/>
      <c r="H232" s="62"/>
      <c r="I232" s="62"/>
      <c r="J232" s="62"/>
      <c r="K232" s="62"/>
      <c r="L232" s="62"/>
      <c r="M232" s="62"/>
      <c r="N232" s="62"/>
      <c r="O232" s="62"/>
      <c r="P232" s="62"/>
    </row>
    <row r="233" spans="4:16" x14ac:dyDescent="0.2">
      <c r="D233" s="62"/>
      <c r="E233" s="62"/>
      <c r="F233" s="62"/>
      <c r="G233" s="62"/>
      <c r="H233" s="62"/>
      <c r="I233" s="62"/>
      <c r="J233" s="62"/>
      <c r="K233" s="62"/>
      <c r="L233" s="62"/>
      <c r="M233" s="62"/>
      <c r="N233" s="62"/>
      <c r="O233" s="62"/>
      <c r="P233" s="62"/>
    </row>
    <row r="234" spans="4:16" x14ac:dyDescent="0.2">
      <c r="D234" s="62"/>
      <c r="E234" s="62"/>
      <c r="F234" s="62"/>
      <c r="G234" s="62"/>
      <c r="H234" s="62"/>
      <c r="I234" s="62"/>
      <c r="J234" s="62"/>
      <c r="K234" s="62"/>
      <c r="L234" s="62"/>
      <c r="M234" s="62"/>
      <c r="N234" s="62"/>
      <c r="O234" s="62"/>
      <c r="P234" s="62"/>
    </row>
    <row r="235" spans="4:16" x14ac:dyDescent="0.2">
      <c r="D235" s="62"/>
      <c r="E235" s="62"/>
      <c r="F235" s="62"/>
      <c r="G235" s="62"/>
      <c r="H235" s="62"/>
      <c r="I235" s="62"/>
      <c r="J235" s="62"/>
      <c r="K235" s="62"/>
      <c r="L235" s="62"/>
      <c r="M235" s="62"/>
      <c r="N235" s="62"/>
      <c r="O235" s="62"/>
      <c r="P235" s="62"/>
    </row>
    <row r="236" spans="4:16" x14ac:dyDescent="0.2">
      <c r="D236" s="62"/>
      <c r="E236" s="62"/>
      <c r="F236" s="62"/>
      <c r="G236" s="62"/>
      <c r="H236" s="62"/>
      <c r="I236" s="62"/>
      <c r="J236" s="62"/>
      <c r="K236" s="62"/>
      <c r="L236" s="62"/>
      <c r="M236" s="62"/>
      <c r="N236" s="62"/>
      <c r="O236" s="62"/>
      <c r="P236" s="62"/>
    </row>
    <row r="237" spans="4:16" x14ac:dyDescent="0.2">
      <c r="D237" s="62"/>
      <c r="E237" s="62"/>
      <c r="F237" s="62"/>
      <c r="G237" s="62"/>
      <c r="H237" s="62"/>
      <c r="I237" s="62"/>
      <c r="J237" s="62"/>
      <c r="K237" s="62"/>
      <c r="L237" s="62"/>
      <c r="M237" s="62"/>
      <c r="N237" s="62"/>
      <c r="O237" s="62"/>
      <c r="P237" s="62"/>
    </row>
    <row r="238" spans="4:16" x14ac:dyDescent="0.2">
      <c r="D238" s="62"/>
      <c r="E238" s="62"/>
      <c r="F238" s="62"/>
      <c r="G238" s="62"/>
      <c r="H238" s="62"/>
      <c r="I238" s="62"/>
      <c r="J238" s="62"/>
      <c r="K238" s="62"/>
      <c r="L238" s="62"/>
      <c r="M238" s="62"/>
      <c r="N238" s="62"/>
      <c r="O238" s="62"/>
      <c r="P238" s="62"/>
    </row>
    <row r="239" spans="4:16" x14ac:dyDescent="0.2">
      <c r="D239" s="62"/>
      <c r="E239" s="62"/>
      <c r="F239" s="62"/>
      <c r="G239" s="62"/>
      <c r="H239" s="62"/>
      <c r="I239" s="62"/>
      <c r="J239" s="62"/>
      <c r="K239" s="62"/>
      <c r="L239" s="62"/>
      <c r="M239" s="62"/>
      <c r="N239" s="62"/>
      <c r="O239" s="62"/>
      <c r="P239" s="62"/>
    </row>
    <row r="240" spans="4:16" x14ac:dyDescent="0.2">
      <c r="D240" s="62"/>
      <c r="E240" s="62"/>
      <c r="F240" s="62"/>
      <c r="G240" s="62"/>
      <c r="H240" s="62"/>
      <c r="I240" s="62"/>
      <c r="J240" s="62"/>
      <c r="K240" s="62"/>
      <c r="L240" s="62"/>
      <c r="M240" s="62"/>
      <c r="N240" s="62"/>
      <c r="O240" s="62"/>
      <c r="P240" s="62"/>
    </row>
    <row r="241" spans="4:16" x14ac:dyDescent="0.2">
      <c r="D241" s="62"/>
      <c r="E241" s="62"/>
      <c r="F241" s="62"/>
      <c r="G241" s="62"/>
      <c r="H241" s="62"/>
      <c r="I241" s="62"/>
      <c r="J241" s="62"/>
      <c r="K241" s="62"/>
      <c r="L241" s="62"/>
      <c r="M241" s="62"/>
      <c r="N241" s="62"/>
      <c r="O241" s="62"/>
      <c r="P241" s="62"/>
    </row>
    <row r="242" spans="4:16" x14ac:dyDescent="0.2">
      <c r="D242" s="62"/>
      <c r="E242" s="62"/>
      <c r="F242" s="62"/>
      <c r="G242" s="62"/>
      <c r="H242" s="62"/>
      <c r="I242" s="62"/>
      <c r="J242" s="62"/>
      <c r="K242" s="62"/>
      <c r="L242" s="62"/>
      <c r="M242" s="62"/>
      <c r="N242" s="62"/>
      <c r="O242" s="62"/>
      <c r="P242" s="62"/>
    </row>
    <row r="243" spans="4:16" x14ac:dyDescent="0.2">
      <c r="D243" s="62"/>
      <c r="E243" s="62"/>
      <c r="F243" s="62"/>
      <c r="G243" s="62"/>
      <c r="H243" s="62"/>
      <c r="I243" s="62"/>
      <c r="J243" s="62"/>
      <c r="K243" s="62"/>
      <c r="L243" s="62"/>
      <c r="M243" s="62"/>
      <c r="N243" s="62"/>
      <c r="O243" s="62"/>
      <c r="P243" s="62"/>
    </row>
    <row r="244" spans="4:16" x14ac:dyDescent="0.2">
      <c r="D244" s="62"/>
      <c r="E244" s="62"/>
      <c r="F244" s="62"/>
      <c r="G244" s="62"/>
      <c r="H244" s="62"/>
      <c r="I244" s="62"/>
      <c r="J244" s="62"/>
      <c r="K244" s="62"/>
      <c r="L244" s="62"/>
      <c r="M244" s="62"/>
      <c r="N244" s="62"/>
      <c r="O244" s="62"/>
      <c r="P244" s="62"/>
    </row>
    <row r="245" spans="4:16" x14ac:dyDescent="0.2">
      <c r="D245" s="62"/>
      <c r="E245" s="62"/>
      <c r="F245" s="62"/>
      <c r="G245" s="62"/>
      <c r="H245" s="62"/>
      <c r="I245" s="62"/>
      <c r="J245" s="62"/>
      <c r="K245" s="62"/>
      <c r="L245" s="62"/>
      <c r="M245" s="62"/>
      <c r="N245" s="62"/>
      <c r="O245" s="62"/>
      <c r="P245" s="62"/>
    </row>
    <row r="246" spans="4:16" x14ac:dyDescent="0.2">
      <c r="D246" s="62"/>
      <c r="E246" s="62"/>
      <c r="F246" s="62"/>
      <c r="G246" s="62"/>
      <c r="H246" s="62"/>
      <c r="I246" s="62"/>
      <c r="J246" s="62"/>
      <c r="K246" s="62"/>
      <c r="L246" s="62"/>
      <c r="M246" s="62"/>
      <c r="N246" s="62"/>
      <c r="O246" s="62"/>
      <c r="P246" s="62"/>
    </row>
    <row r="247" spans="4:16" x14ac:dyDescent="0.2">
      <c r="D247" s="62"/>
      <c r="E247" s="62"/>
      <c r="F247" s="62"/>
      <c r="G247" s="62"/>
      <c r="H247" s="62"/>
      <c r="I247" s="62"/>
      <c r="J247" s="62"/>
      <c r="K247" s="62"/>
      <c r="L247" s="62"/>
      <c r="M247" s="62"/>
      <c r="N247" s="62"/>
      <c r="O247" s="62"/>
      <c r="P247" s="62"/>
    </row>
    <row r="248" spans="4:16" x14ac:dyDescent="0.2">
      <c r="D248" s="62"/>
      <c r="E248" s="62"/>
      <c r="F248" s="62"/>
      <c r="G248" s="62"/>
      <c r="H248" s="62"/>
      <c r="I248" s="62"/>
      <c r="J248" s="62"/>
      <c r="K248" s="62"/>
      <c r="L248" s="62"/>
      <c r="M248" s="62"/>
      <c r="N248" s="62"/>
      <c r="O248" s="62"/>
      <c r="P248" s="62"/>
    </row>
    <row r="249" spans="4:16" x14ac:dyDescent="0.2">
      <c r="D249" s="62"/>
      <c r="E249" s="62"/>
      <c r="F249" s="62"/>
      <c r="G249" s="62"/>
      <c r="H249" s="62"/>
      <c r="I249" s="62"/>
      <c r="J249" s="62"/>
      <c r="K249" s="62"/>
      <c r="L249" s="62"/>
      <c r="M249" s="62"/>
      <c r="N249" s="62"/>
      <c r="O249" s="62"/>
      <c r="P249" s="62"/>
    </row>
    <row r="250" spans="4:16" x14ac:dyDescent="0.2">
      <c r="D250" s="62"/>
      <c r="E250" s="62"/>
      <c r="F250" s="62"/>
      <c r="G250" s="62"/>
      <c r="H250" s="62"/>
      <c r="I250" s="62"/>
      <c r="J250" s="62"/>
      <c r="K250" s="62"/>
      <c r="L250" s="62"/>
      <c r="M250" s="62"/>
      <c r="N250" s="62"/>
      <c r="O250" s="62"/>
      <c r="P250" s="62"/>
    </row>
    <row r="251" spans="4:16" x14ac:dyDescent="0.2">
      <c r="D251" s="62"/>
      <c r="E251" s="62"/>
      <c r="F251" s="62"/>
      <c r="G251" s="62"/>
      <c r="H251" s="62"/>
      <c r="I251" s="62"/>
      <c r="J251" s="62"/>
      <c r="K251" s="62"/>
      <c r="L251" s="62"/>
      <c r="M251" s="62"/>
      <c r="N251" s="62"/>
      <c r="O251" s="62"/>
      <c r="P251" s="62"/>
    </row>
    <row r="252" spans="4:16" x14ac:dyDescent="0.2">
      <c r="D252" s="62"/>
      <c r="E252" s="62"/>
      <c r="F252" s="62"/>
      <c r="G252" s="62"/>
      <c r="H252" s="62"/>
      <c r="I252" s="62"/>
      <c r="J252" s="62"/>
      <c r="K252" s="62"/>
      <c r="L252" s="62"/>
      <c r="M252" s="62"/>
      <c r="N252" s="62"/>
      <c r="O252" s="62"/>
      <c r="P252" s="62"/>
    </row>
    <row r="253" spans="4:16" x14ac:dyDescent="0.2">
      <c r="D253" s="62"/>
      <c r="E253" s="62"/>
      <c r="F253" s="62"/>
      <c r="G253" s="62"/>
      <c r="H253" s="62"/>
      <c r="I253" s="62"/>
      <c r="J253" s="62"/>
      <c r="K253" s="62"/>
      <c r="L253" s="62"/>
      <c r="M253" s="62"/>
      <c r="N253" s="62"/>
      <c r="O253" s="62"/>
      <c r="P253" s="62"/>
    </row>
    <row r="254" spans="4:16" x14ac:dyDescent="0.2">
      <c r="D254" s="62"/>
      <c r="E254" s="62"/>
      <c r="F254" s="62"/>
      <c r="G254" s="62"/>
      <c r="H254" s="62"/>
      <c r="I254" s="62"/>
      <c r="J254" s="62"/>
      <c r="K254" s="62"/>
      <c r="L254" s="62"/>
      <c r="M254" s="62"/>
      <c r="N254" s="62"/>
      <c r="O254" s="62"/>
      <c r="P254" s="62"/>
    </row>
    <row r="255" spans="4:16" x14ac:dyDescent="0.2">
      <c r="D255" s="62"/>
      <c r="E255" s="62"/>
      <c r="F255" s="62"/>
      <c r="G255" s="62"/>
      <c r="H255" s="62"/>
      <c r="I255" s="62"/>
      <c r="J255" s="62"/>
      <c r="K255" s="62"/>
      <c r="L255" s="62"/>
      <c r="M255" s="62"/>
      <c r="N255" s="62"/>
      <c r="O255" s="62"/>
      <c r="P255" s="62"/>
    </row>
    <row r="256" spans="4:16" x14ac:dyDescent="0.2">
      <c r="D256" s="62"/>
      <c r="E256" s="62"/>
      <c r="F256" s="62"/>
      <c r="G256" s="62"/>
      <c r="H256" s="62"/>
      <c r="I256" s="62"/>
      <c r="J256" s="62"/>
      <c r="K256" s="62"/>
      <c r="L256" s="62"/>
      <c r="M256" s="62"/>
      <c r="N256" s="62"/>
      <c r="O256" s="62"/>
      <c r="P256" s="62"/>
    </row>
    <row r="257" spans="4:16" x14ac:dyDescent="0.2">
      <c r="D257" s="62"/>
      <c r="E257" s="62"/>
      <c r="F257" s="62"/>
      <c r="G257" s="62"/>
      <c r="H257" s="62"/>
      <c r="I257" s="62"/>
      <c r="J257" s="62"/>
      <c r="K257" s="62"/>
      <c r="L257" s="62"/>
      <c r="M257" s="62"/>
      <c r="N257" s="62"/>
      <c r="O257" s="62"/>
      <c r="P257" s="62"/>
    </row>
    <row r="258" spans="4:16" x14ac:dyDescent="0.2">
      <c r="D258" s="62"/>
      <c r="E258" s="62"/>
      <c r="F258" s="62"/>
      <c r="G258" s="62"/>
      <c r="H258" s="62"/>
      <c r="I258" s="62"/>
      <c r="J258" s="62"/>
      <c r="K258" s="62"/>
      <c r="L258" s="62"/>
      <c r="M258" s="62"/>
      <c r="N258" s="62"/>
      <c r="O258" s="62"/>
      <c r="P258" s="62"/>
    </row>
    <row r="259" spans="4:16" x14ac:dyDescent="0.2">
      <c r="D259" s="62"/>
      <c r="E259" s="62"/>
      <c r="F259" s="62"/>
      <c r="G259" s="62"/>
      <c r="H259" s="62"/>
      <c r="I259" s="62"/>
      <c r="J259" s="62"/>
      <c r="K259" s="62"/>
      <c r="L259" s="62"/>
      <c r="M259" s="62"/>
      <c r="N259" s="62"/>
      <c r="O259" s="62"/>
      <c r="P259" s="62"/>
    </row>
    <row r="260" spans="4:16" x14ac:dyDescent="0.2">
      <c r="D260" s="62"/>
      <c r="E260" s="62"/>
      <c r="F260" s="62"/>
      <c r="G260" s="62"/>
      <c r="H260" s="62"/>
      <c r="I260" s="62"/>
      <c r="J260" s="62"/>
      <c r="K260" s="62"/>
      <c r="L260" s="62"/>
      <c r="M260" s="62"/>
      <c r="N260" s="62"/>
      <c r="O260" s="62"/>
      <c r="P260" s="62"/>
    </row>
    <row r="261" spans="4:16" x14ac:dyDescent="0.2">
      <c r="D261" s="62"/>
      <c r="E261" s="62"/>
      <c r="F261" s="62"/>
      <c r="G261" s="62"/>
      <c r="H261" s="62"/>
      <c r="I261" s="62"/>
      <c r="J261" s="62"/>
      <c r="K261" s="62"/>
      <c r="L261" s="62"/>
      <c r="M261" s="62"/>
      <c r="N261" s="62"/>
      <c r="O261" s="62"/>
      <c r="P261" s="62"/>
    </row>
    <row r="262" spans="4:16" x14ac:dyDescent="0.2">
      <c r="D262" s="62"/>
      <c r="E262" s="62"/>
      <c r="F262" s="62"/>
      <c r="G262" s="62"/>
      <c r="H262" s="62"/>
      <c r="I262" s="62"/>
      <c r="J262" s="62"/>
      <c r="K262" s="62"/>
      <c r="L262" s="62"/>
      <c r="M262" s="62"/>
      <c r="N262" s="62"/>
      <c r="O262" s="62"/>
      <c r="P262" s="62"/>
    </row>
    <row r="263" spans="4:16" x14ac:dyDescent="0.2">
      <c r="D263" s="62"/>
      <c r="E263" s="62"/>
      <c r="F263" s="62"/>
      <c r="G263" s="62"/>
      <c r="H263" s="62"/>
      <c r="I263" s="62"/>
      <c r="J263" s="62"/>
      <c r="K263" s="62"/>
      <c r="L263" s="62"/>
      <c r="M263" s="62"/>
      <c r="N263" s="62"/>
      <c r="O263" s="62"/>
      <c r="P263" s="62"/>
    </row>
    <row r="264" spans="4:16" x14ac:dyDescent="0.2">
      <c r="D264" s="62"/>
      <c r="E264" s="62"/>
      <c r="F264" s="62"/>
      <c r="G264" s="62"/>
      <c r="H264" s="62"/>
      <c r="I264" s="62"/>
      <c r="J264" s="62"/>
      <c r="K264" s="62"/>
      <c r="L264" s="62"/>
      <c r="M264" s="62"/>
      <c r="N264" s="62"/>
      <c r="O264" s="62"/>
      <c r="P264" s="62"/>
    </row>
    <row r="265" spans="4:16" x14ac:dyDescent="0.2">
      <c r="D265" s="62"/>
      <c r="E265" s="62"/>
      <c r="F265" s="62"/>
      <c r="G265" s="62"/>
      <c r="H265" s="62"/>
      <c r="I265" s="62"/>
      <c r="J265" s="62"/>
      <c r="K265" s="62"/>
      <c r="L265" s="62"/>
      <c r="M265" s="62"/>
      <c r="N265" s="62"/>
      <c r="O265" s="62"/>
      <c r="P265" s="62"/>
    </row>
    <row r="266" spans="4:16" x14ac:dyDescent="0.2">
      <c r="D266" s="62"/>
      <c r="E266" s="62"/>
      <c r="F266" s="62"/>
      <c r="G266" s="62"/>
      <c r="H266" s="62"/>
      <c r="I266" s="62"/>
      <c r="J266" s="62"/>
      <c r="K266" s="62"/>
      <c r="L266" s="62"/>
      <c r="M266" s="62"/>
      <c r="N266" s="62"/>
      <c r="O266" s="62"/>
      <c r="P266" s="62"/>
    </row>
    <row r="267" spans="4:16" x14ac:dyDescent="0.2">
      <c r="D267" s="62"/>
      <c r="E267" s="62"/>
      <c r="F267" s="62"/>
      <c r="G267" s="62"/>
      <c r="H267" s="62"/>
      <c r="I267" s="62"/>
      <c r="J267" s="62"/>
      <c r="K267" s="62"/>
      <c r="L267" s="62"/>
      <c r="M267" s="62"/>
      <c r="N267" s="62"/>
      <c r="O267" s="62"/>
      <c r="P267" s="62"/>
    </row>
    <row r="268" spans="4:16" x14ac:dyDescent="0.2">
      <c r="D268" s="62"/>
      <c r="E268" s="62"/>
      <c r="F268" s="62"/>
      <c r="G268" s="62"/>
      <c r="H268" s="62"/>
      <c r="I268" s="62"/>
      <c r="J268" s="62"/>
      <c r="K268" s="62"/>
      <c r="L268" s="62"/>
      <c r="M268" s="62"/>
      <c r="N268" s="62"/>
      <c r="O268" s="62"/>
      <c r="P268" s="62"/>
    </row>
    <row r="269" spans="4:16" x14ac:dyDescent="0.2">
      <c r="D269" s="62"/>
      <c r="E269" s="62"/>
      <c r="F269" s="62"/>
      <c r="G269" s="62"/>
      <c r="H269" s="62"/>
      <c r="I269" s="62"/>
      <c r="J269" s="62"/>
      <c r="K269" s="62"/>
      <c r="L269" s="62"/>
      <c r="M269" s="62"/>
      <c r="N269" s="62"/>
      <c r="O269" s="62"/>
      <c r="P269" s="62"/>
    </row>
    <row r="270" spans="4:16" x14ac:dyDescent="0.2">
      <c r="D270" s="62"/>
      <c r="E270" s="62"/>
      <c r="F270" s="62"/>
      <c r="G270" s="62"/>
      <c r="H270" s="62"/>
      <c r="I270" s="62"/>
      <c r="J270" s="62"/>
      <c r="K270" s="62"/>
      <c r="L270" s="62"/>
      <c r="M270" s="62"/>
      <c r="N270" s="62"/>
      <c r="O270" s="62"/>
      <c r="P270" s="62"/>
    </row>
    <row r="271" spans="4:16" x14ac:dyDescent="0.2">
      <c r="D271" s="62"/>
      <c r="E271" s="62"/>
      <c r="F271" s="62"/>
      <c r="G271" s="62"/>
      <c r="H271" s="62"/>
      <c r="I271" s="62"/>
      <c r="J271" s="62"/>
      <c r="K271" s="62"/>
      <c r="L271" s="62"/>
      <c r="M271" s="62"/>
      <c r="N271" s="62"/>
      <c r="O271" s="62"/>
      <c r="P271" s="62"/>
    </row>
    <row r="272" spans="4:16" x14ac:dyDescent="0.2">
      <c r="D272" s="62"/>
      <c r="E272" s="62"/>
      <c r="F272" s="62"/>
      <c r="G272" s="62"/>
      <c r="H272" s="62"/>
      <c r="I272" s="62"/>
      <c r="J272" s="62"/>
      <c r="K272" s="62"/>
      <c r="L272" s="62"/>
      <c r="M272" s="62"/>
      <c r="N272" s="62"/>
      <c r="O272" s="62"/>
      <c r="P272" s="62"/>
    </row>
    <row r="273" spans="4:16" x14ac:dyDescent="0.2">
      <c r="D273" s="62"/>
      <c r="E273" s="62"/>
      <c r="F273" s="62"/>
      <c r="G273" s="62"/>
      <c r="H273" s="62"/>
      <c r="I273" s="62"/>
      <c r="J273" s="62"/>
      <c r="K273" s="62"/>
      <c r="L273" s="62"/>
      <c r="M273" s="62"/>
      <c r="N273" s="62"/>
      <c r="O273" s="62"/>
      <c r="P273" s="62"/>
    </row>
    <row r="274" spans="4:16" x14ac:dyDescent="0.2">
      <c r="D274" s="62"/>
      <c r="E274" s="62"/>
      <c r="F274" s="62"/>
      <c r="G274" s="62"/>
      <c r="H274" s="62"/>
      <c r="I274" s="62"/>
      <c r="J274" s="62"/>
      <c r="K274" s="62"/>
      <c r="L274" s="62"/>
      <c r="M274" s="62"/>
      <c r="N274" s="62"/>
      <c r="O274" s="62"/>
      <c r="P274" s="62"/>
    </row>
    <row r="275" spans="4:16" x14ac:dyDescent="0.2">
      <c r="D275" s="62"/>
      <c r="E275" s="62"/>
      <c r="F275" s="62"/>
      <c r="G275" s="62"/>
      <c r="H275" s="62"/>
      <c r="I275" s="62"/>
      <c r="J275" s="62"/>
      <c r="K275" s="62"/>
      <c r="L275" s="62"/>
      <c r="M275" s="62"/>
      <c r="N275" s="62"/>
      <c r="O275" s="62"/>
      <c r="P275" s="62"/>
    </row>
    <row r="276" spans="4:16" x14ac:dyDescent="0.2">
      <c r="D276" s="62"/>
      <c r="E276" s="62"/>
      <c r="F276" s="62"/>
      <c r="G276" s="62"/>
      <c r="H276" s="62"/>
      <c r="I276" s="62"/>
      <c r="J276" s="62"/>
      <c r="K276" s="62"/>
      <c r="L276" s="62"/>
      <c r="M276" s="62"/>
      <c r="N276" s="62"/>
      <c r="O276" s="62"/>
      <c r="P276" s="62"/>
    </row>
    <row r="277" spans="4:16" x14ac:dyDescent="0.2">
      <c r="D277" s="62"/>
      <c r="E277" s="62"/>
      <c r="F277" s="62"/>
      <c r="G277" s="62"/>
      <c r="H277" s="62"/>
      <c r="I277" s="62"/>
      <c r="J277" s="62"/>
      <c r="K277" s="62"/>
      <c r="L277" s="62"/>
      <c r="M277" s="62"/>
      <c r="N277" s="62"/>
      <c r="O277" s="62"/>
      <c r="P277" s="62"/>
    </row>
    <row r="278" spans="4:16" x14ac:dyDescent="0.2">
      <c r="D278" s="62"/>
      <c r="E278" s="62"/>
      <c r="F278" s="62"/>
      <c r="G278" s="62"/>
      <c r="H278" s="62"/>
      <c r="I278" s="62"/>
      <c r="J278" s="62"/>
      <c r="K278" s="62"/>
      <c r="L278" s="62"/>
      <c r="M278" s="62"/>
      <c r="N278" s="62"/>
      <c r="O278" s="62"/>
      <c r="P278" s="62"/>
    </row>
    <row r="279" spans="4:16" x14ac:dyDescent="0.2">
      <c r="D279" s="62"/>
      <c r="E279" s="62"/>
      <c r="F279" s="62"/>
      <c r="G279" s="62"/>
      <c r="H279" s="62"/>
      <c r="I279" s="62"/>
      <c r="J279" s="62"/>
      <c r="K279" s="62"/>
      <c r="L279" s="62"/>
      <c r="M279" s="62"/>
      <c r="N279" s="62"/>
      <c r="O279" s="62"/>
      <c r="P279" s="62"/>
    </row>
    <row r="280" spans="4:16" x14ac:dyDescent="0.2">
      <c r="D280" s="62"/>
      <c r="E280" s="62"/>
      <c r="F280" s="62"/>
      <c r="G280" s="62"/>
      <c r="H280" s="62"/>
      <c r="I280" s="62"/>
      <c r="J280" s="62"/>
      <c r="K280" s="62"/>
      <c r="L280" s="62"/>
      <c r="M280" s="62"/>
      <c r="N280" s="62"/>
      <c r="O280" s="62"/>
      <c r="P280" s="62"/>
    </row>
    <row r="281" spans="4:16" x14ac:dyDescent="0.2">
      <c r="D281" s="62"/>
      <c r="E281" s="62"/>
      <c r="F281" s="62"/>
      <c r="G281" s="62"/>
      <c r="H281" s="62"/>
      <c r="I281" s="62"/>
      <c r="J281" s="62"/>
      <c r="K281" s="62"/>
      <c r="L281" s="62"/>
      <c r="M281" s="62"/>
      <c r="N281" s="62"/>
      <c r="O281" s="62"/>
      <c r="P281" s="62"/>
    </row>
    <row r="282" spans="4:16" x14ac:dyDescent="0.2">
      <c r="D282" s="62"/>
      <c r="E282" s="62"/>
      <c r="F282" s="62"/>
      <c r="G282" s="62"/>
      <c r="H282" s="62"/>
      <c r="I282" s="62"/>
      <c r="J282" s="62"/>
      <c r="K282" s="62"/>
      <c r="L282" s="62"/>
      <c r="M282" s="62"/>
      <c r="N282" s="62"/>
      <c r="O282" s="62"/>
      <c r="P282" s="62"/>
    </row>
    <row r="283" spans="4:16" x14ac:dyDescent="0.2">
      <c r="D283" s="62"/>
      <c r="E283" s="62"/>
      <c r="F283" s="62"/>
      <c r="G283" s="62"/>
      <c r="H283" s="62"/>
      <c r="I283" s="62"/>
      <c r="J283" s="62"/>
      <c r="K283" s="62"/>
      <c r="L283" s="62"/>
      <c r="M283" s="62"/>
      <c r="N283" s="62"/>
      <c r="O283" s="62"/>
      <c r="P283" s="62"/>
    </row>
    <row r="284" spans="4:16" x14ac:dyDescent="0.2">
      <c r="D284" s="62"/>
      <c r="E284" s="62"/>
      <c r="F284" s="62"/>
      <c r="G284" s="62"/>
      <c r="H284" s="62"/>
      <c r="I284" s="62"/>
      <c r="J284" s="62"/>
      <c r="K284" s="62"/>
      <c r="L284" s="62"/>
      <c r="M284" s="62"/>
      <c r="N284" s="62"/>
      <c r="O284" s="62"/>
      <c r="P284" s="62"/>
    </row>
    <row r="285" spans="4:16" x14ac:dyDescent="0.2">
      <c r="D285" s="62"/>
      <c r="E285" s="62"/>
      <c r="F285" s="62"/>
      <c r="G285" s="62"/>
      <c r="H285" s="62"/>
      <c r="I285" s="62"/>
      <c r="J285" s="62"/>
      <c r="K285" s="62"/>
      <c r="L285" s="62"/>
      <c r="M285" s="62"/>
      <c r="N285" s="62"/>
      <c r="O285" s="62"/>
      <c r="P285" s="62"/>
    </row>
    <row r="286" spans="4:16" x14ac:dyDescent="0.2">
      <c r="D286" s="62"/>
      <c r="E286" s="62"/>
      <c r="F286" s="62"/>
      <c r="G286" s="62"/>
      <c r="H286" s="62"/>
      <c r="I286" s="62"/>
      <c r="J286" s="62"/>
      <c r="K286" s="62"/>
      <c r="L286" s="62"/>
      <c r="M286" s="62"/>
      <c r="N286" s="62"/>
      <c r="O286" s="62"/>
      <c r="P286" s="62"/>
    </row>
    <row r="287" spans="4:16" x14ac:dyDescent="0.2">
      <c r="D287" s="62"/>
      <c r="E287" s="62"/>
      <c r="F287" s="62"/>
      <c r="G287" s="62"/>
      <c r="H287" s="62"/>
      <c r="I287" s="62"/>
      <c r="J287" s="62"/>
      <c r="K287" s="62"/>
      <c r="L287" s="62"/>
      <c r="M287" s="62"/>
      <c r="N287" s="62"/>
      <c r="O287" s="62"/>
      <c r="P287" s="62"/>
    </row>
    <row r="288" spans="4:16" x14ac:dyDescent="0.2">
      <c r="D288" s="62"/>
      <c r="E288" s="62"/>
      <c r="F288" s="62"/>
      <c r="G288" s="62"/>
      <c r="H288" s="62"/>
      <c r="I288" s="62"/>
      <c r="J288" s="62"/>
      <c r="K288" s="62"/>
      <c r="L288" s="62"/>
      <c r="M288" s="62"/>
      <c r="N288" s="62"/>
      <c r="O288" s="62"/>
      <c r="P288" s="62"/>
    </row>
    <row r="289" spans="4:16" x14ac:dyDescent="0.2">
      <c r="D289" s="62"/>
      <c r="E289" s="62"/>
      <c r="F289" s="62"/>
      <c r="G289" s="62"/>
      <c r="H289" s="62"/>
      <c r="I289" s="62"/>
      <c r="J289" s="62"/>
      <c r="K289" s="62"/>
      <c r="L289" s="62"/>
      <c r="M289" s="62"/>
      <c r="N289" s="62"/>
      <c r="O289" s="62"/>
      <c r="P289" s="62"/>
    </row>
    <row r="290" spans="4:16" x14ac:dyDescent="0.2">
      <c r="D290" s="62"/>
      <c r="E290" s="62"/>
      <c r="F290" s="62"/>
      <c r="G290" s="62"/>
      <c r="H290" s="62"/>
      <c r="I290" s="62"/>
      <c r="J290" s="62"/>
      <c r="K290" s="62"/>
      <c r="L290" s="62"/>
      <c r="M290" s="62"/>
      <c r="N290" s="62"/>
      <c r="O290" s="62"/>
      <c r="P290" s="62"/>
    </row>
    <row r="291" spans="4:16" x14ac:dyDescent="0.2">
      <c r="D291" s="62"/>
      <c r="E291" s="62"/>
      <c r="F291" s="62"/>
      <c r="G291" s="62"/>
      <c r="H291" s="62"/>
      <c r="I291" s="62"/>
      <c r="J291" s="62"/>
      <c r="K291" s="62"/>
      <c r="L291" s="62"/>
      <c r="M291" s="62"/>
      <c r="N291" s="62"/>
      <c r="O291" s="62"/>
      <c r="P291" s="62"/>
    </row>
    <row r="292" spans="4:16" x14ac:dyDescent="0.2">
      <c r="D292" s="62"/>
      <c r="E292" s="62"/>
      <c r="F292" s="62"/>
      <c r="G292" s="62"/>
      <c r="H292" s="62"/>
      <c r="I292" s="62"/>
      <c r="J292" s="62"/>
      <c r="K292" s="62"/>
      <c r="L292" s="62"/>
      <c r="M292" s="62"/>
      <c r="N292" s="62"/>
      <c r="O292" s="62"/>
      <c r="P292" s="62"/>
    </row>
    <row r="293" spans="4:16" x14ac:dyDescent="0.2">
      <c r="D293" s="62"/>
      <c r="E293" s="62"/>
      <c r="F293" s="62"/>
      <c r="G293" s="62"/>
      <c r="H293" s="62"/>
      <c r="I293" s="62"/>
      <c r="J293" s="62"/>
      <c r="K293" s="62"/>
      <c r="L293" s="62"/>
      <c r="M293" s="62"/>
      <c r="N293" s="62"/>
      <c r="O293" s="62"/>
      <c r="P293" s="62"/>
    </row>
    <row r="294" spans="4:16" x14ac:dyDescent="0.2">
      <c r="D294" s="62"/>
      <c r="E294" s="62"/>
      <c r="F294" s="62"/>
      <c r="G294" s="62"/>
      <c r="H294" s="62"/>
      <c r="I294" s="62"/>
      <c r="J294" s="62"/>
      <c r="K294" s="62"/>
      <c r="L294" s="62"/>
      <c r="M294" s="62"/>
      <c r="N294" s="62"/>
      <c r="O294" s="62"/>
      <c r="P294" s="62"/>
    </row>
    <row r="295" spans="4:16" x14ac:dyDescent="0.2">
      <c r="D295" s="62"/>
      <c r="E295" s="62"/>
      <c r="F295" s="62"/>
      <c r="G295" s="62"/>
      <c r="H295" s="62"/>
      <c r="I295" s="62"/>
      <c r="J295" s="62"/>
      <c r="K295" s="62"/>
      <c r="L295" s="62"/>
      <c r="M295" s="62"/>
      <c r="N295" s="62"/>
      <c r="O295" s="62"/>
      <c r="P295" s="62"/>
    </row>
    <row r="296" spans="4:16" x14ac:dyDescent="0.2">
      <c r="D296" s="62"/>
      <c r="E296" s="62"/>
      <c r="F296" s="62"/>
      <c r="G296" s="62"/>
      <c r="H296" s="62"/>
      <c r="I296" s="62"/>
      <c r="J296" s="62"/>
      <c r="K296" s="62"/>
      <c r="L296" s="62"/>
      <c r="M296" s="62"/>
      <c r="N296" s="62"/>
      <c r="O296" s="62"/>
      <c r="P296" s="62"/>
    </row>
    <row r="297" spans="4:16" x14ac:dyDescent="0.2">
      <c r="D297" s="62"/>
      <c r="E297" s="62"/>
      <c r="F297" s="62"/>
      <c r="G297" s="62"/>
      <c r="H297" s="62"/>
      <c r="I297" s="62"/>
      <c r="J297" s="62"/>
      <c r="K297" s="62"/>
      <c r="L297" s="62"/>
      <c r="M297" s="62"/>
      <c r="N297" s="62"/>
      <c r="O297" s="62"/>
      <c r="P297" s="62"/>
    </row>
    <row r="298" spans="4:16" x14ac:dyDescent="0.2">
      <c r="D298" s="62"/>
      <c r="E298" s="62"/>
      <c r="F298" s="62"/>
      <c r="G298" s="62"/>
      <c r="H298" s="62"/>
      <c r="I298" s="62"/>
      <c r="J298" s="62"/>
      <c r="K298" s="62"/>
      <c r="L298" s="62"/>
      <c r="M298" s="62"/>
      <c r="N298" s="62"/>
      <c r="O298" s="62"/>
      <c r="P298" s="62"/>
    </row>
    <row r="299" spans="4:16" x14ac:dyDescent="0.2">
      <c r="D299" s="62"/>
      <c r="E299" s="62"/>
      <c r="F299" s="62"/>
      <c r="G299" s="62"/>
      <c r="H299" s="62"/>
      <c r="I299" s="62"/>
      <c r="J299" s="62"/>
      <c r="K299" s="62"/>
      <c r="L299" s="62"/>
      <c r="M299" s="62"/>
      <c r="N299" s="62"/>
      <c r="O299" s="62"/>
      <c r="P299" s="62"/>
    </row>
    <row r="300" spans="4:16" x14ac:dyDescent="0.2">
      <c r="D300" s="62"/>
      <c r="E300" s="62"/>
      <c r="F300" s="62"/>
      <c r="G300" s="62"/>
      <c r="H300" s="62"/>
      <c r="I300" s="62"/>
      <c r="J300" s="62"/>
      <c r="K300" s="62"/>
      <c r="L300" s="62"/>
      <c r="M300" s="62"/>
      <c r="N300" s="62"/>
      <c r="O300" s="62"/>
      <c r="P300" s="62"/>
    </row>
    <row r="301" spans="4:16" x14ac:dyDescent="0.2">
      <c r="D301" s="62"/>
      <c r="E301" s="62"/>
      <c r="F301" s="62"/>
      <c r="G301" s="62"/>
      <c r="H301" s="62"/>
      <c r="I301" s="62"/>
      <c r="J301" s="62"/>
      <c r="K301" s="62"/>
      <c r="L301" s="62"/>
      <c r="M301" s="62"/>
      <c r="N301" s="62"/>
      <c r="O301" s="62"/>
      <c r="P301" s="62"/>
    </row>
    <row r="302" spans="4:16" x14ac:dyDescent="0.2">
      <c r="D302" s="62"/>
      <c r="E302" s="62"/>
      <c r="F302" s="62"/>
      <c r="G302" s="62"/>
      <c r="H302" s="62"/>
      <c r="I302" s="62"/>
      <c r="J302" s="62"/>
      <c r="K302" s="62"/>
      <c r="L302" s="62"/>
      <c r="M302" s="62"/>
      <c r="N302" s="62"/>
      <c r="O302" s="62"/>
      <c r="P302" s="62"/>
    </row>
    <row r="303" spans="4:16" x14ac:dyDescent="0.2">
      <c r="D303" s="62"/>
      <c r="E303" s="62"/>
      <c r="F303" s="62"/>
      <c r="G303" s="62"/>
      <c r="H303" s="62"/>
      <c r="I303" s="62"/>
      <c r="J303" s="62"/>
      <c r="K303" s="62"/>
      <c r="L303" s="62"/>
      <c r="M303" s="62"/>
      <c r="N303" s="62"/>
      <c r="O303" s="62"/>
      <c r="P303" s="62"/>
    </row>
    <row r="304" spans="4:16" x14ac:dyDescent="0.2">
      <c r="D304" s="62"/>
      <c r="E304" s="62"/>
      <c r="F304" s="62"/>
      <c r="G304" s="62"/>
      <c r="H304" s="62"/>
      <c r="I304" s="62"/>
      <c r="J304" s="62"/>
      <c r="K304" s="62"/>
      <c r="L304" s="62"/>
      <c r="M304" s="62"/>
      <c r="N304" s="62"/>
      <c r="O304" s="62"/>
      <c r="P304" s="62"/>
    </row>
    <row r="305" spans="4:16" x14ac:dyDescent="0.2">
      <c r="D305" s="62"/>
      <c r="E305" s="62"/>
      <c r="F305" s="62"/>
      <c r="G305" s="62"/>
      <c r="H305" s="62"/>
      <c r="I305" s="62"/>
      <c r="J305" s="62"/>
      <c r="K305" s="62"/>
      <c r="L305" s="62"/>
      <c r="M305" s="62"/>
      <c r="N305" s="62"/>
      <c r="O305" s="62"/>
      <c r="P305" s="62"/>
    </row>
    <row r="306" spans="4:16" x14ac:dyDescent="0.2">
      <c r="D306" s="62"/>
      <c r="E306" s="62"/>
      <c r="F306" s="62"/>
      <c r="G306" s="62"/>
      <c r="H306" s="62"/>
      <c r="I306" s="62"/>
      <c r="J306" s="62"/>
      <c r="K306" s="62"/>
      <c r="L306" s="62"/>
      <c r="M306" s="62"/>
      <c r="N306" s="62"/>
      <c r="O306" s="62"/>
      <c r="P306" s="62"/>
    </row>
    <row r="307" spans="4:16" x14ac:dyDescent="0.2">
      <c r="D307" s="62"/>
      <c r="E307" s="62"/>
      <c r="F307" s="62"/>
      <c r="G307" s="62"/>
      <c r="H307" s="62"/>
      <c r="I307" s="62"/>
      <c r="J307" s="62"/>
      <c r="K307" s="62"/>
      <c r="L307" s="62"/>
      <c r="M307" s="62"/>
      <c r="N307" s="62"/>
      <c r="O307" s="62"/>
      <c r="P307" s="62"/>
    </row>
    <row r="308" spans="4:16" x14ac:dyDescent="0.2">
      <c r="D308" s="62"/>
      <c r="E308" s="62"/>
      <c r="F308" s="62"/>
      <c r="G308" s="62"/>
      <c r="H308" s="62"/>
      <c r="I308" s="62"/>
      <c r="J308" s="62"/>
      <c r="K308" s="62"/>
      <c r="L308" s="62"/>
      <c r="M308" s="62"/>
      <c r="N308" s="62"/>
      <c r="O308" s="62"/>
      <c r="P308" s="62"/>
    </row>
    <row r="309" spans="4:16" x14ac:dyDescent="0.2">
      <c r="D309" s="62"/>
      <c r="E309" s="62"/>
      <c r="F309" s="62"/>
      <c r="G309" s="62"/>
      <c r="H309" s="62"/>
      <c r="I309" s="62"/>
      <c r="J309" s="62"/>
      <c r="K309" s="62"/>
      <c r="L309" s="62"/>
      <c r="M309" s="62"/>
      <c r="N309" s="62"/>
      <c r="O309" s="62"/>
      <c r="P309" s="62"/>
    </row>
    <row r="310" spans="4:16" x14ac:dyDescent="0.2">
      <c r="D310" s="62"/>
      <c r="E310" s="62"/>
      <c r="F310" s="62"/>
      <c r="G310" s="62"/>
      <c r="H310" s="62"/>
      <c r="I310" s="62"/>
      <c r="J310" s="62"/>
      <c r="K310" s="62"/>
      <c r="L310" s="62"/>
      <c r="M310" s="62"/>
      <c r="N310" s="62"/>
      <c r="O310" s="62"/>
      <c r="P310" s="62"/>
    </row>
  </sheetData>
  <phoneticPr fontId="3"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dimension ref="A1:BQ192"/>
  <sheetViews>
    <sheetView showGridLines="0" topLeftCell="A28" zoomScaleNormal="100" workbookViewId="0">
      <selection activeCell="C69" sqref="C69"/>
    </sheetView>
  </sheetViews>
  <sheetFormatPr defaultColWidth="9.140625" defaultRowHeight="11.25" x14ac:dyDescent="0.2"/>
  <cols>
    <col min="1" max="1" width="15.140625" style="42" customWidth="1"/>
    <col min="2" max="2" width="26.42578125" style="65" bestFit="1" customWidth="1"/>
    <col min="3" max="23" width="9.140625" style="65"/>
    <col min="24" max="24" width="9.140625" style="42"/>
    <col min="25" max="46" width="9.140625" style="73"/>
    <col min="47" max="47" width="9.140625" style="42"/>
    <col min="48" max="69" width="9.140625" style="78"/>
    <col min="70" max="16384" width="9.140625" style="42"/>
  </cols>
  <sheetData>
    <row r="1" spans="1:69" x14ac:dyDescent="0.2">
      <c r="A1" s="41"/>
      <c r="Y1" s="84"/>
      <c r="AV1" s="104"/>
    </row>
    <row r="2" spans="1:69" x14ac:dyDescent="0.2">
      <c r="A2" s="83" t="s">
        <v>87</v>
      </c>
    </row>
    <row r="3" spans="1:69" x14ac:dyDescent="0.2">
      <c r="C3" s="97" t="s">
        <v>39</v>
      </c>
      <c r="D3" s="98"/>
      <c r="E3" s="98"/>
      <c r="F3" s="98"/>
      <c r="G3" s="98"/>
      <c r="H3" s="98"/>
      <c r="I3" s="98"/>
      <c r="J3" s="97" t="s">
        <v>40</v>
      </c>
      <c r="K3" s="98"/>
      <c r="L3" s="98"/>
      <c r="M3" s="98"/>
      <c r="N3" s="98"/>
      <c r="O3" s="98"/>
      <c r="P3" s="98"/>
      <c r="Q3" s="97" t="s">
        <v>54</v>
      </c>
      <c r="R3" s="98"/>
      <c r="S3" s="98"/>
      <c r="T3" s="98"/>
      <c r="U3" s="98"/>
      <c r="V3" s="98"/>
      <c r="W3" s="98"/>
    </row>
    <row r="4" spans="1:69" x14ac:dyDescent="0.2">
      <c r="C4" s="97" t="s">
        <v>59</v>
      </c>
      <c r="D4" s="98"/>
      <c r="E4" s="98"/>
      <c r="F4" s="98"/>
      <c r="G4" s="98"/>
      <c r="H4" s="98"/>
      <c r="I4" s="98"/>
      <c r="J4" s="97" t="s">
        <v>59</v>
      </c>
      <c r="K4" s="98"/>
      <c r="L4" s="98"/>
      <c r="M4" s="98"/>
      <c r="N4" s="98"/>
      <c r="O4" s="98"/>
      <c r="P4" s="98"/>
      <c r="Q4" s="97" t="s">
        <v>59</v>
      </c>
      <c r="R4" s="98"/>
      <c r="S4" s="98"/>
      <c r="T4" s="98"/>
      <c r="U4" s="98"/>
      <c r="V4" s="98"/>
      <c r="W4" s="98"/>
    </row>
    <row r="5" spans="1:69" x14ac:dyDescent="0.2">
      <c r="C5" s="97" t="s">
        <v>33</v>
      </c>
      <c r="D5" s="97" t="s">
        <v>34</v>
      </c>
      <c r="E5" s="97" t="s">
        <v>35</v>
      </c>
      <c r="F5" s="97" t="s">
        <v>36</v>
      </c>
      <c r="G5" s="97" t="s">
        <v>37</v>
      </c>
      <c r="H5" s="97" t="s">
        <v>47</v>
      </c>
      <c r="I5" s="97" t="s">
        <v>58</v>
      </c>
      <c r="J5" s="97" t="s">
        <v>33</v>
      </c>
      <c r="K5" s="97" t="s">
        <v>34</v>
      </c>
      <c r="L5" s="97" t="s">
        <v>35</v>
      </c>
      <c r="M5" s="97" t="s">
        <v>36</v>
      </c>
      <c r="N5" s="97" t="s">
        <v>37</v>
      </c>
      <c r="O5" s="97" t="s">
        <v>47</v>
      </c>
      <c r="P5" s="97" t="s">
        <v>58</v>
      </c>
      <c r="Q5" s="97" t="s">
        <v>33</v>
      </c>
      <c r="R5" s="97" t="s">
        <v>34</v>
      </c>
      <c r="S5" s="97" t="s">
        <v>35</v>
      </c>
      <c r="T5" s="97" t="s">
        <v>36</v>
      </c>
      <c r="U5" s="97" t="s">
        <v>37</v>
      </c>
      <c r="V5" s="98" t="s">
        <v>47</v>
      </c>
      <c r="W5" s="98" t="s">
        <v>58</v>
      </c>
    </row>
    <row r="7" spans="1:69" x14ac:dyDescent="0.2">
      <c r="A7" s="43"/>
      <c r="B7" s="99" t="s">
        <v>0</v>
      </c>
      <c r="C7" s="87">
        <f>IF(OR(C49=1,C49=2),"x",ROUND(C49/$I49*100,1))</f>
        <v>15.1</v>
      </c>
      <c r="D7" s="87">
        <f t="shared" ref="D7:H7" si="0">IF(OR(D49=1,D49=2),"x",ROUND(D49/$I49*100,1))</f>
        <v>16.2</v>
      </c>
      <c r="E7" s="87">
        <f t="shared" si="0"/>
        <v>17.600000000000001</v>
      </c>
      <c r="F7" s="87">
        <f t="shared" si="0"/>
        <v>17.100000000000001</v>
      </c>
      <c r="G7" s="87">
        <f t="shared" si="0"/>
        <v>15.3</v>
      </c>
      <c r="H7" s="87">
        <f t="shared" si="0"/>
        <v>81.099999999999994</v>
      </c>
      <c r="I7" s="66">
        <f>ROUND(I49,0)</f>
        <v>37000</v>
      </c>
      <c r="J7" s="87">
        <f>IF(OR(J49=1,J49=2),"x",ROUND(J49/$P49*100,1))</f>
        <v>18</v>
      </c>
      <c r="K7" s="87">
        <f t="shared" ref="K7:O7" si="1">IF(OR(K49=1,K49=2),"x",ROUND(K49/$P49*100,1))</f>
        <v>17.7</v>
      </c>
      <c r="L7" s="87">
        <f t="shared" si="1"/>
        <v>18.3</v>
      </c>
      <c r="M7" s="87">
        <f t="shared" si="1"/>
        <v>16.2</v>
      </c>
      <c r="N7" s="87">
        <f t="shared" si="1"/>
        <v>13.3</v>
      </c>
      <c r="O7" s="87">
        <f t="shared" si="1"/>
        <v>83.6</v>
      </c>
      <c r="P7" s="66">
        <f>ROUND(P49,0)</f>
        <v>47527</v>
      </c>
      <c r="Q7" s="87">
        <f>IF(OR(Q49=1,Q49=2),"x",ROUND(Q49/$W49*100,1))</f>
        <v>16.7</v>
      </c>
      <c r="R7" s="87">
        <f t="shared" ref="R7:V7" si="2">IF(OR(R49=1,R49=2),"x",ROUND(R49/$W49*100,1))</f>
        <v>17.100000000000001</v>
      </c>
      <c r="S7" s="87">
        <f t="shared" si="2"/>
        <v>18</v>
      </c>
      <c r="T7" s="87">
        <f t="shared" si="2"/>
        <v>16.600000000000001</v>
      </c>
      <c r="U7" s="87">
        <f t="shared" si="2"/>
        <v>14.2</v>
      </c>
      <c r="V7" s="87">
        <f t="shared" si="2"/>
        <v>82.5</v>
      </c>
      <c r="W7" s="66">
        <f>ROUND(W49,0)</f>
        <v>84527</v>
      </c>
      <c r="X7" s="46"/>
      <c r="Y7" s="76"/>
      <c r="Z7" s="76"/>
      <c r="AA7" s="76"/>
      <c r="AB7" s="76"/>
      <c r="AC7" s="75"/>
      <c r="AV7" s="82"/>
      <c r="AW7" s="82"/>
      <c r="AX7" s="82"/>
      <c r="AY7" s="82"/>
      <c r="AZ7" s="82"/>
      <c r="BA7" s="82"/>
      <c r="BB7" s="82"/>
      <c r="BC7" s="82"/>
      <c r="BD7" s="82"/>
      <c r="BE7" s="82"/>
      <c r="BF7" s="82"/>
      <c r="BG7" s="82"/>
      <c r="BH7" s="82"/>
      <c r="BI7" s="82"/>
      <c r="BJ7" s="82"/>
      <c r="BK7" s="82"/>
      <c r="BL7" s="82"/>
      <c r="BM7" s="82"/>
      <c r="BN7" s="82"/>
      <c r="BO7" s="82"/>
      <c r="BP7" s="82"/>
      <c r="BQ7" s="82"/>
    </row>
    <row r="8" spans="1:69" x14ac:dyDescent="0.2">
      <c r="B8" s="99" t="s">
        <v>1</v>
      </c>
      <c r="C8" s="87">
        <f t="shared" ref="C8:H8" si="3">IF(OR(C50=1,C50=2),"x",ROUND(C50/$I50*100,1))</f>
        <v>18.8</v>
      </c>
      <c r="D8" s="87">
        <f t="shared" si="3"/>
        <v>18.5</v>
      </c>
      <c r="E8" s="87">
        <f t="shared" si="3"/>
        <v>17.5</v>
      </c>
      <c r="F8" s="87">
        <f t="shared" si="3"/>
        <v>15.3</v>
      </c>
      <c r="G8" s="87">
        <f t="shared" si="3"/>
        <v>12.9</v>
      </c>
      <c r="H8" s="87">
        <f t="shared" si="3"/>
        <v>83</v>
      </c>
      <c r="I8" s="66">
        <f t="shared" ref="I8:I41" si="4">ROUND(I50,0)</f>
        <v>36109</v>
      </c>
      <c r="J8" s="87">
        <f t="shared" ref="J8:O8" si="5">IF(OR(J50=1,J50=2),"x",ROUND(J50/$P50*100,1))</f>
        <v>17.7</v>
      </c>
      <c r="K8" s="87">
        <f t="shared" si="5"/>
        <v>19.399999999999999</v>
      </c>
      <c r="L8" s="87">
        <f t="shared" si="5"/>
        <v>18</v>
      </c>
      <c r="M8" s="87">
        <f t="shared" si="5"/>
        <v>15.5</v>
      </c>
      <c r="N8" s="87">
        <f t="shared" si="5"/>
        <v>13.1</v>
      </c>
      <c r="O8" s="87">
        <f t="shared" si="5"/>
        <v>83.7</v>
      </c>
      <c r="P8" s="66">
        <f t="shared" ref="P8:P41" si="6">ROUND(P50,0)</f>
        <v>32833</v>
      </c>
      <c r="Q8" s="87">
        <f t="shared" ref="Q8:V8" si="7">IF(OR(Q50=1,Q50=2),"x",ROUND(Q50/$W50*100,1))</f>
        <v>18.3</v>
      </c>
      <c r="R8" s="87">
        <f t="shared" si="7"/>
        <v>18.899999999999999</v>
      </c>
      <c r="S8" s="87">
        <f t="shared" si="7"/>
        <v>17.7</v>
      </c>
      <c r="T8" s="87">
        <f t="shared" si="7"/>
        <v>15.4</v>
      </c>
      <c r="U8" s="87">
        <f t="shared" si="7"/>
        <v>13</v>
      </c>
      <c r="V8" s="87">
        <f t="shared" si="7"/>
        <v>83.3</v>
      </c>
      <c r="W8" s="66">
        <f t="shared" ref="W8:W41" si="8">ROUND(W50,0)</f>
        <v>68942</v>
      </c>
      <c r="X8" s="46"/>
      <c r="Y8" s="76"/>
      <c r="Z8" s="76"/>
      <c r="AA8" s="76"/>
      <c r="AB8" s="76"/>
      <c r="AC8" s="75"/>
      <c r="AV8" s="82"/>
      <c r="AW8" s="82"/>
      <c r="AX8" s="82"/>
      <c r="AY8" s="82"/>
      <c r="AZ8" s="82"/>
      <c r="BA8" s="82"/>
      <c r="BB8" s="82"/>
      <c r="BC8" s="82"/>
      <c r="BD8" s="82"/>
      <c r="BE8" s="82"/>
      <c r="BF8" s="82"/>
      <c r="BG8" s="82"/>
      <c r="BH8" s="82"/>
      <c r="BI8" s="82"/>
      <c r="BJ8" s="82"/>
      <c r="BK8" s="82"/>
      <c r="BL8" s="82"/>
      <c r="BM8" s="82"/>
      <c r="BN8" s="82"/>
      <c r="BO8" s="82"/>
      <c r="BP8" s="82"/>
      <c r="BQ8" s="82"/>
    </row>
    <row r="9" spans="1:69" x14ac:dyDescent="0.2">
      <c r="B9" s="99" t="s">
        <v>2</v>
      </c>
      <c r="C9" s="87">
        <f t="shared" ref="C9:H9" si="9">IF(OR(C51=1,C51=2),"x",ROUND(C51/$I51*100,1))</f>
        <v>19.8</v>
      </c>
      <c r="D9" s="87">
        <f t="shared" si="9"/>
        <v>16.5</v>
      </c>
      <c r="E9" s="87">
        <f t="shared" si="9"/>
        <v>16.7</v>
      </c>
      <c r="F9" s="87">
        <f t="shared" si="9"/>
        <v>15.5</v>
      </c>
      <c r="G9" s="87">
        <f t="shared" si="9"/>
        <v>13.6</v>
      </c>
      <c r="H9" s="87">
        <f t="shared" si="9"/>
        <v>82.1</v>
      </c>
      <c r="I9" s="66">
        <f t="shared" si="4"/>
        <v>38412</v>
      </c>
      <c r="J9" s="87">
        <f t="shared" ref="J9:O9" si="10">IF(OR(J51=1,J51=2),"x",ROUND(J51/$P51*100,1))</f>
        <v>23.2</v>
      </c>
      <c r="K9" s="87">
        <f t="shared" si="10"/>
        <v>18.7</v>
      </c>
      <c r="L9" s="87">
        <f t="shared" si="10"/>
        <v>17.100000000000001</v>
      </c>
      <c r="M9" s="87">
        <f t="shared" si="10"/>
        <v>15.3</v>
      </c>
      <c r="N9" s="87">
        <f t="shared" si="10"/>
        <v>11.8</v>
      </c>
      <c r="O9" s="87">
        <f t="shared" si="10"/>
        <v>86.1</v>
      </c>
      <c r="P9" s="66">
        <f t="shared" si="6"/>
        <v>11720</v>
      </c>
      <c r="Q9" s="87">
        <f t="shared" ref="Q9:V9" si="11">IF(OR(Q51=1,Q51=2),"x",ROUND(Q51/$W51*100,1))</f>
        <v>20.6</v>
      </c>
      <c r="R9" s="87">
        <f t="shared" si="11"/>
        <v>17</v>
      </c>
      <c r="S9" s="87">
        <f t="shared" si="11"/>
        <v>16.8</v>
      </c>
      <c r="T9" s="87">
        <f t="shared" si="11"/>
        <v>15.5</v>
      </c>
      <c r="U9" s="87">
        <f t="shared" si="11"/>
        <v>13.2</v>
      </c>
      <c r="V9" s="87">
        <f t="shared" si="11"/>
        <v>83</v>
      </c>
      <c r="W9" s="66">
        <f t="shared" si="8"/>
        <v>50132</v>
      </c>
      <c r="X9" s="46"/>
      <c r="Y9" s="76"/>
      <c r="Z9" s="76"/>
      <c r="AA9" s="76"/>
      <c r="AB9" s="76"/>
      <c r="AC9" s="75"/>
      <c r="AV9" s="82"/>
      <c r="AW9" s="82"/>
      <c r="AX9" s="82"/>
      <c r="AY9" s="82"/>
      <c r="AZ9" s="82"/>
      <c r="BA9" s="82"/>
      <c r="BB9" s="82"/>
      <c r="BC9" s="82"/>
      <c r="BD9" s="82"/>
      <c r="BE9" s="82"/>
      <c r="BF9" s="82"/>
      <c r="BG9" s="82"/>
      <c r="BH9" s="82"/>
      <c r="BI9" s="82"/>
      <c r="BJ9" s="82"/>
      <c r="BK9" s="82"/>
      <c r="BL9" s="82"/>
      <c r="BM9" s="82"/>
      <c r="BN9" s="82"/>
      <c r="BO9" s="82"/>
      <c r="BP9" s="82"/>
      <c r="BQ9" s="82"/>
    </row>
    <row r="10" spans="1:69" x14ac:dyDescent="0.2">
      <c r="B10" s="99" t="s">
        <v>3</v>
      </c>
      <c r="C10" s="87">
        <f t="shared" ref="C10:H10" si="12">IF(OR(C52=1,C52=2),"x",ROUND(C52/$I52*100,1))</f>
        <v>17.2</v>
      </c>
      <c r="D10" s="87">
        <f t="shared" si="12"/>
        <v>17.399999999999999</v>
      </c>
      <c r="E10" s="87">
        <f t="shared" si="12"/>
        <v>18.3</v>
      </c>
      <c r="F10" s="87">
        <f t="shared" si="12"/>
        <v>16.8</v>
      </c>
      <c r="G10" s="87">
        <f t="shared" si="12"/>
        <v>15</v>
      </c>
      <c r="H10" s="87">
        <f t="shared" si="12"/>
        <v>84.6</v>
      </c>
      <c r="I10" s="66">
        <f t="shared" si="4"/>
        <v>4955</v>
      </c>
      <c r="J10" s="87">
        <f t="shared" ref="J10:O10" si="13">IF(OR(J52=1,J52=2),"x",ROUND(J52/$P52*100,1))</f>
        <v>16.399999999999999</v>
      </c>
      <c r="K10" s="87">
        <f t="shared" si="13"/>
        <v>18.3</v>
      </c>
      <c r="L10" s="87">
        <f t="shared" si="13"/>
        <v>18.3</v>
      </c>
      <c r="M10" s="87">
        <f t="shared" si="13"/>
        <v>16.600000000000001</v>
      </c>
      <c r="N10" s="87">
        <f t="shared" si="13"/>
        <v>15</v>
      </c>
      <c r="O10" s="87">
        <f t="shared" si="13"/>
        <v>84.6</v>
      </c>
      <c r="P10" s="66">
        <f t="shared" si="6"/>
        <v>2247</v>
      </c>
      <c r="Q10" s="87">
        <f t="shared" ref="Q10:V10" si="14">IF(OR(Q52=1,Q52=2),"x",ROUND(Q52/$W52*100,1))</f>
        <v>17</v>
      </c>
      <c r="R10" s="87">
        <f t="shared" si="14"/>
        <v>17.7</v>
      </c>
      <c r="S10" s="87">
        <f t="shared" si="14"/>
        <v>18.3</v>
      </c>
      <c r="T10" s="87">
        <f t="shared" si="14"/>
        <v>16.7</v>
      </c>
      <c r="U10" s="87">
        <f t="shared" si="14"/>
        <v>15</v>
      </c>
      <c r="V10" s="87">
        <f t="shared" si="14"/>
        <v>84.6</v>
      </c>
      <c r="W10" s="66">
        <f t="shared" si="8"/>
        <v>7202</v>
      </c>
      <c r="X10" s="46"/>
      <c r="Y10" s="76"/>
      <c r="Z10" s="76"/>
      <c r="AA10" s="76"/>
      <c r="AB10" s="76"/>
      <c r="AC10" s="75"/>
      <c r="AV10" s="82"/>
      <c r="AW10" s="82"/>
      <c r="AX10" s="82"/>
      <c r="AY10" s="82"/>
      <c r="AZ10" s="82"/>
      <c r="BA10" s="82"/>
      <c r="BB10" s="82"/>
      <c r="BC10" s="82"/>
      <c r="BD10" s="82"/>
      <c r="BE10" s="82"/>
      <c r="BF10" s="82"/>
      <c r="BG10" s="82"/>
      <c r="BH10" s="82"/>
      <c r="BI10" s="82"/>
      <c r="BJ10" s="82"/>
      <c r="BK10" s="82"/>
      <c r="BL10" s="82"/>
      <c r="BM10" s="82"/>
      <c r="BN10" s="82"/>
      <c r="BO10" s="82"/>
      <c r="BP10" s="82"/>
      <c r="BQ10" s="82"/>
    </row>
    <row r="11" spans="1:69" x14ac:dyDescent="0.2">
      <c r="B11" s="99" t="s">
        <v>4</v>
      </c>
      <c r="C11" s="87">
        <f t="shared" ref="C11:H11" si="15">IF(OR(C53=1,C53=2),"x",ROUND(C53/$I53*100,1))</f>
        <v>24.8</v>
      </c>
      <c r="D11" s="87">
        <f t="shared" si="15"/>
        <v>15.1</v>
      </c>
      <c r="E11" s="87">
        <f t="shared" si="15"/>
        <v>15</v>
      </c>
      <c r="F11" s="87">
        <f t="shared" si="15"/>
        <v>13.9</v>
      </c>
      <c r="G11" s="87">
        <f t="shared" si="15"/>
        <v>11.2</v>
      </c>
      <c r="H11" s="87">
        <f t="shared" si="15"/>
        <v>80</v>
      </c>
      <c r="I11" s="66">
        <f t="shared" si="4"/>
        <v>63203</v>
      </c>
      <c r="J11" s="87">
        <f t="shared" ref="J11:O11" si="16">IF(OR(J53=1,J53=2),"x",ROUND(J53/$P53*100,1))</f>
        <v>25.1</v>
      </c>
      <c r="K11" s="87">
        <f t="shared" si="16"/>
        <v>17.3</v>
      </c>
      <c r="L11" s="87">
        <f t="shared" si="16"/>
        <v>16.5</v>
      </c>
      <c r="M11" s="87">
        <f t="shared" si="16"/>
        <v>13.8</v>
      </c>
      <c r="N11" s="87">
        <f t="shared" si="16"/>
        <v>11.1</v>
      </c>
      <c r="O11" s="87">
        <f t="shared" si="16"/>
        <v>83.7</v>
      </c>
      <c r="P11" s="66">
        <f t="shared" si="6"/>
        <v>44246</v>
      </c>
      <c r="Q11" s="87">
        <f t="shared" ref="Q11:V11" si="17">IF(OR(Q53=1,Q53=2),"x",ROUND(Q53/$W53*100,1))</f>
        <v>24.9</v>
      </c>
      <c r="R11" s="87">
        <f t="shared" si="17"/>
        <v>16</v>
      </c>
      <c r="S11" s="87">
        <f t="shared" si="17"/>
        <v>15.6</v>
      </c>
      <c r="T11" s="87">
        <f t="shared" si="17"/>
        <v>13.8</v>
      </c>
      <c r="U11" s="87">
        <f t="shared" si="17"/>
        <v>11.2</v>
      </c>
      <c r="V11" s="87">
        <f t="shared" si="17"/>
        <v>81.5</v>
      </c>
      <c r="W11" s="66">
        <f t="shared" si="8"/>
        <v>107449</v>
      </c>
      <c r="X11" s="46"/>
      <c r="Y11" s="76"/>
      <c r="Z11" s="76"/>
      <c r="AA11" s="76"/>
      <c r="AB11" s="76"/>
      <c r="AC11" s="75"/>
      <c r="AV11" s="82"/>
      <c r="AW11" s="82"/>
      <c r="AX11" s="82"/>
      <c r="AY11" s="82"/>
      <c r="AZ11" s="82"/>
      <c r="BA11" s="82"/>
      <c r="BB11" s="82"/>
      <c r="BC11" s="82"/>
      <c r="BD11" s="82"/>
      <c r="BE11" s="82"/>
      <c r="BF11" s="82"/>
      <c r="BG11" s="82"/>
      <c r="BH11" s="82"/>
      <c r="BI11" s="82"/>
      <c r="BJ11" s="82"/>
      <c r="BK11" s="82"/>
      <c r="BL11" s="82"/>
      <c r="BM11" s="82"/>
      <c r="BN11" s="82"/>
      <c r="BO11" s="82"/>
      <c r="BP11" s="82"/>
      <c r="BQ11" s="82"/>
    </row>
    <row r="12" spans="1:69" x14ac:dyDescent="0.2">
      <c r="B12" s="99" t="s">
        <v>5</v>
      </c>
      <c r="C12" s="87">
        <f t="shared" ref="C12:H12" si="18">IF(OR(C54=1,C54=2),"x",ROUND(C54/$I54*100,1))</f>
        <v>40.6</v>
      </c>
      <c r="D12" s="87">
        <f t="shared" si="18"/>
        <v>18.2</v>
      </c>
      <c r="E12" s="87">
        <f t="shared" si="18"/>
        <v>13.1</v>
      </c>
      <c r="F12" s="87">
        <f t="shared" si="18"/>
        <v>10.6</v>
      </c>
      <c r="G12" s="87">
        <f t="shared" si="18"/>
        <v>6.9</v>
      </c>
      <c r="H12" s="87">
        <f t="shared" si="18"/>
        <v>89.3</v>
      </c>
      <c r="I12" s="66">
        <f t="shared" si="4"/>
        <v>9107</v>
      </c>
      <c r="J12" s="87">
        <f t="shared" ref="J12:O12" si="19">IF(OR(J54=1,J54=2),"x",ROUND(J54/$P54*100,1))</f>
        <v>42.4</v>
      </c>
      <c r="K12" s="87">
        <f t="shared" si="19"/>
        <v>18.600000000000001</v>
      </c>
      <c r="L12" s="87">
        <f t="shared" si="19"/>
        <v>14</v>
      </c>
      <c r="M12" s="87">
        <f t="shared" si="19"/>
        <v>9.8000000000000007</v>
      </c>
      <c r="N12" s="87">
        <f t="shared" si="19"/>
        <v>6.3</v>
      </c>
      <c r="O12" s="87">
        <f t="shared" si="19"/>
        <v>91.2</v>
      </c>
      <c r="P12" s="66">
        <f t="shared" si="6"/>
        <v>4531</v>
      </c>
      <c r="Q12" s="87">
        <f t="shared" ref="Q12:V12" si="20">IF(OR(Q54=1,Q54=2),"x",ROUND(Q54/$W54*100,1))</f>
        <v>41.2</v>
      </c>
      <c r="R12" s="87">
        <f t="shared" si="20"/>
        <v>18.3</v>
      </c>
      <c r="S12" s="87">
        <f t="shared" si="20"/>
        <v>13.4</v>
      </c>
      <c r="T12" s="87">
        <f t="shared" si="20"/>
        <v>10.3</v>
      </c>
      <c r="U12" s="87">
        <f t="shared" si="20"/>
        <v>6.7</v>
      </c>
      <c r="V12" s="87">
        <f t="shared" si="20"/>
        <v>89.9</v>
      </c>
      <c r="W12" s="66">
        <f t="shared" si="8"/>
        <v>13638</v>
      </c>
      <c r="X12" s="46"/>
      <c r="Y12" s="76"/>
      <c r="Z12" s="76"/>
      <c r="AA12" s="76"/>
      <c r="AB12" s="76"/>
      <c r="AC12" s="75"/>
      <c r="AV12" s="82"/>
      <c r="AW12" s="82"/>
      <c r="AX12" s="82"/>
      <c r="AY12" s="82"/>
      <c r="AZ12" s="82"/>
      <c r="BA12" s="82"/>
      <c r="BB12" s="82"/>
      <c r="BC12" s="82"/>
      <c r="BD12" s="82"/>
      <c r="BE12" s="82"/>
      <c r="BF12" s="82"/>
      <c r="BG12" s="82"/>
      <c r="BH12" s="82"/>
      <c r="BI12" s="82"/>
      <c r="BJ12" s="82"/>
      <c r="BK12" s="82"/>
      <c r="BL12" s="82"/>
      <c r="BM12" s="82"/>
      <c r="BN12" s="82"/>
      <c r="BO12" s="82"/>
      <c r="BP12" s="82"/>
      <c r="BQ12" s="82"/>
    </row>
    <row r="13" spans="1:69" x14ac:dyDescent="0.2">
      <c r="B13" s="99" t="s">
        <v>6</v>
      </c>
      <c r="C13" s="87">
        <f t="shared" ref="C13:H13" si="21">IF(OR(C55=1,C55=2),"x",ROUND(C55/$I55*100,1))</f>
        <v>8.4</v>
      </c>
      <c r="D13" s="87">
        <f t="shared" si="21"/>
        <v>14.7</v>
      </c>
      <c r="E13" s="87">
        <f t="shared" si="21"/>
        <v>20.9</v>
      </c>
      <c r="F13" s="87">
        <f t="shared" si="21"/>
        <v>22.6</v>
      </c>
      <c r="G13" s="87">
        <f t="shared" si="21"/>
        <v>17.899999999999999</v>
      </c>
      <c r="H13" s="87">
        <f t="shared" si="21"/>
        <v>84.4</v>
      </c>
      <c r="I13" s="66">
        <f t="shared" si="4"/>
        <v>11205</v>
      </c>
      <c r="J13" s="87">
        <f t="shared" ref="J13:O13" si="22">IF(OR(J55=1,J55=2),"x",ROUND(J55/$P55*100,1))</f>
        <v>13.7</v>
      </c>
      <c r="K13" s="87">
        <f t="shared" si="22"/>
        <v>18.899999999999999</v>
      </c>
      <c r="L13" s="87">
        <f t="shared" si="22"/>
        <v>22.1</v>
      </c>
      <c r="M13" s="87">
        <f t="shared" si="22"/>
        <v>21.8</v>
      </c>
      <c r="N13" s="87">
        <f t="shared" si="22"/>
        <v>14.2</v>
      </c>
      <c r="O13" s="87">
        <f t="shared" si="22"/>
        <v>90.7</v>
      </c>
      <c r="P13" s="66">
        <f t="shared" si="6"/>
        <v>7760</v>
      </c>
      <c r="Q13" s="87">
        <f t="shared" ref="Q13:V13" si="23">IF(OR(Q55=1,Q55=2),"x",ROUND(Q55/$W55*100,1))</f>
        <v>10.6</v>
      </c>
      <c r="R13" s="87">
        <f t="shared" si="23"/>
        <v>16.399999999999999</v>
      </c>
      <c r="S13" s="87">
        <f t="shared" si="23"/>
        <v>21.4</v>
      </c>
      <c r="T13" s="87">
        <f t="shared" si="23"/>
        <v>22.3</v>
      </c>
      <c r="U13" s="87">
        <f t="shared" si="23"/>
        <v>16.399999999999999</v>
      </c>
      <c r="V13" s="87">
        <f t="shared" si="23"/>
        <v>87</v>
      </c>
      <c r="W13" s="66">
        <f t="shared" si="8"/>
        <v>18965</v>
      </c>
      <c r="X13" s="46"/>
      <c r="Y13" s="76"/>
      <c r="Z13" s="76"/>
      <c r="AA13" s="76"/>
      <c r="AB13" s="76"/>
      <c r="AC13" s="75"/>
      <c r="AV13" s="82"/>
      <c r="AW13" s="82"/>
      <c r="AX13" s="82"/>
      <c r="AY13" s="82"/>
      <c r="AZ13" s="82"/>
      <c r="BA13" s="82"/>
      <c r="BB13" s="82"/>
      <c r="BC13" s="82"/>
      <c r="BD13" s="82"/>
      <c r="BE13" s="82"/>
      <c r="BF13" s="82"/>
      <c r="BG13" s="82"/>
      <c r="BH13" s="82"/>
      <c r="BI13" s="82"/>
      <c r="BJ13" s="82"/>
      <c r="BK13" s="82"/>
      <c r="BL13" s="82"/>
      <c r="BM13" s="82"/>
      <c r="BN13" s="82"/>
      <c r="BO13" s="82"/>
      <c r="BP13" s="82"/>
      <c r="BQ13" s="82"/>
    </row>
    <row r="14" spans="1:69" x14ac:dyDescent="0.2">
      <c r="B14" s="2" t="s">
        <v>168</v>
      </c>
      <c r="C14" s="87">
        <f t="shared" ref="C14:H14" si="24">IF(OR(C56=1,C56=2),"x",ROUND(C56/$I56*100,1))</f>
        <v>9.9</v>
      </c>
      <c r="D14" s="87">
        <f t="shared" si="24"/>
        <v>15.1</v>
      </c>
      <c r="E14" s="87">
        <f t="shared" si="24"/>
        <v>19.100000000000001</v>
      </c>
      <c r="F14" s="87">
        <f t="shared" si="24"/>
        <v>19</v>
      </c>
      <c r="G14" s="87">
        <f t="shared" si="24"/>
        <v>16.5</v>
      </c>
      <c r="H14" s="87">
        <f t="shared" si="24"/>
        <v>79.599999999999994</v>
      </c>
      <c r="I14" s="66">
        <f t="shared" si="4"/>
        <v>6176</v>
      </c>
      <c r="J14" s="87">
        <f t="shared" ref="J14:O14" si="25">IF(OR(J56=1,J56=2),"x",ROUND(J56/$P56*100,1))</f>
        <v>11.9</v>
      </c>
      <c r="K14" s="87">
        <f t="shared" si="25"/>
        <v>14.8</v>
      </c>
      <c r="L14" s="87">
        <f t="shared" si="25"/>
        <v>15.8</v>
      </c>
      <c r="M14" s="87">
        <f t="shared" si="25"/>
        <v>18.600000000000001</v>
      </c>
      <c r="N14" s="87">
        <f t="shared" si="25"/>
        <v>17.8</v>
      </c>
      <c r="O14" s="87">
        <f t="shared" si="25"/>
        <v>78.900000000000006</v>
      </c>
      <c r="P14" s="66">
        <f t="shared" si="6"/>
        <v>488</v>
      </c>
      <c r="Q14" s="87">
        <f t="shared" ref="Q14:V14" si="26">IF(OR(Q56=1,Q56=2),"x",ROUND(Q56/$W56*100,1))</f>
        <v>10</v>
      </c>
      <c r="R14" s="87">
        <f t="shared" si="26"/>
        <v>15</v>
      </c>
      <c r="S14" s="87">
        <f t="shared" si="26"/>
        <v>18.899999999999999</v>
      </c>
      <c r="T14" s="87">
        <f t="shared" si="26"/>
        <v>19</v>
      </c>
      <c r="U14" s="87">
        <f t="shared" si="26"/>
        <v>16.600000000000001</v>
      </c>
      <c r="V14" s="87">
        <f t="shared" si="26"/>
        <v>79.5</v>
      </c>
      <c r="W14" s="66">
        <f t="shared" si="8"/>
        <v>6664</v>
      </c>
      <c r="X14" s="46"/>
      <c r="Y14" s="76"/>
      <c r="Z14" s="76"/>
      <c r="AA14" s="76"/>
      <c r="AB14" s="76"/>
      <c r="AC14" s="75"/>
      <c r="AV14" s="82"/>
      <c r="AW14" s="82"/>
      <c r="AX14" s="82"/>
      <c r="AY14" s="82"/>
      <c r="AZ14" s="82"/>
      <c r="BA14" s="82"/>
      <c r="BB14" s="82"/>
      <c r="BC14" s="82"/>
      <c r="BD14" s="82"/>
      <c r="BE14" s="82"/>
      <c r="BF14" s="82"/>
      <c r="BG14" s="82"/>
      <c r="BH14" s="82"/>
      <c r="BI14" s="82"/>
      <c r="BJ14" s="82"/>
      <c r="BK14" s="82"/>
      <c r="BL14" s="82"/>
      <c r="BM14" s="82"/>
      <c r="BN14" s="82"/>
      <c r="BO14" s="82"/>
      <c r="BP14" s="82"/>
      <c r="BQ14" s="82"/>
    </row>
    <row r="15" spans="1:69" x14ac:dyDescent="0.2">
      <c r="B15" s="99" t="s">
        <v>8</v>
      </c>
      <c r="C15" s="87">
        <f t="shared" ref="C15:H15" si="27">IF(OR(C57=1,C57=2),"x",ROUND(C57/$I57*100,1))</f>
        <v>4.9000000000000004</v>
      </c>
      <c r="D15" s="87">
        <f t="shared" si="27"/>
        <v>11.1</v>
      </c>
      <c r="E15" s="87">
        <f t="shared" si="27"/>
        <v>19.899999999999999</v>
      </c>
      <c r="F15" s="87">
        <f t="shared" si="27"/>
        <v>22.3</v>
      </c>
      <c r="G15" s="87">
        <f t="shared" si="27"/>
        <v>19.600000000000001</v>
      </c>
      <c r="H15" s="87">
        <f t="shared" si="27"/>
        <v>77.8</v>
      </c>
      <c r="I15" s="66">
        <f t="shared" si="4"/>
        <v>9218</v>
      </c>
      <c r="J15" s="87">
        <f t="shared" ref="J15:O15" si="28">IF(OR(J57=1,J57=2),"x",ROUND(J57/$P57*100,1))</f>
        <v>9</v>
      </c>
      <c r="K15" s="87">
        <f t="shared" si="28"/>
        <v>16.399999999999999</v>
      </c>
      <c r="L15" s="87">
        <f t="shared" si="28"/>
        <v>23</v>
      </c>
      <c r="M15" s="87">
        <f t="shared" si="28"/>
        <v>20.8</v>
      </c>
      <c r="N15" s="87">
        <f t="shared" si="28"/>
        <v>16</v>
      </c>
      <c r="O15" s="87">
        <f t="shared" si="28"/>
        <v>85.2</v>
      </c>
      <c r="P15" s="66">
        <f t="shared" si="6"/>
        <v>4806</v>
      </c>
      <c r="Q15" s="87">
        <f t="shared" ref="Q15:V15" si="29">IF(OR(Q57=1,Q57=2),"x",ROUND(Q57/$W57*100,1))</f>
        <v>6.3</v>
      </c>
      <c r="R15" s="87">
        <f t="shared" si="29"/>
        <v>12.9</v>
      </c>
      <c r="S15" s="87">
        <f t="shared" si="29"/>
        <v>20.9</v>
      </c>
      <c r="T15" s="87">
        <f t="shared" si="29"/>
        <v>21.8</v>
      </c>
      <c r="U15" s="87">
        <f t="shared" si="29"/>
        <v>18.399999999999999</v>
      </c>
      <c r="V15" s="87">
        <f t="shared" si="29"/>
        <v>80.3</v>
      </c>
      <c r="W15" s="66">
        <f t="shared" si="8"/>
        <v>14024</v>
      </c>
      <c r="X15" s="46"/>
      <c r="Y15" s="76"/>
      <c r="Z15" s="76"/>
      <c r="AA15" s="76"/>
      <c r="AB15" s="76"/>
      <c r="AC15" s="75"/>
      <c r="AV15" s="82"/>
      <c r="AW15" s="82"/>
      <c r="AX15" s="82"/>
      <c r="AY15" s="82"/>
      <c r="AZ15" s="82"/>
      <c r="BA15" s="82"/>
      <c r="BB15" s="82"/>
      <c r="BC15" s="82"/>
      <c r="BD15" s="82"/>
      <c r="BE15" s="82"/>
      <c r="BF15" s="82"/>
      <c r="BG15" s="82"/>
      <c r="BH15" s="82"/>
      <c r="BI15" s="82"/>
      <c r="BJ15" s="82"/>
      <c r="BK15" s="82"/>
      <c r="BL15" s="82"/>
      <c r="BM15" s="82"/>
      <c r="BN15" s="82"/>
      <c r="BO15" s="82"/>
      <c r="BP15" s="82"/>
      <c r="BQ15" s="82"/>
    </row>
    <row r="16" spans="1:69" x14ac:dyDescent="0.2">
      <c r="B16" s="99" t="s">
        <v>9</v>
      </c>
      <c r="C16" s="87" t="str">
        <f t="shared" ref="C16:H16" si="30">IF(OR(C58=1,C58=2),"x",ROUND(C58/$I58*100,1))</f>
        <v>x</v>
      </c>
      <c r="D16" s="87">
        <f t="shared" si="30"/>
        <v>4.8</v>
      </c>
      <c r="E16" s="87">
        <f t="shared" si="30"/>
        <v>13.3</v>
      </c>
      <c r="F16" s="87">
        <f t="shared" si="30"/>
        <v>18.100000000000001</v>
      </c>
      <c r="G16" s="87">
        <f t="shared" si="30"/>
        <v>27.7</v>
      </c>
      <c r="H16" s="87">
        <f t="shared" si="30"/>
        <v>66.3</v>
      </c>
      <c r="I16" s="66">
        <f t="shared" si="4"/>
        <v>83</v>
      </c>
      <c r="J16" s="87">
        <f t="shared" ref="J16:O16" si="31">IF(OR(J58=1,J58=2),"x",ROUND(J58/$P58*100,1))</f>
        <v>14.4</v>
      </c>
      <c r="K16" s="87">
        <f t="shared" si="31"/>
        <v>17.7</v>
      </c>
      <c r="L16" s="87">
        <f t="shared" si="31"/>
        <v>20.7</v>
      </c>
      <c r="M16" s="87">
        <f t="shared" si="31"/>
        <v>17.7</v>
      </c>
      <c r="N16" s="87">
        <f t="shared" si="31"/>
        <v>15.5</v>
      </c>
      <c r="O16" s="87">
        <f t="shared" si="31"/>
        <v>86.1</v>
      </c>
      <c r="P16" s="66">
        <f t="shared" si="6"/>
        <v>367</v>
      </c>
      <c r="Q16" s="87">
        <f t="shared" ref="Q16:V16" si="32">IF(OR(Q58=1,Q58=2),"x",ROUND(Q58/$W58*100,1))</f>
        <v>12.2</v>
      </c>
      <c r="R16" s="87">
        <f t="shared" si="32"/>
        <v>15.3</v>
      </c>
      <c r="S16" s="87">
        <f t="shared" si="32"/>
        <v>19.3</v>
      </c>
      <c r="T16" s="87">
        <f t="shared" si="32"/>
        <v>17.8</v>
      </c>
      <c r="U16" s="87">
        <f t="shared" si="32"/>
        <v>17.8</v>
      </c>
      <c r="V16" s="87">
        <f t="shared" si="32"/>
        <v>82.4</v>
      </c>
      <c r="W16" s="66">
        <f t="shared" si="8"/>
        <v>450</v>
      </c>
      <c r="X16" s="46"/>
      <c r="Y16" s="76"/>
      <c r="Z16" s="76"/>
      <c r="AA16" s="76"/>
      <c r="AB16" s="76"/>
      <c r="AC16" s="75"/>
      <c r="AV16" s="82"/>
      <c r="AW16" s="82"/>
      <c r="AX16" s="82"/>
      <c r="AY16" s="82"/>
      <c r="AZ16" s="82"/>
      <c r="BA16" s="82"/>
      <c r="BB16" s="82"/>
      <c r="BC16" s="82"/>
      <c r="BD16" s="82"/>
      <c r="BE16" s="82"/>
      <c r="BF16" s="82"/>
      <c r="BG16" s="82"/>
      <c r="BH16" s="82"/>
      <c r="BI16" s="82"/>
      <c r="BJ16" s="82"/>
      <c r="BK16" s="82"/>
      <c r="BL16" s="82"/>
      <c r="BM16" s="82"/>
      <c r="BN16" s="82"/>
      <c r="BO16" s="82"/>
      <c r="BP16" s="82"/>
      <c r="BQ16" s="82"/>
    </row>
    <row r="17" spans="2:69" x14ac:dyDescent="0.2">
      <c r="B17" s="99" t="s">
        <v>10</v>
      </c>
      <c r="C17" s="87">
        <f t="shared" ref="C17:H17" si="33">IF(OR(C59=1,C59=2),"x",ROUND(C59/$I59*100,1))</f>
        <v>6.4</v>
      </c>
      <c r="D17" s="87">
        <f t="shared" si="33"/>
        <v>11.8</v>
      </c>
      <c r="E17" s="87">
        <f t="shared" si="33"/>
        <v>16.3</v>
      </c>
      <c r="F17" s="87">
        <f t="shared" si="33"/>
        <v>17.7</v>
      </c>
      <c r="G17" s="87">
        <f t="shared" si="33"/>
        <v>16.8</v>
      </c>
      <c r="H17" s="87">
        <f t="shared" si="33"/>
        <v>68.900000000000006</v>
      </c>
      <c r="I17" s="66">
        <f t="shared" si="4"/>
        <v>4231</v>
      </c>
      <c r="J17" s="87">
        <f t="shared" ref="J17:O17" si="34">IF(OR(J59=1,J59=2),"x",ROUND(J59/$P59*100,1))</f>
        <v>7.7</v>
      </c>
      <c r="K17" s="87">
        <f t="shared" si="34"/>
        <v>12</v>
      </c>
      <c r="L17" s="87">
        <f t="shared" si="34"/>
        <v>16.600000000000001</v>
      </c>
      <c r="M17" s="87">
        <f t="shared" si="34"/>
        <v>17.8</v>
      </c>
      <c r="N17" s="87">
        <f t="shared" si="34"/>
        <v>16</v>
      </c>
      <c r="O17" s="87">
        <f t="shared" si="34"/>
        <v>70.2</v>
      </c>
      <c r="P17" s="66">
        <f t="shared" si="6"/>
        <v>2339</v>
      </c>
      <c r="Q17" s="87">
        <f t="shared" ref="Q17:V17" si="35">IF(OR(Q59=1,Q59=2),"x",ROUND(Q59/$W59*100,1))</f>
        <v>6.9</v>
      </c>
      <c r="R17" s="87">
        <f t="shared" si="35"/>
        <v>11.8</v>
      </c>
      <c r="S17" s="87">
        <f t="shared" si="35"/>
        <v>16.399999999999999</v>
      </c>
      <c r="T17" s="87">
        <f t="shared" si="35"/>
        <v>17.7</v>
      </c>
      <c r="U17" s="87">
        <f t="shared" si="35"/>
        <v>16.5</v>
      </c>
      <c r="V17" s="87">
        <f t="shared" si="35"/>
        <v>69.3</v>
      </c>
      <c r="W17" s="66">
        <f t="shared" si="8"/>
        <v>6570</v>
      </c>
      <c r="X17" s="46"/>
      <c r="Y17" s="76"/>
      <c r="Z17" s="76"/>
      <c r="AA17" s="76"/>
      <c r="AB17" s="76"/>
      <c r="AC17" s="75"/>
      <c r="AV17" s="82"/>
      <c r="AW17" s="82"/>
      <c r="AX17" s="82"/>
      <c r="AY17" s="82"/>
      <c r="AZ17" s="82"/>
      <c r="BA17" s="82"/>
      <c r="BB17" s="82"/>
      <c r="BC17" s="82"/>
      <c r="BD17" s="82"/>
      <c r="BE17" s="82"/>
      <c r="BF17" s="82"/>
      <c r="BG17" s="82"/>
      <c r="BH17" s="82"/>
      <c r="BI17" s="82"/>
      <c r="BJ17" s="82"/>
      <c r="BK17" s="82"/>
      <c r="BL17" s="82"/>
      <c r="BM17" s="82"/>
      <c r="BN17" s="82"/>
      <c r="BO17" s="82"/>
      <c r="BP17" s="82"/>
      <c r="BQ17" s="82"/>
    </row>
    <row r="18" spans="2:69" x14ac:dyDescent="0.2">
      <c r="B18" s="99" t="s">
        <v>11</v>
      </c>
      <c r="C18" s="87">
        <f t="shared" ref="C18:H18" si="36">IF(OR(C60=1,C60=2),"x",ROUND(C60/$I60*100,1))</f>
        <v>8</v>
      </c>
      <c r="D18" s="87">
        <f t="shared" si="36"/>
        <v>16.3</v>
      </c>
      <c r="E18" s="87">
        <f t="shared" si="36"/>
        <v>22.6</v>
      </c>
      <c r="F18" s="87">
        <f t="shared" si="36"/>
        <v>22.1</v>
      </c>
      <c r="G18" s="87">
        <f t="shared" si="36"/>
        <v>17.600000000000001</v>
      </c>
      <c r="H18" s="87">
        <f t="shared" si="36"/>
        <v>86.5</v>
      </c>
      <c r="I18" s="66">
        <f t="shared" si="4"/>
        <v>23371</v>
      </c>
      <c r="J18" s="87">
        <f t="shared" ref="J18:O18" si="37">IF(OR(J60=1,J60=2),"x",ROUND(J60/$P60*100,1))</f>
        <v>9.9</v>
      </c>
      <c r="K18" s="87">
        <f t="shared" si="37"/>
        <v>16.3</v>
      </c>
      <c r="L18" s="87">
        <f t="shared" si="37"/>
        <v>21.5</v>
      </c>
      <c r="M18" s="87">
        <f t="shared" si="37"/>
        <v>21</v>
      </c>
      <c r="N18" s="87">
        <f t="shared" si="37"/>
        <v>16.7</v>
      </c>
      <c r="O18" s="87">
        <f t="shared" si="37"/>
        <v>85.4</v>
      </c>
      <c r="P18" s="66">
        <f t="shared" si="6"/>
        <v>17164</v>
      </c>
      <c r="Q18" s="87">
        <f t="shared" ref="Q18:V18" si="38">IF(OR(Q60=1,Q60=2),"x",ROUND(Q60/$W60*100,1))</f>
        <v>8.8000000000000007</v>
      </c>
      <c r="R18" s="87">
        <f t="shared" si="38"/>
        <v>16.3</v>
      </c>
      <c r="S18" s="87">
        <f t="shared" si="38"/>
        <v>22.1</v>
      </c>
      <c r="T18" s="87">
        <f t="shared" si="38"/>
        <v>21.6</v>
      </c>
      <c r="U18" s="87">
        <f t="shared" si="38"/>
        <v>17.2</v>
      </c>
      <c r="V18" s="87">
        <f t="shared" si="38"/>
        <v>86.1</v>
      </c>
      <c r="W18" s="66">
        <f t="shared" si="8"/>
        <v>40535</v>
      </c>
      <c r="X18" s="46"/>
      <c r="Y18" s="76"/>
      <c r="Z18" s="76"/>
      <c r="AA18" s="76"/>
      <c r="AB18" s="76"/>
      <c r="AC18" s="75"/>
      <c r="AV18" s="82"/>
      <c r="AW18" s="82"/>
      <c r="AX18" s="82"/>
      <c r="AY18" s="82"/>
      <c r="AZ18" s="82"/>
      <c r="BA18" s="82"/>
      <c r="BB18" s="82"/>
      <c r="BC18" s="82"/>
      <c r="BD18" s="82"/>
      <c r="BE18" s="82"/>
      <c r="BF18" s="82"/>
      <c r="BG18" s="82"/>
      <c r="BH18" s="82"/>
      <c r="BI18" s="82"/>
      <c r="BJ18" s="82"/>
      <c r="BK18" s="82"/>
      <c r="BL18" s="82"/>
      <c r="BM18" s="82"/>
      <c r="BN18" s="82"/>
      <c r="BO18" s="82"/>
      <c r="BP18" s="82"/>
      <c r="BQ18" s="82"/>
    </row>
    <row r="19" spans="2:69" x14ac:dyDescent="0.2">
      <c r="B19" s="99" t="s">
        <v>12</v>
      </c>
      <c r="C19" s="87">
        <f t="shared" ref="C19:H19" si="39">IF(OR(C61=1,C61=2),"x",ROUND(C61/$I61*100,1))</f>
        <v>19.600000000000001</v>
      </c>
      <c r="D19" s="87">
        <f t="shared" si="39"/>
        <v>18.5</v>
      </c>
      <c r="E19" s="87">
        <f t="shared" si="39"/>
        <v>19.399999999999999</v>
      </c>
      <c r="F19" s="87">
        <f t="shared" si="39"/>
        <v>16.399999999999999</v>
      </c>
      <c r="G19" s="87">
        <f t="shared" si="39"/>
        <v>12.4</v>
      </c>
      <c r="H19" s="87">
        <f t="shared" si="39"/>
        <v>86.2</v>
      </c>
      <c r="I19" s="66">
        <f t="shared" si="4"/>
        <v>20994</v>
      </c>
      <c r="J19" s="87">
        <f t="shared" ref="J19:O19" si="40">IF(OR(J61=1,J61=2),"x",ROUND(J61/$P61*100,1))</f>
        <v>22.8</v>
      </c>
      <c r="K19" s="87">
        <f t="shared" si="40"/>
        <v>20.100000000000001</v>
      </c>
      <c r="L19" s="87">
        <f t="shared" si="40"/>
        <v>19</v>
      </c>
      <c r="M19" s="87">
        <f t="shared" si="40"/>
        <v>15.1</v>
      </c>
      <c r="N19" s="87">
        <f t="shared" si="40"/>
        <v>11.3</v>
      </c>
      <c r="O19" s="87">
        <f t="shared" si="40"/>
        <v>88.2</v>
      </c>
      <c r="P19" s="66">
        <f t="shared" si="6"/>
        <v>9938</v>
      </c>
      <c r="Q19" s="87">
        <f t="shared" ref="Q19:V19" si="41">IF(OR(Q61=1,Q61=2),"x",ROUND(Q61/$W61*100,1))</f>
        <v>20.6</v>
      </c>
      <c r="R19" s="87">
        <f t="shared" si="41"/>
        <v>19</v>
      </c>
      <c r="S19" s="87">
        <f t="shared" si="41"/>
        <v>19.3</v>
      </c>
      <c r="T19" s="87">
        <f t="shared" si="41"/>
        <v>16</v>
      </c>
      <c r="U19" s="87">
        <f t="shared" si="41"/>
        <v>12</v>
      </c>
      <c r="V19" s="87">
        <f t="shared" si="41"/>
        <v>86.8</v>
      </c>
      <c r="W19" s="66">
        <f t="shared" si="8"/>
        <v>30932</v>
      </c>
      <c r="X19" s="46"/>
      <c r="Y19" s="76"/>
      <c r="Z19" s="76"/>
      <c r="AA19" s="76"/>
      <c r="AB19" s="76"/>
      <c r="AC19" s="75"/>
      <c r="AV19" s="82"/>
      <c r="AW19" s="82"/>
      <c r="AX19" s="82"/>
      <c r="AY19" s="82"/>
      <c r="AZ19" s="82"/>
      <c r="BA19" s="82"/>
      <c r="BB19" s="82"/>
      <c r="BC19" s="82"/>
      <c r="BD19" s="82"/>
      <c r="BE19" s="82"/>
      <c r="BF19" s="82"/>
      <c r="BG19" s="82"/>
      <c r="BH19" s="82"/>
      <c r="BI19" s="82"/>
      <c r="BJ19" s="82"/>
      <c r="BK19" s="82"/>
      <c r="BL19" s="82"/>
      <c r="BM19" s="82"/>
      <c r="BN19" s="82"/>
      <c r="BO19" s="82"/>
      <c r="BP19" s="82"/>
      <c r="BQ19" s="82"/>
    </row>
    <row r="20" spans="2:69" x14ac:dyDescent="0.2">
      <c r="B20" s="99" t="s">
        <v>13</v>
      </c>
      <c r="C20" s="87">
        <f t="shared" ref="C20:H20" si="42">IF(OR(C62=1,C62=2),"x",ROUND(C62/$I62*100,1))</f>
        <v>18.399999999999999</v>
      </c>
      <c r="D20" s="87">
        <f t="shared" si="42"/>
        <v>17.600000000000001</v>
      </c>
      <c r="E20" s="87">
        <f t="shared" si="42"/>
        <v>20.5</v>
      </c>
      <c r="F20" s="87">
        <f t="shared" si="42"/>
        <v>17.600000000000001</v>
      </c>
      <c r="G20" s="87">
        <f t="shared" si="42"/>
        <v>13</v>
      </c>
      <c r="H20" s="87">
        <f t="shared" si="42"/>
        <v>87.1</v>
      </c>
      <c r="I20" s="66">
        <f t="shared" si="4"/>
        <v>20670</v>
      </c>
      <c r="J20" s="87">
        <f t="shared" ref="J20:O20" si="43">IF(OR(J62=1,J62=2),"x",ROUND(J62/$P62*100,1))</f>
        <v>27.8</v>
      </c>
      <c r="K20" s="87">
        <f t="shared" si="43"/>
        <v>20.2</v>
      </c>
      <c r="L20" s="87">
        <f t="shared" si="43"/>
        <v>19.100000000000001</v>
      </c>
      <c r="M20" s="87">
        <f t="shared" si="43"/>
        <v>14.1</v>
      </c>
      <c r="N20" s="87">
        <f t="shared" si="43"/>
        <v>9.8000000000000007</v>
      </c>
      <c r="O20" s="87">
        <f t="shared" si="43"/>
        <v>91</v>
      </c>
      <c r="P20" s="66">
        <f t="shared" si="6"/>
        <v>18909</v>
      </c>
      <c r="Q20" s="87">
        <f t="shared" ref="Q20:V20" si="44">IF(OR(Q62=1,Q62=2),"x",ROUND(Q62/$W62*100,1))</f>
        <v>22.9</v>
      </c>
      <c r="R20" s="87">
        <f t="shared" si="44"/>
        <v>18.8</v>
      </c>
      <c r="S20" s="87">
        <f t="shared" si="44"/>
        <v>19.8</v>
      </c>
      <c r="T20" s="87">
        <f t="shared" si="44"/>
        <v>15.9</v>
      </c>
      <c r="U20" s="87">
        <f t="shared" si="44"/>
        <v>11.5</v>
      </c>
      <c r="V20" s="87">
        <f t="shared" si="44"/>
        <v>89</v>
      </c>
      <c r="W20" s="66">
        <f t="shared" si="8"/>
        <v>39579</v>
      </c>
      <c r="X20" s="46"/>
      <c r="Y20" s="76"/>
      <c r="Z20" s="76"/>
      <c r="AA20" s="76"/>
      <c r="AB20" s="76"/>
      <c r="AC20" s="75"/>
      <c r="AV20" s="82"/>
      <c r="AW20" s="82"/>
      <c r="AX20" s="82"/>
      <c r="AY20" s="82"/>
      <c r="AZ20" s="82"/>
      <c r="BA20" s="82"/>
      <c r="BB20" s="82"/>
      <c r="BC20" s="82"/>
      <c r="BD20" s="82"/>
      <c r="BE20" s="82"/>
      <c r="BF20" s="82"/>
      <c r="BG20" s="82"/>
      <c r="BH20" s="82"/>
      <c r="BI20" s="82"/>
      <c r="BJ20" s="82"/>
      <c r="BK20" s="82"/>
      <c r="BL20" s="82"/>
      <c r="BM20" s="82"/>
      <c r="BN20" s="82"/>
      <c r="BO20" s="82"/>
      <c r="BP20" s="82"/>
      <c r="BQ20" s="82"/>
    </row>
    <row r="21" spans="2:69" x14ac:dyDescent="0.2">
      <c r="B21" s="99" t="s">
        <v>14</v>
      </c>
      <c r="C21" s="87">
        <f t="shared" ref="C21:H21" si="45">IF(OR(C63=1,C63=2),"x",ROUND(C63/$I63*100,1))</f>
        <v>18.8</v>
      </c>
      <c r="D21" s="87">
        <f t="shared" si="45"/>
        <v>20.7</v>
      </c>
      <c r="E21" s="87">
        <f t="shared" si="45"/>
        <v>21.6</v>
      </c>
      <c r="F21" s="87">
        <f t="shared" si="45"/>
        <v>17.399999999999999</v>
      </c>
      <c r="G21" s="87">
        <f t="shared" si="45"/>
        <v>10.6</v>
      </c>
      <c r="H21" s="87">
        <f t="shared" si="45"/>
        <v>89.2</v>
      </c>
      <c r="I21" s="66">
        <f t="shared" si="4"/>
        <v>10137</v>
      </c>
      <c r="J21" s="87">
        <f t="shared" ref="J21:O21" si="46">IF(OR(J63=1,J63=2),"x",ROUND(J63/$P63*100,1))</f>
        <v>23.1</v>
      </c>
      <c r="K21" s="87">
        <f t="shared" si="46"/>
        <v>20.399999999999999</v>
      </c>
      <c r="L21" s="87">
        <f t="shared" si="46"/>
        <v>18.7</v>
      </c>
      <c r="M21" s="87">
        <f t="shared" si="46"/>
        <v>15.7</v>
      </c>
      <c r="N21" s="87">
        <f t="shared" si="46"/>
        <v>10.4</v>
      </c>
      <c r="O21" s="87">
        <f t="shared" si="46"/>
        <v>88.3</v>
      </c>
      <c r="P21" s="66">
        <f t="shared" si="6"/>
        <v>8001</v>
      </c>
      <c r="Q21" s="87">
        <f t="shared" ref="Q21:V21" si="47">IF(OR(Q63=1,Q63=2),"x",ROUND(Q63/$W63*100,1))</f>
        <v>20.7</v>
      </c>
      <c r="R21" s="87">
        <f t="shared" si="47"/>
        <v>20.6</v>
      </c>
      <c r="S21" s="87">
        <f t="shared" si="47"/>
        <v>20.3</v>
      </c>
      <c r="T21" s="87">
        <f t="shared" si="47"/>
        <v>16.600000000000001</v>
      </c>
      <c r="U21" s="87">
        <f t="shared" si="47"/>
        <v>10.5</v>
      </c>
      <c r="V21" s="87">
        <f t="shared" si="47"/>
        <v>88.8</v>
      </c>
      <c r="W21" s="66">
        <f t="shared" si="8"/>
        <v>18138</v>
      </c>
      <c r="X21" s="46"/>
      <c r="Y21" s="76"/>
      <c r="Z21" s="76"/>
      <c r="AA21" s="76"/>
      <c r="AB21" s="76"/>
      <c r="AC21" s="75"/>
      <c r="AV21" s="82"/>
      <c r="AW21" s="82"/>
      <c r="AX21" s="82"/>
      <c r="AY21" s="82"/>
      <c r="AZ21" s="82"/>
      <c r="BA21" s="82"/>
      <c r="BB21" s="82"/>
      <c r="BC21" s="82"/>
      <c r="BD21" s="82"/>
      <c r="BE21" s="82"/>
      <c r="BF21" s="82"/>
      <c r="BG21" s="82"/>
      <c r="BH21" s="82"/>
      <c r="BI21" s="82"/>
      <c r="BJ21" s="82"/>
      <c r="BK21" s="82"/>
      <c r="BL21" s="82"/>
      <c r="BM21" s="82"/>
      <c r="BN21" s="82"/>
      <c r="BO21" s="82"/>
      <c r="BP21" s="82"/>
      <c r="BQ21" s="82"/>
    </row>
    <row r="22" spans="2:69" x14ac:dyDescent="0.2">
      <c r="B22" s="99" t="s">
        <v>15</v>
      </c>
      <c r="C22" s="87">
        <f t="shared" ref="C22:H22" si="48">IF(OR(C64=1,C64=2),"x",ROUND(C64/$I64*100,1))</f>
        <v>16.899999999999999</v>
      </c>
      <c r="D22" s="87">
        <f t="shared" si="48"/>
        <v>23.3</v>
      </c>
      <c r="E22" s="87">
        <f t="shared" si="48"/>
        <v>25.8</v>
      </c>
      <c r="F22" s="87">
        <f t="shared" si="48"/>
        <v>18.2</v>
      </c>
      <c r="G22" s="87">
        <f t="shared" si="48"/>
        <v>9.6</v>
      </c>
      <c r="H22" s="87">
        <f t="shared" si="48"/>
        <v>93.8</v>
      </c>
      <c r="I22" s="66">
        <f t="shared" si="4"/>
        <v>27862</v>
      </c>
      <c r="J22" s="87">
        <f t="shared" ref="J22:O22" si="49">IF(OR(J64=1,J64=2),"x",ROUND(J64/$P64*100,1))</f>
        <v>18.7</v>
      </c>
      <c r="K22" s="87">
        <f t="shared" si="49"/>
        <v>24.1</v>
      </c>
      <c r="L22" s="87">
        <f t="shared" si="49"/>
        <v>25.2</v>
      </c>
      <c r="M22" s="87">
        <f t="shared" si="49"/>
        <v>17.100000000000001</v>
      </c>
      <c r="N22" s="87">
        <f t="shared" si="49"/>
        <v>8.9</v>
      </c>
      <c r="O22" s="87">
        <f t="shared" si="49"/>
        <v>94</v>
      </c>
      <c r="P22" s="66">
        <f t="shared" si="6"/>
        <v>31804</v>
      </c>
      <c r="Q22" s="87">
        <f t="shared" ref="Q22:V22" si="50">IF(OR(Q64=1,Q64=2),"x",ROUND(Q64/$W64*100,1))</f>
        <v>17.899999999999999</v>
      </c>
      <c r="R22" s="87">
        <f t="shared" si="50"/>
        <v>23.7</v>
      </c>
      <c r="S22" s="87">
        <f t="shared" si="50"/>
        <v>25.5</v>
      </c>
      <c r="T22" s="87">
        <f t="shared" si="50"/>
        <v>17.600000000000001</v>
      </c>
      <c r="U22" s="87">
        <f t="shared" si="50"/>
        <v>9.1999999999999993</v>
      </c>
      <c r="V22" s="87">
        <f t="shared" si="50"/>
        <v>93.9</v>
      </c>
      <c r="W22" s="66">
        <f t="shared" si="8"/>
        <v>59666</v>
      </c>
      <c r="X22" s="46"/>
      <c r="Y22" s="76"/>
      <c r="Z22" s="76"/>
      <c r="AA22" s="76"/>
      <c r="AB22" s="76"/>
      <c r="AC22" s="75"/>
      <c r="AV22" s="82"/>
      <c r="AW22" s="82"/>
      <c r="AX22" s="82"/>
      <c r="AY22" s="82"/>
      <c r="AZ22" s="82"/>
      <c r="BA22" s="82"/>
      <c r="BB22" s="82"/>
      <c r="BC22" s="82"/>
      <c r="BD22" s="82"/>
      <c r="BE22" s="82"/>
      <c r="BF22" s="82"/>
      <c r="BG22" s="82"/>
      <c r="BH22" s="82"/>
      <c r="BI22" s="82"/>
      <c r="BJ22" s="82"/>
      <c r="BK22" s="82"/>
      <c r="BL22" s="82"/>
      <c r="BM22" s="82"/>
      <c r="BN22" s="82"/>
      <c r="BO22" s="82"/>
      <c r="BP22" s="82"/>
      <c r="BQ22" s="82"/>
    </row>
    <row r="23" spans="2:69" x14ac:dyDescent="0.2">
      <c r="B23" s="99" t="s">
        <v>16</v>
      </c>
      <c r="C23" s="87">
        <f t="shared" ref="C23:H23" si="51">IF(OR(C65=1,C65=2),"x",ROUND(C65/$I65*100,1))</f>
        <v>8.6999999999999993</v>
      </c>
      <c r="D23" s="87">
        <f t="shared" si="51"/>
        <v>13.9</v>
      </c>
      <c r="E23" s="87">
        <f t="shared" si="51"/>
        <v>17.100000000000001</v>
      </c>
      <c r="F23" s="87">
        <f t="shared" si="51"/>
        <v>17.399999999999999</v>
      </c>
      <c r="G23" s="87">
        <f t="shared" si="51"/>
        <v>16.8</v>
      </c>
      <c r="H23" s="87">
        <f t="shared" si="51"/>
        <v>73.8</v>
      </c>
      <c r="I23" s="66">
        <f t="shared" si="4"/>
        <v>8358</v>
      </c>
      <c r="J23" s="87">
        <f t="shared" ref="J23:O23" si="52">IF(OR(J65=1,J65=2),"x",ROUND(J65/$P65*100,1))</f>
        <v>13.4</v>
      </c>
      <c r="K23" s="87">
        <f t="shared" si="52"/>
        <v>16.5</v>
      </c>
      <c r="L23" s="87">
        <f t="shared" si="52"/>
        <v>18.5</v>
      </c>
      <c r="M23" s="87">
        <f t="shared" si="52"/>
        <v>16.8</v>
      </c>
      <c r="N23" s="87">
        <f t="shared" si="52"/>
        <v>14.2</v>
      </c>
      <c r="O23" s="87">
        <f t="shared" si="52"/>
        <v>79.3</v>
      </c>
      <c r="P23" s="66">
        <f t="shared" si="6"/>
        <v>12054</v>
      </c>
      <c r="Q23" s="87">
        <f t="shared" ref="Q23:V23" si="53">IF(OR(Q65=1,Q65=2),"x",ROUND(Q65/$W65*100,1))</f>
        <v>11.4</v>
      </c>
      <c r="R23" s="87">
        <f t="shared" si="53"/>
        <v>15.4</v>
      </c>
      <c r="S23" s="87">
        <f t="shared" si="53"/>
        <v>17.899999999999999</v>
      </c>
      <c r="T23" s="87">
        <f t="shared" si="53"/>
        <v>17.100000000000001</v>
      </c>
      <c r="U23" s="87">
        <f t="shared" si="53"/>
        <v>15.2</v>
      </c>
      <c r="V23" s="87">
        <f t="shared" si="53"/>
        <v>77</v>
      </c>
      <c r="W23" s="66">
        <f t="shared" si="8"/>
        <v>20412</v>
      </c>
      <c r="X23" s="46"/>
      <c r="Y23" s="76"/>
      <c r="Z23" s="76"/>
      <c r="AA23" s="76"/>
      <c r="AB23" s="76"/>
      <c r="AC23" s="75"/>
      <c r="AV23" s="82"/>
      <c r="AW23" s="82"/>
      <c r="AX23" s="82"/>
      <c r="AY23" s="82"/>
      <c r="AZ23" s="82"/>
      <c r="BA23" s="82"/>
      <c r="BB23" s="82"/>
      <c r="BC23" s="82"/>
      <c r="BD23" s="82"/>
      <c r="BE23" s="82"/>
      <c r="BF23" s="82"/>
      <c r="BG23" s="82"/>
      <c r="BH23" s="82"/>
      <c r="BI23" s="82"/>
      <c r="BJ23" s="82"/>
      <c r="BK23" s="82"/>
      <c r="BL23" s="82"/>
      <c r="BM23" s="82"/>
      <c r="BN23" s="82"/>
      <c r="BO23" s="82"/>
      <c r="BP23" s="82"/>
      <c r="BQ23" s="82"/>
    </row>
    <row r="24" spans="2:69" x14ac:dyDescent="0.2">
      <c r="B24" s="99" t="s">
        <v>17</v>
      </c>
      <c r="C24" s="87">
        <f t="shared" ref="C24:H24" si="54">IF(OR(C66=1,C66=2),"x",ROUND(C66/$I66*100,1))</f>
        <v>5.9</v>
      </c>
      <c r="D24" s="87">
        <f t="shared" si="54"/>
        <v>12.4</v>
      </c>
      <c r="E24" s="87">
        <f t="shared" si="54"/>
        <v>18.5</v>
      </c>
      <c r="F24" s="87">
        <f t="shared" si="54"/>
        <v>19.5</v>
      </c>
      <c r="G24" s="87">
        <f t="shared" si="54"/>
        <v>16.600000000000001</v>
      </c>
      <c r="H24" s="87">
        <f t="shared" si="54"/>
        <v>72.900000000000006</v>
      </c>
      <c r="I24" s="66">
        <f t="shared" si="4"/>
        <v>26821</v>
      </c>
      <c r="J24" s="87">
        <f t="shared" ref="J24:O24" si="55">IF(OR(J66=1,J66=2),"x",ROUND(J66/$P66*100,1))</f>
        <v>13.8</v>
      </c>
      <c r="K24" s="87">
        <f t="shared" si="55"/>
        <v>19.600000000000001</v>
      </c>
      <c r="L24" s="87">
        <f t="shared" si="55"/>
        <v>20.6</v>
      </c>
      <c r="M24" s="87">
        <f t="shared" si="55"/>
        <v>17.100000000000001</v>
      </c>
      <c r="N24" s="87">
        <f t="shared" si="55"/>
        <v>12.5</v>
      </c>
      <c r="O24" s="87">
        <f t="shared" si="55"/>
        <v>83.6</v>
      </c>
      <c r="P24" s="66">
        <f t="shared" si="6"/>
        <v>60659</v>
      </c>
      <c r="Q24" s="87">
        <f t="shared" ref="Q24:V24" si="56">IF(OR(Q66=1,Q66=2),"x",ROUND(Q66/$W66*100,1))</f>
        <v>11.4</v>
      </c>
      <c r="R24" s="87">
        <f t="shared" si="56"/>
        <v>17.399999999999999</v>
      </c>
      <c r="S24" s="87">
        <f t="shared" si="56"/>
        <v>19.899999999999999</v>
      </c>
      <c r="T24" s="87">
        <f t="shared" si="56"/>
        <v>17.899999999999999</v>
      </c>
      <c r="U24" s="87">
        <f t="shared" si="56"/>
        <v>13.8</v>
      </c>
      <c r="V24" s="87">
        <f t="shared" si="56"/>
        <v>80.3</v>
      </c>
      <c r="W24" s="66">
        <f t="shared" si="8"/>
        <v>87480</v>
      </c>
      <c r="X24" s="46"/>
      <c r="Y24" s="76"/>
      <c r="Z24" s="76"/>
      <c r="AA24" s="76"/>
      <c r="AB24" s="76"/>
      <c r="AC24" s="75"/>
      <c r="AV24" s="82"/>
      <c r="AW24" s="82"/>
      <c r="AX24" s="82"/>
      <c r="AY24" s="82"/>
      <c r="AZ24" s="82"/>
      <c r="BA24" s="82"/>
      <c r="BB24" s="82"/>
      <c r="BC24" s="82"/>
      <c r="BD24" s="82"/>
      <c r="BE24" s="82"/>
      <c r="BF24" s="82"/>
      <c r="BG24" s="82"/>
      <c r="BH24" s="82"/>
      <c r="BI24" s="82"/>
      <c r="BJ24" s="82"/>
      <c r="BK24" s="82"/>
      <c r="BL24" s="82"/>
      <c r="BM24" s="82"/>
      <c r="BN24" s="82"/>
      <c r="BO24" s="82"/>
      <c r="BP24" s="82"/>
      <c r="BQ24" s="82"/>
    </row>
    <row r="25" spans="2:69" x14ac:dyDescent="0.2">
      <c r="B25" s="99" t="s">
        <v>18</v>
      </c>
      <c r="C25" s="87">
        <f t="shared" ref="C25:H25" si="57">IF(OR(C67=1,C67=2),"x",ROUND(C67/$I67*100,1))</f>
        <v>7.9</v>
      </c>
      <c r="D25" s="87">
        <f t="shared" si="57"/>
        <v>13.9</v>
      </c>
      <c r="E25" s="87">
        <f t="shared" si="57"/>
        <v>19.7</v>
      </c>
      <c r="F25" s="87">
        <f t="shared" si="57"/>
        <v>20.7</v>
      </c>
      <c r="G25" s="87">
        <f t="shared" si="57"/>
        <v>16.3</v>
      </c>
      <c r="H25" s="87">
        <f t="shared" si="57"/>
        <v>78.5</v>
      </c>
      <c r="I25" s="66">
        <f t="shared" si="4"/>
        <v>12608</v>
      </c>
      <c r="J25" s="87">
        <f t="shared" ref="J25:O25" si="58">IF(OR(J67=1,J67=2),"x",ROUND(J67/$P67*100,1))</f>
        <v>14.6</v>
      </c>
      <c r="K25" s="87">
        <f t="shared" si="58"/>
        <v>19</v>
      </c>
      <c r="L25" s="87">
        <f t="shared" si="58"/>
        <v>22</v>
      </c>
      <c r="M25" s="87">
        <f t="shared" si="58"/>
        <v>17.7</v>
      </c>
      <c r="N25" s="87">
        <f t="shared" si="58"/>
        <v>12.9</v>
      </c>
      <c r="O25" s="87">
        <f t="shared" si="58"/>
        <v>86.2</v>
      </c>
      <c r="P25" s="66">
        <f t="shared" si="6"/>
        <v>32730</v>
      </c>
      <c r="Q25" s="87">
        <f t="shared" ref="Q25:V25" si="59">IF(OR(Q67=1,Q67=2),"x",ROUND(Q67/$W67*100,1))</f>
        <v>12.7</v>
      </c>
      <c r="R25" s="87">
        <f t="shared" si="59"/>
        <v>17.600000000000001</v>
      </c>
      <c r="S25" s="87">
        <f t="shared" si="59"/>
        <v>21.4</v>
      </c>
      <c r="T25" s="87">
        <f t="shared" si="59"/>
        <v>18.5</v>
      </c>
      <c r="U25" s="87">
        <f t="shared" si="59"/>
        <v>13.8</v>
      </c>
      <c r="V25" s="87">
        <f t="shared" si="59"/>
        <v>84</v>
      </c>
      <c r="W25" s="66">
        <f t="shared" si="8"/>
        <v>45338</v>
      </c>
      <c r="X25" s="46"/>
      <c r="Y25" s="76"/>
      <c r="Z25" s="76"/>
      <c r="AA25" s="76"/>
      <c r="AB25" s="76"/>
      <c r="AC25" s="75"/>
      <c r="AV25" s="82"/>
      <c r="AW25" s="82"/>
      <c r="AX25" s="82"/>
      <c r="AY25" s="82"/>
      <c r="AZ25" s="82"/>
      <c r="BA25" s="82"/>
      <c r="BB25" s="82"/>
      <c r="BC25" s="82"/>
      <c r="BD25" s="82"/>
      <c r="BE25" s="82"/>
      <c r="BF25" s="82"/>
      <c r="BG25" s="82"/>
      <c r="BH25" s="82"/>
      <c r="BI25" s="82"/>
      <c r="BJ25" s="82"/>
      <c r="BK25" s="82"/>
      <c r="BL25" s="82"/>
      <c r="BM25" s="82"/>
      <c r="BN25" s="82"/>
      <c r="BO25" s="82"/>
      <c r="BP25" s="82"/>
      <c r="BQ25" s="82"/>
    </row>
    <row r="26" spans="2:69" x14ac:dyDescent="0.2">
      <c r="B26" s="99" t="s">
        <v>19</v>
      </c>
      <c r="C26" s="87">
        <f t="shared" ref="C26:H26" si="60">IF(OR(C68=1,C68=2),"x",ROUND(C68/$I68*100,1))</f>
        <v>8.5</v>
      </c>
      <c r="D26" s="87">
        <f t="shared" si="60"/>
        <v>13.2</v>
      </c>
      <c r="E26" s="87">
        <f t="shared" si="60"/>
        <v>18</v>
      </c>
      <c r="F26" s="87">
        <f t="shared" si="60"/>
        <v>18.100000000000001</v>
      </c>
      <c r="G26" s="87">
        <f t="shared" si="60"/>
        <v>16.899999999999999</v>
      </c>
      <c r="H26" s="87">
        <f t="shared" si="60"/>
        <v>74.900000000000006</v>
      </c>
      <c r="I26" s="66">
        <f t="shared" si="4"/>
        <v>5020</v>
      </c>
      <c r="J26" s="87">
        <f t="shared" ref="J26:O26" si="61">IF(OR(J68=1,J68=2),"x",ROUND(J68/$P68*100,1))</f>
        <v>11.1</v>
      </c>
      <c r="K26" s="87">
        <f t="shared" si="61"/>
        <v>16.7</v>
      </c>
      <c r="L26" s="87">
        <f t="shared" si="61"/>
        <v>20</v>
      </c>
      <c r="M26" s="87">
        <f t="shared" si="61"/>
        <v>18.7</v>
      </c>
      <c r="N26" s="87">
        <f t="shared" si="61"/>
        <v>14.9</v>
      </c>
      <c r="O26" s="87">
        <f t="shared" si="61"/>
        <v>81.400000000000006</v>
      </c>
      <c r="P26" s="66">
        <f t="shared" si="6"/>
        <v>6586</v>
      </c>
      <c r="Q26" s="87">
        <f t="shared" ref="Q26:V26" si="62">IF(OR(Q68=1,Q68=2),"x",ROUND(Q68/$W68*100,1))</f>
        <v>10</v>
      </c>
      <c r="R26" s="87">
        <f t="shared" si="62"/>
        <v>15.2</v>
      </c>
      <c r="S26" s="87">
        <f t="shared" si="62"/>
        <v>19.2</v>
      </c>
      <c r="T26" s="87">
        <f t="shared" si="62"/>
        <v>18.399999999999999</v>
      </c>
      <c r="U26" s="87">
        <f t="shared" si="62"/>
        <v>15.8</v>
      </c>
      <c r="V26" s="87">
        <f t="shared" si="62"/>
        <v>78.599999999999994</v>
      </c>
      <c r="W26" s="66">
        <f t="shared" si="8"/>
        <v>11606</v>
      </c>
      <c r="X26" s="46"/>
      <c r="Y26" s="76"/>
      <c r="Z26" s="76"/>
      <c r="AA26" s="76"/>
      <c r="AB26" s="76"/>
      <c r="AC26" s="75"/>
      <c r="AV26" s="82"/>
      <c r="AW26" s="82"/>
      <c r="AX26" s="82"/>
      <c r="AY26" s="82"/>
      <c r="AZ26" s="82"/>
      <c r="BA26" s="82"/>
      <c r="BB26" s="82"/>
      <c r="BC26" s="82"/>
      <c r="BD26" s="82"/>
      <c r="BE26" s="82"/>
      <c r="BF26" s="82"/>
      <c r="BG26" s="82"/>
      <c r="BH26" s="82"/>
      <c r="BI26" s="82"/>
      <c r="BJ26" s="82"/>
      <c r="BK26" s="82"/>
      <c r="BL26" s="82"/>
      <c r="BM26" s="82"/>
      <c r="BN26" s="82"/>
      <c r="BO26" s="82"/>
      <c r="BP26" s="82"/>
      <c r="BQ26" s="82"/>
    </row>
    <row r="27" spans="2:69" x14ac:dyDescent="0.2">
      <c r="B27" s="99" t="s">
        <v>20</v>
      </c>
      <c r="C27" s="87">
        <f t="shared" ref="C27:H27" si="63">IF(OR(C69=1,C69=2),"x",ROUND(C69/$I69*100,1))</f>
        <v>15.9</v>
      </c>
      <c r="D27" s="87">
        <f t="shared" si="63"/>
        <v>20</v>
      </c>
      <c r="E27" s="87">
        <f t="shared" si="63"/>
        <v>23.3</v>
      </c>
      <c r="F27" s="87">
        <f t="shared" si="63"/>
        <v>19.3</v>
      </c>
      <c r="G27" s="87">
        <f t="shared" si="63"/>
        <v>12.2</v>
      </c>
      <c r="H27" s="87">
        <f t="shared" si="63"/>
        <v>90.8</v>
      </c>
      <c r="I27" s="66">
        <f t="shared" si="4"/>
        <v>16332</v>
      </c>
      <c r="J27" s="87">
        <f t="shared" ref="J27:O27" si="64">IF(OR(J69=1,J69=2),"x",ROUND(J69/$P69*100,1))</f>
        <v>23.2</v>
      </c>
      <c r="K27" s="87">
        <f t="shared" si="64"/>
        <v>26.2</v>
      </c>
      <c r="L27" s="87">
        <f t="shared" si="64"/>
        <v>23.8</v>
      </c>
      <c r="M27" s="87">
        <f t="shared" si="64"/>
        <v>15.2</v>
      </c>
      <c r="N27" s="87">
        <f t="shared" si="64"/>
        <v>7.3</v>
      </c>
      <c r="O27" s="87">
        <f t="shared" si="64"/>
        <v>95.6</v>
      </c>
      <c r="P27" s="66">
        <f t="shared" si="6"/>
        <v>43847</v>
      </c>
      <c r="Q27" s="87">
        <f t="shared" ref="Q27:V27" si="65">IF(OR(Q69=1,Q69=2),"x",ROUND(Q69/$W69*100,1))</f>
        <v>21.2</v>
      </c>
      <c r="R27" s="87">
        <f t="shared" si="65"/>
        <v>24.6</v>
      </c>
      <c r="S27" s="87">
        <f t="shared" si="65"/>
        <v>23.6</v>
      </c>
      <c r="T27" s="87">
        <f t="shared" si="65"/>
        <v>16.3</v>
      </c>
      <c r="U27" s="87">
        <f t="shared" si="65"/>
        <v>8.6</v>
      </c>
      <c r="V27" s="87">
        <f t="shared" si="65"/>
        <v>94.3</v>
      </c>
      <c r="W27" s="66">
        <f t="shared" si="8"/>
        <v>60179</v>
      </c>
      <c r="X27" s="46"/>
      <c r="Y27" s="76"/>
      <c r="Z27" s="76"/>
      <c r="AA27" s="76"/>
      <c r="AB27" s="76"/>
      <c r="AC27" s="75"/>
      <c r="AV27" s="82"/>
      <c r="AW27" s="82"/>
      <c r="AX27" s="82"/>
      <c r="AY27" s="82"/>
      <c r="AZ27" s="82"/>
      <c r="BA27" s="82"/>
      <c r="BB27" s="82"/>
      <c r="BC27" s="82"/>
      <c r="BD27" s="82"/>
      <c r="BE27" s="82"/>
      <c r="BF27" s="82"/>
      <c r="BG27" s="82"/>
      <c r="BH27" s="82"/>
      <c r="BI27" s="82"/>
      <c r="BJ27" s="82"/>
      <c r="BK27" s="82"/>
      <c r="BL27" s="82"/>
      <c r="BM27" s="82"/>
      <c r="BN27" s="82"/>
      <c r="BO27" s="82"/>
      <c r="BP27" s="82"/>
      <c r="BQ27" s="82"/>
    </row>
    <row r="28" spans="2:69" x14ac:dyDescent="0.2">
      <c r="B28" s="99" t="s">
        <v>21</v>
      </c>
      <c r="C28" s="87">
        <f t="shared" ref="C28:H28" si="66">IF(OR(C70=1,C70=2),"x",ROUND(C70/$I70*100,1))</f>
        <v>13.5</v>
      </c>
      <c r="D28" s="87">
        <f t="shared" si="66"/>
        <v>26.4</v>
      </c>
      <c r="E28" s="87">
        <f t="shared" si="66"/>
        <v>29.7</v>
      </c>
      <c r="F28" s="87">
        <f t="shared" si="66"/>
        <v>19.899999999999999</v>
      </c>
      <c r="G28" s="87">
        <f t="shared" si="66"/>
        <v>8</v>
      </c>
      <c r="H28" s="87">
        <f t="shared" si="66"/>
        <v>97.6</v>
      </c>
      <c r="I28" s="66">
        <f t="shared" si="4"/>
        <v>5181</v>
      </c>
      <c r="J28" s="87">
        <f t="shared" ref="J28:O28" si="67">IF(OR(J70=1,J70=2),"x",ROUND(J70/$P70*100,1))</f>
        <v>16.2</v>
      </c>
      <c r="K28" s="87">
        <f t="shared" si="67"/>
        <v>30.4</v>
      </c>
      <c r="L28" s="87">
        <f t="shared" si="67"/>
        <v>30.6</v>
      </c>
      <c r="M28" s="87">
        <f t="shared" si="67"/>
        <v>16.2</v>
      </c>
      <c r="N28" s="87">
        <f t="shared" si="67"/>
        <v>5</v>
      </c>
      <c r="O28" s="87">
        <f t="shared" si="67"/>
        <v>98.4</v>
      </c>
      <c r="P28" s="66">
        <f t="shared" si="6"/>
        <v>11090</v>
      </c>
      <c r="Q28" s="87">
        <f t="shared" ref="Q28:V28" si="68">IF(OR(Q70=1,Q70=2),"x",ROUND(Q70/$W70*100,1))</f>
        <v>15.4</v>
      </c>
      <c r="R28" s="87">
        <f t="shared" si="68"/>
        <v>29.1</v>
      </c>
      <c r="S28" s="87">
        <f t="shared" si="68"/>
        <v>30.3</v>
      </c>
      <c r="T28" s="87">
        <f t="shared" si="68"/>
        <v>17.399999999999999</v>
      </c>
      <c r="U28" s="87">
        <f t="shared" si="68"/>
        <v>5.9</v>
      </c>
      <c r="V28" s="87">
        <f t="shared" si="68"/>
        <v>98.1</v>
      </c>
      <c r="W28" s="66">
        <f t="shared" si="8"/>
        <v>16271</v>
      </c>
      <c r="X28" s="46"/>
      <c r="Y28" s="76"/>
      <c r="Z28" s="76"/>
      <c r="AA28" s="76"/>
      <c r="AB28" s="76"/>
      <c r="AC28" s="75"/>
      <c r="AV28" s="82"/>
      <c r="AW28" s="82"/>
      <c r="AX28" s="82"/>
      <c r="AY28" s="82"/>
      <c r="AZ28" s="82"/>
      <c r="BA28" s="82"/>
      <c r="BB28" s="82"/>
      <c r="BC28" s="82"/>
      <c r="BD28" s="82"/>
      <c r="BE28" s="82"/>
      <c r="BF28" s="82"/>
      <c r="BG28" s="82"/>
      <c r="BH28" s="82"/>
      <c r="BI28" s="82"/>
      <c r="BJ28" s="82"/>
      <c r="BK28" s="82"/>
      <c r="BL28" s="82"/>
      <c r="BM28" s="82"/>
      <c r="BN28" s="82"/>
      <c r="BO28" s="82"/>
      <c r="BP28" s="82"/>
      <c r="BQ28" s="82"/>
    </row>
    <row r="29" spans="2:69" x14ac:dyDescent="0.2">
      <c r="B29" s="99" t="s">
        <v>22</v>
      </c>
      <c r="C29" s="87">
        <f t="shared" ref="C29:H29" si="69">IF(OR(C71=1,C71=2),"x",ROUND(C71/$I71*100,1))</f>
        <v>13.9</v>
      </c>
      <c r="D29" s="87">
        <f t="shared" si="69"/>
        <v>20.2</v>
      </c>
      <c r="E29" s="87">
        <f t="shared" si="69"/>
        <v>27.3</v>
      </c>
      <c r="F29" s="87">
        <f t="shared" si="69"/>
        <v>22.6</v>
      </c>
      <c r="G29" s="87">
        <f t="shared" si="69"/>
        <v>11.6</v>
      </c>
      <c r="H29" s="87">
        <f t="shared" si="69"/>
        <v>95.5</v>
      </c>
      <c r="I29" s="66">
        <f t="shared" si="4"/>
        <v>31616</v>
      </c>
      <c r="J29" s="87">
        <f t="shared" ref="J29:O29" si="70">IF(OR(J71=1,J71=2),"x",ROUND(J71/$P71*100,1))</f>
        <v>15.7</v>
      </c>
      <c r="K29" s="87">
        <f t="shared" si="70"/>
        <v>22.8</v>
      </c>
      <c r="L29" s="87">
        <f t="shared" si="70"/>
        <v>28.5</v>
      </c>
      <c r="M29" s="87">
        <f t="shared" si="70"/>
        <v>21.2</v>
      </c>
      <c r="N29" s="87">
        <f t="shared" si="70"/>
        <v>8.9</v>
      </c>
      <c r="O29" s="87">
        <f t="shared" si="70"/>
        <v>97.1</v>
      </c>
      <c r="P29" s="66">
        <f t="shared" si="6"/>
        <v>78021</v>
      </c>
      <c r="Q29" s="87">
        <f t="shared" ref="Q29:V29" si="71">IF(OR(Q71=1,Q71=2),"x",ROUND(Q71/$W71*100,1))</f>
        <v>15.2</v>
      </c>
      <c r="R29" s="87">
        <f t="shared" si="71"/>
        <v>22</v>
      </c>
      <c r="S29" s="87">
        <f t="shared" si="71"/>
        <v>28.2</v>
      </c>
      <c r="T29" s="87">
        <f t="shared" si="71"/>
        <v>21.6</v>
      </c>
      <c r="U29" s="87">
        <f t="shared" si="71"/>
        <v>9.6999999999999993</v>
      </c>
      <c r="V29" s="87">
        <f t="shared" si="71"/>
        <v>96.7</v>
      </c>
      <c r="W29" s="66">
        <f t="shared" si="8"/>
        <v>109637</v>
      </c>
      <c r="X29" s="46"/>
      <c r="Y29" s="76"/>
      <c r="Z29" s="76"/>
      <c r="AA29" s="76"/>
      <c r="AB29" s="76"/>
      <c r="AC29" s="75"/>
      <c r="AV29" s="82"/>
      <c r="AW29" s="82"/>
      <c r="AX29" s="82"/>
      <c r="AY29" s="82"/>
      <c r="AZ29" s="82"/>
      <c r="BA29" s="82"/>
      <c r="BB29" s="82"/>
      <c r="BC29" s="82"/>
      <c r="BD29" s="82"/>
      <c r="BE29" s="82"/>
      <c r="BF29" s="82"/>
      <c r="BG29" s="82"/>
      <c r="BH29" s="82"/>
      <c r="BI29" s="82"/>
      <c r="BJ29" s="82"/>
      <c r="BK29" s="82"/>
      <c r="BL29" s="82"/>
      <c r="BM29" s="82"/>
      <c r="BN29" s="82"/>
      <c r="BO29" s="82"/>
      <c r="BP29" s="82"/>
      <c r="BQ29" s="82"/>
    </row>
    <row r="30" spans="2:69" x14ac:dyDescent="0.2">
      <c r="B30" s="99" t="s">
        <v>51</v>
      </c>
      <c r="C30" s="87">
        <f t="shared" ref="C30:H30" si="72">IF(OR(C72=1,C72=2),"x",ROUND(C72/$I72*100,1))</f>
        <v>6.6</v>
      </c>
      <c r="D30" s="87">
        <f t="shared" si="72"/>
        <v>18.2</v>
      </c>
      <c r="E30" s="87">
        <f t="shared" si="72"/>
        <v>30.4</v>
      </c>
      <c r="F30" s="87">
        <f t="shared" si="72"/>
        <v>25.5</v>
      </c>
      <c r="G30" s="87">
        <f t="shared" si="72"/>
        <v>12.7</v>
      </c>
      <c r="H30" s="87">
        <f t="shared" si="72"/>
        <v>93.4</v>
      </c>
      <c r="I30" s="66">
        <f t="shared" si="4"/>
        <v>13929</v>
      </c>
      <c r="J30" s="87">
        <f t="shared" ref="J30:O30" si="73">IF(OR(J72=1,J72=2),"x",ROUND(J72/$P72*100,1))</f>
        <v>12.2</v>
      </c>
      <c r="K30" s="87">
        <f t="shared" si="73"/>
        <v>27.1</v>
      </c>
      <c r="L30" s="87">
        <f t="shared" si="73"/>
        <v>31.3</v>
      </c>
      <c r="M30" s="87">
        <f t="shared" si="73"/>
        <v>18.600000000000001</v>
      </c>
      <c r="N30" s="87">
        <f t="shared" si="73"/>
        <v>7.1</v>
      </c>
      <c r="O30" s="87">
        <f t="shared" si="73"/>
        <v>96.2</v>
      </c>
      <c r="P30" s="66">
        <f t="shared" si="6"/>
        <v>17525</v>
      </c>
      <c r="Q30" s="87">
        <f t="shared" ref="Q30:V30" si="74">IF(OR(Q72=1,Q72=2),"x",ROUND(Q72/$W72*100,1))</f>
        <v>9.6999999999999993</v>
      </c>
      <c r="R30" s="87">
        <f t="shared" si="74"/>
        <v>23.2</v>
      </c>
      <c r="S30" s="87">
        <f t="shared" si="74"/>
        <v>30.9</v>
      </c>
      <c r="T30" s="87">
        <f t="shared" si="74"/>
        <v>21.7</v>
      </c>
      <c r="U30" s="87">
        <f t="shared" si="74"/>
        <v>9.6</v>
      </c>
      <c r="V30" s="87">
        <f t="shared" si="74"/>
        <v>95</v>
      </c>
      <c r="W30" s="66">
        <f t="shared" si="8"/>
        <v>31454</v>
      </c>
      <c r="X30" s="46"/>
      <c r="Y30" s="76"/>
      <c r="Z30" s="76"/>
      <c r="AA30" s="76"/>
      <c r="AB30" s="76"/>
      <c r="AC30" s="75"/>
      <c r="AV30" s="82"/>
      <c r="AW30" s="82"/>
      <c r="AX30" s="82"/>
      <c r="AY30" s="82"/>
      <c r="AZ30" s="82"/>
      <c r="BA30" s="82"/>
      <c r="BB30" s="82"/>
      <c r="BC30" s="82"/>
      <c r="BD30" s="82"/>
      <c r="BE30" s="82"/>
      <c r="BF30" s="82"/>
      <c r="BG30" s="82"/>
      <c r="BH30" s="82"/>
      <c r="BI30" s="82"/>
      <c r="BJ30" s="82"/>
      <c r="BK30" s="82"/>
      <c r="BL30" s="82"/>
      <c r="BM30" s="82"/>
      <c r="BN30" s="82"/>
      <c r="BO30" s="82"/>
      <c r="BP30" s="82"/>
      <c r="BQ30" s="82"/>
    </row>
    <row r="31" spans="2:69" x14ac:dyDescent="0.2">
      <c r="B31" s="99" t="s">
        <v>23</v>
      </c>
      <c r="C31" s="87">
        <f t="shared" ref="C31:H31" si="75">IF(OR(C73=1,C73=2),"x",ROUND(C73/$I73*100,1))</f>
        <v>6.6</v>
      </c>
      <c r="D31" s="87">
        <f t="shared" si="75"/>
        <v>24.6</v>
      </c>
      <c r="E31" s="87">
        <f t="shared" si="75"/>
        <v>35.799999999999997</v>
      </c>
      <c r="F31" s="87">
        <f t="shared" si="75"/>
        <v>21</v>
      </c>
      <c r="G31" s="87">
        <f t="shared" si="75"/>
        <v>7.6</v>
      </c>
      <c r="H31" s="87">
        <f t="shared" si="75"/>
        <v>95.7</v>
      </c>
      <c r="I31" s="66">
        <f t="shared" si="4"/>
        <v>6138</v>
      </c>
      <c r="J31" s="87">
        <f t="shared" ref="J31:O31" si="76">IF(OR(J73=1,J73=2),"x",ROUND(J73/$P73*100,1))</f>
        <v>11.7</v>
      </c>
      <c r="K31" s="87">
        <f t="shared" si="76"/>
        <v>29.1</v>
      </c>
      <c r="L31" s="87">
        <f t="shared" si="76"/>
        <v>33.799999999999997</v>
      </c>
      <c r="M31" s="87">
        <f t="shared" si="76"/>
        <v>17.100000000000001</v>
      </c>
      <c r="N31" s="87">
        <f t="shared" si="76"/>
        <v>5.2</v>
      </c>
      <c r="O31" s="87">
        <f t="shared" si="76"/>
        <v>96.8</v>
      </c>
      <c r="P31" s="66">
        <f t="shared" si="6"/>
        <v>7531</v>
      </c>
      <c r="Q31" s="87">
        <f t="shared" ref="Q31:V31" si="77">IF(OR(Q73=1,Q73=2),"x",ROUND(Q73/$W73*100,1))</f>
        <v>9.4</v>
      </c>
      <c r="R31" s="87">
        <f t="shared" si="77"/>
        <v>27.1</v>
      </c>
      <c r="S31" s="87">
        <f t="shared" si="77"/>
        <v>34.700000000000003</v>
      </c>
      <c r="T31" s="87">
        <f t="shared" si="77"/>
        <v>18.8</v>
      </c>
      <c r="U31" s="87">
        <f t="shared" si="77"/>
        <v>6.3</v>
      </c>
      <c r="V31" s="87">
        <f t="shared" si="77"/>
        <v>96.3</v>
      </c>
      <c r="W31" s="66">
        <f t="shared" si="8"/>
        <v>13669</v>
      </c>
      <c r="X31" s="46"/>
      <c r="Y31" s="76"/>
      <c r="Z31" s="76"/>
      <c r="AA31" s="76"/>
      <c r="AB31" s="76"/>
      <c r="AC31" s="75"/>
      <c r="AV31" s="82"/>
      <c r="AW31" s="82"/>
      <c r="AX31" s="82"/>
      <c r="AY31" s="82"/>
      <c r="AZ31" s="82"/>
      <c r="BA31" s="82"/>
      <c r="BB31" s="82"/>
      <c r="BC31" s="82"/>
      <c r="BD31" s="82"/>
      <c r="BE31" s="82"/>
      <c r="BF31" s="82"/>
      <c r="BG31" s="82"/>
      <c r="BH31" s="82"/>
      <c r="BI31" s="82"/>
      <c r="BJ31" s="82"/>
      <c r="BK31" s="82"/>
      <c r="BL31" s="82"/>
      <c r="BM31" s="82"/>
      <c r="BN31" s="82"/>
      <c r="BO31" s="82"/>
      <c r="BP31" s="82"/>
      <c r="BQ31" s="82"/>
    </row>
    <row r="32" spans="2:69" x14ac:dyDescent="0.2">
      <c r="B32" s="99" t="s">
        <v>24</v>
      </c>
      <c r="C32" s="87">
        <f t="shared" ref="C32:H32" si="78">IF(OR(C74=1,C74=2),"x",ROUND(C74/$I74*100,1))</f>
        <v>30.1</v>
      </c>
      <c r="D32" s="87">
        <f t="shared" si="78"/>
        <v>20.7</v>
      </c>
      <c r="E32" s="87">
        <f t="shared" si="78"/>
        <v>18.5</v>
      </c>
      <c r="F32" s="87">
        <f t="shared" si="78"/>
        <v>13.4</v>
      </c>
      <c r="G32" s="87">
        <f t="shared" si="78"/>
        <v>10</v>
      </c>
      <c r="H32" s="87">
        <f t="shared" si="78"/>
        <v>92.7</v>
      </c>
      <c r="I32" s="66">
        <f t="shared" si="4"/>
        <v>4219</v>
      </c>
      <c r="J32" s="87">
        <f t="shared" ref="J32:O32" si="79">IF(OR(J74=1,J74=2),"x",ROUND(J74/$P74*100,1))</f>
        <v>25.3</v>
      </c>
      <c r="K32" s="87">
        <f t="shared" si="79"/>
        <v>20.3</v>
      </c>
      <c r="L32" s="87">
        <f t="shared" si="79"/>
        <v>19</v>
      </c>
      <c r="M32" s="87">
        <f t="shared" si="79"/>
        <v>15.7</v>
      </c>
      <c r="N32" s="87">
        <f t="shared" si="79"/>
        <v>11.2</v>
      </c>
      <c r="O32" s="87">
        <f t="shared" si="79"/>
        <v>91.6</v>
      </c>
      <c r="P32" s="66">
        <f t="shared" si="6"/>
        <v>10092</v>
      </c>
      <c r="Q32" s="87">
        <f t="shared" ref="Q32:V32" si="80">IF(OR(Q74=1,Q74=2),"x",ROUND(Q74/$W74*100,1))</f>
        <v>26.7</v>
      </c>
      <c r="R32" s="87">
        <f t="shared" si="80"/>
        <v>20.399999999999999</v>
      </c>
      <c r="S32" s="87">
        <f t="shared" si="80"/>
        <v>18.8</v>
      </c>
      <c r="T32" s="87">
        <f t="shared" si="80"/>
        <v>15</v>
      </c>
      <c r="U32" s="87">
        <f t="shared" si="80"/>
        <v>10.9</v>
      </c>
      <c r="V32" s="87">
        <f t="shared" si="80"/>
        <v>91.9</v>
      </c>
      <c r="W32" s="66">
        <f t="shared" si="8"/>
        <v>14311</v>
      </c>
      <c r="X32" s="46"/>
      <c r="Y32" s="76"/>
      <c r="Z32" s="76"/>
      <c r="AA32" s="76"/>
      <c r="AB32" s="76"/>
      <c r="AC32" s="75"/>
      <c r="AV32" s="82"/>
      <c r="AW32" s="82"/>
      <c r="AX32" s="82"/>
      <c r="AY32" s="82"/>
      <c r="AZ32" s="82"/>
      <c r="BA32" s="82"/>
      <c r="BB32" s="82"/>
      <c r="BC32" s="82"/>
      <c r="BD32" s="82"/>
      <c r="BE32" s="82"/>
      <c r="BF32" s="82"/>
      <c r="BG32" s="82"/>
      <c r="BH32" s="82"/>
      <c r="BI32" s="82"/>
      <c r="BJ32" s="82"/>
      <c r="BK32" s="82"/>
      <c r="BL32" s="82"/>
      <c r="BM32" s="82"/>
      <c r="BN32" s="82"/>
      <c r="BO32" s="82"/>
      <c r="BP32" s="82"/>
      <c r="BQ32" s="82"/>
    </row>
    <row r="33" spans="1:69" x14ac:dyDescent="0.2">
      <c r="B33" s="99" t="s">
        <v>25</v>
      </c>
      <c r="C33" s="87">
        <f t="shared" ref="C33:H33" si="81">IF(OR(C75=1,C75=2),"x",ROUND(C75/$I75*100,1))</f>
        <v>27.9</v>
      </c>
      <c r="D33" s="87">
        <f t="shared" si="81"/>
        <v>19.3</v>
      </c>
      <c r="E33" s="87">
        <f t="shared" si="81"/>
        <v>18.5</v>
      </c>
      <c r="F33" s="87">
        <f t="shared" si="81"/>
        <v>16.7</v>
      </c>
      <c r="G33" s="87">
        <f t="shared" si="81"/>
        <v>11.4</v>
      </c>
      <c r="H33" s="87">
        <f t="shared" si="81"/>
        <v>93.8</v>
      </c>
      <c r="I33" s="66">
        <f t="shared" si="4"/>
        <v>2106</v>
      </c>
      <c r="J33" s="87">
        <f t="shared" ref="J33:O33" si="82">IF(OR(J75=1,J75=2),"x",ROUND(J75/$P75*100,1))</f>
        <v>24.7</v>
      </c>
      <c r="K33" s="87">
        <f t="shared" si="82"/>
        <v>20.100000000000001</v>
      </c>
      <c r="L33" s="87">
        <f t="shared" si="82"/>
        <v>20.100000000000001</v>
      </c>
      <c r="M33" s="87">
        <f t="shared" si="82"/>
        <v>16.8</v>
      </c>
      <c r="N33" s="87">
        <f t="shared" si="82"/>
        <v>11.2</v>
      </c>
      <c r="O33" s="87">
        <f t="shared" si="82"/>
        <v>92.8</v>
      </c>
      <c r="P33" s="66">
        <f t="shared" si="6"/>
        <v>3536</v>
      </c>
      <c r="Q33" s="87">
        <f t="shared" ref="Q33:V33" si="83">IF(OR(Q75=1,Q75=2),"x",ROUND(Q75/$W75*100,1))</f>
        <v>25.9</v>
      </c>
      <c r="R33" s="87">
        <f t="shared" si="83"/>
        <v>19.8</v>
      </c>
      <c r="S33" s="87">
        <f t="shared" si="83"/>
        <v>19.5</v>
      </c>
      <c r="T33" s="87">
        <f t="shared" si="83"/>
        <v>16.7</v>
      </c>
      <c r="U33" s="87">
        <f t="shared" si="83"/>
        <v>11.3</v>
      </c>
      <c r="V33" s="87">
        <f t="shared" si="83"/>
        <v>93.2</v>
      </c>
      <c r="W33" s="66">
        <f t="shared" si="8"/>
        <v>5642</v>
      </c>
      <c r="X33" s="46"/>
      <c r="Y33" s="76"/>
      <c r="Z33" s="76"/>
      <c r="AA33" s="76"/>
      <c r="AB33" s="76"/>
      <c r="AC33" s="75"/>
      <c r="AV33" s="82"/>
      <c r="AW33" s="82"/>
      <c r="AX33" s="82"/>
      <c r="AY33" s="82"/>
      <c r="AZ33" s="82"/>
      <c r="BA33" s="82"/>
      <c r="BB33" s="82"/>
      <c r="BC33" s="82"/>
      <c r="BD33" s="82"/>
      <c r="BE33" s="82"/>
      <c r="BF33" s="82"/>
      <c r="BG33" s="82"/>
      <c r="BH33" s="82"/>
      <c r="BI33" s="82"/>
      <c r="BJ33" s="82"/>
      <c r="BK33" s="82"/>
      <c r="BL33" s="82"/>
      <c r="BM33" s="82"/>
      <c r="BN33" s="82"/>
      <c r="BO33" s="82"/>
      <c r="BP33" s="82"/>
      <c r="BQ33" s="82"/>
    </row>
    <row r="34" spans="1:69" x14ac:dyDescent="0.2">
      <c r="B34" s="99" t="s">
        <v>26</v>
      </c>
      <c r="C34" s="87">
        <f t="shared" ref="C34:H34" si="84">IF(OR(C76=1,C76=2),"x",ROUND(C76/$I76*100,1))</f>
        <v>25.5</v>
      </c>
      <c r="D34" s="87">
        <f t="shared" si="84"/>
        <v>21.7</v>
      </c>
      <c r="E34" s="87">
        <f t="shared" si="84"/>
        <v>19</v>
      </c>
      <c r="F34" s="87">
        <f t="shared" si="84"/>
        <v>15.3</v>
      </c>
      <c r="G34" s="87">
        <f t="shared" si="84"/>
        <v>9.8000000000000007</v>
      </c>
      <c r="H34" s="87">
        <f t="shared" si="84"/>
        <v>91.3</v>
      </c>
      <c r="I34" s="66">
        <f t="shared" si="4"/>
        <v>2796</v>
      </c>
      <c r="J34" s="87">
        <f t="shared" ref="J34:O34" si="85">IF(OR(J76=1,J76=2),"x",ROUND(J76/$P76*100,1))</f>
        <v>21.7</v>
      </c>
      <c r="K34" s="87">
        <f t="shared" si="85"/>
        <v>20.399999999999999</v>
      </c>
      <c r="L34" s="87">
        <f t="shared" si="85"/>
        <v>20.2</v>
      </c>
      <c r="M34" s="87">
        <f t="shared" si="85"/>
        <v>17</v>
      </c>
      <c r="N34" s="87">
        <f t="shared" si="85"/>
        <v>12.2</v>
      </c>
      <c r="O34" s="87">
        <f t="shared" si="85"/>
        <v>91.5</v>
      </c>
      <c r="P34" s="66">
        <f t="shared" si="6"/>
        <v>6106</v>
      </c>
      <c r="Q34" s="87">
        <f t="shared" ref="Q34:V34" si="86">IF(OR(Q76=1,Q76=2),"x",ROUND(Q76/$W76*100,1))</f>
        <v>22.9</v>
      </c>
      <c r="R34" s="87">
        <f t="shared" si="86"/>
        <v>20.8</v>
      </c>
      <c r="S34" s="87">
        <f t="shared" si="86"/>
        <v>19.8</v>
      </c>
      <c r="T34" s="87">
        <f t="shared" si="86"/>
        <v>16.399999999999999</v>
      </c>
      <c r="U34" s="87">
        <f t="shared" si="86"/>
        <v>11.4</v>
      </c>
      <c r="V34" s="87">
        <f t="shared" si="86"/>
        <v>91.4</v>
      </c>
      <c r="W34" s="66">
        <f t="shared" si="8"/>
        <v>8902</v>
      </c>
      <c r="X34" s="46"/>
      <c r="Y34" s="76"/>
      <c r="Z34" s="76"/>
      <c r="AA34" s="76"/>
      <c r="AB34" s="76"/>
      <c r="AC34" s="75"/>
      <c r="AV34" s="82"/>
      <c r="AW34" s="82"/>
      <c r="AX34" s="82"/>
      <c r="AY34" s="82"/>
      <c r="AZ34" s="82"/>
      <c r="BA34" s="82"/>
      <c r="BB34" s="82"/>
      <c r="BC34" s="82"/>
      <c r="BD34" s="82"/>
      <c r="BE34" s="82"/>
      <c r="BF34" s="82"/>
      <c r="BG34" s="82"/>
      <c r="BH34" s="82"/>
      <c r="BI34" s="82"/>
      <c r="BJ34" s="82"/>
      <c r="BK34" s="82"/>
      <c r="BL34" s="82"/>
      <c r="BM34" s="82"/>
      <c r="BN34" s="82"/>
      <c r="BO34" s="82"/>
      <c r="BP34" s="82"/>
      <c r="BQ34" s="82"/>
    </row>
    <row r="35" spans="1:69" x14ac:dyDescent="0.2">
      <c r="B35" s="99" t="s">
        <v>27</v>
      </c>
      <c r="C35" s="87">
        <f t="shared" ref="C35:H35" si="87">IF(OR(C77=1,C77=2),"x",ROUND(C77/$I77*100,1))</f>
        <v>50.6</v>
      </c>
      <c r="D35" s="87">
        <f t="shared" si="87"/>
        <v>20.7</v>
      </c>
      <c r="E35" s="87">
        <f t="shared" si="87"/>
        <v>12.1</v>
      </c>
      <c r="F35" s="87">
        <f t="shared" si="87"/>
        <v>7</v>
      </c>
      <c r="G35" s="87">
        <f t="shared" si="87"/>
        <v>3.8</v>
      </c>
      <c r="H35" s="87">
        <f t="shared" si="87"/>
        <v>94.3</v>
      </c>
      <c r="I35" s="66">
        <f t="shared" si="4"/>
        <v>1794</v>
      </c>
      <c r="J35" s="87">
        <f t="shared" ref="J35:O35" si="88">IF(OR(J77=1,J77=2),"x",ROUND(J77/$P77*100,1))</f>
        <v>51.1</v>
      </c>
      <c r="K35" s="87">
        <f t="shared" si="88"/>
        <v>19.600000000000001</v>
      </c>
      <c r="L35" s="87">
        <f t="shared" si="88"/>
        <v>11.6</v>
      </c>
      <c r="M35" s="87">
        <f t="shared" si="88"/>
        <v>7.9</v>
      </c>
      <c r="N35" s="87">
        <f t="shared" si="88"/>
        <v>3.9</v>
      </c>
      <c r="O35" s="87">
        <f t="shared" si="88"/>
        <v>94.2</v>
      </c>
      <c r="P35" s="66">
        <f t="shared" si="6"/>
        <v>2558</v>
      </c>
      <c r="Q35" s="87">
        <f t="shared" ref="Q35:V35" si="89">IF(OR(Q77=1,Q77=2),"x",ROUND(Q77/$W77*100,1))</f>
        <v>50.9</v>
      </c>
      <c r="R35" s="87">
        <f t="shared" si="89"/>
        <v>20.100000000000001</v>
      </c>
      <c r="S35" s="87">
        <f t="shared" si="89"/>
        <v>11.8</v>
      </c>
      <c r="T35" s="87">
        <f t="shared" si="89"/>
        <v>7.6</v>
      </c>
      <c r="U35" s="87">
        <f t="shared" si="89"/>
        <v>3.9</v>
      </c>
      <c r="V35" s="87">
        <f t="shared" si="89"/>
        <v>94.2</v>
      </c>
      <c r="W35" s="66">
        <f t="shared" si="8"/>
        <v>4352</v>
      </c>
      <c r="X35" s="46"/>
      <c r="Y35" s="76"/>
      <c r="Z35" s="76"/>
      <c r="AA35" s="76"/>
      <c r="AB35" s="76"/>
      <c r="AC35" s="75"/>
      <c r="AV35" s="82"/>
      <c r="AW35" s="82"/>
      <c r="AX35" s="82"/>
      <c r="AY35" s="82"/>
      <c r="AZ35" s="82"/>
      <c r="BA35" s="82"/>
      <c r="BB35" s="82"/>
      <c r="BC35" s="82"/>
      <c r="BD35" s="82"/>
      <c r="BE35" s="82"/>
      <c r="BF35" s="82"/>
      <c r="BG35" s="82"/>
      <c r="BH35" s="82"/>
      <c r="BI35" s="82"/>
      <c r="BJ35" s="82"/>
      <c r="BK35" s="82"/>
      <c r="BL35" s="82"/>
      <c r="BM35" s="82"/>
      <c r="BN35" s="82"/>
      <c r="BO35" s="82"/>
      <c r="BP35" s="82"/>
      <c r="BQ35" s="82"/>
    </row>
    <row r="36" spans="1:69" x14ac:dyDescent="0.2">
      <c r="B36" s="99" t="s">
        <v>28</v>
      </c>
      <c r="C36" s="87">
        <f t="shared" ref="C36:H36" si="90">IF(OR(C78=1,C78=2),"x",ROUND(C78/$I78*100,1))</f>
        <v>29.3</v>
      </c>
      <c r="D36" s="87">
        <f t="shared" si="90"/>
        <v>23.1</v>
      </c>
      <c r="E36" s="87">
        <f t="shared" si="90"/>
        <v>22</v>
      </c>
      <c r="F36" s="87">
        <f t="shared" si="90"/>
        <v>13.3</v>
      </c>
      <c r="G36" s="87">
        <f t="shared" si="90"/>
        <v>7.3</v>
      </c>
      <c r="H36" s="87">
        <f t="shared" si="90"/>
        <v>95</v>
      </c>
      <c r="I36" s="66">
        <f t="shared" si="4"/>
        <v>3263</v>
      </c>
      <c r="J36" s="87">
        <f t="shared" ref="J36:O36" si="91">IF(OR(J78=1,J78=2),"x",ROUND(J78/$P78*100,1))</f>
        <v>32.299999999999997</v>
      </c>
      <c r="K36" s="87">
        <f t="shared" si="91"/>
        <v>25.9</v>
      </c>
      <c r="L36" s="87">
        <f t="shared" si="91"/>
        <v>19.399999999999999</v>
      </c>
      <c r="M36" s="87">
        <f t="shared" si="91"/>
        <v>11.7</v>
      </c>
      <c r="N36" s="87">
        <f t="shared" si="91"/>
        <v>5.6</v>
      </c>
      <c r="O36" s="87">
        <f t="shared" si="91"/>
        <v>94.9</v>
      </c>
      <c r="P36" s="66">
        <f t="shared" si="6"/>
        <v>3966</v>
      </c>
      <c r="Q36" s="87">
        <f t="shared" ref="Q36:V36" si="92">IF(OR(Q78=1,Q78=2),"x",ROUND(Q78/$W78*100,1))</f>
        <v>30.9</v>
      </c>
      <c r="R36" s="87">
        <f t="shared" si="92"/>
        <v>24.7</v>
      </c>
      <c r="S36" s="87">
        <f t="shared" si="92"/>
        <v>20.6</v>
      </c>
      <c r="T36" s="87">
        <f t="shared" si="92"/>
        <v>12.4</v>
      </c>
      <c r="U36" s="87">
        <f t="shared" si="92"/>
        <v>6.4</v>
      </c>
      <c r="V36" s="87">
        <f t="shared" si="92"/>
        <v>94.9</v>
      </c>
      <c r="W36" s="66">
        <f t="shared" si="8"/>
        <v>7229</v>
      </c>
      <c r="X36" s="46"/>
      <c r="Y36" s="76"/>
      <c r="Z36" s="76"/>
      <c r="AA36" s="76"/>
      <c r="AB36" s="76"/>
      <c r="AC36" s="75"/>
      <c r="AV36" s="82"/>
      <c r="AW36" s="82"/>
      <c r="AX36" s="82"/>
      <c r="AY36" s="82"/>
      <c r="AZ36" s="82"/>
      <c r="BA36" s="82"/>
      <c r="BB36" s="82"/>
      <c r="BC36" s="82"/>
      <c r="BD36" s="82"/>
      <c r="BE36" s="82"/>
      <c r="BF36" s="82"/>
      <c r="BG36" s="82"/>
      <c r="BH36" s="82"/>
      <c r="BI36" s="82"/>
      <c r="BJ36" s="82"/>
      <c r="BK36" s="82"/>
      <c r="BL36" s="82"/>
      <c r="BM36" s="82"/>
      <c r="BN36" s="82"/>
      <c r="BO36" s="82"/>
      <c r="BP36" s="82"/>
      <c r="BQ36" s="82"/>
    </row>
    <row r="37" spans="1:69" x14ac:dyDescent="0.2">
      <c r="B37" s="99" t="s">
        <v>29</v>
      </c>
      <c r="C37" s="87">
        <f t="shared" ref="C37:H37" si="93">IF(OR(C79=1,C79=2),"x",ROUND(C79/$I79*100,1))</f>
        <v>17.8</v>
      </c>
      <c r="D37" s="87">
        <f t="shared" si="93"/>
        <v>19.2</v>
      </c>
      <c r="E37" s="87">
        <f t="shared" si="93"/>
        <v>23.1</v>
      </c>
      <c r="F37" s="87">
        <f t="shared" si="93"/>
        <v>17.3</v>
      </c>
      <c r="G37" s="87">
        <f t="shared" si="93"/>
        <v>12.1</v>
      </c>
      <c r="H37" s="87">
        <f t="shared" si="93"/>
        <v>89.5</v>
      </c>
      <c r="I37" s="66">
        <f t="shared" si="4"/>
        <v>8532</v>
      </c>
      <c r="J37" s="87">
        <f t="shared" ref="J37:O37" si="94">IF(OR(J79=1,J79=2),"x",ROUND(J79/$P79*100,1))</f>
        <v>21.3</v>
      </c>
      <c r="K37" s="87">
        <f t="shared" si="94"/>
        <v>22</v>
      </c>
      <c r="L37" s="87">
        <f t="shared" si="94"/>
        <v>22.8</v>
      </c>
      <c r="M37" s="87">
        <f t="shared" si="94"/>
        <v>16.600000000000001</v>
      </c>
      <c r="N37" s="87">
        <f t="shared" si="94"/>
        <v>9.8000000000000007</v>
      </c>
      <c r="O37" s="87">
        <f t="shared" si="94"/>
        <v>92.5</v>
      </c>
      <c r="P37" s="66">
        <f t="shared" si="6"/>
        <v>17727</v>
      </c>
      <c r="Q37" s="87">
        <f t="shared" ref="Q37:V37" si="95">IF(OR(Q79=1,Q79=2),"x",ROUND(Q79/$W79*100,1))</f>
        <v>20.2</v>
      </c>
      <c r="R37" s="87">
        <f t="shared" si="95"/>
        <v>21.1</v>
      </c>
      <c r="S37" s="87">
        <f t="shared" si="95"/>
        <v>22.9</v>
      </c>
      <c r="T37" s="87">
        <f t="shared" si="95"/>
        <v>16.899999999999999</v>
      </c>
      <c r="U37" s="87">
        <f t="shared" si="95"/>
        <v>10.5</v>
      </c>
      <c r="V37" s="87">
        <f t="shared" si="95"/>
        <v>91.5</v>
      </c>
      <c r="W37" s="66">
        <f t="shared" si="8"/>
        <v>26259</v>
      </c>
      <c r="X37" s="46"/>
      <c r="Y37" s="76"/>
      <c r="Z37" s="76"/>
      <c r="AA37" s="76"/>
      <c r="AB37" s="76"/>
      <c r="AC37" s="75"/>
      <c r="AV37" s="82"/>
      <c r="AW37" s="82"/>
      <c r="AX37" s="82"/>
      <c r="AY37" s="82"/>
      <c r="AZ37" s="82"/>
      <c r="BA37" s="82"/>
      <c r="BB37" s="82"/>
      <c r="BC37" s="82"/>
      <c r="BD37" s="82"/>
      <c r="BE37" s="82"/>
      <c r="BF37" s="82"/>
      <c r="BG37" s="82"/>
      <c r="BH37" s="82"/>
      <c r="BI37" s="82"/>
      <c r="BJ37" s="82"/>
      <c r="BK37" s="82"/>
      <c r="BL37" s="82"/>
      <c r="BM37" s="82"/>
      <c r="BN37" s="82"/>
      <c r="BO37" s="82"/>
      <c r="BP37" s="82"/>
      <c r="BQ37" s="82"/>
    </row>
    <row r="38" spans="1:69" x14ac:dyDescent="0.2">
      <c r="B38" s="99" t="s">
        <v>30</v>
      </c>
      <c r="C38" s="87">
        <f t="shared" ref="C38:H38" si="96">IF(OR(C80=1,C80=2),"x",ROUND(C80/$I80*100,1))</f>
        <v>13.8</v>
      </c>
      <c r="D38" s="87">
        <f t="shared" si="96"/>
        <v>19.600000000000001</v>
      </c>
      <c r="E38" s="87">
        <f t="shared" si="96"/>
        <v>25</v>
      </c>
      <c r="F38" s="87">
        <f t="shared" si="96"/>
        <v>22.3</v>
      </c>
      <c r="G38" s="87">
        <f t="shared" si="96"/>
        <v>12.4</v>
      </c>
      <c r="H38" s="87">
        <f t="shared" si="96"/>
        <v>93.2</v>
      </c>
      <c r="I38" s="66">
        <f t="shared" si="4"/>
        <v>6851</v>
      </c>
      <c r="J38" s="87">
        <f t="shared" ref="J38:O38" si="97">IF(OR(J80=1,J80=2),"x",ROUND(J80/$P80*100,1))</f>
        <v>17.5</v>
      </c>
      <c r="K38" s="87">
        <f t="shared" si="97"/>
        <v>23.6</v>
      </c>
      <c r="L38" s="87">
        <f t="shared" si="97"/>
        <v>23.8</v>
      </c>
      <c r="M38" s="87">
        <f t="shared" si="97"/>
        <v>19.3</v>
      </c>
      <c r="N38" s="87">
        <f t="shared" si="97"/>
        <v>10.7</v>
      </c>
      <c r="O38" s="87">
        <f t="shared" si="97"/>
        <v>94.9</v>
      </c>
      <c r="P38" s="66">
        <f t="shared" si="6"/>
        <v>4189</v>
      </c>
      <c r="Q38" s="87">
        <f t="shared" ref="Q38:V38" si="98">IF(OR(Q80=1,Q80=2),"x",ROUND(Q80/$W80*100,1))</f>
        <v>15.2</v>
      </c>
      <c r="R38" s="87">
        <f t="shared" si="98"/>
        <v>21.2</v>
      </c>
      <c r="S38" s="87">
        <f t="shared" si="98"/>
        <v>24.5</v>
      </c>
      <c r="T38" s="87">
        <f t="shared" si="98"/>
        <v>21.2</v>
      </c>
      <c r="U38" s="87">
        <f t="shared" si="98"/>
        <v>11.8</v>
      </c>
      <c r="V38" s="87">
        <f t="shared" si="98"/>
        <v>93.8</v>
      </c>
      <c r="W38" s="66">
        <f t="shared" si="8"/>
        <v>11040</v>
      </c>
      <c r="X38" s="46"/>
      <c r="Y38" s="76"/>
      <c r="Z38" s="76"/>
      <c r="AA38" s="76"/>
      <c r="AB38" s="76"/>
      <c r="AC38" s="75"/>
      <c r="AV38" s="82"/>
      <c r="AW38" s="82"/>
      <c r="AX38" s="82"/>
      <c r="AY38" s="82"/>
      <c r="AZ38" s="82"/>
      <c r="BA38" s="82"/>
      <c r="BB38" s="82"/>
      <c r="BC38" s="82"/>
      <c r="BD38" s="82"/>
      <c r="BE38" s="82"/>
      <c r="BF38" s="82"/>
      <c r="BG38" s="82"/>
      <c r="BH38" s="82"/>
      <c r="BI38" s="82"/>
      <c r="BJ38" s="82"/>
      <c r="BK38" s="82"/>
      <c r="BL38" s="82"/>
      <c r="BM38" s="82"/>
      <c r="BN38" s="82"/>
      <c r="BO38" s="82"/>
      <c r="BP38" s="82"/>
      <c r="BQ38" s="82"/>
    </row>
    <row r="39" spans="1:69" x14ac:dyDescent="0.2">
      <c r="B39" s="99" t="s">
        <v>31</v>
      </c>
      <c r="C39" s="87">
        <f t="shared" ref="C39:H39" si="99">IF(OR(C81=1,C81=2),"x",ROUND(C81/$I81*100,1))</f>
        <v>7.9</v>
      </c>
      <c r="D39" s="87">
        <f t="shared" si="99"/>
        <v>12.8</v>
      </c>
      <c r="E39" s="87">
        <f t="shared" si="99"/>
        <v>18</v>
      </c>
      <c r="F39" s="87">
        <f t="shared" si="99"/>
        <v>20.9</v>
      </c>
      <c r="G39" s="87">
        <f t="shared" si="99"/>
        <v>24.6</v>
      </c>
      <c r="H39" s="87">
        <f t="shared" si="99"/>
        <v>84.2</v>
      </c>
      <c r="I39" s="66">
        <f t="shared" si="4"/>
        <v>13784</v>
      </c>
      <c r="J39" s="87">
        <f t="shared" ref="J39:O39" si="100">IF(OR(J81=1,J81=2),"x",ROUND(J81/$P81*100,1))</f>
        <v>15.3</v>
      </c>
      <c r="K39" s="87">
        <f t="shared" si="100"/>
        <v>19.3</v>
      </c>
      <c r="L39" s="87">
        <f t="shared" si="100"/>
        <v>21.4</v>
      </c>
      <c r="M39" s="87">
        <f t="shared" si="100"/>
        <v>19.5</v>
      </c>
      <c r="N39" s="87">
        <f t="shared" si="100"/>
        <v>14.9</v>
      </c>
      <c r="O39" s="87">
        <f t="shared" si="100"/>
        <v>90.2</v>
      </c>
      <c r="P39" s="66">
        <f t="shared" si="6"/>
        <v>9178</v>
      </c>
      <c r="Q39" s="87">
        <f t="shared" ref="Q39:V39" si="101">IF(OR(Q81=1,Q81=2),"x",ROUND(Q81/$W81*100,1))</f>
        <v>10.9</v>
      </c>
      <c r="R39" s="87">
        <f t="shared" si="101"/>
        <v>15.4</v>
      </c>
      <c r="S39" s="87">
        <f t="shared" si="101"/>
        <v>19.399999999999999</v>
      </c>
      <c r="T39" s="87">
        <f t="shared" si="101"/>
        <v>20.3</v>
      </c>
      <c r="U39" s="87">
        <f t="shared" si="101"/>
        <v>20.7</v>
      </c>
      <c r="V39" s="87">
        <f t="shared" si="101"/>
        <v>86.6</v>
      </c>
      <c r="W39" s="66">
        <f t="shared" si="8"/>
        <v>22962</v>
      </c>
      <c r="X39" s="46"/>
      <c r="Y39" s="76"/>
      <c r="Z39" s="76"/>
      <c r="AA39" s="76"/>
      <c r="AB39" s="76"/>
      <c r="AC39" s="75"/>
      <c r="AV39" s="82"/>
      <c r="AW39" s="82"/>
      <c r="AX39" s="82"/>
      <c r="AY39" s="82"/>
      <c r="AZ39" s="82"/>
      <c r="BA39" s="82"/>
      <c r="BB39" s="82"/>
      <c r="BC39" s="82"/>
      <c r="BD39" s="82"/>
      <c r="BE39" s="82"/>
      <c r="BF39" s="82"/>
      <c r="BG39" s="82"/>
      <c r="BH39" s="82"/>
      <c r="BI39" s="82"/>
      <c r="BJ39" s="82"/>
      <c r="BK39" s="82"/>
      <c r="BL39" s="82"/>
      <c r="BM39" s="82"/>
      <c r="BN39" s="82"/>
      <c r="BO39" s="82"/>
      <c r="BP39" s="82"/>
      <c r="BQ39" s="82"/>
    </row>
    <row r="40" spans="1:69" x14ac:dyDescent="0.2">
      <c r="B40" s="99" t="s">
        <v>32</v>
      </c>
      <c r="C40" s="87">
        <f t="shared" ref="C40:H40" si="102">IF(OR(C82=1,C82=2),"x",ROUND(C82/$I82*100,1))</f>
        <v>8.5</v>
      </c>
      <c r="D40" s="87">
        <f t="shared" si="102"/>
        <v>13</v>
      </c>
      <c r="E40" s="87">
        <f t="shared" si="102"/>
        <v>18.5</v>
      </c>
      <c r="F40" s="87">
        <f t="shared" si="102"/>
        <v>20</v>
      </c>
      <c r="G40" s="87">
        <f t="shared" si="102"/>
        <v>17.899999999999999</v>
      </c>
      <c r="H40" s="87">
        <f t="shared" si="102"/>
        <v>77.900000000000006</v>
      </c>
      <c r="I40" s="66">
        <f t="shared" si="4"/>
        <v>31036</v>
      </c>
      <c r="J40" s="87">
        <f t="shared" ref="J40:O40" si="103">IF(OR(J82=1,J82=2),"x",ROUND(J82/$P82*100,1))</f>
        <v>11.1</v>
      </c>
      <c r="K40" s="87">
        <f t="shared" si="103"/>
        <v>14.9</v>
      </c>
      <c r="L40" s="87">
        <f t="shared" si="103"/>
        <v>19.899999999999999</v>
      </c>
      <c r="M40" s="87">
        <f t="shared" si="103"/>
        <v>19.600000000000001</v>
      </c>
      <c r="N40" s="87">
        <f t="shared" si="103"/>
        <v>16.5</v>
      </c>
      <c r="O40" s="87">
        <f t="shared" si="103"/>
        <v>81.900000000000006</v>
      </c>
      <c r="P40" s="66">
        <f t="shared" si="6"/>
        <v>36694</v>
      </c>
      <c r="Q40" s="87">
        <f t="shared" ref="Q40:V40" si="104">IF(OR(Q82=1,Q82=2),"x",ROUND(Q82/$W82*100,1))</f>
        <v>9.9</v>
      </c>
      <c r="R40" s="87">
        <f t="shared" si="104"/>
        <v>14</v>
      </c>
      <c r="S40" s="87">
        <f t="shared" si="104"/>
        <v>19.2</v>
      </c>
      <c r="T40" s="87">
        <f t="shared" si="104"/>
        <v>19.8</v>
      </c>
      <c r="U40" s="87">
        <f t="shared" si="104"/>
        <v>17.100000000000001</v>
      </c>
      <c r="V40" s="87">
        <f t="shared" si="104"/>
        <v>80.099999999999994</v>
      </c>
      <c r="W40" s="66">
        <f t="shared" si="8"/>
        <v>67730</v>
      </c>
      <c r="X40" s="46"/>
      <c r="Y40" s="76"/>
      <c r="Z40" s="76"/>
      <c r="AA40" s="76"/>
      <c r="AB40" s="76"/>
      <c r="AC40" s="75"/>
      <c r="AV40" s="82"/>
      <c r="AW40" s="82"/>
      <c r="AX40" s="82"/>
      <c r="AY40" s="82"/>
      <c r="AZ40" s="82"/>
      <c r="BA40" s="82"/>
      <c r="BB40" s="82"/>
      <c r="BC40" s="82"/>
      <c r="BD40" s="82"/>
      <c r="BE40" s="82"/>
      <c r="BF40" s="82"/>
      <c r="BG40" s="82"/>
      <c r="BH40" s="82"/>
      <c r="BI40" s="82"/>
      <c r="BJ40" s="82"/>
      <c r="BK40" s="82"/>
      <c r="BL40" s="82"/>
      <c r="BM40" s="82"/>
      <c r="BN40" s="82"/>
      <c r="BO40" s="82"/>
      <c r="BP40" s="82"/>
      <c r="BQ40" s="82"/>
    </row>
    <row r="41" spans="1:69" x14ac:dyDescent="0.2">
      <c r="B41" s="100" t="s">
        <v>46</v>
      </c>
      <c r="C41" s="87">
        <f t="shared" ref="C41:H41" si="105">IF(OR(C83=1,C83=2),"x",ROUND(C83/$I83*100,1))</f>
        <v>15.7</v>
      </c>
      <c r="D41" s="87">
        <f t="shared" si="105"/>
        <v>17</v>
      </c>
      <c r="E41" s="87">
        <f t="shared" si="105"/>
        <v>20</v>
      </c>
      <c r="F41" s="87">
        <f t="shared" si="105"/>
        <v>18</v>
      </c>
      <c r="G41" s="87">
        <f t="shared" si="105"/>
        <v>13.7</v>
      </c>
      <c r="H41" s="87">
        <f t="shared" si="105"/>
        <v>84.5</v>
      </c>
      <c r="I41" s="66">
        <f t="shared" si="4"/>
        <v>523117</v>
      </c>
      <c r="J41" s="87">
        <f t="shared" ref="J41:O41" si="106">IF(OR(J83=1,J83=2),"x",ROUND(J83/$P83*100,1))</f>
        <v>18</v>
      </c>
      <c r="K41" s="87">
        <f t="shared" si="106"/>
        <v>20.5</v>
      </c>
      <c r="L41" s="87">
        <f t="shared" si="106"/>
        <v>21.9</v>
      </c>
      <c r="M41" s="87">
        <f t="shared" si="106"/>
        <v>17.2</v>
      </c>
      <c r="N41" s="87">
        <f t="shared" si="106"/>
        <v>11.2</v>
      </c>
      <c r="O41" s="87">
        <f t="shared" si="106"/>
        <v>88.9</v>
      </c>
      <c r="P41" s="66">
        <f t="shared" si="6"/>
        <v>608769</v>
      </c>
      <c r="Q41" s="87">
        <f t="shared" ref="Q41:V41" si="107">IF(OR(Q83=1,Q83=2),"x",ROUND(Q83/$W83*100,1))</f>
        <v>16.899999999999999</v>
      </c>
      <c r="R41" s="87">
        <f t="shared" si="107"/>
        <v>18.899999999999999</v>
      </c>
      <c r="S41" s="87">
        <f t="shared" si="107"/>
        <v>21</v>
      </c>
      <c r="T41" s="87">
        <f t="shared" si="107"/>
        <v>17.600000000000001</v>
      </c>
      <c r="U41" s="87">
        <f t="shared" si="107"/>
        <v>12.4</v>
      </c>
      <c r="V41" s="87">
        <f t="shared" si="107"/>
        <v>86.8</v>
      </c>
      <c r="W41" s="66">
        <f t="shared" si="8"/>
        <v>1131886</v>
      </c>
      <c r="X41" s="46"/>
      <c r="Y41" s="76"/>
      <c r="Z41" s="76"/>
      <c r="AA41" s="76"/>
      <c r="AB41" s="76"/>
      <c r="AC41" s="75"/>
      <c r="AV41" s="82"/>
      <c r="AW41" s="82"/>
      <c r="AX41" s="82"/>
      <c r="AY41" s="82"/>
      <c r="AZ41" s="82"/>
      <c r="BA41" s="82"/>
      <c r="BB41" s="82"/>
      <c r="BC41" s="82"/>
      <c r="BD41" s="82"/>
      <c r="BE41" s="82"/>
      <c r="BF41" s="82"/>
      <c r="BG41" s="82"/>
      <c r="BH41" s="82"/>
      <c r="BI41" s="82"/>
      <c r="BJ41" s="82"/>
      <c r="BK41" s="82"/>
      <c r="BL41" s="82"/>
      <c r="BM41" s="82"/>
      <c r="BN41" s="82"/>
      <c r="BO41" s="82"/>
      <c r="BP41" s="82"/>
      <c r="BQ41" s="82"/>
    </row>
    <row r="42" spans="1:69" x14ac:dyDescent="0.2">
      <c r="B42" s="101"/>
      <c r="AW42" s="82"/>
      <c r="AX42" s="82"/>
      <c r="AY42" s="82"/>
      <c r="AZ42" s="82"/>
      <c r="BA42" s="82"/>
      <c r="BB42" s="82"/>
      <c r="BC42" s="82"/>
      <c r="BD42" s="82"/>
      <c r="BE42" s="82"/>
      <c r="BF42" s="82"/>
      <c r="BG42" s="82"/>
      <c r="BH42" s="82"/>
      <c r="BI42" s="82"/>
      <c r="BJ42" s="82"/>
      <c r="BK42" s="82"/>
      <c r="BL42" s="82"/>
      <c r="BM42" s="82"/>
      <c r="BN42" s="82"/>
      <c r="BO42" s="82"/>
      <c r="BP42" s="82"/>
      <c r="BQ42" s="82"/>
    </row>
    <row r="43" spans="1:69" x14ac:dyDescent="0.2">
      <c r="B43" s="101"/>
      <c r="AW43" s="82"/>
      <c r="AX43" s="82"/>
      <c r="AY43" s="82"/>
      <c r="AZ43" s="82"/>
      <c r="BA43" s="82"/>
      <c r="BB43" s="82"/>
      <c r="BC43" s="82"/>
      <c r="BD43" s="82"/>
      <c r="BE43" s="82"/>
      <c r="BF43" s="82"/>
      <c r="BG43" s="82"/>
      <c r="BH43" s="82"/>
      <c r="BI43" s="82"/>
      <c r="BJ43" s="82"/>
      <c r="BK43" s="82"/>
      <c r="BL43" s="82"/>
      <c r="BM43" s="82"/>
      <c r="BN43" s="82"/>
      <c r="BO43" s="82"/>
      <c r="BP43" s="82"/>
      <c r="BQ43" s="82"/>
    </row>
    <row r="44" spans="1:69" x14ac:dyDescent="0.2">
      <c r="A44" s="63" t="s">
        <v>89</v>
      </c>
    </row>
    <row r="45" spans="1:69" x14ac:dyDescent="0.2">
      <c r="A45" s="64" t="s">
        <v>86</v>
      </c>
    </row>
    <row r="46" spans="1:69" x14ac:dyDescent="0.2">
      <c r="C46" s="65" t="s">
        <v>39</v>
      </c>
      <c r="J46" s="65" t="s">
        <v>40</v>
      </c>
      <c r="Q46" s="65" t="s">
        <v>54</v>
      </c>
    </row>
    <row r="47" spans="1:69" x14ac:dyDescent="0.2">
      <c r="C47" s="65" t="s">
        <v>33</v>
      </c>
      <c r="D47" s="65" t="s">
        <v>34</v>
      </c>
      <c r="E47" s="65" t="s">
        <v>35</v>
      </c>
      <c r="F47" s="65" t="s">
        <v>36</v>
      </c>
      <c r="G47" s="65" t="s">
        <v>37</v>
      </c>
      <c r="H47" s="65" t="s">
        <v>70</v>
      </c>
      <c r="I47" s="65" t="s">
        <v>54</v>
      </c>
      <c r="J47" s="65" t="s">
        <v>33</v>
      </c>
      <c r="K47" s="65" t="s">
        <v>34</v>
      </c>
      <c r="L47" s="65" t="s">
        <v>35</v>
      </c>
      <c r="M47" s="65" t="s">
        <v>36</v>
      </c>
      <c r="N47" s="65" t="s">
        <v>37</v>
      </c>
      <c r="O47" s="65" t="s">
        <v>70</v>
      </c>
      <c r="P47" s="65" t="s">
        <v>54</v>
      </c>
      <c r="Q47" s="102" t="s">
        <v>33</v>
      </c>
      <c r="R47" s="102" t="s">
        <v>34</v>
      </c>
      <c r="S47" s="102" t="s">
        <v>35</v>
      </c>
      <c r="T47" s="102" t="s">
        <v>36</v>
      </c>
      <c r="U47" s="102" t="s">
        <v>37</v>
      </c>
      <c r="V47" s="102" t="s">
        <v>70</v>
      </c>
      <c r="W47" s="102" t="s">
        <v>54</v>
      </c>
    </row>
    <row r="48" spans="1:69" x14ac:dyDescent="0.2">
      <c r="C48" s="65" t="s">
        <v>71</v>
      </c>
      <c r="D48" s="65" t="s">
        <v>71</v>
      </c>
      <c r="E48" s="65" t="s">
        <v>71</v>
      </c>
      <c r="F48" s="65" t="s">
        <v>71</v>
      </c>
      <c r="G48" s="65" t="s">
        <v>71</v>
      </c>
      <c r="H48" s="65" t="s">
        <v>71</v>
      </c>
      <c r="I48" s="65" t="s">
        <v>71</v>
      </c>
      <c r="J48" s="65" t="s">
        <v>71</v>
      </c>
      <c r="K48" s="65" t="s">
        <v>71</v>
      </c>
      <c r="L48" s="65" t="s">
        <v>71</v>
      </c>
      <c r="M48" s="65" t="s">
        <v>71</v>
      </c>
      <c r="N48" s="65" t="s">
        <v>71</v>
      </c>
      <c r="O48" s="65" t="s">
        <v>71</v>
      </c>
      <c r="P48" s="65" t="s">
        <v>71</v>
      </c>
      <c r="Q48" s="102" t="s">
        <v>71</v>
      </c>
      <c r="R48" s="102" t="s">
        <v>71</v>
      </c>
      <c r="S48" s="102" t="s">
        <v>71</v>
      </c>
      <c r="T48" s="102" t="s">
        <v>71</v>
      </c>
      <c r="U48" s="102" t="s">
        <v>71</v>
      </c>
      <c r="V48" s="102" t="s">
        <v>71</v>
      </c>
      <c r="W48" s="102" t="s">
        <v>71</v>
      </c>
    </row>
    <row r="49" spans="1:23" x14ac:dyDescent="0.2">
      <c r="A49" s="65" t="s">
        <v>72</v>
      </c>
      <c r="B49" s="65" t="s">
        <v>0</v>
      </c>
      <c r="C49" s="102">
        <v>5569</v>
      </c>
      <c r="D49" s="102">
        <v>6002</v>
      </c>
      <c r="E49" s="102">
        <v>6494</v>
      </c>
      <c r="F49" s="102">
        <v>6316</v>
      </c>
      <c r="G49" s="102">
        <v>5644</v>
      </c>
      <c r="H49" s="102">
        <v>30025</v>
      </c>
      <c r="I49" s="102">
        <v>37000</v>
      </c>
      <c r="J49" s="102">
        <v>8568</v>
      </c>
      <c r="K49" s="102">
        <v>8419</v>
      </c>
      <c r="L49" s="102">
        <v>8679</v>
      </c>
      <c r="M49" s="102">
        <v>7716</v>
      </c>
      <c r="N49" s="102">
        <v>6328</v>
      </c>
      <c r="O49" s="102">
        <v>39710</v>
      </c>
      <c r="P49" s="102">
        <v>47527</v>
      </c>
      <c r="Q49" s="102">
        <v>14137</v>
      </c>
      <c r="R49" s="102">
        <v>14421</v>
      </c>
      <c r="S49" s="102">
        <v>15173</v>
      </c>
      <c r="T49" s="102">
        <v>14032</v>
      </c>
      <c r="U49" s="102">
        <v>11972</v>
      </c>
      <c r="V49" s="102">
        <v>69735</v>
      </c>
      <c r="W49" s="102">
        <v>84527</v>
      </c>
    </row>
    <row r="50" spans="1:23" x14ac:dyDescent="0.2">
      <c r="B50" s="65" t="s">
        <v>1</v>
      </c>
      <c r="C50" s="102">
        <v>6793</v>
      </c>
      <c r="D50" s="102">
        <v>6663</v>
      </c>
      <c r="E50" s="102">
        <v>6324</v>
      </c>
      <c r="F50" s="102">
        <v>5534</v>
      </c>
      <c r="G50" s="102">
        <v>4657</v>
      </c>
      <c r="H50" s="102">
        <v>29971</v>
      </c>
      <c r="I50" s="102">
        <v>36109</v>
      </c>
      <c r="J50" s="102">
        <v>5823</v>
      </c>
      <c r="K50" s="102">
        <v>6355</v>
      </c>
      <c r="L50" s="102">
        <v>5906</v>
      </c>
      <c r="M50" s="102">
        <v>5075</v>
      </c>
      <c r="N50" s="102">
        <v>4308</v>
      </c>
      <c r="O50" s="102">
        <v>27467</v>
      </c>
      <c r="P50" s="102">
        <v>32833</v>
      </c>
      <c r="Q50" s="102">
        <v>12616</v>
      </c>
      <c r="R50" s="102">
        <v>13018</v>
      </c>
      <c r="S50" s="102">
        <v>12230</v>
      </c>
      <c r="T50" s="102">
        <v>10609</v>
      </c>
      <c r="U50" s="102">
        <v>8965</v>
      </c>
      <c r="V50" s="102">
        <v>57438</v>
      </c>
      <c r="W50" s="102">
        <v>68942</v>
      </c>
    </row>
    <row r="51" spans="1:23" x14ac:dyDescent="0.2">
      <c r="B51" s="65" t="s">
        <v>2</v>
      </c>
      <c r="C51" s="102">
        <v>7603</v>
      </c>
      <c r="D51" s="102">
        <v>6352</v>
      </c>
      <c r="E51" s="102">
        <v>6399</v>
      </c>
      <c r="F51" s="102">
        <v>5962</v>
      </c>
      <c r="G51" s="102">
        <v>5210</v>
      </c>
      <c r="H51" s="102">
        <v>31526</v>
      </c>
      <c r="I51" s="102">
        <v>38412</v>
      </c>
      <c r="J51" s="102">
        <v>2721</v>
      </c>
      <c r="K51" s="102">
        <v>2192</v>
      </c>
      <c r="L51" s="102">
        <v>2002</v>
      </c>
      <c r="M51" s="102">
        <v>1797</v>
      </c>
      <c r="N51" s="102">
        <v>1384</v>
      </c>
      <c r="O51" s="102">
        <v>10096</v>
      </c>
      <c r="P51" s="102">
        <v>11720</v>
      </c>
      <c r="Q51" s="102">
        <v>10324</v>
      </c>
      <c r="R51" s="102">
        <v>8544</v>
      </c>
      <c r="S51" s="102">
        <v>8401</v>
      </c>
      <c r="T51" s="102">
        <v>7759</v>
      </c>
      <c r="U51" s="102">
        <v>6594</v>
      </c>
      <c r="V51" s="102">
        <v>41622</v>
      </c>
      <c r="W51" s="102">
        <v>50132</v>
      </c>
    </row>
    <row r="52" spans="1:23" x14ac:dyDescent="0.2">
      <c r="B52" s="65" t="s">
        <v>3</v>
      </c>
      <c r="C52" s="102">
        <v>854</v>
      </c>
      <c r="D52" s="102">
        <v>861</v>
      </c>
      <c r="E52" s="102">
        <v>905</v>
      </c>
      <c r="F52" s="102">
        <v>830</v>
      </c>
      <c r="G52" s="102">
        <v>741</v>
      </c>
      <c r="H52" s="102">
        <v>4191</v>
      </c>
      <c r="I52" s="102">
        <v>4955</v>
      </c>
      <c r="J52" s="102">
        <v>369</v>
      </c>
      <c r="K52" s="102">
        <v>411</v>
      </c>
      <c r="L52" s="102">
        <v>412</v>
      </c>
      <c r="M52" s="102">
        <v>373</v>
      </c>
      <c r="N52" s="102">
        <v>336</v>
      </c>
      <c r="O52" s="102">
        <v>1901</v>
      </c>
      <c r="P52" s="102">
        <v>2247</v>
      </c>
      <c r="Q52" s="102">
        <v>1223</v>
      </c>
      <c r="R52" s="102">
        <v>1272</v>
      </c>
      <c r="S52" s="102">
        <v>1317</v>
      </c>
      <c r="T52" s="102">
        <v>1203</v>
      </c>
      <c r="U52" s="102">
        <v>1077</v>
      </c>
      <c r="V52" s="102">
        <v>6092</v>
      </c>
      <c r="W52" s="102">
        <v>7202</v>
      </c>
    </row>
    <row r="53" spans="1:23" x14ac:dyDescent="0.2">
      <c r="B53" s="65" t="s">
        <v>4</v>
      </c>
      <c r="C53" s="102">
        <v>15681</v>
      </c>
      <c r="D53" s="102">
        <v>9555</v>
      </c>
      <c r="E53" s="102">
        <v>9485</v>
      </c>
      <c r="F53" s="102">
        <v>8754</v>
      </c>
      <c r="G53" s="102">
        <v>7096</v>
      </c>
      <c r="H53" s="102">
        <v>50571</v>
      </c>
      <c r="I53" s="102">
        <v>63203</v>
      </c>
      <c r="J53" s="102">
        <v>11084</v>
      </c>
      <c r="K53" s="102">
        <v>7645</v>
      </c>
      <c r="L53" s="102">
        <v>7310</v>
      </c>
      <c r="M53" s="102">
        <v>6122</v>
      </c>
      <c r="N53" s="102">
        <v>4891</v>
      </c>
      <c r="O53" s="102">
        <v>37052</v>
      </c>
      <c r="P53" s="102">
        <v>44246</v>
      </c>
      <c r="Q53" s="102">
        <v>26765</v>
      </c>
      <c r="R53" s="102">
        <v>17200</v>
      </c>
      <c r="S53" s="102">
        <v>16795</v>
      </c>
      <c r="T53" s="102">
        <v>14876</v>
      </c>
      <c r="U53" s="102">
        <v>11987</v>
      </c>
      <c r="V53" s="102">
        <v>87623</v>
      </c>
      <c r="W53" s="102">
        <v>107449</v>
      </c>
    </row>
    <row r="54" spans="1:23" x14ac:dyDescent="0.2">
      <c r="B54" s="65" t="s">
        <v>5</v>
      </c>
      <c r="C54" s="102">
        <v>3696</v>
      </c>
      <c r="D54" s="102">
        <v>1655</v>
      </c>
      <c r="E54" s="102">
        <v>1191</v>
      </c>
      <c r="F54" s="102">
        <v>963</v>
      </c>
      <c r="G54" s="102">
        <v>629</v>
      </c>
      <c r="H54" s="102">
        <v>8134</v>
      </c>
      <c r="I54" s="102">
        <v>9107</v>
      </c>
      <c r="J54" s="102">
        <v>1920</v>
      </c>
      <c r="K54" s="102">
        <v>844</v>
      </c>
      <c r="L54" s="102">
        <v>634</v>
      </c>
      <c r="M54" s="102">
        <v>446</v>
      </c>
      <c r="N54" s="102">
        <v>287</v>
      </c>
      <c r="O54" s="102">
        <v>4131</v>
      </c>
      <c r="P54" s="102">
        <v>4531</v>
      </c>
      <c r="Q54" s="102">
        <v>5616</v>
      </c>
      <c r="R54" s="102">
        <v>2499</v>
      </c>
      <c r="S54" s="102">
        <v>1825</v>
      </c>
      <c r="T54" s="102">
        <v>1409</v>
      </c>
      <c r="U54" s="102">
        <v>916</v>
      </c>
      <c r="V54" s="102">
        <v>12265</v>
      </c>
      <c r="W54" s="102">
        <v>13638</v>
      </c>
    </row>
    <row r="55" spans="1:23" x14ac:dyDescent="0.2">
      <c r="B55" s="65" t="s">
        <v>6</v>
      </c>
      <c r="C55" s="102">
        <v>941</v>
      </c>
      <c r="D55" s="102">
        <v>1643</v>
      </c>
      <c r="E55" s="102">
        <v>2340</v>
      </c>
      <c r="F55" s="102">
        <v>2529</v>
      </c>
      <c r="G55" s="102">
        <v>2008</v>
      </c>
      <c r="H55" s="102">
        <v>9461</v>
      </c>
      <c r="I55" s="102">
        <v>11205</v>
      </c>
      <c r="J55" s="102">
        <v>1064</v>
      </c>
      <c r="K55" s="102">
        <v>1467</v>
      </c>
      <c r="L55" s="102">
        <v>1715</v>
      </c>
      <c r="M55" s="102">
        <v>1691</v>
      </c>
      <c r="N55" s="102">
        <v>1103</v>
      </c>
      <c r="O55" s="102">
        <v>7040</v>
      </c>
      <c r="P55" s="102">
        <v>7760</v>
      </c>
      <c r="Q55" s="102">
        <v>2005</v>
      </c>
      <c r="R55" s="102">
        <v>3110</v>
      </c>
      <c r="S55" s="102">
        <v>4055</v>
      </c>
      <c r="T55" s="102">
        <v>4220</v>
      </c>
      <c r="U55" s="102">
        <v>3111</v>
      </c>
      <c r="V55" s="102">
        <v>16501</v>
      </c>
      <c r="W55" s="102">
        <v>18965</v>
      </c>
    </row>
    <row r="56" spans="1:23" x14ac:dyDescent="0.2">
      <c r="B56" s="2" t="s">
        <v>168</v>
      </c>
      <c r="C56" s="102">
        <v>610</v>
      </c>
      <c r="D56" s="102">
        <v>930</v>
      </c>
      <c r="E56" s="102">
        <v>1180</v>
      </c>
      <c r="F56" s="102">
        <v>1175</v>
      </c>
      <c r="G56" s="102">
        <v>1019</v>
      </c>
      <c r="H56" s="102">
        <v>4914</v>
      </c>
      <c r="I56" s="102">
        <v>6176</v>
      </c>
      <c r="J56" s="102">
        <v>58</v>
      </c>
      <c r="K56" s="102">
        <v>72</v>
      </c>
      <c r="L56" s="102">
        <v>77</v>
      </c>
      <c r="M56" s="102">
        <v>91</v>
      </c>
      <c r="N56" s="102">
        <v>87</v>
      </c>
      <c r="O56" s="102">
        <v>385</v>
      </c>
      <c r="P56" s="102">
        <v>488</v>
      </c>
      <c r="Q56" s="102">
        <v>668</v>
      </c>
      <c r="R56" s="102">
        <v>1002</v>
      </c>
      <c r="S56" s="102">
        <v>1257</v>
      </c>
      <c r="T56" s="102">
        <v>1266</v>
      </c>
      <c r="U56" s="102">
        <v>1106</v>
      </c>
      <c r="V56" s="102">
        <v>5299</v>
      </c>
      <c r="W56" s="102">
        <v>6664</v>
      </c>
    </row>
    <row r="57" spans="1:23" x14ac:dyDescent="0.2">
      <c r="B57" s="65" t="s">
        <v>8</v>
      </c>
      <c r="C57" s="102">
        <v>452</v>
      </c>
      <c r="D57" s="102">
        <v>1027</v>
      </c>
      <c r="E57" s="102">
        <v>1831</v>
      </c>
      <c r="F57" s="102">
        <v>2056</v>
      </c>
      <c r="G57" s="102">
        <v>1805</v>
      </c>
      <c r="H57" s="102">
        <v>7171</v>
      </c>
      <c r="I57" s="102">
        <v>9218</v>
      </c>
      <c r="J57" s="102">
        <v>433</v>
      </c>
      <c r="K57" s="102">
        <v>788</v>
      </c>
      <c r="L57" s="102">
        <v>1107</v>
      </c>
      <c r="M57" s="102">
        <v>998</v>
      </c>
      <c r="N57" s="102">
        <v>770</v>
      </c>
      <c r="O57" s="102">
        <v>4096</v>
      </c>
      <c r="P57" s="102">
        <v>4806</v>
      </c>
      <c r="Q57" s="102">
        <v>885</v>
      </c>
      <c r="R57" s="102">
        <v>1815</v>
      </c>
      <c r="S57" s="102">
        <v>2938</v>
      </c>
      <c r="T57" s="102">
        <v>3054</v>
      </c>
      <c r="U57" s="102">
        <v>2575</v>
      </c>
      <c r="V57" s="102">
        <v>11267</v>
      </c>
      <c r="W57" s="102">
        <v>14024</v>
      </c>
    </row>
    <row r="58" spans="1:23" x14ac:dyDescent="0.2">
      <c r="B58" s="65" t="s">
        <v>9</v>
      </c>
      <c r="C58" s="103">
        <v>2</v>
      </c>
      <c r="D58" s="102">
        <v>4</v>
      </c>
      <c r="E58" s="102">
        <v>11</v>
      </c>
      <c r="F58" s="102">
        <v>15</v>
      </c>
      <c r="G58" s="102">
        <v>23</v>
      </c>
      <c r="H58" s="102">
        <v>55</v>
      </c>
      <c r="I58" s="102">
        <v>83</v>
      </c>
      <c r="J58" s="102">
        <v>53</v>
      </c>
      <c r="K58" s="102">
        <v>65</v>
      </c>
      <c r="L58" s="102">
        <v>76</v>
      </c>
      <c r="M58" s="102">
        <v>65</v>
      </c>
      <c r="N58" s="102">
        <v>57</v>
      </c>
      <c r="O58" s="102">
        <v>316</v>
      </c>
      <c r="P58" s="102">
        <v>367</v>
      </c>
      <c r="Q58" s="102">
        <v>55</v>
      </c>
      <c r="R58" s="102">
        <v>69</v>
      </c>
      <c r="S58" s="102">
        <v>87</v>
      </c>
      <c r="T58" s="102">
        <v>80</v>
      </c>
      <c r="U58" s="102">
        <v>80</v>
      </c>
      <c r="V58" s="102">
        <v>371</v>
      </c>
      <c r="W58" s="102">
        <v>450</v>
      </c>
    </row>
    <row r="59" spans="1:23" x14ac:dyDescent="0.2">
      <c r="B59" s="65" t="s">
        <v>10</v>
      </c>
      <c r="C59" s="102">
        <v>272</v>
      </c>
      <c r="D59" s="102">
        <v>498</v>
      </c>
      <c r="E59" s="102">
        <v>688</v>
      </c>
      <c r="F59" s="102">
        <v>747</v>
      </c>
      <c r="G59" s="102">
        <v>710</v>
      </c>
      <c r="H59" s="102">
        <v>2915</v>
      </c>
      <c r="I59" s="102">
        <v>4231</v>
      </c>
      <c r="J59" s="102">
        <v>181</v>
      </c>
      <c r="K59" s="102">
        <v>280</v>
      </c>
      <c r="L59" s="102">
        <v>389</v>
      </c>
      <c r="M59" s="102">
        <v>417</v>
      </c>
      <c r="N59" s="102">
        <v>374</v>
      </c>
      <c r="O59" s="102">
        <v>1641</v>
      </c>
      <c r="P59" s="102">
        <v>2339</v>
      </c>
      <c r="Q59" s="102">
        <v>453</v>
      </c>
      <c r="R59" s="102">
        <v>778</v>
      </c>
      <c r="S59" s="102">
        <v>1077</v>
      </c>
      <c r="T59" s="102">
        <v>1164</v>
      </c>
      <c r="U59" s="102">
        <v>1084</v>
      </c>
      <c r="V59" s="102">
        <v>4556</v>
      </c>
      <c r="W59" s="102">
        <v>6570</v>
      </c>
    </row>
    <row r="60" spans="1:23" x14ac:dyDescent="0.2">
      <c r="B60" s="65" t="s">
        <v>11</v>
      </c>
      <c r="C60" s="102">
        <v>1872</v>
      </c>
      <c r="D60" s="102">
        <v>3800</v>
      </c>
      <c r="E60" s="102">
        <v>5290</v>
      </c>
      <c r="F60" s="102">
        <v>5160</v>
      </c>
      <c r="G60" s="102">
        <v>4103</v>
      </c>
      <c r="H60" s="102">
        <v>20225</v>
      </c>
      <c r="I60" s="102">
        <v>23371</v>
      </c>
      <c r="J60" s="102">
        <v>1699</v>
      </c>
      <c r="K60" s="102">
        <v>2803</v>
      </c>
      <c r="L60" s="102">
        <v>3682</v>
      </c>
      <c r="M60" s="102">
        <v>3610</v>
      </c>
      <c r="N60" s="102">
        <v>2866</v>
      </c>
      <c r="O60" s="102">
        <v>14660</v>
      </c>
      <c r="P60" s="102">
        <v>17164</v>
      </c>
      <c r="Q60" s="102">
        <v>3571</v>
      </c>
      <c r="R60" s="102">
        <v>6603</v>
      </c>
      <c r="S60" s="102">
        <v>8972</v>
      </c>
      <c r="T60" s="102">
        <v>8770</v>
      </c>
      <c r="U60" s="102">
        <v>6969</v>
      </c>
      <c r="V60" s="102">
        <v>34885</v>
      </c>
      <c r="W60" s="102">
        <v>40535</v>
      </c>
    </row>
    <row r="61" spans="1:23" x14ac:dyDescent="0.2">
      <c r="B61" s="65" t="s">
        <v>12</v>
      </c>
      <c r="C61" s="102">
        <v>4113</v>
      </c>
      <c r="D61" s="102">
        <v>3875</v>
      </c>
      <c r="E61" s="102">
        <v>4075</v>
      </c>
      <c r="F61" s="102">
        <v>3434</v>
      </c>
      <c r="G61" s="102">
        <v>2593</v>
      </c>
      <c r="H61" s="102">
        <v>18090</v>
      </c>
      <c r="I61" s="102">
        <v>20994</v>
      </c>
      <c r="J61" s="102">
        <v>2267</v>
      </c>
      <c r="K61" s="102">
        <v>1993</v>
      </c>
      <c r="L61" s="102">
        <v>1886</v>
      </c>
      <c r="M61" s="102">
        <v>1503</v>
      </c>
      <c r="N61" s="102">
        <v>1121</v>
      </c>
      <c r="O61" s="102">
        <v>8770</v>
      </c>
      <c r="P61" s="102">
        <v>9938</v>
      </c>
      <c r="Q61" s="102">
        <v>6380</v>
      </c>
      <c r="R61" s="102">
        <v>5868</v>
      </c>
      <c r="S61" s="102">
        <v>5961</v>
      </c>
      <c r="T61" s="102">
        <v>4937</v>
      </c>
      <c r="U61" s="102">
        <v>3714</v>
      </c>
      <c r="V61" s="102">
        <v>26860</v>
      </c>
      <c r="W61" s="102">
        <v>30932</v>
      </c>
    </row>
    <row r="62" spans="1:23" x14ac:dyDescent="0.2">
      <c r="B62" s="65" t="s">
        <v>13</v>
      </c>
      <c r="C62" s="102">
        <v>3810</v>
      </c>
      <c r="D62" s="102">
        <v>3633</v>
      </c>
      <c r="E62" s="102">
        <v>4234</v>
      </c>
      <c r="F62" s="102">
        <v>3643</v>
      </c>
      <c r="G62" s="102">
        <v>2690</v>
      </c>
      <c r="H62" s="102">
        <v>18010</v>
      </c>
      <c r="I62" s="102">
        <v>20670</v>
      </c>
      <c r="J62" s="102">
        <v>5252</v>
      </c>
      <c r="K62" s="102">
        <v>3827</v>
      </c>
      <c r="L62" s="102">
        <v>3620</v>
      </c>
      <c r="M62" s="102">
        <v>2657</v>
      </c>
      <c r="N62" s="102">
        <v>1845</v>
      </c>
      <c r="O62" s="102">
        <v>17201</v>
      </c>
      <c r="P62" s="102">
        <v>18909</v>
      </c>
      <c r="Q62" s="102">
        <v>9062</v>
      </c>
      <c r="R62" s="102">
        <v>7460</v>
      </c>
      <c r="S62" s="102">
        <v>7854</v>
      </c>
      <c r="T62" s="102">
        <v>6300</v>
      </c>
      <c r="U62" s="102">
        <v>4535</v>
      </c>
      <c r="V62" s="102">
        <v>35211</v>
      </c>
      <c r="W62" s="102">
        <v>39579</v>
      </c>
    </row>
    <row r="63" spans="1:23" x14ac:dyDescent="0.2">
      <c r="B63" s="65" t="s">
        <v>14</v>
      </c>
      <c r="C63" s="102">
        <v>1909</v>
      </c>
      <c r="D63" s="102">
        <v>2102</v>
      </c>
      <c r="E63" s="102">
        <v>2193</v>
      </c>
      <c r="F63" s="102">
        <v>1761</v>
      </c>
      <c r="G63" s="102">
        <v>1078</v>
      </c>
      <c r="H63" s="102">
        <v>9043</v>
      </c>
      <c r="I63" s="102">
        <v>10137</v>
      </c>
      <c r="J63" s="102">
        <v>1845</v>
      </c>
      <c r="K63" s="102">
        <v>1636</v>
      </c>
      <c r="L63" s="102">
        <v>1498</v>
      </c>
      <c r="M63" s="102">
        <v>1257</v>
      </c>
      <c r="N63" s="102">
        <v>829</v>
      </c>
      <c r="O63" s="102">
        <v>7065</v>
      </c>
      <c r="P63" s="102">
        <v>8001</v>
      </c>
      <c r="Q63" s="102">
        <v>3754</v>
      </c>
      <c r="R63" s="102">
        <v>3738</v>
      </c>
      <c r="S63" s="102">
        <v>3691</v>
      </c>
      <c r="T63" s="102">
        <v>3018</v>
      </c>
      <c r="U63" s="102">
        <v>1907</v>
      </c>
      <c r="V63" s="102">
        <v>16108</v>
      </c>
      <c r="W63" s="102">
        <v>18138</v>
      </c>
    </row>
    <row r="64" spans="1:23" x14ac:dyDescent="0.2">
      <c r="B64" s="65" t="s">
        <v>15</v>
      </c>
      <c r="C64" s="102">
        <v>4704</v>
      </c>
      <c r="D64" s="102">
        <v>6503</v>
      </c>
      <c r="E64" s="102">
        <v>7196</v>
      </c>
      <c r="F64" s="102">
        <v>5059</v>
      </c>
      <c r="G64" s="102">
        <v>2685</v>
      </c>
      <c r="H64" s="102">
        <v>26147</v>
      </c>
      <c r="I64" s="102">
        <v>27862</v>
      </c>
      <c r="J64" s="102">
        <v>5952</v>
      </c>
      <c r="K64" s="102">
        <v>7664</v>
      </c>
      <c r="L64" s="102">
        <v>8020</v>
      </c>
      <c r="M64" s="102">
        <v>5429</v>
      </c>
      <c r="N64" s="102">
        <v>2819</v>
      </c>
      <c r="O64" s="102">
        <v>29884</v>
      </c>
      <c r="P64" s="102">
        <v>31804</v>
      </c>
      <c r="Q64" s="102">
        <v>10656</v>
      </c>
      <c r="R64" s="102">
        <v>14167</v>
      </c>
      <c r="S64" s="102">
        <v>15216</v>
      </c>
      <c r="T64" s="102">
        <v>10488</v>
      </c>
      <c r="U64" s="102">
        <v>5504</v>
      </c>
      <c r="V64" s="102">
        <v>56031</v>
      </c>
      <c r="W64" s="102">
        <v>59666</v>
      </c>
    </row>
    <row r="65" spans="2:23" x14ac:dyDescent="0.2">
      <c r="B65" s="65" t="s">
        <v>16</v>
      </c>
      <c r="C65" s="102">
        <v>724</v>
      </c>
      <c r="D65" s="102">
        <v>1159</v>
      </c>
      <c r="E65" s="102">
        <v>1426</v>
      </c>
      <c r="F65" s="102">
        <v>1458</v>
      </c>
      <c r="G65" s="102">
        <v>1400</v>
      </c>
      <c r="H65" s="102">
        <v>6167</v>
      </c>
      <c r="I65" s="102">
        <v>8358</v>
      </c>
      <c r="J65" s="102">
        <v>1610</v>
      </c>
      <c r="K65" s="102">
        <v>1989</v>
      </c>
      <c r="L65" s="102">
        <v>2226</v>
      </c>
      <c r="M65" s="102">
        <v>2025</v>
      </c>
      <c r="N65" s="102">
        <v>1707</v>
      </c>
      <c r="O65" s="102">
        <v>9557</v>
      </c>
      <c r="P65" s="102">
        <v>12054</v>
      </c>
      <c r="Q65" s="102">
        <v>2334</v>
      </c>
      <c r="R65" s="102">
        <v>3148</v>
      </c>
      <c r="S65" s="102">
        <v>3652</v>
      </c>
      <c r="T65" s="102">
        <v>3483</v>
      </c>
      <c r="U65" s="102">
        <v>3107</v>
      </c>
      <c r="V65" s="102">
        <v>15724</v>
      </c>
      <c r="W65" s="102">
        <v>20412</v>
      </c>
    </row>
    <row r="66" spans="2:23" x14ac:dyDescent="0.2">
      <c r="B66" s="65" t="s">
        <v>17</v>
      </c>
      <c r="C66" s="102">
        <v>1570</v>
      </c>
      <c r="D66" s="102">
        <v>3331</v>
      </c>
      <c r="E66" s="102">
        <v>4965</v>
      </c>
      <c r="F66" s="102">
        <v>5239</v>
      </c>
      <c r="G66" s="102">
        <v>4455</v>
      </c>
      <c r="H66" s="102">
        <v>19560</v>
      </c>
      <c r="I66" s="102">
        <v>26821</v>
      </c>
      <c r="J66" s="102">
        <v>8376</v>
      </c>
      <c r="K66" s="102">
        <v>11865</v>
      </c>
      <c r="L66" s="102">
        <v>12473</v>
      </c>
      <c r="M66" s="102">
        <v>10394</v>
      </c>
      <c r="N66" s="102">
        <v>7579</v>
      </c>
      <c r="O66" s="102">
        <v>50687</v>
      </c>
      <c r="P66" s="102">
        <v>60659</v>
      </c>
      <c r="Q66" s="102">
        <v>9946</v>
      </c>
      <c r="R66" s="102">
        <v>15196</v>
      </c>
      <c r="S66" s="102">
        <v>17438</v>
      </c>
      <c r="T66" s="102">
        <v>15633</v>
      </c>
      <c r="U66" s="102">
        <v>12034</v>
      </c>
      <c r="V66" s="102">
        <v>70247</v>
      </c>
      <c r="W66" s="102">
        <v>87480</v>
      </c>
    </row>
    <row r="67" spans="2:23" x14ac:dyDescent="0.2">
      <c r="B67" s="65" t="s">
        <v>18</v>
      </c>
      <c r="C67" s="102">
        <v>996</v>
      </c>
      <c r="D67" s="102">
        <v>1749</v>
      </c>
      <c r="E67" s="102">
        <v>2488</v>
      </c>
      <c r="F67" s="102">
        <v>2604</v>
      </c>
      <c r="G67" s="102">
        <v>2054</v>
      </c>
      <c r="H67" s="102">
        <v>9891</v>
      </c>
      <c r="I67" s="102">
        <v>12608</v>
      </c>
      <c r="J67" s="102">
        <v>4765</v>
      </c>
      <c r="K67" s="102">
        <v>6211</v>
      </c>
      <c r="L67" s="102">
        <v>7214</v>
      </c>
      <c r="M67" s="102">
        <v>5805</v>
      </c>
      <c r="N67" s="102">
        <v>4218</v>
      </c>
      <c r="O67" s="102">
        <v>28213</v>
      </c>
      <c r="P67" s="102">
        <v>32730</v>
      </c>
      <c r="Q67" s="102">
        <v>5761</v>
      </c>
      <c r="R67" s="102">
        <v>7960</v>
      </c>
      <c r="S67" s="102">
        <v>9702</v>
      </c>
      <c r="T67" s="102">
        <v>8409</v>
      </c>
      <c r="U67" s="102">
        <v>6272</v>
      </c>
      <c r="V67" s="102">
        <v>38104</v>
      </c>
      <c r="W67" s="102">
        <v>45338</v>
      </c>
    </row>
    <row r="68" spans="2:23" x14ac:dyDescent="0.2">
      <c r="B68" s="65" t="s">
        <v>73</v>
      </c>
      <c r="C68" s="102">
        <v>429</v>
      </c>
      <c r="D68" s="102">
        <v>664</v>
      </c>
      <c r="E68" s="102">
        <v>906</v>
      </c>
      <c r="F68" s="102">
        <v>911</v>
      </c>
      <c r="G68" s="102">
        <v>849</v>
      </c>
      <c r="H68" s="102">
        <v>3759</v>
      </c>
      <c r="I68" s="102">
        <v>5020</v>
      </c>
      <c r="J68" s="102">
        <v>729</v>
      </c>
      <c r="K68" s="102">
        <v>1098</v>
      </c>
      <c r="L68" s="102">
        <v>1319</v>
      </c>
      <c r="M68" s="102">
        <v>1230</v>
      </c>
      <c r="N68" s="102">
        <v>982</v>
      </c>
      <c r="O68" s="102">
        <v>5358</v>
      </c>
      <c r="P68" s="102">
        <v>6586</v>
      </c>
      <c r="Q68" s="102">
        <v>1158</v>
      </c>
      <c r="R68" s="102">
        <v>1762</v>
      </c>
      <c r="S68" s="102">
        <v>2225</v>
      </c>
      <c r="T68" s="102">
        <v>2141</v>
      </c>
      <c r="U68" s="102">
        <v>1831</v>
      </c>
      <c r="V68" s="102">
        <v>9117</v>
      </c>
      <c r="W68" s="102">
        <v>11606</v>
      </c>
    </row>
    <row r="69" spans="2:23" x14ac:dyDescent="0.2">
      <c r="B69" s="65" t="s">
        <v>20</v>
      </c>
      <c r="C69" s="102">
        <v>2589</v>
      </c>
      <c r="D69" s="102">
        <v>3271</v>
      </c>
      <c r="E69" s="102">
        <v>3812</v>
      </c>
      <c r="F69" s="102">
        <v>3157</v>
      </c>
      <c r="G69" s="102">
        <v>1999</v>
      </c>
      <c r="H69" s="102">
        <v>14828</v>
      </c>
      <c r="I69" s="102">
        <v>16332</v>
      </c>
      <c r="J69" s="102">
        <v>10169</v>
      </c>
      <c r="K69" s="102">
        <v>11508</v>
      </c>
      <c r="L69" s="102">
        <v>10419</v>
      </c>
      <c r="M69" s="102">
        <v>6661</v>
      </c>
      <c r="N69" s="102">
        <v>3180</v>
      </c>
      <c r="O69" s="102">
        <v>41937</v>
      </c>
      <c r="P69" s="102">
        <v>43847</v>
      </c>
      <c r="Q69" s="102">
        <v>12758</v>
      </c>
      <c r="R69" s="102">
        <v>14779</v>
      </c>
      <c r="S69" s="102">
        <v>14231</v>
      </c>
      <c r="T69" s="102">
        <v>9818</v>
      </c>
      <c r="U69" s="102">
        <v>5179</v>
      </c>
      <c r="V69" s="102">
        <v>56765</v>
      </c>
      <c r="W69" s="102">
        <v>60179</v>
      </c>
    </row>
    <row r="70" spans="2:23" x14ac:dyDescent="0.2">
      <c r="B70" s="65" t="s">
        <v>21</v>
      </c>
      <c r="C70" s="102">
        <v>701</v>
      </c>
      <c r="D70" s="102">
        <v>1366</v>
      </c>
      <c r="E70" s="102">
        <v>1540</v>
      </c>
      <c r="F70" s="102">
        <v>1031</v>
      </c>
      <c r="G70" s="102">
        <v>417</v>
      </c>
      <c r="H70" s="102">
        <v>5055</v>
      </c>
      <c r="I70" s="102">
        <v>5181</v>
      </c>
      <c r="J70" s="102">
        <v>1800</v>
      </c>
      <c r="K70" s="102">
        <v>3373</v>
      </c>
      <c r="L70" s="102">
        <v>3393</v>
      </c>
      <c r="M70" s="102">
        <v>1797</v>
      </c>
      <c r="N70" s="102">
        <v>550</v>
      </c>
      <c r="O70" s="102">
        <v>10913</v>
      </c>
      <c r="P70" s="102">
        <v>11090</v>
      </c>
      <c r="Q70" s="102">
        <v>2501</v>
      </c>
      <c r="R70" s="102">
        <v>4739</v>
      </c>
      <c r="S70" s="102">
        <v>4933</v>
      </c>
      <c r="T70" s="102">
        <v>2828</v>
      </c>
      <c r="U70" s="102">
        <v>967</v>
      </c>
      <c r="V70" s="102">
        <v>15968</v>
      </c>
      <c r="W70" s="102">
        <v>16271</v>
      </c>
    </row>
    <row r="71" spans="2:23" x14ac:dyDescent="0.2">
      <c r="B71" s="65" t="s">
        <v>22</v>
      </c>
      <c r="C71" s="102">
        <v>4398</v>
      </c>
      <c r="D71" s="102">
        <v>6391</v>
      </c>
      <c r="E71" s="102">
        <v>8621</v>
      </c>
      <c r="F71" s="102">
        <v>7131</v>
      </c>
      <c r="G71" s="102">
        <v>3662</v>
      </c>
      <c r="H71" s="102">
        <v>30203</v>
      </c>
      <c r="I71" s="102">
        <v>31616</v>
      </c>
      <c r="J71" s="102">
        <v>12282</v>
      </c>
      <c r="K71" s="102">
        <v>17772</v>
      </c>
      <c r="L71" s="102">
        <v>22256</v>
      </c>
      <c r="M71" s="102">
        <v>16504</v>
      </c>
      <c r="N71" s="102">
        <v>6979</v>
      </c>
      <c r="O71" s="102">
        <v>75793</v>
      </c>
      <c r="P71" s="102">
        <v>78021</v>
      </c>
      <c r="Q71" s="102">
        <v>16680</v>
      </c>
      <c r="R71" s="102">
        <v>24163</v>
      </c>
      <c r="S71" s="102">
        <v>30877</v>
      </c>
      <c r="T71" s="102">
        <v>23635</v>
      </c>
      <c r="U71" s="102">
        <v>10641</v>
      </c>
      <c r="V71" s="102">
        <v>105996</v>
      </c>
      <c r="W71" s="102">
        <v>109637</v>
      </c>
    </row>
    <row r="72" spans="2:23" x14ac:dyDescent="0.2">
      <c r="B72" s="65" t="s">
        <v>61</v>
      </c>
      <c r="C72" s="102">
        <v>919</v>
      </c>
      <c r="D72" s="102">
        <v>2535</v>
      </c>
      <c r="E72" s="102">
        <v>4231</v>
      </c>
      <c r="F72" s="102">
        <v>3553</v>
      </c>
      <c r="G72" s="102">
        <v>1773</v>
      </c>
      <c r="H72" s="102">
        <v>13011</v>
      </c>
      <c r="I72" s="102">
        <v>13929</v>
      </c>
      <c r="J72" s="102">
        <v>2130</v>
      </c>
      <c r="K72" s="102">
        <v>4749</v>
      </c>
      <c r="L72" s="102">
        <v>5480</v>
      </c>
      <c r="M72" s="102">
        <v>3260</v>
      </c>
      <c r="N72" s="102">
        <v>1246</v>
      </c>
      <c r="O72" s="102">
        <v>16865</v>
      </c>
      <c r="P72" s="102">
        <v>17525</v>
      </c>
      <c r="Q72" s="102">
        <v>3049</v>
      </c>
      <c r="R72" s="102">
        <v>7284</v>
      </c>
      <c r="S72" s="102">
        <v>9711</v>
      </c>
      <c r="T72" s="102">
        <v>6813</v>
      </c>
      <c r="U72" s="102">
        <v>3019</v>
      </c>
      <c r="V72" s="102">
        <v>29876</v>
      </c>
      <c r="W72" s="102">
        <v>31454</v>
      </c>
    </row>
    <row r="73" spans="2:23" x14ac:dyDescent="0.2">
      <c r="B73" s="65" t="s">
        <v>23</v>
      </c>
      <c r="C73" s="102">
        <v>407</v>
      </c>
      <c r="D73" s="102">
        <v>1513</v>
      </c>
      <c r="E73" s="102">
        <v>2197</v>
      </c>
      <c r="F73" s="102">
        <v>1289</v>
      </c>
      <c r="G73" s="102">
        <v>467</v>
      </c>
      <c r="H73" s="102">
        <v>5873</v>
      </c>
      <c r="I73" s="102">
        <v>6138</v>
      </c>
      <c r="J73" s="102">
        <v>878</v>
      </c>
      <c r="K73" s="102">
        <v>2189</v>
      </c>
      <c r="L73" s="102">
        <v>2543</v>
      </c>
      <c r="M73" s="102">
        <v>1287</v>
      </c>
      <c r="N73" s="102">
        <v>393</v>
      </c>
      <c r="O73" s="102">
        <v>7290</v>
      </c>
      <c r="P73" s="102">
        <v>7531</v>
      </c>
      <c r="Q73" s="102">
        <v>1285</v>
      </c>
      <c r="R73" s="102">
        <v>3702</v>
      </c>
      <c r="S73" s="102">
        <v>4740</v>
      </c>
      <c r="T73" s="102">
        <v>2576</v>
      </c>
      <c r="U73" s="102">
        <v>860</v>
      </c>
      <c r="V73" s="102">
        <v>13163</v>
      </c>
      <c r="W73" s="102">
        <v>13669</v>
      </c>
    </row>
    <row r="74" spans="2:23" x14ac:dyDescent="0.2">
      <c r="B74" s="65" t="s">
        <v>24</v>
      </c>
      <c r="C74" s="102">
        <v>1270</v>
      </c>
      <c r="D74" s="102">
        <v>874</v>
      </c>
      <c r="E74" s="102">
        <v>782</v>
      </c>
      <c r="F74" s="102">
        <v>567</v>
      </c>
      <c r="G74" s="102">
        <v>420</v>
      </c>
      <c r="H74" s="102">
        <v>3913</v>
      </c>
      <c r="I74" s="102">
        <v>4219</v>
      </c>
      <c r="J74" s="102">
        <v>2558</v>
      </c>
      <c r="K74" s="102">
        <v>2051</v>
      </c>
      <c r="L74" s="102">
        <v>1913</v>
      </c>
      <c r="M74" s="102">
        <v>1585</v>
      </c>
      <c r="N74" s="102">
        <v>1133</v>
      </c>
      <c r="O74" s="102">
        <v>9240</v>
      </c>
      <c r="P74" s="102">
        <v>10092</v>
      </c>
      <c r="Q74" s="102">
        <v>3828</v>
      </c>
      <c r="R74" s="102">
        <v>2925</v>
      </c>
      <c r="S74" s="102">
        <v>2695</v>
      </c>
      <c r="T74" s="102">
        <v>2152</v>
      </c>
      <c r="U74" s="102">
        <v>1553</v>
      </c>
      <c r="V74" s="102">
        <v>13153</v>
      </c>
      <c r="W74" s="102">
        <v>14311</v>
      </c>
    </row>
    <row r="75" spans="2:23" x14ac:dyDescent="0.2">
      <c r="B75" s="65" t="s">
        <v>25</v>
      </c>
      <c r="C75" s="102">
        <v>587</v>
      </c>
      <c r="D75" s="102">
        <v>407</v>
      </c>
      <c r="E75" s="102">
        <v>390</v>
      </c>
      <c r="F75" s="102">
        <v>351</v>
      </c>
      <c r="G75" s="102">
        <v>240</v>
      </c>
      <c r="H75" s="102">
        <v>1975</v>
      </c>
      <c r="I75" s="102">
        <v>2106</v>
      </c>
      <c r="J75" s="102">
        <v>872</v>
      </c>
      <c r="K75" s="102">
        <v>710</v>
      </c>
      <c r="L75" s="102">
        <v>709</v>
      </c>
      <c r="M75" s="102">
        <v>593</v>
      </c>
      <c r="N75" s="102">
        <v>397</v>
      </c>
      <c r="O75" s="102">
        <v>3281</v>
      </c>
      <c r="P75" s="102">
        <v>3536</v>
      </c>
      <c r="Q75" s="102">
        <v>1459</v>
      </c>
      <c r="R75" s="102">
        <v>1117</v>
      </c>
      <c r="S75" s="102">
        <v>1099</v>
      </c>
      <c r="T75" s="102">
        <v>944</v>
      </c>
      <c r="U75" s="102">
        <v>637</v>
      </c>
      <c r="V75" s="102">
        <v>5256</v>
      </c>
      <c r="W75" s="102">
        <v>5642</v>
      </c>
    </row>
    <row r="76" spans="2:23" x14ac:dyDescent="0.2">
      <c r="B76" s="65" t="s">
        <v>26</v>
      </c>
      <c r="C76" s="102">
        <v>714</v>
      </c>
      <c r="D76" s="102">
        <v>608</v>
      </c>
      <c r="E76" s="102">
        <v>530</v>
      </c>
      <c r="F76" s="102">
        <v>428</v>
      </c>
      <c r="G76" s="102">
        <v>274</v>
      </c>
      <c r="H76" s="102">
        <v>2554</v>
      </c>
      <c r="I76" s="102">
        <v>2796</v>
      </c>
      <c r="J76" s="102">
        <v>1326</v>
      </c>
      <c r="K76" s="102">
        <v>1244</v>
      </c>
      <c r="L76" s="102">
        <v>1236</v>
      </c>
      <c r="M76" s="102">
        <v>1036</v>
      </c>
      <c r="N76" s="102">
        <v>743</v>
      </c>
      <c r="O76" s="102">
        <v>5585</v>
      </c>
      <c r="P76" s="102">
        <v>6106</v>
      </c>
      <c r="Q76" s="102">
        <v>2040</v>
      </c>
      <c r="R76" s="102">
        <v>1852</v>
      </c>
      <c r="S76" s="102">
        <v>1766</v>
      </c>
      <c r="T76" s="102">
        <v>1464</v>
      </c>
      <c r="U76" s="102">
        <v>1017</v>
      </c>
      <c r="V76" s="102">
        <v>8139</v>
      </c>
      <c r="W76" s="102">
        <v>8902</v>
      </c>
    </row>
    <row r="77" spans="2:23" x14ac:dyDescent="0.2">
      <c r="B77" s="65" t="s">
        <v>74</v>
      </c>
      <c r="C77" s="102">
        <v>908</v>
      </c>
      <c r="D77" s="102">
        <v>371</v>
      </c>
      <c r="E77" s="102">
        <v>217</v>
      </c>
      <c r="F77" s="102">
        <v>126</v>
      </c>
      <c r="G77" s="102">
        <v>69</v>
      </c>
      <c r="H77" s="102">
        <v>1691</v>
      </c>
      <c r="I77" s="102">
        <v>1794</v>
      </c>
      <c r="J77" s="102">
        <v>1307</v>
      </c>
      <c r="K77" s="102">
        <v>502</v>
      </c>
      <c r="L77" s="102">
        <v>298</v>
      </c>
      <c r="M77" s="102">
        <v>203</v>
      </c>
      <c r="N77" s="102">
        <v>99</v>
      </c>
      <c r="O77" s="102">
        <v>2409</v>
      </c>
      <c r="P77" s="102">
        <v>2558</v>
      </c>
      <c r="Q77" s="102">
        <v>2215</v>
      </c>
      <c r="R77" s="102">
        <v>873</v>
      </c>
      <c r="S77" s="102">
        <v>515</v>
      </c>
      <c r="T77" s="102">
        <v>329</v>
      </c>
      <c r="U77" s="102">
        <v>168</v>
      </c>
      <c r="V77" s="102">
        <v>4100</v>
      </c>
      <c r="W77" s="102">
        <v>4352</v>
      </c>
    </row>
    <row r="78" spans="2:23" x14ac:dyDescent="0.2">
      <c r="B78" s="65" t="s">
        <v>28</v>
      </c>
      <c r="C78" s="102">
        <v>955</v>
      </c>
      <c r="D78" s="102">
        <v>755</v>
      </c>
      <c r="E78" s="102">
        <v>718</v>
      </c>
      <c r="F78" s="102">
        <v>433</v>
      </c>
      <c r="G78" s="102">
        <v>238</v>
      </c>
      <c r="H78" s="102">
        <v>3099</v>
      </c>
      <c r="I78" s="102">
        <v>3263</v>
      </c>
      <c r="J78" s="102">
        <v>1281</v>
      </c>
      <c r="K78" s="102">
        <v>1029</v>
      </c>
      <c r="L78" s="102">
        <v>769</v>
      </c>
      <c r="M78" s="102">
        <v>463</v>
      </c>
      <c r="N78" s="102">
        <v>222</v>
      </c>
      <c r="O78" s="102">
        <v>3764</v>
      </c>
      <c r="P78" s="102">
        <v>3966</v>
      </c>
      <c r="Q78" s="102">
        <v>2236</v>
      </c>
      <c r="R78" s="102">
        <v>1784</v>
      </c>
      <c r="S78" s="102">
        <v>1487</v>
      </c>
      <c r="T78" s="102">
        <v>896</v>
      </c>
      <c r="U78" s="102">
        <v>460</v>
      </c>
      <c r="V78" s="102">
        <v>6863</v>
      </c>
      <c r="W78" s="102">
        <v>7229</v>
      </c>
    </row>
    <row r="79" spans="2:23" x14ac:dyDescent="0.2">
      <c r="B79" s="65" t="s">
        <v>29</v>
      </c>
      <c r="C79" s="102">
        <v>1518</v>
      </c>
      <c r="D79" s="102">
        <v>1635</v>
      </c>
      <c r="E79" s="102">
        <v>1970</v>
      </c>
      <c r="F79" s="102">
        <v>1479</v>
      </c>
      <c r="G79" s="102">
        <v>1030</v>
      </c>
      <c r="H79" s="102">
        <v>7632</v>
      </c>
      <c r="I79" s="102">
        <v>8532</v>
      </c>
      <c r="J79" s="102">
        <v>3784</v>
      </c>
      <c r="K79" s="102">
        <v>3902</v>
      </c>
      <c r="L79" s="102">
        <v>4038</v>
      </c>
      <c r="M79" s="102">
        <v>2949</v>
      </c>
      <c r="N79" s="102">
        <v>1730</v>
      </c>
      <c r="O79" s="102">
        <v>16403</v>
      </c>
      <c r="P79" s="102">
        <v>17727</v>
      </c>
      <c r="Q79" s="102">
        <v>5302</v>
      </c>
      <c r="R79" s="102">
        <v>5537</v>
      </c>
      <c r="S79" s="102">
        <v>6008</v>
      </c>
      <c r="T79" s="102">
        <v>4428</v>
      </c>
      <c r="U79" s="102">
        <v>2760</v>
      </c>
      <c r="V79" s="102">
        <v>24035</v>
      </c>
      <c r="W79" s="102">
        <v>26259</v>
      </c>
    </row>
    <row r="80" spans="2:23" x14ac:dyDescent="0.2">
      <c r="B80" s="65" t="s">
        <v>30</v>
      </c>
      <c r="C80" s="102">
        <v>947</v>
      </c>
      <c r="D80" s="102">
        <v>1346</v>
      </c>
      <c r="E80" s="102">
        <v>1712</v>
      </c>
      <c r="F80" s="102">
        <v>1528</v>
      </c>
      <c r="G80" s="102">
        <v>849</v>
      </c>
      <c r="H80" s="102">
        <v>6382</v>
      </c>
      <c r="I80" s="102">
        <v>6851</v>
      </c>
      <c r="J80" s="102">
        <v>731</v>
      </c>
      <c r="K80" s="102">
        <v>989</v>
      </c>
      <c r="L80" s="102">
        <v>998</v>
      </c>
      <c r="M80" s="102">
        <v>809</v>
      </c>
      <c r="N80" s="102">
        <v>449</v>
      </c>
      <c r="O80" s="102">
        <v>3976</v>
      </c>
      <c r="P80" s="102">
        <v>4189</v>
      </c>
      <c r="Q80" s="102">
        <v>1678</v>
      </c>
      <c r="R80" s="102">
        <v>2335</v>
      </c>
      <c r="S80" s="102">
        <v>2710</v>
      </c>
      <c r="T80" s="102">
        <v>2337</v>
      </c>
      <c r="U80" s="102">
        <v>1298</v>
      </c>
      <c r="V80" s="102">
        <v>10358</v>
      </c>
      <c r="W80" s="102">
        <v>11040</v>
      </c>
    </row>
    <row r="81" spans="2:23" x14ac:dyDescent="0.2">
      <c r="B81" s="65" t="s">
        <v>31</v>
      </c>
      <c r="C81" s="102">
        <v>1093</v>
      </c>
      <c r="D81" s="102">
        <v>1760</v>
      </c>
      <c r="E81" s="102">
        <v>2484</v>
      </c>
      <c r="F81" s="102">
        <v>2879</v>
      </c>
      <c r="G81" s="102">
        <v>3386</v>
      </c>
      <c r="H81" s="102">
        <v>11602</v>
      </c>
      <c r="I81" s="102">
        <v>13784</v>
      </c>
      <c r="J81" s="102">
        <v>1402</v>
      </c>
      <c r="K81" s="102">
        <v>1767</v>
      </c>
      <c r="L81" s="102">
        <v>1961</v>
      </c>
      <c r="M81" s="102">
        <v>1786</v>
      </c>
      <c r="N81" s="102">
        <v>1367</v>
      </c>
      <c r="O81" s="102">
        <v>8283</v>
      </c>
      <c r="P81" s="102">
        <v>9178</v>
      </c>
      <c r="Q81" s="102">
        <v>2495</v>
      </c>
      <c r="R81" s="102">
        <v>3527</v>
      </c>
      <c r="S81" s="102">
        <v>4445</v>
      </c>
      <c r="T81" s="102">
        <v>4665</v>
      </c>
      <c r="U81" s="102">
        <v>4753</v>
      </c>
      <c r="V81" s="102">
        <v>19885</v>
      </c>
      <c r="W81" s="102">
        <v>22962</v>
      </c>
    </row>
    <row r="82" spans="2:23" x14ac:dyDescent="0.2">
      <c r="B82" s="65" t="s">
        <v>32</v>
      </c>
      <c r="C82" s="102">
        <v>2653</v>
      </c>
      <c r="D82" s="102">
        <v>4038</v>
      </c>
      <c r="E82" s="102">
        <v>5733</v>
      </c>
      <c r="F82" s="102">
        <v>6221</v>
      </c>
      <c r="G82" s="102">
        <v>5541</v>
      </c>
      <c r="H82" s="102">
        <v>24186</v>
      </c>
      <c r="I82" s="102">
        <v>31036</v>
      </c>
      <c r="J82" s="102">
        <v>4079</v>
      </c>
      <c r="K82" s="102">
        <v>5456</v>
      </c>
      <c r="L82" s="102">
        <v>7299</v>
      </c>
      <c r="M82" s="102">
        <v>7183</v>
      </c>
      <c r="N82" s="102">
        <v>6051</v>
      </c>
      <c r="O82" s="102">
        <v>30068</v>
      </c>
      <c r="P82" s="102">
        <v>36694</v>
      </c>
      <c r="Q82" s="102">
        <v>6732</v>
      </c>
      <c r="R82" s="102">
        <v>9494</v>
      </c>
      <c r="S82" s="102">
        <v>13032</v>
      </c>
      <c r="T82" s="102">
        <v>13404</v>
      </c>
      <c r="U82" s="102">
        <v>11592</v>
      </c>
      <c r="V82" s="102">
        <v>54254</v>
      </c>
      <c r="W82" s="102">
        <v>67730</v>
      </c>
    </row>
    <row r="83" spans="2:23" x14ac:dyDescent="0.2">
      <c r="B83" s="65" t="s">
        <v>54</v>
      </c>
      <c r="C83" s="102">
        <v>82259</v>
      </c>
      <c r="D83" s="102">
        <v>88876</v>
      </c>
      <c r="E83" s="102">
        <v>104558</v>
      </c>
      <c r="F83" s="102">
        <v>94323</v>
      </c>
      <c r="G83" s="102">
        <v>71814</v>
      </c>
      <c r="H83" s="102">
        <v>441830</v>
      </c>
      <c r="I83" s="102">
        <v>523117</v>
      </c>
      <c r="J83" s="102">
        <v>109368</v>
      </c>
      <c r="K83" s="102">
        <v>124865</v>
      </c>
      <c r="L83" s="102">
        <v>133557</v>
      </c>
      <c r="M83" s="102">
        <v>104817</v>
      </c>
      <c r="N83" s="102">
        <v>68430</v>
      </c>
      <c r="O83" s="102">
        <v>541037</v>
      </c>
      <c r="P83" s="102">
        <v>608769</v>
      </c>
      <c r="Q83" s="102">
        <v>191627</v>
      </c>
      <c r="R83" s="102">
        <v>213741</v>
      </c>
      <c r="S83" s="102">
        <v>238115</v>
      </c>
      <c r="T83" s="102">
        <v>199140</v>
      </c>
      <c r="U83" s="102">
        <v>140244</v>
      </c>
      <c r="V83" s="102">
        <v>982867</v>
      </c>
      <c r="W83" s="102">
        <v>1131886</v>
      </c>
    </row>
    <row r="87" spans="2:23" x14ac:dyDescent="0.2">
      <c r="D87" s="102"/>
      <c r="E87" s="102"/>
      <c r="F87" s="102"/>
      <c r="G87" s="102"/>
      <c r="H87" s="102"/>
      <c r="I87" s="102"/>
      <c r="J87" s="102"/>
      <c r="K87" s="102"/>
    </row>
    <row r="88" spans="2:23" x14ac:dyDescent="0.2">
      <c r="D88" s="102"/>
      <c r="E88" s="102"/>
      <c r="F88" s="102"/>
      <c r="G88" s="102"/>
      <c r="H88" s="102"/>
      <c r="I88" s="102"/>
      <c r="J88" s="102"/>
      <c r="K88" s="102"/>
    </row>
    <row r="89" spans="2:23" x14ac:dyDescent="0.2">
      <c r="D89" s="102"/>
      <c r="E89" s="102"/>
      <c r="F89" s="102"/>
      <c r="G89" s="102"/>
      <c r="H89" s="102"/>
      <c r="I89" s="102"/>
      <c r="J89" s="102"/>
      <c r="K89" s="102"/>
    </row>
    <row r="90" spans="2:23" x14ac:dyDescent="0.2">
      <c r="D90" s="102"/>
      <c r="E90" s="102"/>
      <c r="F90" s="102"/>
      <c r="G90" s="102"/>
      <c r="H90" s="102"/>
      <c r="I90" s="102"/>
      <c r="J90" s="102"/>
      <c r="K90" s="102"/>
    </row>
    <row r="91" spans="2:23" x14ac:dyDescent="0.2">
      <c r="D91" s="102"/>
      <c r="E91" s="102"/>
      <c r="F91" s="102"/>
      <c r="G91" s="102"/>
      <c r="H91" s="102"/>
      <c r="I91" s="102"/>
      <c r="J91" s="102"/>
      <c r="K91" s="102"/>
    </row>
    <row r="92" spans="2:23" x14ac:dyDescent="0.2">
      <c r="D92" s="102"/>
      <c r="E92" s="102"/>
      <c r="F92" s="102"/>
      <c r="G92" s="102"/>
      <c r="H92" s="102"/>
      <c r="I92" s="102"/>
      <c r="J92" s="102"/>
      <c r="K92" s="102"/>
    </row>
    <row r="93" spans="2:23" x14ac:dyDescent="0.2">
      <c r="D93" s="102"/>
      <c r="E93" s="102"/>
      <c r="F93" s="102"/>
      <c r="G93" s="102"/>
      <c r="H93" s="102"/>
      <c r="I93" s="102"/>
      <c r="J93" s="102"/>
      <c r="K93" s="102"/>
    </row>
    <row r="94" spans="2:23" x14ac:dyDescent="0.2">
      <c r="D94" s="102"/>
      <c r="E94" s="102"/>
      <c r="F94" s="102"/>
      <c r="G94" s="102"/>
      <c r="H94" s="102"/>
      <c r="I94" s="102"/>
      <c r="J94" s="102"/>
      <c r="K94" s="102"/>
    </row>
    <row r="95" spans="2:23" x14ac:dyDescent="0.2">
      <c r="D95" s="102"/>
      <c r="E95" s="102"/>
      <c r="F95" s="102"/>
      <c r="G95" s="102"/>
      <c r="H95" s="102"/>
      <c r="I95" s="102"/>
      <c r="J95" s="102"/>
      <c r="K95" s="102"/>
    </row>
    <row r="96" spans="2:23" x14ac:dyDescent="0.2">
      <c r="D96" s="102"/>
      <c r="E96" s="102"/>
      <c r="F96" s="102"/>
      <c r="G96" s="102"/>
      <c r="H96" s="102"/>
      <c r="I96" s="102"/>
      <c r="J96" s="102"/>
      <c r="K96" s="102"/>
    </row>
    <row r="97" spans="4:11" x14ac:dyDescent="0.2">
      <c r="D97" s="102"/>
      <c r="E97" s="102"/>
      <c r="F97" s="102"/>
      <c r="G97" s="102"/>
      <c r="H97" s="102"/>
      <c r="I97" s="102"/>
      <c r="J97" s="102"/>
      <c r="K97" s="102"/>
    </row>
    <row r="98" spans="4:11" x14ac:dyDescent="0.2">
      <c r="D98" s="102"/>
      <c r="E98" s="102"/>
      <c r="F98" s="102"/>
      <c r="G98" s="102"/>
      <c r="H98" s="102"/>
      <c r="I98" s="102"/>
      <c r="J98" s="102"/>
      <c r="K98" s="102"/>
    </row>
    <row r="99" spans="4:11" x14ac:dyDescent="0.2">
      <c r="D99" s="102"/>
      <c r="E99" s="102"/>
      <c r="F99" s="102"/>
      <c r="G99" s="102"/>
      <c r="H99" s="102"/>
      <c r="I99" s="102"/>
      <c r="J99" s="102"/>
      <c r="K99" s="102"/>
    </row>
    <row r="100" spans="4:11" x14ac:dyDescent="0.2">
      <c r="D100" s="102"/>
      <c r="E100" s="102"/>
      <c r="F100" s="102"/>
      <c r="G100" s="102"/>
      <c r="H100" s="102"/>
      <c r="I100" s="102"/>
      <c r="J100" s="102"/>
      <c r="K100" s="102"/>
    </row>
    <row r="101" spans="4:11" x14ac:dyDescent="0.2">
      <c r="D101" s="102"/>
      <c r="E101" s="102"/>
      <c r="F101" s="102"/>
      <c r="G101" s="102"/>
      <c r="H101" s="102"/>
      <c r="I101" s="102"/>
      <c r="J101" s="102"/>
      <c r="K101" s="102"/>
    </row>
    <row r="102" spans="4:11" x14ac:dyDescent="0.2">
      <c r="D102" s="102"/>
      <c r="E102" s="102"/>
      <c r="F102" s="102"/>
      <c r="G102" s="102"/>
      <c r="H102" s="102"/>
      <c r="I102" s="102"/>
      <c r="J102" s="102"/>
      <c r="K102" s="102"/>
    </row>
    <row r="103" spans="4:11" x14ac:dyDescent="0.2">
      <c r="D103" s="102"/>
      <c r="E103" s="102"/>
      <c r="F103" s="102"/>
      <c r="G103" s="102"/>
      <c r="H103" s="102"/>
      <c r="I103" s="102"/>
      <c r="J103" s="102"/>
      <c r="K103" s="102"/>
    </row>
    <row r="104" spans="4:11" x14ac:dyDescent="0.2">
      <c r="D104" s="102"/>
      <c r="E104" s="102"/>
      <c r="F104" s="102"/>
      <c r="G104" s="102"/>
      <c r="H104" s="102"/>
      <c r="I104" s="102"/>
      <c r="J104" s="102"/>
      <c r="K104" s="102"/>
    </row>
    <row r="105" spans="4:11" x14ac:dyDescent="0.2">
      <c r="D105" s="102"/>
      <c r="E105" s="102"/>
      <c r="F105" s="102"/>
      <c r="G105" s="102"/>
      <c r="H105" s="102"/>
      <c r="I105" s="102"/>
      <c r="J105" s="102"/>
      <c r="K105" s="102"/>
    </row>
    <row r="106" spans="4:11" x14ac:dyDescent="0.2">
      <c r="D106" s="102"/>
      <c r="E106" s="102"/>
      <c r="F106" s="102"/>
      <c r="G106" s="102"/>
      <c r="H106" s="102"/>
      <c r="I106" s="102"/>
      <c r="J106" s="102"/>
      <c r="K106" s="102"/>
    </row>
    <row r="107" spans="4:11" x14ac:dyDescent="0.2">
      <c r="D107" s="102"/>
      <c r="E107" s="102"/>
      <c r="F107" s="102"/>
      <c r="G107" s="102"/>
      <c r="H107" s="102"/>
      <c r="I107" s="102"/>
      <c r="J107" s="102"/>
      <c r="K107" s="102"/>
    </row>
    <row r="108" spans="4:11" x14ac:dyDescent="0.2">
      <c r="D108" s="102"/>
      <c r="E108" s="102"/>
      <c r="F108" s="102"/>
      <c r="G108" s="102"/>
      <c r="H108" s="102"/>
      <c r="I108" s="102"/>
      <c r="J108" s="102"/>
      <c r="K108" s="102"/>
    </row>
    <row r="109" spans="4:11" x14ac:dyDescent="0.2">
      <c r="D109" s="102"/>
      <c r="E109" s="102"/>
      <c r="F109" s="102"/>
      <c r="G109" s="102"/>
      <c r="H109" s="102"/>
      <c r="I109" s="102"/>
      <c r="J109" s="102"/>
      <c r="K109" s="102"/>
    </row>
    <row r="110" spans="4:11" x14ac:dyDescent="0.2">
      <c r="D110" s="102"/>
      <c r="E110" s="102"/>
      <c r="F110" s="102"/>
      <c r="G110" s="102"/>
      <c r="H110" s="102"/>
      <c r="I110" s="102"/>
      <c r="J110" s="102"/>
      <c r="K110" s="102"/>
    </row>
    <row r="111" spans="4:11" x14ac:dyDescent="0.2">
      <c r="D111" s="102"/>
      <c r="E111" s="102"/>
      <c r="F111" s="102"/>
      <c r="G111" s="102"/>
      <c r="H111" s="102"/>
      <c r="I111" s="102"/>
      <c r="J111" s="102"/>
      <c r="K111" s="102"/>
    </row>
    <row r="112" spans="4:11" x14ac:dyDescent="0.2">
      <c r="D112" s="102"/>
      <c r="E112" s="102"/>
      <c r="F112" s="102"/>
      <c r="G112" s="102"/>
      <c r="H112" s="102"/>
      <c r="I112" s="102"/>
      <c r="J112" s="102"/>
      <c r="K112" s="102"/>
    </row>
    <row r="113" spans="4:11" x14ac:dyDescent="0.2">
      <c r="D113" s="102"/>
      <c r="E113" s="102"/>
      <c r="F113" s="102"/>
      <c r="G113" s="102"/>
      <c r="H113" s="102"/>
      <c r="I113" s="102"/>
      <c r="J113" s="102"/>
      <c r="K113" s="102"/>
    </row>
    <row r="114" spans="4:11" x14ac:dyDescent="0.2">
      <c r="D114" s="102"/>
      <c r="E114" s="102"/>
      <c r="F114" s="102"/>
      <c r="G114" s="102"/>
      <c r="H114" s="102"/>
      <c r="I114" s="102"/>
      <c r="J114" s="102"/>
      <c r="K114" s="102"/>
    </row>
    <row r="115" spans="4:11" x14ac:dyDescent="0.2">
      <c r="D115" s="102"/>
      <c r="E115" s="102"/>
      <c r="F115" s="102"/>
      <c r="G115" s="102"/>
      <c r="H115" s="102"/>
      <c r="I115" s="102"/>
      <c r="J115" s="102"/>
      <c r="K115" s="102"/>
    </row>
    <row r="116" spans="4:11" x14ac:dyDescent="0.2">
      <c r="D116" s="102"/>
      <c r="E116" s="102"/>
      <c r="F116" s="102"/>
      <c r="G116" s="102"/>
      <c r="H116" s="102"/>
      <c r="I116" s="102"/>
      <c r="J116" s="102"/>
      <c r="K116" s="102"/>
    </row>
    <row r="117" spans="4:11" x14ac:dyDescent="0.2">
      <c r="D117" s="102"/>
      <c r="E117" s="102"/>
      <c r="F117" s="102"/>
      <c r="G117" s="102"/>
      <c r="H117" s="102"/>
      <c r="I117" s="102"/>
      <c r="J117" s="102"/>
      <c r="K117" s="102"/>
    </row>
    <row r="118" spans="4:11" x14ac:dyDescent="0.2">
      <c r="D118" s="102"/>
      <c r="E118" s="102"/>
      <c r="F118" s="102"/>
      <c r="G118" s="102"/>
      <c r="H118" s="102"/>
      <c r="I118" s="102"/>
      <c r="J118" s="102"/>
      <c r="K118" s="102"/>
    </row>
    <row r="119" spans="4:11" x14ac:dyDescent="0.2">
      <c r="D119" s="102"/>
      <c r="E119" s="102"/>
      <c r="F119" s="102"/>
      <c r="G119" s="102"/>
      <c r="H119" s="102"/>
      <c r="I119" s="102"/>
      <c r="J119" s="102"/>
      <c r="K119" s="102"/>
    </row>
    <row r="120" spans="4:11" x14ac:dyDescent="0.2">
      <c r="D120" s="102"/>
      <c r="E120" s="102"/>
      <c r="F120" s="102"/>
      <c r="G120" s="102"/>
      <c r="H120" s="102"/>
      <c r="I120" s="102"/>
      <c r="J120" s="102"/>
      <c r="K120" s="102"/>
    </row>
    <row r="121" spans="4:11" x14ac:dyDescent="0.2">
      <c r="D121" s="102"/>
      <c r="E121" s="102"/>
      <c r="F121" s="102"/>
      <c r="G121" s="102"/>
      <c r="H121" s="102"/>
      <c r="I121" s="102"/>
      <c r="J121" s="102"/>
      <c r="K121" s="102"/>
    </row>
    <row r="122" spans="4:11" x14ac:dyDescent="0.2">
      <c r="D122" s="102"/>
      <c r="E122" s="102"/>
      <c r="F122" s="102"/>
      <c r="G122" s="102"/>
      <c r="H122" s="102"/>
      <c r="I122" s="102"/>
      <c r="J122" s="102"/>
      <c r="K122" s="102"/>
    </row>
    <row r="123" spans="4:11" x14ac:dyDescent="0.2">
      <c r="D123" s="102"/>
      <c r="E123" s="102"/>
      <c r="F123" s="102"/>
      <c r="G123" s="102"/>
      <c r="H123" s="102"/>
      <c r="I123" s="102"/>
      <c r="J123" s="102"/>
      <c r="K123" s="102"/>
    </row>
    <row r="124" spans="4:11" x14ac:dyDescent="0.2">
      <c r="D124" s="102"/>
      <c r="E124" s="102"/>
      <c r="F124" s="102"/>
      <c r="G124" s="102"/>
      <c r="H124" s="102"/>
      <c r="I124" s="102"/>
      <c r="J124" s="102"/>
      <c r="K124" s="102"/>
    </row>
    <row r="125" spans="4:11" x14ac:dyDescent="0.2">
      <c r="D125" s="102"/>
      <c r="E125" s="102"/>
      <c r="F125" s="102"/>
      <c r="G125" s="102"/>
      <c r="H125" s="102"/>
      <c r="I125" s="102"/>
      <c r="J125" s="102"/>
      <c r="K125" s="102"/>
    </row>
    <row r="126" spans="4:11" x14ac:dyDescent="0.2">
      <c r="D126" s="102"/>
      <c r="E126" s="102"/>
      <c r="F126" s="102"/>
      <c r="G126" s="102"/>
      <c r="H126" s="102"/>
      <c r="I126" s="102"/>
      <c r="J126" s="102"/>
      <c r="K126" s="102"/>
    </row>
    <row r="127" spans="4:11" x14ac:dyDescent="0.2">
      <c r="D127" s="102"/>
      <c r="E127" s="102"/>
      <c r="F127" s="102"/>
      <c r="G127" s="102"/>
      <c r="H127" s="102"/>
      <c r="I127" s="102"/>
      <c r="J127" s="102"/>
      <c r="K127" s="102"/>
    </row>
    <row r="128" spans="4:11" x14ac:dyDescent="0.2">
      <c r="D128" s="102"/>
      <c r="E128" s="102"/>
      <c r="F128" s="102"/>
      <c r="G128" s="102"/>
      <c r="H128" s="102"/>
      <c r="I128" s="102"/>
      <c r="J128" s="102"/>
      <c r="K128" s="102"/>
    </row>
    <row r="129" spans="4:11" x14ac:dyDescent="0.2">
      <c r="D129" s="102"/>
      <c r="E129" s="102"/>
      <c r="F129" s="102"/>
      <c r="G129" s="102"/>
      <c r="H129" s="102"/>
      <c r="I129" s="102"/>
      <c r="J129" s="102"/>
      <c r="K129" s="102"/>
    </row>
    <row r="130" spans="4:11" x14ac:dyDescent="0.2">
      <c r="D130" s="102"/>
      <c r="E130" s="102"/>
      <c r="F130" s="102"/>
      <c r="G130" s="102"/>
      <c r="H130" s="102"/>
      <c r="I130" s="102"/>
      <c r="J130" s="102"/>
      <c r="K130" s="102"/>
    </row>
    <row r="131" spans="4:11" x14ac:dyDescent="0.2">
      <c r="D131" s="102"/>
      <c r="E131" s="102"/>
      <c r="F131" s="102"/>
      <c r="G131" s="102"/>
      <c r="H131" s="102"/>
      <c r="I131" s="102"/>
      <c r="J131" s="102"/>
      <c r="K131" s="102"/>
    </row>
    <row r="132" spans="4:11" x14ac:dyDescent="0.2">
      <c r="D132" s="102"/>
      <c r="E132" s="102"/>
      <c r="F132" s="102"/>
      <c r="G132" s="102"/>
      <c r="H132" s="102"/>
      <c r="I132" s="102"/>
      <c r="J132" s="102"/>
      <c r="K132" s="102"/>
    </row>
    <row r="133" spans="4:11" x14ac:dyDescent="0.2">
      <c r="D133" s="102"/>
      <c r="E133" s="102"/>
      <c r="F133" s="102"/>
      <c r="G133" s="102"/>
      <c r="H133" s="102"/>
      <c r="I133" s="102"/>
      <c r="J133" s="102"/>
      <c r="K133" s="102"/>
    </row>
    <row r="134" spans="4:11" x14ac:dyDescent="0.2">
      <c r="D134" s="102"/>
      <c r="E134" s="102"/>
      <c r="F134" s="102"/>
      <c r="G134" s="102"/>
      <c r="H134" s="102"/>
      <c r="I134" s="102"/>
      <c r="J134" s="102"/>
      <c r="K134" s="102"/>
    </row>
    <row r="135" spans="4:11" x14ac:dyDescent="0.2">
      <c r="D135" s="102"/>
      <c r="E135" s="102"/>
      <c r="F135" s="102"/>
      <c r="G135" s="102"/>
      <c r="H135" s="102"/>
      <c r="I135" s="102"/>
      <c r="J135" s="102"/>
      <c r="K135" s="102"/>
    </row>
    <row r="136" spans="4:11" x14ac:dyDescent="0.2">
      <c r="D136" s="102"/>
      <c r="E136" s="102"/>
      <c r="F136" s="102"/>
      <c r="G136" s="102"/>
      <c r="H136" s="102"/>
      <c r="I136" s="102"/>
      <c r="J136" s="102"/>
      <c r="K136" s="102"/>
    </row>
    <row r="137" spans="4:11" x14ac:dyDescent="0.2">
      <c r="D137" s="102"/>
      <c r="E137" s="102"/>
      <c r="F137" s="102"/>
      <c r="G137" s="102"/>
      <c r="H137" s="102"/>
      <c r="I137" s="102"/>
      <c r="J137" s="102"/>
      <c r="K137" s="102"/>
    </row>
    <row r="138" spans="4:11" x14ac:dyDescent="0.2">
      <c r="D138" s="102"/>
      <c r="E138" s="102"/>
      <c r="F138" s="102"/>
      <c r="G138" s="102"/>
      <c r="H138" s="102"/>
      <c r="I138" s="102"/>
      <c r="J138" s="102"/>
      <c r="K138" s="102"/>
    </row>
    <row r="139" spans="4:11" x14ac:dyDescent="0.2">
      <c r="D139" s="102"/>
      <c r="E139" s="102"/>
      <c r="F139" s="102"/>
      <c r="G139" s="102"/>
      <c r="H139" s="102"/>
      <c r="I139" s="102"/>
      <c r="J139" s="102"/>
      <c r="K139" s="102"/>
    </row>
    <row r="140" spans="4:11" x14ac:dyDescent="0.2">
      <c r="D140" s="102"/>
      <c r="E140" s="102"/>
      <c r="F140" s="102"/>
      <c r="G140" s="102"/>
      <c r="H140" s="102"/>
      <c r="I140" s="102"/>
      <c r="J140" s="102"/>
      <c r="K140" s="102"/>
    </row>
    <row r="141" spans="4:11" x14ac:dyDescent="0.2">
      <c r="D141" s="102"/>
      <c r="E141" s="102"/>
      <c r="F141" s="102"/>
      <c r="G141" s="102"/>
      <c r="H141" s="102"/>
      <c r="I141" s="102"/>
      <c r="J141" s="102"/>
      <c r="K141" s="102"/>
    </row>
    <row r="142" spans="4:11" x14ac:dyDescent="0.2">
      <c r="D142" s="102"/>
      <c r="E142" s="102"/>
      <c r="F142" s="102"/>
      <c r="G142" s="102"/>
      <c r="H142" s="102"/>
      <c r="I142" s="102"/>
      <c r="J142" s="102"/>
      <c r="K142" s="102"/>
    </row>
    <row r="143" spans="4:11" x14ac:dyDescent="0.2">
      <c r="D143" s="102"/>
      <c r="E143" s="102"/>
      <c r="F143" s="102"/>
      <c r="G143" s="102"/>
      <c r="H143" s="102"/>
      <c r="I143" s="102"/>
      <c r="J143" s="102"/>
      <c r="K143" s="102"/>
    </row>
    <row r="144" spans="4:11" x14ac:dyDescent="0.2">
      <c r="D144" s="102"/>
      <c r="E144" s="102"/>
      <c r="F144" s="102"/>
      <c r="G144" s="102"/>
      <c r="H144" s="102"/>
      <c r="I144" s="102"/>
      <c r="J144" s="102"/>
      <c r="K144" s="102"/>
    </row>
    <row r="145" spans="4:16" x14ac:dyDescent="0.2">
      <c r="D145" s="102"/>
      <c r="E145" s="102"/>
      <c r="F145" s="102"/>
      <c r="G145" s="102"/>
      <c r="H145" s="102"/>
      <c r="I145" s="102"/>
      <c r="J145" s="102"/>
      <c r="K145" s="102"/>
    </row>
    <row r="146" spans="4:16" x14ac:dyDescent="0.2">
      <c r="D146" s="102"/>
      <c r="E146" s="102"/>
      <c r="F146" s="102"/>
      <c r="G146" s="102"/>
      <c r="H146" s="102"/>
      <c r="I146" s="102"/>
      <c r="J146" s="102"/>
      <c r="K146" s="102"/>
    </row>
    <row r="147" spans="4:16" x14ac:dyDescent="0.2">
      <c r="D147" s="102"/>
      <c r="E147" s="102"/>
      <c r="F147" s="102"/>
      <c r="G147" s="102"/>
      <c r="H147" s="102"/>
      <c r="I147" s="102"/>
      <c r="J147" s="102"/>
      <c r="K147" s="102"/>
    </row>
    <row r="148" spans="4:16" x14ac:dyDescent="0.2">
      <c r="D148" s="102"/>
      <c r="E148" s="102"/>
      <c r="F148" s="102"/>
      <c r="G148" s="102"/>
      <c r="H148" s="102"/>
      <c r="I148" s="102"/>
      <c r="J148" s="102"/>
      <c r="K148" s="102"/>
    </row>
    <row r="149" spans="4:16" x14ac:dyDescent="0.2">
      <c r="D149" s="102"/>
      <c r="E149" s="102"/>
      <c r="F149" s="102"/>
      <c r="G149" s="102"/>
      <c r="H149" s="102"/>
      <c r="I149" s="102"/>
      <c r="J149" s="102"/>
      <c r="K149" s="102"/>
    </row>
    <row r="150" spans="4:16" x14ac:dyDescent="0.2">
      <c r="D150" s="102"/>
      <c r="E150" s="102"/>
      <c r="F150" s="102"/>
      <c r="G150" s="102"/>
      <c r="H150" s="102"/>
      <c r="I150" s="102"/>
      <c r="J150" s="102"/>
      <c r="K150" s="102"/>
    </row>
    <row r="151" spans="4:16" x14ac:dyDescent="0.2">
      <c r="D151" s="102"/>
      <c r="E151" s="102"/>
      <c r="F151" s="102"/>
      <c r="G151" s="102"/>
      <c r="H151" s="102"/>
      <c r="I151" s="102"/>
      <c r="J151" s="102"/>
      <c r="K151" s="102"/>
    </row>
    <row r="152" spans="4:16" x14ac:dyDescent="0.2">
      <c r="D152" s="102"/>
      <c r="E152" s="102"/>
      <c r="F152" s="102"/>
      <c r="G152" s="102"/>
      <c r="H152" s="102"/>
      <c r="I152" s="102"/>
      <c r="J152" s="102"/>
      <c r="K152" s="102"/>
    </row>
    <row r="153" spans="4:16" x14ac:dyDescent="0.2">
      <c r="D153" s="102"/>
      <c r="E153" s="102"/>
      <c r="F153" s="102"/>
      <c r="G153" s="102"/>
      <c r="H153" s="102"/>
      <c r="I153" s="102"/>
      <c r="J153" s="102"/>
      <c r="K153" s="102"/>
    </row>
    <row r="154" spans="4:16" x14ac:dyDescent="0.2">
      <c r="D154" s="102"/>
      <c r="E154" s="102"/>
      <c r="F154" s="102"/>
      <c r="G154" s="102"/>
      <c r="H154" s="102"/>
      <c r="I154" s="102"/>
      <c r="J154" s="102"/>
      <c r="K154" s="102"/>
    </row>
    <row r="155" spans="4:16" x14ac:dyDescent="0.2">
      <c r="D155" s="102"/>
      <c r="E155" s="102"/>
      <c r="F155" s="102"/>
      <c r="G155" s="102"/>
      <c r="H155" s="102"/>
      <c r="I155" s="102"/>
      <c r="J155" s="102"/>
      <c r="K155" s="102"/>
    </row>
    <row r="156" spans="4:16" x14ac:dyDescent="0.2">
      <c r="D156" s="102"/>
      <c r="E156" s="102"/>
      <c r="F156" s="102"/>
      <c r="G156" s="102"/>
      <c r="H156" s="102"/>
      <c r="I156" s="102"/>
      <c r="J156" s="102"/>
      <c r="K156" s="102"/>
    </row>
    <row r="157" spans="4:16" x14ac:dyDescent="0.2">
      <c r="D157" s="102"/>
      <c r="E157" s="102"/>
      <c r="F157" s="102"/>
      <c r="G157" s="102"/>
      <c r="H157" s="102"/>
      <c r="I157" s="102"/>
      <c r="J157" s="102"/>
      <c r="K157" s="102"/>
      <c r="L157" s="102"/>
      <c r="M157" s="102"/>
      <c r="N157" s="102"/>
      <c r="O157" s="102"/>
      <c r="P157" s="102"/>
    </row>
    <row r="158" spans="4:16" x14ac:dyDescent="0.2">
      <c r="D158" s="102"/>
      <c r="E158" s="102"/>
      <c r="F158" s="102"/>
      <c r="G158" s="102"/>
      <c r="H158" s="102"/>
      <c r="I158" s="102"/>
      <c r="J158" s="102"/>
      <c r="K158" s="102"/>
      <c r="L158" s="102"/>
      <c r="M158" s="102"/>
      <c r="N158" s="102"/>
      <c r="O158" s="102"/>
      <c r="P158" s="102"/>
    </row>
    <row r="159" spans="4:16" x14ac:dyDescent="0.2">
      <c r="D159" s="102"/>
      <c r="E159" s="102"/>
      <c r="F159" s="102"/>
      <c r="G159" s="102"/>
      <c r="H159" s="102"/>
      <c r="I159" s="102"/>
      <c r="J159" s="102"/>
      <c r="K159" s="102"/>
      <c r="L159" s="102"/>
      <c r="M159" s="102"/>
      <c r="N159" s="102"/>
      <c r="O159" s="102"/>
      <c r="P159" s="102"/>
    </row>
    <row r="160" spans="4:16" x14ac:dyDescent="0.2">
      <c r="D160" s="102"/>
      <c r="E160" s="102"/>
      <c r="F160" s="102"/>
      <c r="G160" s="102"/>
      <c r="H160" s="102"/>
      <c r="I160" s="102"/>
      <c r="J160" s="102"/>
      <c r="K160" s="102"/>
      <c r="L160" s="102"/>
      <c r="M160" s="102"/>
      <c r="N160" s="102"/>
      <c r="O160" s="102"/>
      <c r="P160" s="102"/>
    </row>
    <row r="161" spans="4:16" x14ac:dyDescent="0.2">
      <c r="D161" s="102"/>
      <c r="E161" s="102"/>
      <c r="F161" s="102"/>
      <c r="G161" s="102"/>
      <c r="H161" s="102"/>
      <c r="I161" s="102"/>
      <c r="J161" s="102"/>
      <c r="K161" s="102"/>
      <c r="L161" s="102"/>
      <c r="M161" s="102"/>
      <c r="N161" s="102"/>
      <c r="O161" s="102"/>
      <c r="P161" s="102"/>
    </row>
    <row r="162" spans="4:16" x14ac:dyDescent="0.2">
      <c r="D162" s="102"/>
      <c r="E162" s="102"/>
      <c r="F162" s="102"/>
      <c r="G162" s="102"/>
      <c r="H162" s="102"/>
      <c r="I162" s="102"/>
      <c r="J162" s="102"/>
      <c r="K162" s="102"/>
      <c r="L162" s="102"/>
      <c r="M162" s="102"/>
      <c r="N162" s="102"/>
      <c r="O162" s="102"/>
      <c r="P162" s="102"/>
    </row>
    <row r="163" spans="4:16" x14ac:dyDescent="0.2">
      <c r="D163" s="102"/>
      <c r="E163" s="102"/>
      <c r="F163" s="102"/>
      <c r="G163" s="102"/>
      <c r="H163" s="102"/>
      <c r="I163" s="102"/>
      <c r="J163" s="102"/>
      <c r="K163" s="102"/>
      <c r="L163" s="102"/>
      <c r="M163" s="102"/>
      <c r="N163" s="102"/>
      <c r="O163" s="102"/>
      <c r="P163" s="102"/>
    </row>
    <row r="164" spans="4:16" x14ac:dyDescent="0.2">
      <c r="D164" s="102"/>
      <c r="E164" s="102"/>
      <c r="F164" s="102"/>
      <c r="G164" s="102"/>
      <c r="H164" s="102"/>
      <c r="I164" s="102"/>
      <c r="J164" s="102"/>
      <c r="K164" s="102"/>
      <c r="L164" s="102"/>
      <c r="M164" s="102"/>
      <c r="N164" s="102"/>
      <c r="O164" s="102"/>
      <c r="P164" s="102"/>
    </row>
    <row r="165" spans="4:16" x14ac:dyDescent="0.2">
      <c r="D165" s="102"/>
      <c r="E165" s="102"/>
      <c r="F165" s="102"/>
      <c r="G165" s="102"/>
      <c r="H165" s="102"/>
      <c r="I165" s="102"/>
      <c r="J165" s="102"/>
      <c r="K165" s="102"/>
      <c r="L165" s="102"/>
      <c r="M165" s="102"/>
      <c r="N165" s="102"/>
      <c r="O165" s="102"/>
      <c r="P165" s="102"/>
    </row>
    <row r="166" spans="4:16" x14ac:dyDescent="0.2">
      <c r="D166" s="102"/>
      <c r="E166" s="102"/>
      <c r="F166" s="102"/>
      <c r="G166" s="102"/>
      <c r="H166" s="102"/>
      <c r="I166" s="102"/>
      <c r="J166" s="102"/>
      <c r="K166" s="102"/>
      <c r="L166" s="102"/>
      <c r="M166" s="102"/>
      <c r="N166" s="102"/>
      <c r="O166" s="102"/>
      <c r="P166" s="102"/>
    </row>
    <row r="167" spans="4:16" x14ac:dyDescent="0.2">
      <c r="D167" s="102"/>
      <c r="E167" s="102"/>
      <c r="F167" s="102"/>
      <c r="G167" s="102"/>
      <c r="H167" s="102"/>
      <c r="I167" s="102"/>
      <c r="J167" s="102"/>
      <c r="K167" s="102"/>
      <c r="L167" s="102"/>
      <c r="M167" s="102"/>
      <c r="N167" s="102"/>
      <c r="O167" s="102"/>
      <c r="P167" s="102"/>
    </row>
    <row r="168" spans="4:16" x14ac:dyDescent="0.2">
      <c r="D168" s="102"/>
      <c r="E168" s="102"/>
      <c r="F168" s="102"/>
      <c r="G168" s="102"/>
      <c r="H168" s="102"/>
      <c r="I168" s="102"/>
      <c r="J168" s="102"/>
      <c r="K168" s="102"/>
      <c r="L168" s="102"/>
      <c r="M168" s="102"/>
      <c r="N168" s="102"/>
      <c r="O168" s="102"/>
      <c r="P168" s="102"/>
    </row>
    <row r="169" spans="4:16" x14ac:dyDescent="0.2">
      <c r="D169" s="102"/>
      <c r="E169" s="102"/>
      <c r="F169" s="102"/>
      <c r="G169" s="102"/>
      <c r="H169" s="102"/>
      <c r="I169" s="102"/>
      <c r="J169" s="102"/>
      <c r="K169" s="102"/>
      <c r="L169" s="102"/>
      <c r="M169" s="102"/>
      <c r="N169" s="102"/>
      <c r="O169" s="102"/>
      <c r="P169" s="102"/>
    </row>
    <row r="170" spans="4:16" x14ac:dyDescent="0.2">
      <c r="D170" s="102"/>
      <c r="E170" s="102"/>
      <c r="F170" s="102"/>
      <c r="G170" s="102"/>
      <c r="H170" s="102"/>
      <c r="I170" s="102"/>
      <c r="J170" s="102"/>
      <c r="K170" s="102"/>
      <c r="L170" s="102"/>
      <c r="M170" s="102"/>
      <c r="N170" s="102"/>
      <c r="O170" s="102"/>
      <c r="P170" s="102"/>
    </row>
    <row r="171" spans="4:16" x14ac:dyDescent="0.2">
      <c r="D171" s="102"/>
      <c r="E171" s="102"/>
      <c r="F171" s="102"/>
      <c r="G171" s="102"/>
      <c r="H171" s="102"/>
      <c r="I171" s="102"/>
      <c r="J171" s="102"/>
      <c r="K171" s="102"/>
      <c r="L171" s="102"/>
      <c r="M171" s="102"/>
      <c r="N171" s="102"/>
      <c r="O171" s="102"/>
      <c r="P171" s="102"/>
    </row>
    <row r="172" spans="4:16" x14ac:dyDescent="0.2">
      <c r="D172" s="102"/>
      <c r="E172" s="102"/>
      <c r="F172" s="102"/>
      <c r="G172" s="102"/>
      <c r="H172" s="102"/>
      <c r="I172" s="102"/>
      <c r="J172" s="102"/>
      <c r="K172" s="102"/>
      <c r="L172" s="102"/>
      <c r="M172" s="102"/>
      <c r="N172" s="102"/>
      <c r="O172" s="102"/>
      <c r="P172" s="102"/>
    </row>
    <row r="173" spans="4:16" x14ac:dyDescent="0.2">
      <c r="D173" s="102"/>
      <c r="E173" s="102"/>
      <c r="F173" s="102"/>
      <c r="G173" s="102"/>
      <c r="H173" s="102"/>
      <c r="I173" s="102"/>
      <c r="J173" s="102"/>
      <c r="K173" s="102"/>
      <c r="L173" s="102"/>
      <c r="M173" s="102"/>
      <c r="N173" s="102"/>
      <c r="O173" s="102"/>
      <c r="P173" s="102"/>
    </row>
    <row r="174" spans="4:16" x14ac:dyDescent="0.2">
      <c r="D174" s="102"/>
      <c r="E174" s="102"/>
      <c r="F174" s="102"/>
      <c r="G174" s="102"/>
      <c r="H174" s="102"/>
      <c r="I174" s="102"/>
      <c r="J174" s="102"/>
      <c r="K174" s="102"/>
      <c r="L174" s="102"/>
      <c r="M174" s="102"/>
      <c r="N174" s="102"/>
      <c r="O174" s="102"/>
      <c r="P174" s="102"/>
    </row>
    <row r="175" spans="4:16" x14ac:dyDescent="0.2">
      <c r="D175" s="102"/>
      <c r="E175" s="102"/>
      <c r="F175" s="102"/>
      <c r="G175" s="102"/>
      <c r="H175" s="102"/>
      <c r="I175" s="102"/>
      <c r="J175" s="102"/>
      <c r="K175" s="102"/>
      <c r="L175" s="102"/>
      <c r="M175" s="102"/>
      <c r="N175" s="102"/>
      <c r="O175" s="102"/>
      <c r="P175" s="102"/>
    </row>
    <row r="176" spans="4:16" x14ac:dyDescent="0.2">
      <c r="D176" s="102"/>
      <c r="E176" s="102"/>
      <c r="F176" s="102"/>
      <c r="G176" s="102"/>
      <c r="H176" s="102"/>
      <c r="I176" s="102"/>
      <c r="J176" s="102"/>
      <c r="K176" s="102"/>
      <c r="L176" s="102"/>
      <c r="M176" s="102"/>
      <c r="N176" s="102"/>
      <c r="O176" s="102"/>
      <c r="P176" s="102"/>
    </row>
    <row r="177" spans="4:16" x14ac:dyDescent="0.2">
      <c r="D177" s="102"/>
      <c r="E177" s="102"/>
      <c r="F177" s="102"/>
      <c r="G177" s="102"/>
      <c r="H177" s="102"/>
      <c r="I177" s="102"/>
      <c r="J177" s="102"/>
      <c r="K177" s="102"/>
      <c r="L177" s="102"/>
      <c r="M177" s="102"/>
      <c r="N177" s="102"/>
      <c r="O177" s="102"/>
      <c r="P177" s="102"/>
    </row>
    <row r="178" spans="4:16" x14ac:dyDescent="0.2">
      <c r="D178" s="102"/>
      <c r="E178" s="102"/>
      <c r="F178" s="102"/>
      <c r="G178" s="102"/>
      <c r="H178" s="102"/>
      <c r="I178" s="102"/>
      <c r="J178" s="102"/>
      <c r="K178" s="102"/>
      <c r="L178" s="102"/>
      <c r="M178" s="102"/>
      <c r="N178" s="102"/>
      <c r="O178" s="102"/>
      <c r="P178" s="102"/>
    </row>
    <row r="179" spans="4:16" x14ac:dyDescent="0.2">
      <c r="D179" s="102"/>
      <c r="E179" s="102"/>
      <c r="F179" s="102"/>
      <c r="G179" s="102"/>
      <c r="H179" s="102"/>
      <c r="I179" s="102"/>
      <c r="J179" s="102"/>
      <c r="K179" s="102"/>
      <c r="L179" s="102"/>
      <c r="M179" s="102"/>
      <c r="N179" s="102"/>
      <c r="O179" s="102"/>
      <c r="P179" s="102"/>
    </row>
    <row r="180" spans="4:16" x14ac:dyDescent="0.2">
      <c r="D180" s="102"/>
      <c r="E180" s="102"/>
      <c r="F180" s="102"/>
      <c r="G180" s="102"/>
      <c r="H180" s="102"/>
      <c r="I180" s="102"/>
      <c r="J180" s="102"/>
      <c r="K180" s="102"/>
      <c r="L180" s="102"/>
      <c r="M180" s="102"/>
      <c r="N180" s="102"/>
      <c r="O180" s="102"/>
      <c r="P180" s="102"/>
    </row>
    <row r="181" spans="4:16" x14ac:dyDescent="0.2">
      <c r="D181" s="102"/>
      <c r="E181" s="102"/>
      <c r="F181" s="102"/>
      <c r="G181" s="102"/>
      <c r="H181" s="102"/>
      <c r="I181" s="102"/>
      <c r="J181" s="102"/>
      <c r="K181" s="102"/>
      <c r="L181" s="102"/>
      <c r="M181" s="102"/>
      <c r="N181" s="102"/>
      <c r="O181" s="102"/>
      <c r="P181" s="102"/>
    </row>
    <row r="182" spans="4:16" x14ac:dyDescent="0.2">
      <c r="D182" s="102"/>
      <c r="E182" s="102"/>
      <c r="F182" s="102"/>
      <c r="G182" s="102"/>
      <c r="H182" s="102"/>
      <c r="I182" s="102"/>
      <c r="J182" s="102"/>
      <c r="K182" s="102"/>
      <c r="L182" s="102"/>
      <c r="M182" s="102"/>
      <c r="N182" s="102"/>
      <c r="O182" s="102"/>
      <c r="P182" s="102"/>
    </row>
    <row r="183" spans="4:16" x14ac:dyDescent="0.2">
      <c r="D183" s="102"/>
      <c r="E183" s="102"/>
      <c r="F183" s="102"/>
      <c r="G183" s="102"/>
      <c r="H183" s="102"/>
      <c r="I183" s="102"/>
      <c r="J183" s="102"/>
      <c r="K183" s="102"/>
      <c r="L183" s="102"/>
      <c r="M183" s="102"/>
      <c r="N183" s="102"/>
      <c r="O183" s="102"/>
      <c r="P183" s="102"/>
    </row>
    <row r="184" spans="4:16" x14ac:dyDescent="0.2">
      <c r="D184" s="102"/>
      <c r="E184" s="102"/>
      <c r="F184" s="102"/>
      <c r="G184" s="102"/>
      <c r="H184" s="102"/>
      <c r="I184" s="102"/>
      <c r="J184" s="102"/>
      <c r="K184" s="102"/>
      <c r="L184" s="102"/>
      <c r="M184" s="102"/>
      <c r="N184" s="102"/>
      <c r="O184" s="102"/>
      <c r="P184" s="102"/>
    </row>
    <row r="185" spans="4:16" x14ac:dyDescent="0.2">
      <c r="D185" s="102"/>
      <c r="E185" s="102"/>
      <c r="F185" s="102"/>
      <c r="G185" s="102"/>
      <c r="H185" s="102"/>
      <c r="I185" s="102"/>
      <c r="J185" s="102"/>
      <c r="K185" s="102"/>
      <c r="L185" s="102"/>
      <c r="M185" s="102"/>
      <c r="N185" s="102"/>
      <c r="O185" s="102"/>
      <c r="P185" s="102"/>
    </row>
    <row r="186" spans="4:16" x14ac:dyDescent="0.2">
      <c r="D186" s="102"/>
      <c r="E186" s="102"/>
      <c r="F186" s="102"/>
      <c r="G186" s="102"/>
      <c r="H186" s="102"/>
      <c r="I186" s="102"/>
      <c r="J186" s="102"/>
      <c r="K186" s="102"/>
      <c r="L186" s="102"/>
      <c r="M186" s="102"/>
      <c r="N186" s="102"/>
      <c r="O186" s="102"/>
      <c r="P186" s="102"/>
    </row>
    <row r="187" spans="4:16" x14ac:dyDescent="0.2">
      <c r="D187" s="102"/>
      <c r="E187" s="102"/>
      <c r="F187" s="102"/>
      <c r="G187" s="102"/>
      <c r="H187" s="102"/>
      <c r="I187" s="102"/>
      <c r="J187" s="102"/>
      <c r="K187" s="102"/>
      <c r="L187" s="102"/>
      <c r="M187" s="102"/>
      <c r="N187" s="102"/>
      <c r="O187" s="102"/>
      <c r="P187" s="102"/>
    </row>
    <row r="188" spans="4:16" x14ac:dyDescent="0.2">
      <c r="D188" s="102"/>
      <c r="E188" s="102"/>
      <c r="F188" s="102"/>
      <c r="G188" s="102"/>
      <c r="H188" s="102"/>
      <c r="I188" s="102"/>
      <c r="J188" s="102"/>
      <c r="K188" s="102"/>
      <c r="L188" s="102"/>
      <c r="M188" s="102"/>
      <c r="N188" s="102"/>
      <c r="O188" s="102"/>
      <c r="P188" s="102"/>
    </row>
    <row r="189" spans="4:16" x14ac:dyDescent="0.2">
      <c r="D189" s="102"/>
      <c r="E189" s="102"/>
      <c r="F189" s="102"/>
      <c r="G189" s="102"/>
      <c r="H189" s="102"/>
      <c r="I189" s="102"/>
      <c r="J189" s="102"/>
      <c r="K189" s="102"/>
      <c r="L189" s="102"/>
      <c r="M189" s="102"/>
      <c r="N189" s="102"/>
      <c r="O189" s="102"/>
      <c r="P189" s="102"/>
    </row>
    <row r="190" spans="4:16" x14ac:dyDescent="0.2">
      <c r="D190" s="102"/>
      <c r="E190" s="102"/>
      <c r="F190" s="102"/>
      <c r="G190" s="102"/>
      <c r="H190" s="102"/>
      <c r="I190" s="102"/>
      <c r="J190" s="102"/>
      <c r="K190" s="102"/>
      <c r="L190" s="102"/>
      <c r="M190" s="102"/>
      <c r="N190" s="102"/>
      <c r="O190" s="102"/>
      <c r="P190" s="102"/>
    </row>
    <row r="191" spans="4:16" x14ac:dyDescent="0.2">
      <c r="D191" s="102"/>
      <c r="E191" s="102"/>
      <c r="F191" s="102"/>
      <c r="G191" s="102"/>
      <c r="H191" s="102"/>
      <c r="I191" s="102"/>
      <c r="J191" s="102"/>
      <c r="K191" s="102"/>
      <c r="L191" s="102"/>
      <c r="M191" s="102"/>
      <c r="N191" s="102"/>
      <c r="O191" s="102"/>
      <c r="P191" s="102"/>
    </row>
    <row r="192" spans="4:16" x14ac:dyDescent="0.2">
      <c r="D192" s="102"/>
      <c r="E192" s="102"/>
      <c r="F192" s="102"/>
      <c r="G192" s="102"/>
      <c r="H192" s="102"/>
      <c r="I192" s="102"/>
      <c r="J192" s="102"/>
      <c r="K192" s="102"/>
      <c r="L192" s="102"/>
      <c r="M192" s="102"/>
      <c r="N192" s="102"/>
      <c r="O192" s="102"/>
      <c r="P192" s="102"/>
    </row>
  </sheetData>
  <phoneticPr fontId="3" type="noConversion"/>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W189"/>
  <sheetViews>
    <sheetView showGridLines="0" workbookViewId="0">
      <selection activeCell="C69" sqref="C69"/>
    </sheetView>
  </sheetViews>
  <sheetFormatPr defaultRowHeight="12.75" x14ac:dyDescent="0.2"/>
  <cols>
    <col min="1" max="1" width="15.140625" style="42" customWidth="1"/>
    <col min="2" max="2" width="26.42578125" style="65" bestFit="1" customWidth="1"/>
    <col min="3" max="23" width="9.140625" style="65"/>
  </cols>
  <sheetData>
    <row r="1" spans="1:23" ht="15.75" x14ac:dyDescent="0.25">
      <c r="A1" s="123" t="s">
        <v>135</v>
      </c>
    </row>
    <row r="2" spans="1:23" x14ac:dyDescent="0.2">
      <c r="A2" s="83"/>
    </row>
    <row r="3" spans="1:23" x14ac:dyDescent="0.2">
      <c r="C3" s="97" t="s">
        <v>39</v>
      </c>
      <c r="D3" s="98"/>
      <c r="E3" s="98"/>
      <c r="F3" s="98"/>
      <c r="G3" s="98"/>
      <c r="H3" s="98"/>
      <c r="I3" s="98"/>
      <c r="J3" s="97" t="s">
        <v>40</v>
      </c>
      <c r="K3" s="98"/>
      <c r="L3" s="98"/>
      <c r="M3" s="98"/>
      <c r="N3" s="98"/>
      <c r="O3" s="98"/>
      <c r="P3" s="98"/>
      <c r="Q3" s="97" t="s">
        <v>59</v>
      </c>
      <c r="R3" s="98"/>
      <c r="S3" s="98"/>
      <c r="T3" s="98"/>
      <c r="U3" s="98"/>
      <c r="V3" s="98"/>
      <c r="W3" s="98"/>
    </row>
    <row r="4" spans="1:23" x14ac:dyDescent="0.2">
      <c r="C4" s="97" t="s">
        <v>33</v>
      </c>
      <c r="D4" s="97" t="s">
        <v>34</v>
      </c>
      <c r="E4" s="97" t="s">
        <v>35</v>
      </c>
      <c r="F4" s="97" t="s">
        <v>36</v>
      </c>
      <c r="G4" s="97" t="s">
        <v>37</v>
      </c>
      <c r="H4" s="97" t="s">
        <v>47</v>
      </c>
      <c r="I4" s="97" t="s">
        <v>58</v>
      </c>
      <c r="J4" s="97" t="s">
        <v>33</v>
      </c>
      <c r="K4" s="97" t="s">
        <v>34</v>
      </c>
      <c r="L4" s="97" t="s">
        <v>35</v>
      </c>
      <c r="M4" s="97" t="s">
        <v>36</v>
      </c>
      <c r="N4" s="97" t="s">
        <v>37</v>
      </c>
      <c r="O4" s="97" t="s">
        <v>47</v>
      </c>
      <c r="P4" s="97" t="s">
        <v>58</v>
      </c>
      <c r="Q4" s="97" t="s">
        <v>33</v>
      </c>
      <c r="R4" s="97" t="s">
        <v>34</v>
      </c>
      <c r="S4" s="97" t="s">
        <v>35</v>
      </c>
      <c r="T4" s="97" t="s">
        <v>36</v>
      </c>
      <c r="U4" s="97" t="s">
        <v>37</v>
      </c>
      <c r="V4" s="98" t="s">
        <v>47</v>
      </c>
      <c r="W4" s="98" t="s">
        <v>58</v>
      </c>
    </row>
    <row r="5" spans="1:23" x14ac:dyDescent="0.2">
      <c r="A5" s="43"/>
      <c r="B5" s="99" t="s">
        <v>0</v>
      </c>
      <c r="C5" s="87">
        <f>IF(OR(C47=1,C47=2),"x",ROUND(C47/$I47*100,1))</f>
        <v>14.9</v>
      </c>
      <c r="D5" s="87">
        <f t="shared" ref="D5:H5" si="0">IF(OR(D47=1,D47=2),"x",ROUND(D47/$I47*100,1))</f>
        <v>16.100000000000001</v>
      </c>
      <c r="E5" s="87">
        <f t="shared" si="0"/>
        <v>18</v>
      </c>
      <c r="F5" s="87">
        <f t="shared" si="0"/>
        <v>16.600000000000001</v>
      </c>
      <c r="G5" s="87">
        <f t="shared" si="0"/>
        <v>15</v>
      </c>
      <c r="H5" s="87">
        <f t="shared" si="0"/>
        <v>80.599999999999994</v>
      </c>
      <c r="I5" s="66">
        <f>ROUND(I47,0)</f>
        <v>36813</v>
      </c>
      <c r="J5" s="87">
        <f>IF(OR(J47=1,J47=2),"x",ROUND(J47/$P47*100,1))</f>
        <v>18.3</v>
      </c>
      <c r="K5" s="87">
        <f t="shared" ref="K5:O5" si="1">IF(OR(K47=1,K47=2),"x",ROUND(K47/$P47*100,1))</f>
        <v>18.2</v>
      </c>
      <c r="L5" s="87">
        <f t="shared" si="1"/>
        <v>18.100000000000001</v>
      </c>
      <c r="M5" s="87">
        <f t="shared" si="1"/>
        <v>16</v>
      </c>
      <c r="N5" s="87">
        <f t="shared" si="1"/>
        <v>13.1</v>
      </c>
      <c r="O5" s="87">
        <f t="shared" si="1"/>
        <v>83.7</v>
      </c>
      <c r="P5" s="66">
        <f>ROUND(P47,0)</f>
        <v>49107</v>
      </c>
      <c r="Q5" s="87">
        <f>IF(OR(Q47=1,Q47=2),"x",ROUND(Q47/$W47*100,1))</f>
        <v>16.8</v>
      </c>
      <c r="R5" s="87">
        <f t="shared" ref="R5:V5" si="2">IF(OR(R47=1,R47=2),"x",ROUND(R47/$W47*100,1))</f>
        <v>17.3</v>
      </c>
      <c r="S5" s="87">
        <f t="shared" si="2"/>
        <v>18.100000000000001</v>
      </c>
      <c r="T5" s="87">
        <f t="shared" si="2"/>
        <v>16.3</v>
      </c>
      <c r="U5" s="87">
        <f t="shared" si="2"/>
        <v>13.9</v>
      </c>
      <c r="V5" s="87">
        <f t="shared" si="2"/>
        <v>82.4</v>
      </c>
      <c r="W5" s="66">
        <f>ROUND(W47,0)</f>
        <v>85920</v>
      </c>
    </row>
    <row r="6" spans="1:23" x14ac:dyDescent="0.2">
      <c r="B6" s="99" t="s">
        <v>1</v>
      </c>
      <c r="C6" s="87">
        <f t="shared" ref="C6:H21" si="3">IF(OR(C48=1,C48=2),"x",ROUND(C48/$I48*100,1))</f>
        <v>18.600000000000001</v>
      </c>
      <c r="D6" s="87">
        <f t="shared" si="3"/>
        <v>18.7</v>
      </c>
      <c r="E6" s="87">
        <f t="shared" si="3"/>
        <v>17.399999999999999</v>
      </c>
      <c r="F6" s="87">
        <f t="shared" si="3"/>
        <v>15.4</v>
      </c>
      <c r="G6" s="87">
        <f t="shared" si="3"/>
        <v>12.9</v>
      </c>
      <c r="H6" s="87">
        <f t="shared" si="3"/>
        <v>82.9</v>
      </c>
      <c r="I6" s="66">
        <f t="shared" ref="I6:I39" si="4">ROUND(I48,0)</f>
        <v>37353</v>
      </c>
      <c r="J6" s="87">
        <f t="shared" ref="J6:O21" si="5">IF(OR(J48=1,J48=2),"x",ROUND(J48/$P48*100,1))</f>
        <v>17.7</v>
      </c>
      <c r="K6" s="87">
        <f t="shared" si="5"/>
        <v>19.3</v>
      </c>
      <c r="L6" s="87">
        <f t="shared" si="5"/>
        <v>18.7</v>
      </c>
      <c r="M6" s="87">
        <f t="shared" si="5"/>
        <v>15.2</v>
      </c>
      <c r="N6" s="87">
        <f t="shared" si="5"/>
        <v>12.5</v>
      </c>
      <c r="O6" s="87">
        <f t="shared" si="5"/>
        <v>83.3</v>
      </c>
      <c r="P6" s="66">
        <f t="shared" ref="P6:P39" si="6">ROUND(P48,0)</f>
        <v>34456</v>
      </c>
      <c r="Q6" s="87">
        <f t="shared" ref="Q6:V21" si="7">IF(OR(Q48=1,Q48=2),"x",ROUND(Q48/$W48*100,1))</f>
        <v>18.2</v>
      </c>
      <c r="R6" s="87">
        <f t="shared" si="7"/>
        <v>19</v>
      </c>
      <c r="S6" s="87">
        <f t="shared" si="7"/>
        <v>18</v>
      </c>
      <c r="T6" s="87">
        <f t="shared" si="7"/>
        <v>15.3</v>
      </c>
      <c r="U6" s="87">
        <f t="shared" si="7"/>
        <v>12.7</v>
      </c>
      <c r="V6" s="87">
        <f t="shared" si="7"/>
        <v>83.1</v>
      </c>
      <c r="W6" s="66">
        <f t="shared" ref="W6:W39" si="8">ROUND(W48,0)</f>
        <v>71809</v>
      </c>
    </row>
    <row r="7" spans="1:23" x14ac:dyDescent="0.2">
      <c r="B7" s="99" t="s">
        <v>2</v>
      </c>
      <c r="C7" s="87">
        <f t="shared" si="3"/>
        <v>19.8</v>
      </c>
      <c r="D7" s="87">
        <f t="shared" si="3"/>
        <v>17</v>
      </c>
      <c r="E7" s="87">
        <f t="shared" si="3"/>
        <v>16.5</v>
      </c>
      <c r="F7" s="87">
        <f t="shared" si="3"/>
        <v>15.3</v>
      </c>
      <c r="G7" s="87">
        <f t="shared" si="3"/>
        <v>13.1</v>
      </c>
      <c r="H7" s="87">
        <f t="shared" si="3"/>
        <v>81.7</v>
      </c>
      <c r="I7" s="66">
        <f t="shared" si="4"/>
        <v>39995</v>
      </c>
      <c r="J7" s="87">
        <f t="shared" si="5"/>
        <v>23.2</v>
      </c>
      <c r="K7" s="87">
        <f t="shared" si="5"/>
        <v>18.7</v>
      </c>
      <c r="L7" s="87">
        <f t="shared" si="5"/>
        <v>17.600000000000001</v>
      </c>
      <c r="M7" s="87">
        <f t="shared" si="5"/>
        <v>14.2</v>
      </c>
      <c r="N7" s="87">
        <f t="shared" si="5"/>
        <v>11.5</v>
      </c>
      <c r="O7" s="87">
        <f t="shared" si="5"/>
        <v>85.2</v>
      </c>
      <c r="P7" s="66">
        <f t="shared" si="6"/>
        <v>12249</v>
      </c>
      <c r="Q7" s="87">
        <f t="shared" si="7"/>
        <v>20.6</v>
      </c>
      <c r="R7" s="87">
        <f t="shared" si="7"/>
        <v>17.399999999999999</v>
      </c>
      <c r="S7" s="87">
        <f t="shared" si="7"/>
        <v>16.8</v>
      </c>
      <c r="T7" s="87">
        <f t="shared" si="7"/>
        <v>15</v>
      </c>
      <c r="U7" s="87">
        <f t="shared" si="7"/>
        <v>12.8</v>
      </c>
      <c r="V7" s="87">
        <f t="shared" si="7"/>
        <v>82.5</v>
      </c>
      <c r="W7" s="66">
        <f t="shared" si="8"/>
        <v>52244</v>
      </c>
    </row>
    <row r="8" spans="1:23" x14ac:dyDescent="0.2">
      <c r="B8" s="99" t="s">
        <v>3</v>
      </c>
      <c r="C8" s="87">
        <f t="shared" si="3"/>
        <v>16.899999999999999</v>
      </c>
      <c r="D8" s="87">
        <f t="shared" si="3"/>
        <v>16.3</v>
      </c>
      <c r="E8" s="87">
        <f t="shared" si="3"/>
        <v>18.5</v>
      </c>
      <c r="F8" s="87">
        <f t="shared" si="3"/>
        <v>17.7</v>
      </c>
      <c r="G8" s="87">
        <f t="shared" si="3"/>
        <v>14.7</v>
      </c>
      <c r="H8" s="87">
        <f t="shared" si="3"/>
        <v>84.1</v>
      </c>
      <c r="I8" s="66">
        <f t="shared" si="4"/>
        <v>4946</v>
      </c>
      <c r="J8" s="87">
        <f t="shared" si="5"/>
        <v>16.899999999999999</v>
      </c>
      <c r="K8" s="87">
        <f t="shared" si="5"/>
        <v>17.2</v>
      </c>
      <c r="L8" s="87">
        <f t="shared" si="5"/>
        <v>19.899999999999999</v>
      </c>
      <c r="M8" s="87">
        <f t="shared" si="5"/>
        <v>15.7</v>
      </c>
      <c r="N8" s="87">
        <f t="shared" si="5"/>
        <v>14.1</v>
      </c>
      <c r="O8" s="87">
        <f t="shared" si="5"/>
        <v>83.7</v>
      </c>
      <c r="P8" s="66">
        <f t="shared" si="6"/>
        <v>2306</v>
      </c>
      <c r="Q8" s="87">
        <f t="shared" si="7"/>
        <v>16.899999999999999</v>
      </c>
      <c r="R8" s="87">
        <f t="shared" si="7"/>
        <v>16.600000000000001</v>
      </c>
      <c r="S8" s="87">
        <f t="shared" si="7"/>
        <v>18.899999999999999</v>
      </c>
      <c r="T8" s="87">
        <f t="shared" si="7"/>
        <v>17.100000000000001</v>
      </c>
      <c r="U8" s="87">
        <f t="shared" si="7"/>
        <v>14.5</v>
      </c>
      <c r="V8" s="87">
        <f t="shared" si="7"/>
        <v>84</v>
      </c>
      <c r="W8" s="66">
        <f t="shared" si="8"/>
        <v>7252</v>
      </c>
    </row>
    <row r="9" spans="1:23" x14ac:dyDescent="0.2">
      <c r="B9" s="99" t="s">
        <v>4</v>
      </c>
      <c r="C9" s="87">
        <f t="shared" si="3"/>
        <v>25.4</v>
      </c>
      <c r="D9" s="87">
        <f t="shared" si="3"/>
        <v>15.1</v>
      </c>
      <c r="E9" s="87">
        <f t="shared" si="3"/>
        <v>15.1</v>
      </c>
      <c r="F9" s="87">
        <f t="shared" si="3"/>
        <v>13.5</v>
      </c>
      <c r="G9" s="87">
        <f t="shared" si="3"/>
        <v>11.3</v>
      </c>
      <c r="H9" s="87">
        <f t="shared" si="3"/>
        <v>80.400000000000006</v>
      </c>
      <c r="I9" s="66">
        <f t="shared" si="4"/>
        <v>64932</v>
      </c>
      <c r="J9" s="87">
        <f t="shared" si="5"/>
        <v>25.9</v>
      </c>
      <c r="K9" s="87">
        <f t="shared" si="5"/>
        <v>17.399999999999999</v>
      </c>
      <c r="L9" s="87">
        <f t="shared" si="5"/>
        <v>16.100000000000001</v>
      </c>
      <c r="M9" s="87">
        <f t="shared" si="5"/>
        <v>13.8</v>
      </c>
      <c r="N9" s="87">
        <f t="shared" si="5"/>
        <v>10.9</v>
      </c>
      <c r="O9" s="87">
        <f t="shared" si="5"/>
        <v>84.1</v>
      </c>
      <c r="P9" s="66">
        <f t="shared" si="6"/>
        <v>44129</v>
      </c>
      <c r="Q9" s="87">
        <f t="shared" si="7"/>
        <v>25.6</v>
      </c>
      <c r="R9" s="87">
        <f t="shared" si="7"/>
        <v>16.100000000000001</v>
      </c>
      <c r="S9" s="87">
        <f t="shared" si="7"/>
        <v>15.5</v>
      </c>
      <c r="T9" s="87">
        <f t="shared" si="7"/>
        <v>13.6</v>
      </c>
      <c r="U9" s="87">
        <f t="shared" si="7"/>
        <v>11.2</v>
      </c>
      <c r="V9" s="87">
        <f t="shared" si="7"/>
        <v>81.900000000000006</v>
      </c>
      <c r="W9" s="66">
        <f t="shared" si="8"/>
        <v>109061</v>
      </c>
    </row>
    <row r="10" spans="1:23" x14ac:dyDescent="0.2">
      <c r="B10" s="99" t="s">
        <v>5</v>
      </c>
      <c r="C10" s="87">
        <f t="shared" si="3"/>
        <v>39.5</v>
      </c>
      <c r="D10" s="87">
        <f t="shared" si="3"/>
        <v>17.600000000000001</v>
      </c>
      <c r="E10" s="87">
        <f t="shared" si="3"/>
        <v>14.3</v>
      </c>
      <c r="F10" s="87">
        <f t="shared" si="3"/>
        <v>11</v>
      </c>
      <c r="G10" s="87">
        <f t="shared" si="3"/>
        <v>7.9</v>
      </c>
      <c r="H10" s="87">
        <f t="shared" si="3"/>
        <v>90.3</v>
      </c>
      <c r="I10" s="66">
        <f t="shared" si="4"/>
        <v>10002</v>
      </c>
      <c r="J10" s="87">
        <f t="shared" si="5"/>
        <v>44.4</v>
      </c>
      <c r="K10" s="87">
        <f t="shared" si="5"/>
        <v>18.600000000000001</v>
      </c>
      <c r="L10" s="87">
        <f t="shared" si="5"/>
        <v>14.1</v>
      </c>
      <c r="M10" s="87">
        <f t="shared" si="5"/>
        <v>9.6999999999999993</v>
      </c>
      <c r="N10" s="87">
        <f t="shared" si="5"/>
        <v>6.1</v>
      </c>
      <c r="O10" s="87">
        <f t="shared" si="5"/>
        <v>93</v>
      </c>
      <c r="P10" s="66">
        <f t="shared" si="6"/>
        <v>4751</v>
      </c>
      <c r="Q10" s="87">
        <f t="shared" si="7"/>
        <v>41.1</v>
      </c>
      <c r="R10" s="87">
        <f t="shared" si="7"/>
        <v>18</v>
      </c>
      <c r="S10" s="87">
        <f t="shared" si="7"/>
        <v>14.2</v>
      </c>
      <c r="T10" s="87">
        <f t="shared" si="7"/>
        <v>10.6</v>
      </c>
      <c r="U10" s="87">
        <f t="shared" si="7"/>
        <v>7.3</v>
      </c>
      <c r="V10" s="87">
        <f t="shared" si="7"/>
        <v>91.1</v>
      </c>
      <c r="W10" s="66">
        <f t="shared" si="8"/>
        <v>14753</v>
      </c>
    </row>
    <row r="11" spans="1:23" x14ac:dyDescent="0.2">
      <c r="B11" s="99" t="s">
        <v>6</v>
      </c>
      <c r="C11" s="87">
        <f t="shared" si="3"/>
        <v>7.9</v>
      </c>
      <c r="D11" s="87">
        <f t="shared" si="3"/>
        <v>13.4</v>
      </c>
      <c r="E11" s="87">
        <f t="shared" si="3"/>
        <v>20.3</v>
      </c>
      <c r="F11" s="87">
        <f t="shared" si="3"/>
        <v>23.5</v>
      </c>
      <c r="G11" s="87">
        <f t="shared" si="3"/>
        <v>18.7</v>
      </c>
      <c r="H11" s="87">
        <f t="shared" si="3"/>
        <v>83.8</v>
      </c>
      <c r="I11" s="66">
        <f t="shared" si="4"/>
        <v>11316</v>
      </c>
      <c r="J11" s="87">
        <f t="shared" si="5"/>
        <v>13.3</v>
      </c>
      <c r="K11" s="87">
        <f t="shared" si="5"/>
        <v>19.399999999999999</v>
      </c>
      <c r="L11" s="87">
        <f t="shared" si="5"/>
        <v>22.4</v>
      </c>
      <c r="M11" s="87">
        <f t="shared" si="5"/>
        <v>21.7</v>
      </c>
      <c r="N11" s="87">
        <f t="shared" si="5"/>
        <v>14.6</v>
      </c>
      <c r="O11" s="87">
        <f t="shared" si="5"/>
        <v>91.5</v>
      </c>
      <c r="P11" s="66">
        <f t="shared" si="6"/>
        <v>7509</v>
      </c>
      <c r="Q11" s="87">
        <f t="shared" si="7"/>
        <v>10.1</v>
      </c>
      <c r="R11" s="87">
        <f t="shared" si="7"/>
        <v>15.8</v>
      </c>
      <c r="S11" s="87">
        <f t="shared" si="7"/>
        <v>21.1</v>
      </c>
      <c r="T11" s="87">
        <f t="shared" si="7"/>
        <v>22.8</v>
      </c>
      <c r="U11" s="87">
        <f t="shared" si="7"/>
        <v>17.100000000000001</v>
      </c>
      <c r="V11" s="87">
        <f t="shared" si="7"/>
        <v>86.9</v>
      </c>
      <c r="W11" s="66">
        <f t="shared" si="8"/>
        <v>18825</v>
      </c>
    </row>
    <row r="12" spans="1:23" x14ac:dyDescent="0.2">
      <c r="B12" s="2" t="s">
        <v>168</v>
      </c>
      <c r="C12" s="87">
        <f t="shared" si="3"/>
        <v>9.5</v>
      </c>
      <c r="D12" s="87">
        <f t="shared" si="3"/>
        <v>13.3</v>
      </c>
      <c r="E12" s="87">
        <f t="shared" si="3"/>
        <v>18.7</v>
      </c>
      <c r="F12" s="87">
        <f t="shared" si="3"/>
        <v>19.8</v>
      </c>
      <c r="G12" s="87">
        <f t="shared" si="3"/>
        <v>17</v>
      </c>
      <c r="H12" s="87">
        <f t="shared" si="3"/>
        <v>78.400000000000006</v>
      </c>
      <c r="I12" s="66">
        <f t="shared" si="4"/>
        <v>7196</v>
      </c>
      <c r="J12" s="87">
        <f t="shared" si="5"/>
        <v>12</v>
      </c>
      <c r="K12" s="87">
        <f t="shared" si="5"/>
        <v>14.3</v>
      </c>
      <c r="L12" s="87">
        <f t="shared" si="5"/>
        <v>16.600000000000001</v>
      </c>
      <c r="M12" s="87">
        <f t="shared" si="5"/>
        <v>18.100000000000001</v>
      </c>
      <c r="N12" s="87">
        <f t="shared" si="5"/>
        <v>14.1</v>
      </c>
      <c r="O12" s="87">
        <f t="shared" si="5"/>
        <v>75.099999999999994</v>
      </c>
      <c r="P12" s="66">
        <f t="shared" si="6"/>
        <v>651</v>
      </c>
      <c r="Q12" s="87">
        <f t="shared" si="7"/>
        <v>9.6999999999999993</v>
      </c>
      <c r="R12" s="87">
        <f t="shared" si="7"/>
        <v>13.4</v>
      </c>
      <c r="S12" s="87">
        <f t="shared" si="7"/>
        <v>18.600000000000001</v>
      </c>
      <c r="T12" s="87">
        <f t="shared" si="7"/>
        <v>19.600000000000001</v>
      </c>
      <c r="U12" s="87">
        <f t="shared" si="7"/>
        <v>16.8</v>
      </c>
      <c r="V12" s="87">
        <f t="shared" si="7"/>
        <v>78.099999999999994</v>
      </c>
      <c r="W12" s="66">
        <f t="shared" si="8"/>
        <v>7847</v>
      </c>
    </row>
    <row r="13" spans="1:23" x14ac:dyDescent="0.2">
      <c r="B13" s="99" t="s">
        <v>8</v>
      </c>
      <c r="C13" s="87">
        <f t="shared" si="3"/>
        <v>5.0999999999999996</v>
      </c>
      <c r="D13" s="87">
        <f t="shared" si="3"/>
        <v>11.8</v>
      </c>
      <c r="E13" s="87">
        <f t="shared" si="3"/>
        <v>18.899999999999999</v>
      </c>
      <c r="F13" s="87">
        <f t="shared" si="3"/>
        <v>23.3</v>
      </c>
      <c r="G13" s="87">
        <f t="shared" si="3"/>
        <v>20</v>
      </c>
      <c r="H13" s="87">
        <f t="shared" si="3"/>
        <v>79.099999999999994</v>
      </c>
      <c r="I13" s="66">
        <f t="shared" si="4"/>
        <v>8694</v>
      </c>
      <c r="J13" s="87">
        <f t="shared" si="5"/>
        <v>9</v>
      </c>
      <c r="K13" s="87">
        <f t="shared" si="5"/>
        <v>15.9</v>
      </c>
      <c r="L13" s="87">
        <f t="shared" si="5"/>
        <v>21.4</v>
      </c>
      <c r="M13" s="87">
        <f t="shared" si="5"/>
        <v>21</v>
      </c>
      <c r="N13" s="87">
        <f t="shared" si="5"/>
        <v>17</v>
      </c>
      <c r="O13" s="87">
        <f t="shared" si="5"/>
        <v>84.3</v>
      </c>
      <c r="P13" s="66">
        <f t="shared" si="6"/>
        <v>4233</v>
      </c>
      <c r="Q13" s="87">
        <f t="shared" si="7"/>
        <v>6.4</v>
      </c>
      <c r="R13" s="87">
        <f t="shared" si="7"/>
        <v>13.2</v>
      </c>
      <c r="S13" s="87">
        <f t="shared" si="7"/>
        <v>19.7</v>
      </c>
      <c r="T13" s="87">
        <f t="shared" si="7"/>
        <v>22.6</v>
      </c>
      <c r="U13" s="87">
        <f t="shared" si="7"/>
        <v>19</v>
      </c>
      <c r="V13" s="87">
        <f t="shared" si="7"/>
        <v>80.8</v>
      </c>
      <c r="W13" s="66">
        <f t="shared" si="8"/>
        <v>12927</v>
      </c>
    </row>
    <row r="14" spans="1:23" x14ac:dyDescent="0.2">
      <c r="B14" s="99" t="s">
        <v>9</v>
      </c>
      <c r="C14" s="87" t="str">
        <f t="shared" si="3"/>
        <v>x</v>
      </c>
      <c r="D14" s="87">
        <f t="shared" si="3"/>
        <v>3.8</v>
      </c>
      <c r="E14" s="87">
        <f t="shared" si="3"/>
        <v>9</v>
      </c>
      <c r="F14" s="87">
        <f t="shared" si="3"/>
        <v>26.9</v>
      </c>
      <c r="G14" s="87">
        <f t="shared" si="3"/>
        <v>24.4</v>
      </c>
      <c r="H14" s="87">
        <f t="shared" si="3"/>
        <v>66.7</v>
      </c>
      <c r="I14" s="66">
        <f t="shared" si="4"/>
        <v>78</v>
      </c>
      <c r="J14" s="87">
        <f t="shared" si="5"/>
        <v>15.6</v>
      </c>
      <c r="K14" s="87">
        <f t="shared" si="5"/>
        <v>13.3</v>
      </c>
      <c r="L14" s="87">
        <f t="shared" si="5"/>
        <v>20.7</v>
      </c>
      <c r="M14" s="87">
        <f t="shared" si="5"/>
        <v>21.4</v>
      </c>
      <c r="N14" s="87">
        <f t="shared" si="5"/>
        <v>14.4</v>
      </c>
      <c r="O14" s="87">
        <f t="shared" si="5"/>
        <v>85.3</v>
      </c>
      <c r="P14" s="66">
        <f t="shared" si="6"/>
        <v>430</v>
      </c>
      <c r="Q14" s="87">
        <f t="shared" si="7"/>
        <v>13.6</v>
      </c>
      <c r="R14" s="87">
        <f t="shared" si="7"/>
        <v>11.8</v>
      </c>
      <c r="S14" s="87">
        <f t="shared" si="7"/>
        <v>18.899999999999999</v>
      </c>
      <c r="T14" s="87">
        <f t="shared" si="7"/>
        <v>22.2</v>
      </c>
      <c r="U14" s="87">
        <f t="shared" si="7"/>
        <v>15.9</v>
      </c>
      <c r="V14" s="87">
        <f t="shared" si="7"/>
        <v>82.5</v>
      </c>
      <c r="W14" s="66">
        <f t="shared" si="8"/>
        <v>508</v>
      </c>
    </row>
    <row r="15" spans="1:23" x14ac:dyDescent="0.2">
      <c r="B15" s="99" t="s">
        <v>10</v>
      </c>
      <c r="C15" s="87">
        <f t="shared" si="3"/>
        <v>6.4</v>
      </c>
      <c r="D15" s="87">
        <f t="shared" si="3"/>
        <v>11.6</v>
      </c>
      <c r="E15" s="87">
        <f t="shared" si="3"/>
        <v>16.5</v>
      </c>
      <c r="F15" s="87">
        <f t="shared" si="3"/>
        <v>17.7</v>
      </c>
      <c r="G15" s="87">
        <f t="shared" si="3"/>
        <v>16.5</v>
      </c>
      <c r="H15" s="87">
        <f t="shared" si="3"/>
        <v>68.7</v>
      </c>
      <c r="I15" s="66">
        <f t="shared" si="4"/>
        <v>3962</v>
      </c>
      <c r="J15" s="87">
        <f t="shared" si="5"/>
        <v>7.6</v>
      </c>
      <c r="K15" s="87">
        <f t="shared" si="5"/>
        <v>14.4</v>
      </c>
      <c r="L15" s="87">
        <f t="shared" si="5"/>
        <v>16</v>
      </c>
      <c r="M15" s="87">
        <f t="shared" si="5"/>
        <v>16.7</v>
      </c>
      <c r="N15" s="87">
        <f t="shared" si="5"/>
        <v>16.3</v>
      </c>
      <c r="O15" s="87">
        <f t="shared" si="5"/>
        <v>71.099999999999994</v>
      </c>
      <c r="P15" s="66">
        <f t="shared" si="6"/>
        <v>2032</v>
      </c>
      <c r="Q15" s="87">
        <f t="shared" si="7"/>
        <v>6.8</v>
      </c>
      <c r="R15" s="87">
        <f t="shared" si="7"/>
        <v>12.5</v>
      </c>
      <c r="S15" s="87">
        <f t="shared" si="7"/>
        <v>16.3</v>
      </c>
      <c r="T15" s="87">
        <f t="shared" si="7"/>
        <v>17.399999999999999</v>
      </c>
      <c r="U15" s="87">
        <f t="shared" si="7"/>
        <v>16.5</v>
      </c>
      <c r="V15" s="87">
        <f t="shared" si="7"/>
        <v>69.5</v>
      </c>
      <c r="W15" s="66">
        <f t="shared" si="8"/>
        <v>5994</v>
      </c>
    </row>
    <row r="16" spans="1:23" x14ac:dyDescent="0.2">
      <c r="B16" s="99" t="s">
        <v>11</v>
      </c>
      <c r="C16" s="87">
        <f t="shared" si="3"/>
        <v>7.8</v>
      </c>
      <c r="D16" s="87">
        <f t="shared" si="3"/>
        <v>16.2</v>
      </c>
      <c r="E16" s="87">
        <f t="shared" si="3"/>
        <v>22.6</v>
      </c>
      <c r="F16" s="87">
        <f t="shared" si="3"/>
        <v>21.8</v>
      </c>
      <c r="G16" s="87">
        <f t="shared" si="3"/>
        <v>17.2</v>
      </c>
      <c r="H16" s="87">
        <f t="shared" si="3"/>
        <v>85.6</v>
      </c>
      <c r="I16" s="66">
        <f t="shared" si="4"/>
        <v>23012</v>
      </c>
      <c r="J16" s="87">
        <f t="shared" si="5"/>
        <v>10</v>
      </c>
      <c r="K16" s="87">
        <f t="shared" si="5"/>
        <v>17.100000000000001</v>
      </c>
      <c r="L16" s="87">
        <f t="shared" si="5"/>
        <v>22.8</v>
      </c>
      <c r="M16" s="87">
        <f t="shared" si="5"/>
        <v>20.3</v>
      </c>
      <c r="N16" s="87">
        <f t="shared" si="5"/>
        <v>16.3</v>
      </c>
      <c r="O16" s="87">
        <f t="shared" si="5"/>
        <v>86.5</v>
      </c>
      <c r="P16" s="66">
        <f t="shared" si="6"/>
        <v>16795</v>
      </c>
      <c r="Q16" s="87">
        <f t="shared" si="7"/>
        <v>8.6999999999999993</v>
      </c>
      <c r="R16" s="87">
        <f t="shared" si="7"/>
        <v>16.600000000000001</v>
      </c>
      <c r="S16" s="87">
        <f t="shared" si="7"/>
        <v>22.7</v>
      </c>
      <c r="T16" s="87">
        <f t="shared" si="7"/>
        <v>21.2</v>
      </c>
      <c r="U16" s="87">
        <f t="shared" si="7"/>
        <v>16.8</v>
      </c>
      <c r="V16" s="87">
        <f t="shared" si="7"/>
        <v>86</v>
      </c>
      <c r="W16" s="66">
        <f t="shared" si="8"/>
        <v>39807</v>
      </c>
    </row>
    <row r="17" spans="2:23" x14ac:dyDescent="0.2">
      <c r="B17" s="99" t="s">
        <v>12</v>
      </c>
      <c r="C17" s="87">
        <f t="shared" si="3"/>
        <v>19.3</v>
      </c>
      <c r="D17" s="87">
        <f t="shared" si="3"/>
        <v>19</v>
      </c>
      <c r="E17" s="87">
        <f t="shared" si="3"/>
        <v>19.2</v>
      </c>
      <c r="F17" s="87">
        <f t="shared" si="3"/>
        <v>16.100000000000001</v>
      </c>
      <c r="G17" s="87">
        <f t="shared" si="3"/>
        <v>12.2</v>
      </c>
      <c r="H17" s="87">
        <f t="shared" si="3"/>
        <v>85.8</v>
      </c>
      <c r="I17" s="66">
        <f t="shared" si="4"/>
        <v>22103</v>
      </c>
      <c r="J17" s="87">
        <f t="shared" si="5"/>
        <v>21</v>
      </c>
      <c r="K17" s="87">
        <f t="shared" si="5"/>
        <v>20.399999999999999</v>
      </c>
      <c r="L17" s="87">
        <f t="shared" si="5"/>
        <v>18.7</v>
      </c>
      <c r="M17" s="87">
        <f t="shared" si="5"/>
        <v>15.3</v>
      </c>
      <c r="N17" s="87">
        <f t="shared" si="5"/>
        <v>11.7</v>
      </c>
      <c r="O17" s="87">
        <f t="shared" si="5"/>
        <v>87.2</v>
      </c>
      <c r="P17" s="66">
        <f t="shared" si="6"/>
        <v>10159</v>
      </c>
      <c r="Q17" s="87">
        <f t="shared" si="7"/>
        <v>19.8</v>
      </c>
      <c r="R17" s="87">
        <f t="shared" si="7"/>
        <v>19.399999999999999</v>
      </c>
      <c r="S17" s="87">
        <f t="shared" si="7"/>
        <v>19</v>
      </c>
      <c r="T17" s="87">
        <f t="shared" si="7"/>
        <v>15.9</v>
      </c>
      <c r="U17" s="87">
        <f t="shared" si="7"/>
        <v>12</v>
      </c>
      <c r="V17" s="87">
        <f t="shared" si="7"/>
        <v>86.2</v>
      </c>
      <c r="W17" s="66">
        <f t="shared" si="8"/>
        <v>32262</v>
      </c>
    </row>
    <row r="18" spans="2:23" x14ac:dyDescent="0.2">
      <c r="B18" s="99" t="s">
        <v>13</v>
      </c>
      <c r="C18" s="87">
        <f t="shared" si="3"/>
        <v>18.3</v>
      </c>
      <c r="D18" s="87">
        <f t="shared" si="3"/>
        <v>18.3</v>
      </c>
      <c r="E18" s="87">
        <f t="shared" si="3"/>
        <v>20.8</v>
      </c>
      <c r="F18" s="87">
        <f t="shared" si="3"/>
        <v>18.2</v>
      </c>
      <c r="G18" s="87">
        <f t="shared" si="3"/>
        <v>12.1</v>
      </c>
      <c r="H18" s="87">
        <f t="shared" si="3"/>
        <v>87.6</v>
      </c>
      <c r="I18" s="66">
        <f t="shared" si="4"/>
        <v>21011</v>
      </c>
      <c r="J18" s="87">
        <f t="shared" si="5"/>
        <v>27.8</v>
      </c>
      <c r="K18" s="87">
        <f t="shared" si="5"/>
        <v>20.100000000000001</v>
      </c>
      <c r="L18" s="87">
        <f t="shared" si="5"/>
        <v>18.600000000000001</v>
      </c>
      <c r="M18" s="87">
        <f t="shared" si="5"/>
        <v>14.4</v>
      </c>
      <c r="N18" s="87">
        <f t="shared" si="5"/>
        <v>9.6999999999999993</v>
      </c>
      <c r="O18" s="87">
        <f t="shared" si="5"/>
        <v>90.6</v>
      </c>
      <c r="P18" s="66">
        <f t="shared" si="6"/>
        <v>20198</v>
      </c>
      <c r="Q18" s="87">
        <f t="shared" si="7"/>
        <v>22.9</v>
      </c>
      <c r="R18" s="87">
        <f t="shared" si="7"/>
        <v>19.2</v>
      </c>
      <c r="S18" s="87">
        <f t="shared" si="7"/>
        <v>19.7</v>
      </c>
      <c r="T18" s="87">
        <f t="shared" si="7"/>
        <v>16.3</v>
      </c>
      <c r="U18" s="87">
        <f t="shared" si="7"/>
        <v>10.9</v>
      </c>
      <c r="V18" s="87">
        <f t="shared" si="7"/>
        <v>89.1</v>
      </c>
      <c r="W18" s="66">
        <f t="shared" si="8"/>
        <v>41209</v>
      </c>
    </row>
    <row r="19" spans="2:23" x14ac:dyDescent="0.2">
      <c r="B19" s="99" t="s">
        <v>14</v>
      </c>
      <c r="C19" s="87">
        <f t="shared" si="3"/>
        <v>18.3</v>
      </c>
      <c r="D19" s="87">
        <f t="shared" si="3"/>
        <v>19.600000000000001</v>
      </c>
      <c r="E19" s="87">
        <f t="shared" si="3"/>
        <v>20.5</v>
      </c>
      <c r="F19" s="87">
        <f t="shared" si="3"/>
        <v>17.8</v>
      </c>
      <c r="G19" s="87">
        <f t="shared" si="3"/>
        <v>11.7</v>
      </c>
      <c r="H19" s="87">
        <f t="shared" si="3"/>
        <v>87.8</v>
      </c>
      <c r="I19" s="66">
        <f t="shared" si="4"/>
        <v>9446</v>
      </c>
      <c r="J19" s="87">
        <f t="shared" si="5"/>
        <v>22.2</v>
      </c>
      <c r="K19" s="87">
        <f t="shared" si="5"/>
        <v>19.7</v>
      </c>
      <c r="L19" s="87">
        <f t="shared" si="5"/>
        <v>19</v>
      </c>
      <c r="M19" s="87">
        <f t="shared" si="5"/>
        <v>15.7</v>
      </c>
      <c r="N19" s="87">
        <f t="shared" si="5"/>
        <v>11</v>
      </c>
      <c r="O19" s="87">
        <f t="shared" si="5"/>
        <v>87.6</v>
      </c>
      <c r="P19" s="66">
        <f t="shared" si="6"/>
        <v>7477</v>
      </c>
      <c r="Q19" s="87">
        <f t="shared" si="7"/>
        <v>20</v>
      </c>
      <c r="R19" s="87">
        <f t="shared" si="7"/>
        <v>19.600000000000001</v>
      </c>
      <c r="S19" s="87">
        <f t="shared" si="7"/>
        <v>19.8</v>
      </c>
      <c r="T19" s="87">
        <f t="shared" si="7"/>
        <v>16.899999999999999</v>
      </c>
      <c r="U19" s="87">
        <f t="shared" si="7"/>
        <v>11.4</v>
      </c>
      <c r="V19" s="87">
        <f t="shared" si="7"/>
        <v>87.7</v>
      </c>
      <c r="W19" s="66">
        <f t="shared" si="8"/>
        <v>16923</v>
      </c>
    </row>
    <row r="20" spans="2:23" x14ac:dyDescent="0.2">
      <c r="B20" s="99" t="s">
        <v>15</v>
      </c>
      <c r="C20" s="87">
        <f t="shared" si="3"/>
        <v>17.3</v>
      </c>
      <c r="D20" s="87">
        <f t="shared" si="3"/>
        <v>23</v>
      </c>
      <c r="E20" s="87">
        <f t="shared" si="3"/>
        <v>25.7</v>
      </c>
      <c r="F20" s="87">
        <f t="shared" si="3"/>
        <v>18.3</v>
      </c>
      <c r="G20" s="87">
        <f t="shared" si="3"/>
        <v>9.5</v>
      </c>
      <c r="H20" s="87">
        <f t="shared" si="3"/>
        <v>93.9</v>
      </c>
      <c r="I20" s="66">
        <f t="shared" si="4"/>
        <v>27957</v>
      </c>
      <c r="J20" s="87">
        <f t="shared" si="5"/>
        <v>18.899999999999999</v>
      </c>
      <c r="K20" s="87">
        <f t="shared" si="5"/>
        <v>24.3</v>
      </c>
      <c r="L20" s="87">
        <f t="shared" si="5"/>
        <v>24.7</v>
      </c>
      <c r="M20" s="87">
        <f t="shared" si="5"/>
        <v>17.100000000000001</v>
      </c>
      <c r="N20" s="87">
        <f t="shared" si="5"/>
        <v>8.9</v>
      </c>
      <c r="O20" s="87">
        <f t="shared" si="5"/>
        <v>94</v>
      </c>
      <c r="P20" s="66">
        <f t="shared" si="6"/>
        <v>32506</v>
      </c>
      <c r="Q20" s="87">
        <f t="shared" si="7"/>
        <v>18.2</v>
      </c>
      <c r="R20" s="87">
        <f t="shared" si="7"/>
        <v>23.7</v>
      </c>
      <c r="S20" s="87">
        <f t="shared" si="7"/>
        <v>25.2</v>
      </c>
      <c r="T20" s="87">
        <f t="shared" si="7"/>
        <v>17.7</v>
      </c>
      <c r="U20" s="87">
        <f t="shared" si="7"/>
        <v>9.1999999999999993</v>
      </c>
      <c r="V20" s="87">
        <f t="shared" si="7"/>
        <v>93.9</v>
      </c>
      <c r="W20" s="66">
        <f t="shared" si="8"/>
        <v>60463</v>
      </c>
    </row>
    <row r="21" spans="2:23" x14ac:dyDescent="0.2">
      <c r="B21" s="99" t="s">
        <v>16</v>
      </c>
      <c r="C21" s="87">
        <f t="shared" si="3"/>
        <v>8.5</v>
      </c>
      <c r="D21" s="87">
        <f t="shared" si="3"/>
        <v>13.1</v>
      </c>
      <c r="E21" s="87">
        <f t="shared" si="3"/>
        <v>17.7</v>
      </c>
      <c r="F21" s="87">
        <f t="shared" si="3"/>
        <v>18.600000000000001</v>
      </c>
      <c r="G21" s="87">
        <f t="shared" si="3"/>
        <v>16.600000000000001</v>
      </c>
      <c r="H21" s="87">
        <f t="shared" si="3"/>
        <v>74.5</v>
      </c>
      <c r="I21" s="66">
        <f t="shared" si="4"/>
        <v>7406</v>
      </c>
      <c r="J21" s="87">
        <f t="shared" si="5"/>
        <v>14</v>
      </c>
      <c r="K21" s="87">
        <f t="shared" si="5"/>
        <v>17.100000000000001</v>
      </c>
      <c r="L21" s="87">
        <f t="shared" si="5"/>
        <v>19.100000000000001</v>
      </c>
      <c r="M21" s="87">
        <f t="shared" si="5"/>
        <v>16.100000000000001</v>
      </c>
      <c r="N21" s="87">
        <f t="shared" si="5"/>
        <v>13.5</v>
      </c>
      <c r="O21" s="87">
        <f t="shared" si="5"/>
        <v>79.8</v>
      </c>
      <c r="P21" s="66">
        <f t="shared" si="6"/>
        <v>11368</v>
      </c>
      <c r="Q21" s="87">
        <f t="shared" si="7"/>
        <v>11.8</v>
      </c>
      <c r="R21" s="87">
        <f t="shared" si="7"/>
        <v>15.5</v>
      </c>
      <c r="S21" s="87">
        <f t="shared" si="7"/>
        <v>18.600000000000001</v>
      </c>
      <c r="T21" s="87">
        <f t="shared" si="7"/>
        <v>17.100000000000001</v>
      </c>
      <c r="U21" s="87">
        <f t="shared" si="7"/>
        <v>14.7</v>
      </c>
      <c r="V21" s="87">
        <f t="shared" si="7"/>
        <v>77.7</v>
      </c>
      <c r="W21" s="66">
        <f t="shared" si="8"/>
        <v>18774</v>
      </c>
    </row>
    <row r="22" spans="2:23" x14ac:dyDescent="0.2">
      <c r="B22" s="99" t="s">
        <v>17</v>
      </c>
      <c r="C22" s="87">
        <f t="shared" ref="C22:H37" si="9">IF(OR(C64=1,C64=2),"x",ROUND(C64/$I64*100,1))</f>
        <v>5.9</v>
      </c>
      <c r="D22" s="87">
        <f t="shared" si="9"/>
        <v>11.9</v>
      </c>
      <c r="E22" s="87">
        <f t="shared" si="9"/>
        <v>17.5</v>
      </c>
      <c r="F22" s="87">
        <f t="shared" si="9"/>
        <v>19.399999999999999</v>
      </c>
      <c r="G22" s="87">
        <f t="shared" si="9"/>
        <v>17</v>
      </c>
      <c r="H22" s="87">
        <f t="shared" si="9"/>
        <v>71.7</v>
      </c>
      <c r="I22" s="66">
        <f t="shared" si="4"/>
        <v>26413</v>
      </c>
      <c r="J22" s="87">
        <f t="shared" ref="J22:O37" si="10">IF(OR(J64=1,J64=2),"x",ROUND(J64/$P64*100,1))</f>
        <v>13.5</v>
      </c>
      <c r="K22" s="87">
        <f t="shared" si="10"/>
        <v>18.899999999999999</v>
      </c>
      <c r="L22" s="87">
        <f t="shared" si="10"/>
        <v>20.5</v>
      </c>
      <c r="M22" s="87">
        <f t="shared" si="10"/>
        <v>17.2</v>
      </c>
      <c r="N22" s="87">
        <f t="shared" si="10"/>
        <v>12.8</v>
      </c>
      <c r="O22" s="87">
        <f t="shared" si="10"/>
        <v>82.8</v>
      </c>
      <c r="P22" s="66">
        <f t="shared" si="6"/>
        <v>61391</v>
      </c>
      <c r="Q22" s="87">
        <f t="shared" ref="Q22:V37" si="11">IF(OR(Q64=1,Q64=2),"x",ROUND(Q64/$W64*100,1))</f>
        <v>11.2</v>
      </c>
      <c r="R22" s="87">
        <f t="shared" si="11"/>
        <v>16.8</v>
      </c>
      <c r="S22" s="87">
        <f t="shared" si="11"/>
        <v>19.600000000000001</v>
      </c>
      <c r="T22" s="87">
        <f t="shared" si="11"/>
        <v>17.899999999999999</v>
      </c>
      <c r="U22" s="87">
        <f t="shared" si="11"/>
        <v>14</v>
      </c>
      <c r="V22" s="87">
        <f t="shared" si="11"/>
        <v>79.5</v>
      </c>
      <c r="W22" s="66">
        <f t="shared" si="8"/>
        <v>87804</v>
      </c>
    </row>
    <row r="23" spans="2:23" x14ac:dyDescent="0.2">
      <c r="B23" s="99" t="s">
        <v>18</v>
      </c>
      <c r="C23" s="87">
        <f t="shared" si="9"/>
        <v>7.4</v>
      </c>
      <c r="D23" s="87">
        <f t="shared" si="9"/>
        <v>13.4</v>
      </c>
      <c r="E23" s="87">
        <f t="shared" si="9"/>
        <v>21.3</v>
      </c>
      <c r="F23" s="87">
        <f t="shared" si="9"/>
        <v>19.5</v>
      </c>
      <c r="G23" s="87">
        <f t="shared" si="9"/>
        <v>16.399999999999999</v>
      </c>
      <c r="H23" s="87">
        <f t="shared" si="9"/>
        <v>78.099999999999994</v>
      </c>
      <c r="I23" s="66">
        <f t="shared" si="4"/>
        <v>12741</v>
      </c>
      <c r="J23" s="87">
        <f t="shared" si="10"/>
        <v>14.8</v>
      </c>
      <c r="K23" s="87">
        <f t="shared" si="10"/>
        <v>19.5</v>
      </c>
      <c r="L23" s="87">
        <f t="shared" si="10"/>
        <v>22.1</v>
      </c>
      <c r="M23" s="87">
        <f t="shared" si="10"/>
        <v>17.2</v>
      </c>
      <c r="N23" s="87">
        <f t="shared" si="10"/>
        <v>12</v>
      </c>
      <c r="O23" s="87">
        <f t="shared" si="10"/>
        <v>85.7</v>
      </c>
      <c r="P23" s="66">
        <f t="shared" si="6"/>
        <v>33702</v>
      </c>
      <c r="Q23" s="87">
        <f t="shared" si="11"/>
        <v>12.8</v>
      </c>
      <c r="R23" s="87">
        <f t="shared" si="11"/>
        <v>17.8</v>
      </c>
      <c r="S23" s="87">
        <f t="shared" si="11"/>
        <v>21.9</v>
      </c>
      <c r="T23" s="87">
        <f t="shared" si="11"/>
        <v>17.899999999999999</v>
      </c>
      <c r="U23" s="87">
        <f t="shared" si="11"/>
        <v>13.2</v>
      </c>
      <c r="V23" s="87">
        <f t="shared" si="11"/>
        <v>83.6</v>
      </c>
      <c r="W23" s="66">
        <f t="shared" si="8"/>
        <v>46443</v>
      </c>
    </row>
    <row r="24" spans="2:23" x14ac:dyDescent="0.2">
      <c r="B24" s="99" t="s">
        <v>19</v>
      </c>
      <c r="C24" s="87">
        <f t="shared" si="9"/>
        <v>8.6999999999999993</v>
      </c>
      <c r="D24" s="87">
        <f t="shared" si="9"/>
        <v>13</v>
      </c>
      <c r="E24" s="87">
        <f t="shared" si="9"/>
        <v>18.399999999999999</v>
      </c>
      <c r="F24" s="87">
        <f t="shared" si="9"/>
        <v>18.899999999999999</v>
      </c>
      <c r="G24" s="87">
        <f t="shared" si="9"/>
        <v>16.100000000000001</v>
      </c>
      <c r="H24" s="87">
        <f t="shared" si="9"/>
        <v>75</v>
      </c>
      <c r="I24" s="66">
        <f t="shared" si="4"/>
        <v>4149</v>
      </c>
      <c r="J24" s="87">
        <f t="shared" si="10"/>
        <v>9.9</v>
      </c>
      <c r="K24" s="87">
        <f t="shared" si="10"/>
        <v>16.3</v>
      </c>
      <c r="L24" s="87">
        <f t="shared" si="10"/>
        <v>20.7</v>
      </c>
      <c r="M24" s="87">
        <f t="shared" si="10"/>
        <v>18.7</v>
      </c>
      <c r="N24" s="87">
        <f t="shared" si="10"/>
        <v>15.2</v>
      </c>
      <c r="O24" s="87">
        <f t="shared" si="10"/>
        <v>80.900000000000006</v>
      </c>
      <c r="P24" s="66">
        <f t="shared" si="6"/>
        <v>5655</v>
      </c>
      <c r="Q24" s="87">
        <f t="shared" si="11"/>
        <v>9.4</v>
      </c>
      <c r="R24" s="87">
        <f t="shared" si="11"/>
        <v>14.9</v>
      </c>
      <c r="S24" s="87">
        <f t="shared" si="11"/>
        <v>19.8</v>
      </c>
      <c r="T24" s="87">
        <f t="shared" si="11"/>
        <v>18.8</v>
      </c>
      <c r="U24" s="87">
        <f t="shared" si="11"/>
        <v>15.6</v>
      </c>
      <c r="V24" s="87">
        <f t="shared" si="11"/>
        <v>78.400000000000006</v>
      </c>
      <c r="W24" s="66">
        <f t="shared" si="8"/>
        <v>9804</v>
      </c>
    </row>
    <row r="25" spans="2:23" x14ac:dyDescent="0.2">
      <c r="B25" s="99" t="s">
        <v>20</v>
      </c>
      <c r="C25" s="87">
        <f t="shared" si="9"/>
        <v>14.7</v>
      </c>
      <c r="D25" s="87">
        <f t="shared" si="9"/>
        <v>20.399999999999999</v>
      </c>
      <c r="E25" s="87">
        <f t="shared" si="9"/>
        <v>24.3</v>
      </c>
      <c r="F25" s="87">
        <f t="shared" si="9"/>
        <v>19.600000000000001</v>
      </c>
      <c r="G25" s="87">
        <f t="shared" si="9"/>
        <v>12.2</v>
      </c>
      <c r="H25" s="87">
        <f t="shared" si="9"/>
        <v>91.2</v>
      </c>
      <c r="I25" s="66">
        <f t="shared" si="4"/>
        <v>15808</v>
      </c>
      <c r="J25" s="87">
        <f t="shared" si="10"/>
        <v>22.6</v>
      </c>
      <c r="K25" s="87">
        <f t="shared" si="10"/>
        <v>26</v>
      </c>
      <c r="L25" s="87">
        <f t="shared" si="10"/>
        <v>24.6</v>
      </c>
      <c r="M25" s="87">
        <f t="shared" si="10"/>
        <v>15.1</v>
      </c>
      <c r="N25" s="87">
        <f t="shared" si="10"/>
        <v>7.4</v>
      </c>
      <c r="O25" s="87">
        <f t="shared" si="10"/>
        <v>95.8</v>
      </c>
      <c r="P25" s="66">
        <f t="shared" si="6"/>
        <v>43649</v>
      </c>
      <c r="Q25" s="87">
        <f t="shared" si="11"/>
        <v>20.5</v>
      </c>
      <c r="R25" s="87">
        <f t="shared" si="11"/>
        <v>24.5</v>
      </c>
      <c r="S25" s="87">
        <f t="shared" si="11"/>
        <v>24.5</v>
      </c>
      <c r="T25" s="87">
        <f t="shared" si="11"/>
        <v>16.3</v>
      </c>
      <c r="U25" s="87">
        <f t="shared" si="11"/>
        <v>8.6999999999999993</v>
      </c>
      <c r="V25" s="87">
        <f t="shared" si="11"/>
        <v>94.5</v>
      </c>
      <c r="W25" s="66">
        <f t="shared" si="8"/>
        <v>59457</v>
      </c>
    </row>
    <row r="26" spans="2:23" x14ac:dyDescent="0.2">
      <c r="B26" s="99" t="s">
        <v>21</v>
      </c>
      <c r="C26" s="87">
        <f t="shared" si="9"/>
        <v>13.1</v>
      </c>
      <c r="D26" s="87">
        <f t="shared" si="9"/>
        <v>25.7</v>
      </c>
      <c r="E26" s="87">
        <f t="shared" si="9"/>
        <v>30.3</v>
      </c>
      <c r="F26" s="87">
        <f t="shared" si="9"/>
        <v>20.9</v>
      </c>
      <c r="G26" s="87">
        <f t="shared" si="9"/>
        <v>7.8</v>
      </c>
      <c r="H26" s="87">
        <f t="shared" si="9"/>
        <v>97.8</v>
      </c>
      <c r="I26" s="66">
        <f t="shared" si="4"/>
        <v>4890</v>
      </c>
      <c r="J26" s="87">
        <f t="shared" si="10"/>
        <v>15.1</v>
      </c>
      <c r="K26" s="87">
        <f t="shared" si="10"/>
        <v>31</v>
      </c>
      <c r="L26" s="87">
        <f t="shared" si="10"/>
        <v>30.7</v>
      </c>
      <c r="M26" s="87">
        <f t="shared" si="10"/>
        <v>17.2</v>
      </c>
      <c r="N26" s="87">
        <f t="shared" si="10"/>
        <v>4.5999999999999996</v>
      </c>
      <c r="O26" s="87">
        <f t="shared" si="10"/>
        <v>98.5</v>
      </c>
      <c r="P26" s="66">
        <f t="shared" si="6"/>
        <v>10569</v>
      </c>
      <c r="Q26" s="87">
        <f t="shared" si="11"/>
        <v>14.5</v>
      </c>
      <c r="R26" s="87">
        <f t="shared" si="11"/>
        <v>29.3</v>
      </c>
      <c r="S26" s="87">
        <f t="shared" si="11"/>
        <v>30.5</v>
      </c>
      <c r="T26" s="87">
        <f t="shared" si="11"/>
        <v>18.399999999999999</v>
      </c>
      <c r="U26" s="87">
        <f t="shared" si="11"/>
        <v>5.6</v>
      </c>
      <c r="V26" s="87">
        <f t="shared" si="11"/>
        <v>98.3</v>
      </c>
      <c r="W26" s="66">
        <f t="shared" si="8"/>
        <v>15459</v>
      </c>
    </row>
    <row r="27" spans="2:23" x14ac:dyDescent="0.2">
      <c r="B27" s="99" t="s">
        <v>22</v>
      </c>
      <c r="C27" s="87">
        <f t="shared" si="9"/>
        <v>12.9</v>
      </c>
      <c r="D27" s="87">
        <f t="shared" si="9"/>
        <v>19.899999999999999</v>
      </c>
      <c r="E27" s="87">
        <f t="shared" si="9"/>
        <v>27.7</v>
      </c>
      <c r="F27" s="87">
        <f t="shared" si="9"/>
        <v>23.1</v>
      </c>
      <c r="G27" s="87">
        <f t="shared" si="9"/>
        <v>11.5</v>
      </c>
      <c r="H27" s="87">
        <f t="shared" si="9"/>
        <v>95.2</v>
      </c>
      <c r="I27" s="66">
        <f t="shared" si="4"/>
        <v>30837</v>
      </c>
      <c r="J27" s="87">
        <f t="shared" si="10"/>
        <v>15.4</v>
      </c>
      <c r="K27" s="87">
        <f t="shared" si="10"/>
        <v>23</v>
      </c>
      <c r="L27" s="87">
        <f t="shared" si="10"/>
        <v>28.8</v>
      </c>
      <c r="M27" s="87">
        <f t="shared" si="10"/>
        <v>21.1</v>
      </c>
      <c r="N27" s="87">
        <f t="shared" si="10"/>
        <v>8.9</v>
      </c>
      <c r="O27" s="87">
        <f t="shared" si="10"/>
        <v>97.1</v>
      </c>
      <c r="P27" s="66">
        <f t="shared" si="6"/>
        <v>74856</v>
      </c>
      <c r="Q27" s="87">
        <f t="shared" si="11"/>
        <v>14.7</v>
      </c>
      <c r="R27" s="87">
        <f t="shared" si="11"/>
        <v>22.1</v>
      </c>
      <c r="S27" s="87">
        <f t="shared" si="11"/>
        <v>28.4</v>
      </c>
      <c r="T27" s="87">
        <f t="shared" si="11"/>
        <v>21.7</v>
      </c>
      <c r="U27" s="87">
        <f t="shared" si="11"/>
        <v>9.6</v>
      </c>
      <c r="V27" s="87">
        <f t="shared" si="11"/>
        <v>96.6</v>
      </c>
      <c r="W27" s="66">
        <f t="shared" si="8"/>
        <v>105693</v>
      </c>
    </row>
    <row r="28" spans="2:23" x14ac:dyDescent="0.2">
      <c r="B28" s="99" t="s">
        <v>51</v>
      </c>
      <c r="C28" s="87">
        <f t="shared" si="9"/>
        <v>6.1</v>
      </c>
      <c r="D28" s="87">
        <f t="shared" si="9"/>
        <v>19.600000000000001</v>
      </c>
      <c r="E28" s="87">
        <f t="shared" si="9"/>
        <v>30.9</v>
      </c>
      <c r="F28" s="87">
        <f t="shared" si="9"/>
        <v>25.2</v>
      </c>
      <c r="G28" s="87">
        <f t="shared" si="9"/>
        <v>11.7</v>
      </c>
      <c r="H28" s="87">
        <f t="shared" si="9"/>
        <v>93.5</v>
      </c>
      <c r="I28" s="66">
        <f t="shared" si="4"/>
        <v>13301</v>
      </c>
      <c r="J28" s="87">
        <f t="shared" si="10"/>
        <v>12.1</v>
      </c>
      <c r="K28" s="87">
        <f t="shared" si="10"/>
        <v>27.5</v>
      </c>
      <c r="L28" s="87">
        <f t="shared" si="10"/>
        <v>31.2</v>
      </c>
      <c r="M28" s="87">
        <f t="shared" si="10"/>
        <v>18.2</v>
      </c>
      <c r="N28" s="87">
        <f t="shared" si="10"/>
        <v>7.2</v>
      </c>
      <c r="O28" s="87">
        <f t="shared" si="10"/>
        <v>96.2</v>
      </c>
      <c r="P28" s="66">
        <f t="shared" si="6"/>
        <v>16479</v>
      </c>
      <c r="Q28" s="87">
        <f t="shared" si="11"/>
        <v>9.4</v>
      </c>
      <c r="R28" s="87">
        <f t="shared" si="11"/>
        <v>24</v>
      </c>
      <c r="S28" s="87">
        <f t="shared" si="11"/>
        <v>31.1</v>
      </c>
      <c r="T28" s="87">
        <f t="shared" si="11"/>
        <v>21.3</v>
      </c>
      <c r="U28" s="87">
        <f t="shared" si="11"/>
        <v>9.1999999999999993</v>
      </c>
      <c r="V28" s="87">
        <f t="shared" si="11"/>
        <v>95</v>
      </c>
      <c r="W28" s="66">
        <f t="shared" si="8"/>
        <v>29780</v>
      </c>
    </row>
    <row r="29" spans="2:23" x14ac:dyDescent="0.2">
      <c r="B29" s="99" t="s">
        <v>23</v>
      </c>
      <c r="C29" s="87">
        <f t="shared" si="9"/>
        <v>6.2</v>
      </c>
      <c r="D29" s="87">
        <f t="shared" si="9"/>
        <v>26.8</v>
      </c>
      <c r="E29" s="87">
        <f t="shared" si="9"/>
        <v>36.299999999999997</v>
      </c>
      <c r="F29" s="87">
        <f t="shared" si="9"/>
        <v>19.899999999999999</v>
      </c>
      <c r="G29" s="87">
        <f t="shared" si="9"/>
        <v>6.6</v>
      </c>
      <c r="H29" s="87">
        <f t="shared" si="9"/>
        <v>95.8</v>
      </c>
      <c r="I29" s="66">
        <f t="shared" si="4"/>
        <v>5770</v>
      </c>
      <c r="J29" s="87">
        <f t="shared" si="10"/>
        <v>11.2</v>
      </c>
      <c r="K29" s="87">
        <f t="shared" si="10"/>
        <v>30.7</v>
      </c>
      <c r="L29" s="87">
        <f t="shared" si="10"/>
        <v>35.200000000000003</v>
      </c>
      <c r="M29" s="87">
        <f t="shared" si="10"/>
        <v>15.2</v>
      </c>
      <c r="N29" s="87">
        <f t="shared" si="10"/>
        <v>4.9000000000000004</v>
      </c>
      <c r="O29" s="87">
        <f t="shared" si="10"/>
        <v>97.2</v>
      </c>
      <c r="P29" s="66">
        <f t="shared" si="6"/>
        <v>7166</v>
      </c>
      <c r="Q29" s="87">
        <f t="shared" si="11"/>
        <v>9</v>
      </c>
      <c r="R29" s="87">
        <f t="shared" si="11"/>
        <v>29</v>
      </c>
      <c r="S29" s="87">
        <f t="shared" si="11"/>
        <v>35.700000000000003</v>
      </c>
      <c r="T29" s="87">
        <f t="shared" si="11"/>
        <v>17.3</v>
      </c>
      <c r="U29" s="87">
        <f t="shared" si="11"/>
        <v>5.7</v>
      </c>
      <c r="V29" s="87">
        <f t="shared" si="11"/>
        <v>96.6</v>
      </c>
      <c r="W29" s="66">
        <f t="shared" si="8"/>
        <v>12936</v>
      </c>
    </row>
    <row r="30" spans="2:23" x14ac:dyDescent="0.2">
      <c r="B30" s="99" t="s">
        <v>24</v>
      </c>
      <c r="C30" s="87">
        <f t="shared" si="9"/>
        <v>30</v>
      </c>
      <c r="D30" s="87">
        <f t="shared" si="9"/>
        <v>20</v>
      </c>
      <c r="E30" s="87">
        <f t="shared" si="9"/>
        <v>18.7</v>
      </c>
      <c r="F30" s="87">
        <f t="shared" si="9"/>
        <v>13.8</v>
      </c>
      <c r="G30" s="87">
        <f t="shared" si="9"/>
        <v>9</v>
      </c>
      <c r="H30" s="87">
        <f t="shared" si="9"/>
        <v>91.6</v>
      </c>
      <c r="I30" s="66">
        <f t="shared" si="4"/>
        <v>4036</v>
      </c>
      <c r="J30" s="87">
        <f t="shared" si="10"/>
        <v>26</v>
      </c>
      <c r="K30" s="87">
        <f t="shared" si="10"/>
        <v>19.600000000000001</v>
      </c>
      <c r="L30" s="87">
        <f t="shared" si="10"/>
        <v>19.3</v>
      </c>
      <c r="M30" s="87">
        <f t="shared" si="10"/>
        <v>16.100000000000001</v>
      </c>
      <c r="N30" s="87">
        <f t="shared" si="10"/>
        <v>10.7</v>
      </c>
      <c r="O30" s="87">
        <f t="shared" si="10"/>
        <v>91.6</v>
      </c>
      <c r="P30" s="66">
        <f t="shared" si="6"/>
        <v>9487</v>
      </c>
      <c r="Q30" s="87">
        <f t="shared" si="11"/>
        <v>27.2</v>
      </c>
      <c r="R30" s="87">
        <f t="shared" si="11"/>
        <v>19.7</v>
      </c>
      <c r="S30" s="87">
        <f t="shared" si="11"/>
        <v>19.100000000000001</v>
      </c>
      <c r="T30" s="87">
        <f t="shared" si="11"/>
        <v>15.4</v>
      </c>
      <c r="U30" s="87">
        <f t="shared" si="11"/>
        <v>10.199999999999999</v>
      </c>
      <c r="V30" s="87">
        <f t="shared" si="11"/>
        <v>91.6</v>
      </c>
      <c r="W30" s="66">
        <f t="shared" si="8"/>
        <v>13523</v>
      </c>
    </row>
    <row r="31" spans="2:23" x14ac:dyDescent="0.2">
      <c r="B31" s="99" t="s">
        <v>25</v>
      </c>
      <c r="C31" s="87">
        <f t="shared" si="9"/>
        <v>27.7</v>
      </c>
      <c r="D31" s="87">
        <f t="shared" si="9"/>
        <v>22.3</v>
      </c>
      <c r="E31" s="87">
        <f t="shared" si="9"/>
        <v>17.899999999999999</v>
      </c>
      <c r="F31" s="87">
        <f t="shared" si="9"/>
        <v>15.8</v>
      </c>
      <c r="G31" s="87">
        <f t="shared" si="9"/>
        <v>10.4</v>
      </c>
      <c r="H31" s="87">
        <f t="shared" si="9"/>
        <v>94.1</v>
      </c>
      <c r="I31" s="66">
        <f t="shared" si="4"/>
        <v>2126</v>
      </c>
      <c r="J31" s="87">
        <f t="shared" si="10"/>
        <v>24.6</v>
      </c>
      <c r="K31" s="87">
        <f t="shared" si="10"/>
        <v>20.8</v>
      </c>
      <c r="L31" s="87">
        <f t="shared" si="10"/>
        <v>20.7</v>
      </c>
      <c r="M31" s="87">
        <f t="shared" si="10"/>
        <v>16.8</v>
      </c>
      <c r="N31" s="87">
        <f t="shared" si="10"/>
        <v>10.199999999999999</v>
      </c>
      <c r="O31" s="87">
        <f t="shared" si="10"/>
        <v>93.1</v>
      </c>
      <c r="P31" s="66">
        <f t="shared" si="6"/>
        <v>3472</v>
      </c>
      <c r="Q31" s="87">
        <f t="shared" si="11"/>
        <v>25.8</v>
      </c>
      <c r="R31" s="87">
        <f t="shared" si="11"/>
        <v>21.4</v>
      </c>
      <c r="S31" s="87">
        <f t="shared" si="11"/>
        <v>19.600000000000001</v>
      </c>
      <c r="T31" s="87">
        <f t="shared" si="11"/>
        <v>16.399999999999999</v>
      </c>
      <c r="U31" s="87">
        <f t="shared" si="11"/>
        <v>10.3</v>
      </c>
      <c r="V31" s="87">
        <f t="shared" si="11"/>
        <v>93.4</v>
      </c>
      <c r="W31" s="66">
        <f t="shared" si="8"/>
        <v>5598</v>
      </c>
    </row>
    <row r="32" spans="2:23" x14ac:dyDescent="0.2">
      <c r="B32" s="99" t="s">
        <v>26</v>
      </c>
      <c r="C32" s="87">
        <f t="shared" si="9"/>
        <v>26.6</v>
      </c>
      <c r="D32" s="87">
        <f t="shared" si="9"/>
        <v>21.1</v>
      </c>
      <c r="E32" s="87">
        <f t="shared" si="9"/>
        <v>20</v>
      </c>
      <c r="F32" s="87">
        <f t="shared" si="9"/>
        <v>15.6</v>
      </c>
      <c r="G32" s="87">
        <f t="shared" si="9"/>
        <v>9.6</v>
      </c>
      <c r="H32" s="87">
        <f t="shared" si="9"/>
        <v>92.9</v>
      </c>
      <c r="I32" s="66">
        <f t="shared" si="4"/>
        <v>3021</v>
      </c>
      <c r="J32" s="87">
        <f t="shared" si="10"/>
        <v>21.8</v>
      </c>
      <c r="K32" s="87">
        <f t="shared" si="10"/>
        <v>20.3</v>
      </c>
      <c r="L32" s="87">
        <f t="shared" si="10"/>
        <v>19.899999999999999</v>
      </c>
      <c r="M32" s="87">
        <f t="shared" si="10"/>
        <v>16.8</v>
      </c>
      <c r="N32" s="87">
        <f t="shared" si="10"/>
        <v>11.6</v>
      </c>
      <c r="O32" s="87">
        <f t="shared" si="10"/>
        <v>90.4</v>
      </c>
      <c r="P32" s="66">
        <f t="shared" si="6"/>
        <v>6409</v>
      </c>
      <c r="Q32" s="87">
        <f t="shared" si="11"/>
        <v>23.3</v>
      </c>
      <c r="R32" s="87">
        <f t="shared" si="11"/>
        <v>20.6</v>
      </c>
      <c r="S32" s="87">
        <f t="shared" si="11"/>
        <v>20</v>
      </c>
      <c r="T32" s="87">
        <f t="shared" si="11"/>
        <v>16.399999999999999</v>
      </c>
      <c r="U32" s="87">
        <f t="shared" si="11"/>
        <v>11</v>
      </c>
      <c r="V32" s="87">
        <f t="shared" si="11"/>
        <v>91.2</v>
      </c>
      <c r="W32" s="66">
        <f t="shared" si="8"/>
        <v>9430</v>
      </c>
    </row>
    <row r="33" spans="1:23" x14ac:dyDescent="0.2">
      <c r="B33" s="99" t="s">
        <v>27</v>
      </c>
      <c r="C33" s="87">
        <f t="shared" si="9"/>
        <v>49.3</v>
      </c>
      <c r="D33" s="87">
        <f t="shared" si="9"/>
        <v>22.9</v>
      </c>
      <c r="E33" s="87">
        <f t="shared" si="9"/>
        <v>11.5</v>
      </c>
      <c r="F33" s="87">
        <f t="shared" si="9"/>
        <v>6.4</v>
      </c>
      <c r="G33" s="87">
        <f t="shared" si="9"/>
        <v>4.5999999999999996</v>
      </c>
      <c r="H33" s="87">
        <f t="shared" si="9"/>
        <v>94.8</v>
      </c>
      <c r="I33" s="66">
        <f t="shared" si="4"/>
        <v>1962</v>
      </c>
      <c r="J33" s="87">
        <f t="shared" si="10"/>
        <v>52.2</v>
      </c>
      <c r="K33" s="87">
        <f t="shared" si="10"/>
        <v>19.5</v>
      </c>
      <c r="L33" s="87">
        <f t="shared" si="10"/>
        <v>11.4</v>
      </c>
      <c r="M33" s="87">
        <f t="shared" si="10"/>
        <v>7.2</v>
      </c>
      <c r="N33" s="87">
        <f t="shared" si="10"/>
        <v>4.5</v>
      </c>
      <c r="O33" s="87">
        <f t="shared" si="10"/>
        <v>94.8</v>
      </c>
      <c r="P33" s="66">
        <f t="shared" si="6"/>
        <v>2748</v>
      </c>
      <c r="Q33" s="87">
        <f t="shared" si="11"/>
        <v>51</v>
      </c>
      <c r="R33" s="87">
        <f t="shared" si="11"/>
        <v>20.9</v>
      </c>
      <c r="S33" s="87">
        <f t="shared" si="11"/>
        <v>11.4</v>
      </c>
      <c r="T33" s="87">
        <f t="shared" si="11"/>
        <v>6.8</v>
      </c>
      <c r="U33" s="87">
        <f t="shared" si="11"/>
        <v>4.5999999999999996</v>
      </c>
      <c r="V33" s="87">
        <f t="shared" si="11"/>
        <v>94.8</v>
      </c>
      <c r="W33" s="66">
        <f t="shared" si="8"/>
        <v>4710</v>
      </c>
    </row>
    <row r="34" spans="1:23" x14ac:dyDescent="0.2">
      <c r="B34" s="99" t="s">
        <v>28</v>
      </c>
      <c r="C34" s="87">
        <f t="shared" si="9"/>
        <v>31.1</v>
      </c>
      <c r="D34" s="87">
        <f t="shared" si="9"/>
        <v>22.2</v>
      </c>
      <c r="E34" s="87">
        <f t="shared" si="9"/>
        <v>19.2</v>
      </c>
      <c r="F34" s="87">
        <f t="shared" si="9"/>
        <v>13.5</v>
      </c>
      <c r="G34" s="87">
        <f t="shared" si="9"/>
        <v>8.3000000000000007</v>
      </c>
      <c r="H34" s="87">
        <f t="shared" si="9"/>
        <v>94.3</v>
      </c>
      <c r="I34" s="66">
        <f t="shared" si="4"/>
        <v>3276</v>
      </c>
      <c r="J34" s="87">
        <f t="shared" si="10"/>
        <v>33.4</v>
      </c>
      <c r="K34" s="87">
        <f t="shared" si="10"/>
        <v>23.6</v>
      </c>
      <c r="L34" s="87">
        <f t="shared" si="10"/>
        <v>19.100000000000001</v>
      </c>
      <c r="M34" s="87">
        <f t="shared" si="10"/>
        <v>13.1</v>
      </c>
      <c r="N34" s="87">
        <f t="shared" si="10"/>
        <v>6</v>
      </c>
      <c r="O34" s="87">
        <f t="shared" si="10"/>
        <v>95.3</v>
      </c>
      <c r="P34" s="66">
        <f t="shared" si="6"/>
        <v>4293</v>
      </c>
      <c r="Q34" s="87">
        <f t="shared" si="11"/>
        <v>32.4</v>
      </c>
      <c r="R34" s="87">
        <f t="shared" si="11"/>
        <v>23</v>
      </c>
      <c r="S34" s="87">
        <f t="shared" si="11"/>
        <v>19.2</v>
      </c>
      <c r="T34" s="87">
        <f t="shared" si="11"/>
        <v>13.3</v>
      </c>
      <c r="U34" s="87">
        <f t="shared" si="11"/>
        <v>7</v>
      </c>
      <c r="V34" s="87">
        <f t="shared" si="11"/>
        <v>94.8</v>
      </c>
      <c r="W34" s="66">
        <f t="shared" si="8"/>
        <v>7569</v>
      </c>
    </row>
    <row r="35" spans="1:23" x14ac:dyDescent="0.2">
      <c r="B35" s="99" t="s">
        <v>29</v>
      </c>
      <c r="C35" s="87">
        <f t="shared" si="9"/>
        <v>18.100000000000001</v>
      </c>
      <c r="D35" s="87">
        <f t="shared" si="9"/>
        <v>19.8</v>
      </c>
      <c r="E35" s="87">
        <f t="shared" si="9"/>
        <v>21.8</v>
      </c>
      <c r="F35" s="87">
        <f t="shared" si="9"/>
        <v>18.3</v>
      </c>
      <c r="G35" s="87">
        <f t="shared" si="9"/>
        <v>11.9</v>
      </c>
      <c r="H35" s="87">
        <f t="shared" si="9"/>
        <v>89.9</v>
      </c>
      <c r="I35" s="66">
        <f t="shared" si="4"/>
        <v>8689</v>
      </c>
      <c r="J35" s="87">
        <f t="shared" si="10"/>
        <v>20.9</v>
      </c>
      <c r="K35" s="87">
        <f t="shared" si="10"/>
        <v>23.3</v>
      </c>
      <c r="L35" s="87">
        <f t="shared" si="10"/>
        <v>22.9</v>
      </c>
      <c r="M35" s="87">
        <f t="shared" si="10"/>
        <v>15.6</v>
      </c>
      <c r="N35" s="87">
        <f t="shared" si="10"/>
        <v>9.6999999999999993</v>
      </c>
      <c r="O35" s="87">
        <f t="shared" si="10"/>
        <v>92.4</v>
      </c>
      <c r="P35" s="66">
        <f t="shared" si="6"/>
        <v>18758</v>
      </c>
      <c r="Q35" s="87">
        <f t="shared" si="11"/>
        <v>20</v>
      </c>
      <c r="R35" s="87">
        <f t="shared" si="11"/>
        <v>22.2</v>
      </c>
      <c r="S35" s="87">
        <f t="shared" si="11"/>
        <v>22.5</v>
      </c>
      <c r="T35" s="87">
        <f t="shared" si="11"/>
        <v>16.5</v>
      </c>
      <c r="U35" s="87">
        <f t="shared" si="11"/>
        <v>10.4</v>
      </c>
      <c r="V35" s="87">
        <f t="shared" si="11"/>
        <v>91.6</v>
      </c>
      <c r="W35" s="66">
        <f t="shared" si="8"/>
        <v>27447</v>
      </c>
    </row>
    <row r="36" spans="1:23" x14ac:dyDescent="0.2">
      <c r="B36" s="99" t="s">
        <v>30</v>
      </c>
      <c r="C36" s="87">
        <f t="shared" si="9"/>
        <v>14.3</v>
      </c>
      <c r="D36" s="87">
        <f t="shared" si="9"/>
        <v>20.399999999999999</v>
      </c>
      <c r="E36" s="87">
        <f t="shared" si="9"/>
        <v>24.5</v>
      </c>
      <c r="F36" s="87">
        <f t="shared" si="9"/>
        <v>20.7</v>
      </c>
      <c r="G36" s="87">
        <f t="shared" si="9"/>
        <v>13.2</v>
      </c>
      <c r="H36" s="87">
        <f t="shared" si="9"/>
        <v>93.1</v>
      </c>
      <c r="I36" s="66">
        <f t="shared" si="4"/>
        <v>6560</v>
      </c>
      <c r="J36" s="87">
        <f t="shared" si="10"/>
        <v>18.7</v>
      </c>
      <c r="K36" s="87">
        <f t="shared" si="10"/>
        <v>22.8</v>
      </c>
      <c r="L36" s="87">
        <f t="shared" si="10"/>
        <v>23.8</v>
      </c>
      <c r="M36" s="87">
        <f t="shared" si="10"/>
        <v>19.2</v>
      </c>
      <c r="N36" s="87">
        <f t="shared" si="10"/>
        <v>10.6</v>
      </c>
      <c r="O36" s="87">
        <f t="shared" si="10"/>
        <v>95.1</v>
      </c>
      <c r="P36" s="66">
        <f t="shared" si="6"/>
        <v>4052</v>
      </c>
      <c r="Q36" s="87">
        <f t="shared" si="11"/>
        <v>16</v>
      </c>
      <c r="R36" s="87">
        <f t="shared" si="11"/>
        <v>21.3</v>
      </c>
      <c r="S36" s="87">
        <f t="shared" si="11"/>
        <v>24.3</v>
      </c>
      <c r="T36" s="87">
        <f t="shared" si="11"/>
        <v>20.100000000000001</v>
      </c>
      <c r="U36" s="87">
        <f t="shared" si="11"/>
        <v>12.2</v>
      </c>
      <c r="V36" s="87">
        <f t="shared" si="11"/>
        <v>93.9</v>
      </c>
      <c r="W36" s="66">
        <f t="shared" si="8"/>
        <v>10612</v>
      </c>
    </row>
    <row r="37" spans="1:23" x14ac:dyDescent="0.2">
      <c r="B37" s="99" t="s">
        <v>31</v>
      </c>
      <c r="C37" s="87">
        <f t="shared" si="9"/>
        <v>7.1</v>
      </c>
      <c r="D37" s="87">
        <f t="shared" si="9"/>
        <v>11.6</v>
      </c>
      <c r="E37" s="87">
        <f t="shared" si="9"/>
        <v>16.399999999999999</v>
      </c>
      <c r="F37" s="87">
        <f t="shared" si="9"/>
        <v>21.8</v>
      </c>
      <c r="G37" s="87">
        <f t="shared" si="9"/>
        <v>27.1</v>
      </c>
      <c r="H37" s="87">
        <f t="shared" si="9"/>
        <v>83.8</v>
      </c>
      <c r="I37" s="66">
        <f t="shared" si="4"/>
        <v>12748</v>
      </c>
      <c r="J37" s="87">
        <f t="shared" si="10"/>
        <v>14.8</v>
      </c>
      <c r="K37" s="87">
        <f t="shared" si="10"/>
        <v>18.399999999999999</v>
      </c>
      <c r="L37" s="87">
        <f t="shared" si="10"/>
        <v>21.6</v>
      </c>
      <c r="M37" s="87">
        <f t="shared" si="10"/>
        <v>19.899999999999999</v>
      </c>
      <c r="N37" s="87">
        <f t="shared" si="10"/>
        <v>16.399999999999999</v>
      </c>
      <c r="O37" s="87">
        <f t="shared" si="10"/>
        <v>91</v>
      </c>
      <c r="P37" s="66">
        <f t="shared" si="6"/>
        <v>8552</v>
      </c>
      <c r="Q37" s="87">
        <f t="shared" si="11"/>
        <v>10.199999999999999</v>
      </c>
      <c r="R37" s="87">
        <f t="shared" si="11"/>
        <v>14.3</v>
      </c>
      <c r="S37" s="87">
        <f t="shared" si="11"/>
        <v>18.5</v>
      </c>
      <c r="T37" s="87">
        <f t="shared" si="11"/>
        <v>21</v>
      </c>
      <c r="U37" s="87">
        <f t="shared" si="11"/>
        <v>22.8</v>
      </c>
      <c r="V37" s="87">
        <f t="shared" si="11"/>
        <v>86.7</v>
      </c>
      <c r="W37" s="66">
        <f t="shared" si="8"/>
        <v>21300</v>
      </c>
    </row>
    <row r="38" spans="1:23" x14ac:dyDescent="0.2">
      <c r="B38" s="99" t="s">
        <v>32</v>
      </c>
      <c r="C38" s="87">
        <f t="shared" ref="C38:H39" si="12">IF(OR(C80=1,C80=2),"x",ROUND(C80/$I80*100,1))</f>
        <v>8.5</v>
      </c>
      <c r="D38" s="87">
        <f t="shared" si="12"/>
        <v>12.8</v>
      </c>
      <c r="E38" s="87">
        <f t="shared" si="12"/>
        <v>17.600000000000001</v>
      </c>
      <c r="F38" s="87">
        <f t="shared" si="12"/>
        <v>20.3</v>
      </c>
      <c r="G38" s="87">
        <f t="shared" si="12"/>
        <v>18.3</v>
      </c>
      <c r="H38" s="87">
        <f t="shared" si="12"/>
        <v>77.5</v>
      </c>
      <c r="I38" s="66">
        <f t="shared" si="4"/>
        <v>29288</v>
      </c>
      <c r="J38" s="87">
        <f t="shared" ref="J38:O39" si="13">IF(OR(J80=1,J80=2),"x",ROUND(J80/$P80*100,1))</f>
        <v>11.7</v>
      </c>
      <c r="K38" s="87">
        <f t="shared" si="13"/>
        <v>14.8</v>
      </c>
      <c r="L38" s="87">
        <f t="shared" si="13"/>
        <v>19.2</v>
      </c>
      <c r="M38" s="87">
        <f t="shared" si="13"/>
        <v>19.600000000000001</v>
      </c>
      <c r="N38" s="87">
        <f t="shared" si="13"/>
        <v>17.100000000000001</v>
      </c>
      <c r="O38" s="87">
        <f t="shared" si="13"/>
        <v>82.5</v>
      </c>
      <c r="P38" s="66">
        <f t="shared" si="6"/>
        <v>34891</v>
      </c>
      <c r="Q38" s="87">
        <f t="shared" ref="Q38:V39" si="14">IF(OR(Q80=1,Q80=2),"x",ROUND(Q80/$W80*100,1))</f>
        <v>10.3</v>
      </c>
      <c r="R38" s="87">
        <f t="shared" si="14"/>
        <v>13.9</v>
      </c>
      <c r="S38" s="87">
        <f t="shared" si="14"/>
        <v>18.5</v>
      </c>
      <c r="T38" s="87">
        <f t="shared" si="14"/>
        <v>19.899999999999999</v>
      </c>
      <c r="U38" s="87">
        <f t="shared" si="14"/>
        <v>17.7</v>
      </c>
      <c r="V38" s="87">
        <f t="shared" si="14"/>
        <v>80.2</v>
      </c>
      <c r="W38" s="66">
        <f t="shared" si="8"/>
        <v>64179</v>
      </c>
    </row>
    <row r="39" spans="1:23" x14ac:dyDescent="0.2">
      <c r="B39" s="100" t="s">
        <v>46</v>
      </c>
      <c r="C39" s="87">
        <f t="shared" si="12"/>
        <v>15.8</v>
      </c>
      <c r="D39" s="87">
        <f t="shared" si="12"/>
        <v>17</v>
      </c>
      <c r="E39" s="87">
        <f t="shared" si="12"/>
        <v>19.8</v>
      </c>
      <c r="F39" s="87">
        <f t="shared" si="12"/>
        <v>18</v>
      </c>
      <c r="G39" s="87">
        <f t="shared" si="12"/>
        <v>13.7</v>
      </c>
      <c r="H39" s="87">
        <f t="shared" si="12"/>
        <v>84.3</v>
      </c>
      <c r="I39" s="66">
        <f t="shared" si="4"/>
        <v>521837</v>
      </c>
      <c r="J39" s="87">
        <f t="shared" si="13"/>
        <v>18.100000000000001</v>
      </c>
      <c r="K39" s="87">
        <f t="shared" si="13"/>
        <v>20.6</v>
      </c>
      <c r="L39" s="87">
        <f t="shared" si="13"/>
        <v>21.9</v>
      </c>
      <c r="M39" s="87">
        <f t="shared" si="13"/>
        <v>17</v>
      </c>
      <c r="N39" s="87">
        <f t="shared" si="13"/>
        <v>11.2</v>
      </c>
      <c r="O39" s="87">
        <f t="shared" si="13"/>
        <v>88.8</v>
      </c>
      <c r="P39" s="66">
        <f t="shared" si="6"/>
        <v>606485</v>
      </c>
      <c r="Q39" s="87">
        <f t="shared" si="14"/>
        <v>17</v>
      </c>
      <c r="R39" s="87">
        <f t="shared" si="14"/>
        <v>18.899999999999999</v>
      </c>
      <c r="S39" s="87">
        <f t="shared" si="14"/>
        <v>21</v>
      </c>
      <c r="T39" s="87">
        <f t="shared" si="14"/>
        <v>17.5</v>
      </c>
      <c r="U39" s="87">
        <f t="shared" si="14"/>
        <v>12.3</v>
      </c>
      <c r="V39" s="87">
        <f t="shared" si="14"/>
        <v>86.7</v>
      </c>
      <c r="W39" s="66">
        <f t="shared" si="8"/>
        <v>1128322</v>
      </c>
    </row>
    <row r="40" spans="1:23" x14ac:dyDescent="0.2">
      <c r="B40" s="101"/>
    </row>
    <row r="41" spans="1:23" ht="15" x14ac:dyDescent="0.2">
      <c r="A41" s="130" t="s">
        <v>138</v>
      </c>
      <c r="B41" s="101"/>
    </row>
    <row r="42" spans="1:23" x14ac:dyDescent="0.2">
      <c r="A42" s="132" t="s">
        <v>137</v>
      </c>
    </row>
    <row r="43" spans="1:23" x14ac:dyDescent="0.2">
      <c r="A43" s="64"/>
    </row>
    <row r="44" spans="1:23" s="125" customFormat="1" x14ac:dyDescent="0.2">
      <c r="A44" s="73"/>
      <c r="B44" s="73"/>
      <c r="C44" s="73" t="s">
        <v>39</v>
      </c>
      <c r="D44" s="73"/>
      <c r="E44" s="73"/>
      <c r="F44" s="73"/>
      <c r="G44" s="73"/>
      <c r="H44" s="73"/>
      <c r="I44" s="73"/>
      <c r="J44" s="73" t="s">
        <v>40</v>
      </c>
      <c r="K44" s="73"/>
      <c r="L44" s="73"/>
      <c r="M44" s="73"/>
      <c r="N44" s="73"/>
      <c r="O44" s="73"/>
      <c r="P44" s="73"/>
      <c r="Q44" s="73" t="s">
        <v>54</v>
      </c>
      <c r="R44" s="73"/>
      <c r="S44" s="73"/>
      <c r="T44" s="73"/>
      <c r="U44" s="73"/>
      <c r="V44" s="73"/>
      <c r="W44" s="73"/>
    </row>
    <row r="45" spans="1:23" s="125" customFormat="1" x14ac:dyDescent="0.2">
      <c r="A45" s="73"/>
      <c r="B45" s="73"/>
      <c r="C45" s="73" t="s">
        <v>33</v>
      </c>
      <c r="D45" s="73" t="s">
        <v>34</v>
      </c>
      <c r="E45" s="73" t="s">
        <v>35</v>
      </c>
      <c r="F45" s="73" t="s">
        <v>36</v>
      </c>
      <c r="G45" s="73" t="s">
        <v>37</v>
      </c>
      <c r="H45" s="92" t="s">
        <v>47</v>
      </c>
      <c r="I45" s="73" t="s">
        <v>54</v>
      </c>
      <c r="J45" s="73" t="s">
        <v>33</v>
      </c>
      <c r="K45" s="73" t="s">
        <v>34</v>
      </c>
      <c r="L45" s="73" t="s">
        <v>35</v>
      </c>
      <c r="M45" s="73" t="s">
        <v>36</v>
      </c>
      <c r="N45" s="73" t="s">
        <v>37</v>
      </c>
      <c r="O45" s="92" t="s">
        <v>47</v>
      </c>
      <c r="P45" s="73" t="s">
        <v>54</v>
      </c>
      <c r="Q45" s="133" t="s">
        <v>33</v>
      </c>
      <c r="R45" s="133" t="s">
        <v>34</v>
      </c>
      <c r="S45" s="133" t="s">
        <v>35</v>
      </c>
      <c r="T45" s="133" t="s">
        <v>36</v>
      </c>
      <c r="U45" s="133" t="s">
        <v>37</v>
      </c>
      <c r="V45" s="92" t="s">
        <v>47</v>
      </c>
      <c r="W45" s="133" t="s">
        <v>54</v>
      </c>
    </row>
    <row r="46" spans="1:23" s="125" customFormat="1" x14ac:dyDescent="0.2">
      <c r="A46" s="73"/>
      <c r="B46" s="73"/>
      <c r="C46" s="73" t="s">
        <v>71</v>
      </c>
      <c r="D46" s="73" t="s">
        <v>71</v>
      </c>
      <c r="E46" s="73" t="s">
        <v>71</v>
      </c>
      <c r="F46" s="73" t="s">
        <v>71</v>
      </c>
      <c r="G46" s="73" t="s">
        <v>71</v>
      </c>
      <c r="H46" s="73" t="s">
        <v>71</v>
      </c>
      <c r="I46" s="73" t="s">
        <v>71</v>
      </c>
      <c r="J46" s="73" t="s">
        <v>71</v>
      </c>
      <c r="K46" s="73" t="s">
        <v>71</v>
      </c>
      <c r="L46" s="73" t="s">
        <v>71</v>
      </c>
      <c r="M46" s="73" t="s">
        <v>71</v>
      </c>
      <c r="N46" s="73" t="s">
        <v>71</v>
      </c>
      <c r="O46" s="73" t="s">
        <v>71</v>
      </c>
      <c r="P46" s="73" t="s">
        <v>71</v>
      </c>
      <c r="Q46" s="133" t="s">
        <v>71</v>
      </c>
      <c r="R46" s="133" t="s">
        <v>71</v>
      </c>
      <c r="S46" s="133" t="s">
        <v>71</v>
      </c>
      <c r="T46" s="133" t="s">
        <v>71</v>
      </c>
      <c r="U46" s="133" t="s">
        <v>71</v>
      </c>
      <c r="V46" s="133" t="s">
        <v>71</v>
      </c>
      <c r="W46" s="133" t="s">
        <v>71</v>
      </c>
    </row>
    <row r="47" spans="1:23" s="125" customFormat="1" x14ac:dyDescent="0.2">
      <c r="A47" s="73" t="s">
        <v>72</v>
      </c>
      <c r="B47" s="73" t="s">
        <v>0</v>
      </c>
      <c r="C47" s="127">
        <v>5491</v>
      </c>
      <c r="D47" s="127">
        <v>5927</v>
      </c>
      <c r="E47" s="127">
        <v>6637</v>
      </c>
      <c r="F47" s="127">
        <v>6102</v>
      </c>
      <c r="G47" s="127">
        <v>5515</v>
      </c>
      <c r="H47" s="127">
        <v>29672</v>
      </c>
      <c r="I47" s="127">
        <v>36813</v>
      </c>
      <c r="J47" s="127">
        <v>8972</v>
      </c>
      <c r="K47" s="127">
        <v>8947</v>
      </c>
      <c r="L47" s="127">
        <v>8906</v>
      </c>
      <c r="M47" s="127">
        <v>7865</v>
      </c>
      <c r="N47" s="127">
        <v>6423</v>
      </c>
      <c r="O47" s="127">
        <v>41113</v>
      </c>
      <c r="P47" s="127">
        <v>49107</v>
      </c>
      <c r="Q47" s="127">
        <v>14463</v>
      </c>
      <c r="R47" s="127">
        <v>14874</v>
      </c>
      <c r="S47" s="127">
        <v>15543</v>
      </c>
      <c r="T47" s="127">
        <v>13967</v>
      </c>
      <c r="U47" s="127">
        <v>11938</v>
      </c>
      <c r="V47" s="127">
        <v>70785</v>
      </c>
      <c r="W47" s="127">
        <v>85920</v>
      </c>
    </row>
    <row r="48" spans="1:23" s="125" customFormat="1" x14ac:dyDescent="0.2">
      <c r="A48" s="73"/>
      <c r="B48" s="73" t="s">
        <v>1</v>
      </c>
      <c r="C48" s="127">
        <v>6947</v>
      </c>
      <c r="D48" s="127">
        <v>6997</v>
      </c>
      <c r="E48" s="127">
        <v>6487</v>
      </c>
      <c r="F48" s="127">
        <v>5741</v>
      </c>
      <c r="G48" s="127">
        <v>4808</v>
      </c>
      <c r="H48" s="127">
        <v>30980</v>
      </c>
      <c r="I48" s="127">
        <v>37353</v>
      </c>
      <c r="J48" s="127">
        <v>6103</v>
      </c>
      <c r="K48" s="127">
        <v>6661</v>
      </c>
      <c r="L48" s="127">
        <v>6428</v>
      </c>
      <c r="M48" s="127">
        <v>5223</v>
      </c>
      <c r="N48" s="127">
        <v>4293</v>
      </c>
      <c r="O48" s="127">
        <v>28708</v>
      </c>
      <c r="P48" s="127">
        <v>34456</v>
      </c>
      <c r="Q48" s="127">
        <v>13050</v>
      </c>
      <c r="R48" s="127">
        <v>13658</v>
      </c>
      <c r="S48" s="127">
        <v>12915</v>
      </c>
      <c r="T48" s="127">
        <v>10964</v>
      </c>
      <c r="U48" s="127">
        <v>9101</v>
      </c>
      <c r="V48" s="127">
        <v>59688</v>
      </c>
      <c r="W48" s="127">
        <v>71809</v>
      </c>
    </row>
    <row r="49" spans="1:23" s="125" customFormat="1" x14ac:dyDescent="0.2">
      <c r="A49" s="73"/>
      <c r="B49" s="73" t="s">
        <v>2</v>
      </c>
      <c r="C49" s="127">
        <v>7913</v>
      </c>
      <c r="D49" s="127">
        <v>6783</v>
      </c>
      <c r="E49" s="127">
        <v>6613</v>
      </c>
      <c r="F49" s="127">
        <v>6103</v>
      </c>
      <c r="G49" s="127">
        <v>5259</v>
      </c>
      <c r="H49" s="127">
        <v>32671</v>
      </c>
      <c r="I49" s="127">
        <v>39995</v>
      </c>
      <c r="J49" s="127">
        <v>2843</v>
      </c>
      <c r="K49" s="127">
        <v>2287</v>
      </c>
      <c r="L49" s="127">
        <v>2157</v>
      </c>
      <c r="M49" s="127">
        <v>1741</v>
      </c>
      <c r="N49" s="127">
        <v>1406</v>
      </c>
      <c r="O49" s="127">
        <v>10434</v>
      </c>
      <c r="P49" s="127">
        <v>12249</v>
      </c>
      <c r="Q49" s="127">
        <v>10756</v>
      </c>
      <c r="R49" s="127">
        <v>9070</v>
      </c>
      <c r="S49" s="127">
        <v>8770</v>
      </c>
      <c r="T49" s="127">
        <v>7844</v>
      </c>
      <c r="U49" s="127">
        <v>6665</v>
      </c>
      <c r="V49" s="127">
        <v>43105</v>
      </c>
      <c r="W49" s="127">
        <v>52244</v>
      </c>
    </row>
    <row r="50" spans="1:23" s="125" customFormat="1" x14ac:dyDescent="0.2">
      <c r="A50" s="73"/>
      <c r="B50" s="73" t="s">
        <v>3</v>
      </c>
      <c r="C50" s="127">
        <v>834</v>
      </c>
      <c r="D50" s="127">
        <v>808</v>
      </c>
      <c r="E50" s="127">
        <v>915</v>
      </c>
      <c r="F50" s="127">
        <v>876</v>
      </c>
      <c r="G50" s="127">
        <v>729</v>
      </c>
      <c r="H50" s="127">
        <v>4162</v>
      </c>
      <c r="I50" s="127">
        <v>4946</v>
      </c>
      <c r="J50" s="127">
        <v>390</v>
      </c>
      <c r="K50" s="127">
        <v>396</v>
      </c>
      <c r="L50" s="127">
        <v>458</v>
      </c>
      <c r="M50" s="127">
        <v>361</v>
      </c>
      <c r="N50" s="127">
        <v>326</v>
      </c>
      <c r="O50" s="127">
        <v>1931</v>
      </c>
      <c r="P50" s="127">
        <v>2306</v>
      </c>
      <c r="Q50" s="127">
        <v>1224</v>
      </c>
      <c r="R50" s="127">
        <v>1204</v>
      </c>
      <c r="S50" s="127">
        <v>1373</v>
      </c>
      <c r="T50" s="127">
        <v>1237</v>
      </c>
      <c r="U50" s="127">
        <v>1055</v>
      </c>
      <c r="V50" s="127">
        <v>6093</v>
      </c>
      <c r="W50" s="127">
        <v>7252</v>
      </c>
    </row>
    <row r="51" spans="1:23" s="125" customFormat="1" x14ac:dyDescent="0.2">
      <c r="A51" s="73"/>
      <c r="B51" s="73" t="s">
        <v>4</v>
      </c>
      <c r="C51" s="127">
        <v>16481</v>
      </c>
      <c r="D51" s="127">
        <v>9825</v>
      </c>
      <c r="E51" s="127">
        <v>9793</v>
      </c>
      <c r="F51" s="127">
        <v>8771</v>
      </c>
      <c r="G51" s="127">
        <v>7350</v>
      </c>
      <c r="H51" s="127">
        <v>52220</v>
      </c>
      <c r="I51" s="127">
        <v>64932</v>
      </c>
      <c r="J51" s="127">
        <v>11451</v>
      </c>
      <c r="K51" s="127">
        <v>7685</v>
      </c>
      <c r="L51" s="127">
        <v>7090</v>
      </c>
      <c r="M51" s="127">
        <v>6072</v>
      </c>
      <c r="N51" s="127">
        <v>4830</v>
      </c>
      <c r="O51" s="127">
        <v>37128</v>
      </c>
      <c r="P51" s="127">
        <v>44129</v>
      </c>
      <c r="Q51" s="127">
        <v>27932</v>
      </c>
      <c r="R51" s="127">
        <v>17510</v>
      </c>
      <c r="S51" s="127">
        <v>16883</v>
      </c>
      <c r="T51" s="127">
        <v>14843</v>
      </c>
      <c r="U51" s="127">
        <v>12180</v>
      </c>
      <c r="V51" s="127">
        <v>89348</v>
      </c>
      <c r="W51" s="127">
        <v>109061</v>
      </c>
    </row>
    <row r="52" spans="1:23" s="125" customFormat="1" x14ac:dyDescent="0.2">
      <c r="A52" s="73"/>
      <c r="B52" s="73" t="s">
        <v>5</v>
      </c>
      <c r="C52" s="127">
        <v>3947</v>
      </c>
      <c r="D52" s="127">
        <v>1764</v>
      </c>
      <c r="E52" s="127">
        <v>1427</v>
      </c>
      <c r="F52" s="127">
        <v>1097</v>
      </c>
      <c r="G52" s="127">
        <v>792</v>
      </c>
      <c r="H52" s="127">
        <v>9027</v>
      </c>
      <c r="I52" s="127">
        <v>10002</v>
      </c>
      <c r="J52" s="127">
        <v>2110</v>
      </c>
      <c r="K52" s="127">
        <v>886</v>
      </c>
      <c r="L52" s="127">
        <v>672</v>
      </c>
      <c r="M52" s="127">
        <v>461</v>
      </c>
      <c r="N52" s="127">
        <v>291</v>
      </c>
      <c r="O52" s="127">
        <v>4420</v>
      </c>
      <c r="P52" s="127">
        <v>4751</v>
      </c>
      <c r="Q52" s="127">
        <v>6057</v>
      </c>
      <c r="R52" s="127">
        <v>2650</v>
      </c>
      <c r="S52" s="127">
        <v>2099</v>
      </c>
      <c r="T52" s="127">
        <v>1558</v>
      </c>
      <c r="U52" s="127">
        <v>1083</v>
      </c>
      <c r="V52" s="127">
        <v>13447</v>
      </c>
      <c r="W52" s="127">
        <v>14753</v>
      </c>
    </row>
    <row r="53" spans="1:23" s="125" customFormat="1" x14ac:dyDescent="0.2">
      <c r="A53" s="73"/>
      <c r="B53" s="73" t="s">
        <v>6</v>
      </c>
      <c r="C53" s="127">
        <v>898</v>
      </c>
      <c r="D53" s="127">
        <v>1511</v>
      </c>
      <c r="E53" s="127">
        <v>2297</v>
      </c>
      <c r="F53" s="127">
        <v>2659</v>
      </c>
      <c r="G53" s="127">
        <v>2118</v>
      </c>
      <c r="H53" s="127">
        <v>9483</v>
      </c>
      <c r="I53" s="127">
        <v>11316</v>
      </c>
      <c r="J53" s="127">
        <v>1000</v>
      </c>
      <c r="K53" s="127">
        <v>1457</v>
      </c>
      <c r="L53" s="127">
        <v>1682</v>
      </c>
      <c r="M53" s="127">
        <v>1631</v>
      </c>
      <c r="N53" s="127">
        <v>1097</v>
      </c>
      <c r="O53" s="127">
        <v>6867</v>
      </c>
      <c r="P53" s="127">
        <v>7509</v>
      </c>
      <c r="Q53" s="127">
        <v>1898</v>
      </c>
      <c r="R53" s="127">
        <v>2968</v>
      </c>
      <c r="S53" s="127">
        <v>3979</v>
      </c>
      <c r="T53" s="127">
        <v>4290</v>
      </c>
      <c r="U53" s="127">
        <v>3215</v>
      </c>
      <c r="V53" s="127">
        <v>16350</v>
      </c>
      <c r="W53" s="127">
        <v>18825</v>
      </c>
    </row>
    <row r="54" spans="1:23" s="125" customFormat="1" x14ac:dyDescent="0.2">
      <c r="A54" s="73"/>
      <c r="B54" s="105" t="s">
        <v>168</v>
      </c>
      <c r="C54" s="127">
        <v>685</v>
      </c>
      <c r="D54" s="127">
        <v>959</v>
      </c>
      <c r="E54" s="127">
        <v>1348</v>
      </c>
      <c r="F54" s="127">
        <v>1423</v>
      </c>
      <c r="G54" s="127">
        <v>1224</v>
      </c>
      <c r="H54" s="127">
        <v>5639</v>
      </c>
      <c r="I54" s="127">
        <v>7196</v>
      </c>
      <c r="J54" s="127">
        <v>78</v>
      </c>
      <c r="K54" s="127">
        <v>93</v>
      </c>
      <c r="L54" s="127">
        <v>108</v>
      </c>
      <c r="M54" s="127">
        <v>118</v>
      </c>
      <c r="N54" s="127">
        <v>92</v>
      </c>
      <c r="O54" s="127">
        <v>489</v>
      </c>
      <c r="P54" s="127">
        <v>651</v>
      </c>
      <c r="Q54" s="127">
        <v>763</v>
      </c>
      <c r="R54" s="127">
        <v>1052</v>
      </c>
      <c r="S54" s="127">
        <v>1456</v>
      </c>
      <c r="T54" s="127">
        <v>1541</v>
      </c>
      <c r="U54" s="127">
        <v>1316</v>
      </c>
      <c r="V54" s="127">
        <v>6128</v>
      </c>
      <c r="W54" s="127">
        <v>7847</v>
      </c>
    </row>
    <row r="55" spans="1:23" s="125" customFormat="1" x14ac:dyDescent="0.2">
      <c r="A55" s="73"/>
      <c r="B55" s="73" t="s">
        <v>8</v>
      </c>
      <c r="C55" s="127">
        <v>440</v>
      </c>
      <c r="D55" s="127">
        <v>1028</v>
      </c>
      <c r="E55" s="127">
        <v>1645</v>
      </c>
      <c r="F55" s="127">
        <v>2027</v>
      </c>
      <c r="G55" s="127">
        <v>1741</v>
      </c>
      <c r="H55" s="127">
        <v>6881</v>
      </c>
      <c r="I55" s="127">
        <v>8694</v>
      </c>
      <c r="J55" s="127">
        <v>382</v>
      </c>
      <c r="K55" s="127">
        <v>672</v>
      </c>
      <c r="L55" s="127">
        <v>904</v>
      </c>
      <c r="M55" s="127">
        <v>890</v>
      </c>
      <c r="N55" s="127">
        <v>719</v>
      </c>
      <c r="O55" s="127">
        <v>3567</v>
      </c>
      <c r="P55" s="127">
        <v>4233</v>
      </c>
      <c r="Q55" s="127">
        <v>822</v>
      </c>
      <c r="R55" s="127">
        <v>1700</v>
      </c>
      <c r="S55" s="127">
        <v>2549</v>
      </c>
      <c r="T55" s="127">
        <v>2917</v>
      </c>
      <c r="U55" s="127">
        <v>2460</v>
      </c>
      <c r="V55" s="127">
        <v>10448</v>
      </c>
      <c r="W55" s="127">
        <v>12927</v>
      </c>
    </row>
    <row r="56" spans="1:23" s="125" customFormat="1" x14ac:dyDescent="0.2">
      <c r="A56" s="73"/>
      <c r="B56" s="73" t="s">
        <v>9</v>
      </c>
      <c r="C56" s="127">
        <v>2</v>
      </c>
      <c r="D56" s="127">
        <v>3</v>
      </c>
      <c r="E56" s="127">
        <v>7</v>
      </c>
      <c r="F56" s="127">
        <v>21</v>
      </c>
      <c r="G56" s="127">
        <v>19</v>
      </c>
      <c r="H56" s="127">
        <v>52</v>
      </c>
      <c r="I56" s="127">
        <v>78</v>
      </c>
      <c r="J56" s="127">
        <v>67</v>
      </c>
      <c r="K56" s="127">
        <v>57</v>
      </c>
      <c r="L56" s="127">
        <v>89</v>
      </c>
      <c r="M56" s="127">
        <v>92</v>
      </c>
      <c r="N56" s="127">
        <v>62</v>
      </c>
      <c r="O56" s="127">
        <v>367</v>
      </c>
      <c r="P56" s="127">
        <v>430</v>
      </c>
      <c r="Q56" s="127">
        <v>69</v>
      </c>
      <c r="R56" s="127">
        <v>60</v>
      </c>
      <c r="S56" s="127">
        <v>96</v>
      </c>
      <c r="T56" s="127">
        <v>113</v>
      </c>
      <c r="U56" s="127">
        <v>81</v>
      </c>
      <c r="V56" s="127">
        <v>419</v>
      </c>
      <c r="W56" s="127">
        <v>508</v>
      </c>
    </row>
    <row r="57" spans="1:23" s="125" customFormat="1" x14ac:dyDescent="0.2">
      <c r="A57" s="73"/>
      <c r="B57" s="73" t="s">
        <v>10</v>
      </c>
      <c r="C57" s="127">
        <v>255</v>
      </c>
      <c r="D57" s="127">
        <v>458</v>
      </c>
      <c r="E57" s="127">
        <v>652</v>
      </c>
      <c r="F57" s="127">
        <v>701</v>
      </c>
      <c r="G57" s="127">
        <v>655</v>
      </c>
      <c r="H57" s="127">
        <v>2721</v>
      </c>
      <c r="I57" s="127">
        <v>3962</v>
      </c>
      <c r="J57" s="127">
        <v>154</v>
      </c>
      <c r="K57" s="127">
        <v>293</v>
      </c>
      <c r="L57" s="127">
        <v>325</v>
      </c>
      <c r="M57" s="127">
        <v>340</v>
      </c>
      <c r="N57" s="127">
        <v>332</v>
      </c>
      <c r="O57" s="127">
        <v>1444</v>
      </c>
      <c r="P57" s="127">
        <v>2032</v>
      </c>
      <c r="Q57" s="127">
        <v>409</v>
      </c>
      <c r="R57" s="127">
        <v>751</v>
      </c>
      <c r="S57" s="127">
        <v>977</v>
      </c>
      <c r="T57" s="127">
        <v>1041</v>
      </c>
      <c r="U57" s="127">
        <v>987</v>
      </c>
      <c r="V57" s="127">
        <v>4165</v>
      </c>
      <c r="W57" s="127">
        <v>5994</v>
      </c>
    </row>
    <row r="58" spans="1:23" s="125" customFormat="1" x14ac:dyDescent="0.2">
      <c r="A58" s="73"/>
      <c r="B58" s="73" t="s">
        <v>11</v>
      </c>
      <c r="C58" s="127">
        <v>1792</v>
      </c>
      <c r="D58" s="127">
        <v>3731</v>
      </c>
      <c r="E58" s="127">
        <v>5193</v>
      </c>
      <c r="F58" s="127">
        <v>5023</v>
      </c>
      <c r="G58" s="127">
        <v>3964</v>
      </c>
      <c r="H58" s="127">
        <v>19703</v>
      </c>
      <c r="I58" s="127">
        <v>23012</v>
      </c>
      <c r="J58" s="127">
        <v>1674</v>
      </c>
      <c r="K58" s="127">
        <v>2865</v>
      </c>
      <c r="L58" s="127">
        <v>3833</v>
      </c>
      <c r="M58" s="127">
        <v>3417</v>
      </c>
      <c r="N58" s="127">
        <v>2736</v>
      </c>
      <c r="O58" s="127">
        <v>14525</v>
      </c>
      <c r="P58" s="127">
        <v>16795</v>
      </c>
      <c r="Q58" s="127">
        <v>3466</v>
      </c>
      <c r="R58" s="127">
        <v>6596</v>
      </c>
      <c r="S58" s="127">
        <v>9026</v>
      </c>
      <c r="T58" s="127">
        <v>8440</v>
      </c>
      <c r="U58" s="127">
        <v>6700</v>
      </c>
      <c r="V58" s="127">
        <v>34228</v>
      </c>
      <c r="W58" s="127">
        <v>39807</v>
      </c>
    </row>
    <row r="59" spans="1:23" s="125" customFormat="1" x14ac:dyDescent="0.2">
      <c r="A59" s="73"/>
      <c r="B59" s="73" t="s">
        <v>12</v>
      </c>
      <c r="C59" s="127">
        <v>4263</v>
      </c>
      <c r="D59" s="127">
        <v>4194</v>
      </c>
      <c r="E59" s="127">
        <v>4237</v>
      </c>
      <c r="F59" s="127">
        <v>3567</v>
      </c>
      <c r="G59" s="127">
        <v>2694</v>
      </c>
      <c r="H59" s="127">
        <v>18955</v>
      </c>
      <c r="I59" s="127">
        <v>22103</v>
      </c>
      <c r="J59" s="127">
        <v>2137</v>
      </c>
      <c r="K59" s="127">
        <v>2077</v>
      </c>
      <c r="L59" s="127">
        <v>1901</v>
      </c>
      <c r="M59" s="127">
        <v>1553</v>
      </c>
      <c r="N59" s="127">
        <v>1187</v>
      </c>
      <c r="O59" s="127">
        <v>8855</v>
      </c>
      <c r="P59" s="127">
        <v>10159</v>
      </c>
      <c r="Q59" s="127">
        <v>6400</v>
      </c>
      <c r="R59" s="127">
        <v>6271</v>
      </c>
      <c r="S59" s="127">
        <v>6138</v>
      </c>
      <c r="T59" s="127">
        <v>5120</v>
      </c>
      <c r="U59" s="127">
        <v>3881</v>
      </c>
      <c r="V59" s="127">
        <v>27810</v>
      </c>
      <c r="W59" s="127">
        <v>32262</v>
      </c>
    </row>
    <row r="60" spans="1:23" s="125" customFormat="1" x14ac:dyDescent="0.2">
      <c r="A60" s="73"/>
      <c r="B60" s="73" t="s">
        <v>13</v>
      </c>
      <c r="C60" s="127">
        <v>3836</v>
      </c>
      <c r="D60" s="127">
        <v>3838</v>
      </c>
      <c r="E60" s="127">
        <v>4362</v>
      </c>
      <c r="F60" s="127">
        <v>3821</v>
      </c>
      <c r="G60" s="127">
        <v>2547</v>
      </c>
      <c r="H60" s="127">
        <v>18404</v>
      </c>
      <c r="I60" s="127">
        <v>21011</v>
      </c>
      <c r="J60" s="127">
        <v>5609</v>
      </c>
      <c r="K60" s="127">
        <v>4065</v>
      </c>
      <c r="L60" s="127">
        <v>3760</v>
      </c>
      <c r="M60" s="127">
        <v>2910</v>
      </c>
      <c r="N60" s="127">
        <v>1953</v>
      </c>
      <c r="O60" s="127">
        <v>18297</v>
      </c>
      <c r="P60" s="127">
        <v>20198</v>
      </c>
      <c r="Q60" s="127">
        <v>9445</v>
      </c>
      <c r="R60" s="127">
        <v>7903</v>
      </c>
      <c r="S60" s="127">
        <v>8122</v>
      </c>
      <c r="T60" s="127">
        <v>6731</v>
      </c>
      <c r="U60" s="127">
        <v>4500</v>
      </c>
      <c r="V60" s="127">
        <v>36701</v>
      </c>
      <c r="W60" s="127">
        <v>41209</v>
      </c>
    </row>
    <row r="61" spans="1:23" s="125" customFormat="1" x14ac:dyDescent="0.2">
      <c r="A61" s="73"/>
      <c r="B61" s="73" t="s">
        <v>14</v>
      </c>
      <c r="C61" s="127">
        <v>1725</v>
      </c>
      <c r="D61" s="127">
        <v>1848</v>
      </c>
      <c r="E61" s="127">
        <v>1935</v>
      </c>
      <c r="F61" s="127">
        <v>1681</v>
      </c>
      <c r="G61" s="127">
        <v>1105</v>
      </c>
      <c r="H61" s="127">
        <v>8294</v>
      </c>
      <c r="I61" s="127">
        <v>9446</v>
      </c>
      <c r="J61" s="127">
        <v>1659</v>
      </c>
      <c r="K61" s="127">
        <v>1476</v>
      </c>
      <c r="L61" s="127">
        <v>1421</v>
      </c>
      <c r="M61" s="127">
        <v>1171</v>
      </c>
      <c r="N61" s="127">
        <v>820</v>
      </c>
      <c r="O61" s="127">
        <v>6547</v>
      </c>
      <c r="P61" s="127">
        <v>7477</v>
      </c>
      <c r="Q61" s="127">
        <v>3384</v>
      </c>
      <c r="R61" s="127">
        <v>3324</v>
      </c>
      <c r="S61" s="127">
        <v>3356</v>
      </c>
      <c r="T61" s="127">
        <v>2852</v>
      </c>
      <c r="U61" s="127">
        <v>1925</v>
      </c>
      <c r="V61" s="127">
        <v>14841</v>
      </c>
      <c r="W61" s="127">
        <v>16923</v>
      </c>
    </row>
    <row r="62" spans="1:23" s="125" customFormat="1" x14ac:dyDescent="0.2">
      <c r="A62" s="73"/>
      <c r="B62" s="73" t="s">
        <v>15</v>
      </c>
      <c r="C62" s="127">
        <v>4843</v>
      </c>
      <c r="D62" s="127">
        <v>6438</v>
      </c>
      <c r="E62" s="127">
        <v>7190</v>
      </c>
      <c r="F62" s="127">
        <v>5125</v>
      </c>
      <c r="G62" s="127">
        <v>2659</v>
      </c>
      <c r="H62" s="127">
        <v>26255</v>
      </c>
      <c r="I62" s="127">
        <v>27957</v>
      </c>
      <c r="J62" s="127">
        <v>6137</v>
      </c>
      <c r="K62" s="127">
        <v>7890</v>
      </c>
      <c r="L62" s="127">
        <v>8041</v>
      </c>
      <c r="M62" s="127">
        <v>5565</v>
      </c>
      <c r="N62" s="127">
        <v>2908</v>
      </c>
      <c r="O62" s="127">
        <v>30541</v>
      </c>
      <c r="P62" s="127">
        <v>32506</v>
      </c>
      <c r="Q62" s="127">
        <v>10980</v>
      </c>
      <c r="R62" s="127">
        <v>14328</v>
      </c>
      <c r="S62" s="127">
        <v>15231</v>
      </c>
      <c r="T62" s="127">
        <v>10690</v>
      </c>
      <c r="U62" s="127">
        <v>5567</v>
      </c>
      <c r="V62" s="127">
        <v>56796</v>
      </c>
      <c r="W62" s="127">
        <v>60463</v>
      </c>
    </row>
    <row r="63" spans="1:23" s="125" customFormat="1" x14ac:dyDescent="0.2">
      <c r="A63" s="73"/>
      <c r="B63" s="73" t="s">
        <v>16</v>
      </c>
      <c r="C63" s="127">
        <v>628</v>
      </c>
      <c r="D63" s="127">
        <v>972</v>
      </c>
      <c r="E63" s="127">
        <v>1313</v>
      </c>
      <c r="F63" s="127">
        <v>1375</v>
      </c>
      <c r="G63" s="127">
        <v>1226</v>
      </c>
      <c r="H63" s="127">
        <v>5514</v>
      </c>
      <c r="I63" s="127">
        <v>7406</v>
      </c>
      <c r="J63" s="127">
        <v>1589</v>
      </c>
      <c r="K63" s="127">
        <v>1940</v>
      </c>
      <c r="L63" s="127">
        <v>2174</v>
      </c>
      <c r="M63" s="127">
        <v>1828</v>
      </c>
      <c r="N63" s="127">
        <v>1537</v>
      </c>
      <c r="O63" s="127">
        <v>9068</v>
      </c>
      <c r="P63" s="127">
        <v>11368</v>
      </c>
      <c r="Q63" s="127">
        <v>2217</v>
      </c>
      <c r="R63" s="127">
        <v>2912</v>
      </c>
      <c r="S63" s="127">
        <v>3487</v>
      </c>
      <c r="T63" s="127">
        <v>3203</v>
      </c>
      <c r="U63" s="127">
        <v>2763</v>
      </c>
      <c r="V63" s="127">
        <v>14582</v>
      </c>
      <c r="W63" s="127">
        <v>18774</v>
      </c>
    </row>
    <row r="64" spans="1:23" s="125" customFormat="1" x14ac:dyDescent="0.2">
      <c r="A64" s="73"/>
      <c r="B64" s="73" t="s">
        <v>17</v>
      </c>
      <c r="C64" s="127">
        <v>1559</v>
      </c>
      <c r="D64" s="127">
        <v>3136</v>
      </c>
      <c r="E64" s="127">
        <v>4629</v>
      </c>
      <c r="F64" s="127">
        <v>5120</v>
      </c>
      <c r="G64" s="127">
        <v>4499</v>
      </c>
      <c r="H64" s="127">
        <v>18943</v>
      </c>
      <c r="I64" s="127">
        <v>26413</v>
      </c>
      <c r="J64" s="127">
        <v>8267</v>
      </c>
      <c r="K64" s="127">
        <v>11575</v>
      </c>
      <c r="L64" s="127">
        <v>12581</v>
      </c>
      <c r="M64" s="127">
        <v>10586</v>
      </c>
      <c r="N64" s="127">
        <v>7834</v>
      </c>
      <c r="O64" s="127">
        <v>50843</v>
      </c>
      <c r="P64" s="127">
        <v>61391</v>
      </c>
      <c r="Q64" s="127">
        <v>9826</v>
      </c>
      <c r="R64" s="127">
        <v>14711</v>
      </c>
      <c r="S64" s="127">
        <v>17210</v>
      </c>
      <c r="T64" s="127">
        <v>15706</v>
      </c>
      <c r="U64" s="127">
        <v>12333</v>
      </c>
      <c r="V64" s="127">
        <v>69786</v>
      </c>
      <c r="W64" s="127">
        <v>87804</v>
      </c>
    </row>
    <row r="65" spans="1:23" s="125" customFormat="1" x14ac:dyDescent="0.2">
      <c r="A65" s="73"/>
      <c r="B65" s="73" t="s">
        <v>18</v>
      </c>
      <c r="C65" s="127">
        <v>945</v>
      </c>
      <c r="D65" s="127">
        <v>1713</v>
      </c>
      <c r="E65" s="127">
        <v>2716</v>
      </c>
      <c r="F65" s="127">
        <v>2490</v>
      </c>
      <c r="G65" s="127">
        <v>2085</v>
      </c>
      <c r="H65" s="127">
        <v>9949</v>
      </c>
      <c r="I65" s="127">
        <v>12741</v>
      </c>
      <c r="J65" s="127">
        <v>4989</v>
      </c>
      <c r="K65" s="127">
        <v>6573</v>
      </c>
      <c r="L65" s="127">
        <v>7461</v>
      </c>
      <c r="M65" s="127">
        <v>5803</v>
      </c>
      <c r="N65" s="127">
        <v>4054</v>
      </c>
      <c r="O65" s="127">
        <v>28880</v>
      </c>
      <c r="P65" s="127">
        <v>33702</v>
      </c>
      <c r="Q65" s="127">
        <v>5934</v>
      </c>
      <c r="R65" s="127">
        <v>8286</v>
      </c>
      <c r="S65" s="127">
        <v>10177</v>
      </c>
      <c r="T65" s="127">
        <v>8293</v>
      </c>
      <c r="U65" s="127">
        <v>6139</v>
      </c>
      <c r="V65" s="127">
        <v>38829</v>
      </c>
      <c r="W65" s="127">
        <v>46443</v>
      </c>
    </row>
    <row r="66" spans="1:23" s="125" customFormat="1" x14ac:dyDescent="0.2">
      <c r="A66" s="73"/>
      <c r="B66" s="73" t="s">
        <v>73</v>
      </c>
      <c r="C66" s="127">
        <v>359</v>
      </c>
      <c r="D66" s="127">
        <v>538</v>
      </c>
      <c r="E66" s="127">
        <v>765</v>
      </c>
      <c r="F66" s="127">
        <v>784</v>
      </c>
      <c r="G66" s="127">
        <v>666</v>
      </c>
      <c r="H66" s="127">
        <v>3112</v>
      </c>
      <c r="I66" s="127">
        <v>4149</v>
      </c>
      <c r="J66" s="127">
        <v>562</v>
      </c>
      <c r="K66" s="127">
        <v>923</v>
      </c>
      <c r="L66" s="127">
        <v>1172</v>
      </c>
      <c r="M66" s="127">
        <v>1058</v>
      </c>
      <c r="N66" s="127">
        <v>860</v>
      </c>
      <c r="O66" s="127">
        <v>4575</v>
      </c>
      <c r="P66" s="127">
        <v>5655</v>
      </c>
      <c r="Q66" s="127">
        <v>921</v>
      </c>
      <c r="R66" s="127">
        <v>1461</v>
      </c>
      <c r="S66" s="127">
        <v>1937</v>
      </c>
      <c r="T66" s="127">
        <v>1842</v>
      </c>
      <c r="U66" s="127">
        <v>1526</v>
      </c>
      <c r="V66" s="127">
        <v>7687</v>
      </c>
      <c r="W66" s="127">
        <v>9804</v>
      </c>
    </row>
    <row r="67" spans="1:23" s="125" customFormat="1" x14ac:dyDescent="0.2">
      <c r="A67" s="73"/>
      <c r="B67" s="73" t="s">
        <v>20</v>
      </c>
      <c r="C67" s="127">
        <v>2330</v>
      </c>
      <c r="D67" s="127">
        <v>3230</v>
      </c>
      <c r="E67" s="127">
        <v>3834</v>
      </c>
      <c r="F67" s="127">
        <v>3096</v>
      </c>
      <c r="G67" s="127">
        <v>1923</v>
      </c>
      <c r="H67" s="127">
        <v>14413</v>
      </c>
      <c r="I67" s="127">
        <v>15808</v>
      </c>
      <c r="J67" s="127">
        <v>9870</v>
      </c>
      <c r="K67" s="127">
        <v>11349</v>
      </c>
      <c r="L67" s="127">
        <v>10741</v>
      </c>
      <c r="M67" s="127">
        <v>6610</v>
      </c>
      <c r="N67" s="127">
        <v>3224</v>
      </c>
      <c r="O67" s="127">
        <v>41794</v>
      </c>
      <c r="P67" s="127">
        <v>43649</v>
      </c>
      <c r="Q67" s="127">
        <v>12200</v>
      </c>
      <c r="R67" s="127">
        <v>14579</v>
      </c>
      <c r="S67" s="127">
        <v>14575</v>
      </c>
      <c r="T67" s="127">
        <v>9706</v>
      </c>
      <c r="U67" s="127">
        <v>5147</v>
      </c>
      <c r="V67" s="127">
        <v>56207</v>
      </c>
      <c r="W67" s="127">
        <v>59457</v>
      </c>
    </row>
    <row r="68" spans="1:23" s="125" customFormat="1" x14ac:dyDescent="0.2">
      <c r="A68" s="73"/>
      <c r="B68" s="73" t="s">
        <v>21</v>
      </c>
      <c r="C68" s="127">
        <v>641</v>
      </c>
      <c r="D68" s="127">
        <v>1258</v>
      </c>
      <c r="E68" s="127">
        <v>1480</v>
      </c>
      <c r="F68" s="127">
        <v>1024</v>
      </c>
      <c r="G68" s="127">
        <v>380</v>
      </c>
      <c r="H68" s="127">
        <v>4783</v>
      </c>
      <c r="I68" s="127">
        <v>4890</v>
      </c>
      <c r="J68" s="127">
        <v>1597</v>
      </c>
      <c r="K68" s="127">
        <v>3279</v>
      </c>
      <c r="L68" s="127">
        <v>3241</v>
      </c>
      <c r="M68" s="127">
        <v>1814</v>
      </c>
      <c r="N68" s="127">
        <v>482</v>
      </c>
      <c r="O68" s="127">
        <v>10413</v>
      </c>
      <c r="P68" s="127">
        <v>10569</v>
      </c>
      <c r="Q68" s="127">
        <v>2238</v>
      </c>
      <c r="R68" s="127">
        <v>4537</v>
      </c>
      <c r="S68" s="127">
        <v>4721</v>
      </c>
      <c r="T68" s="127">
        <v>2838</v>
      </c>
      <c r="U68" s="127">
        <v>862</v>
      </c>
      <c r="V68" s="127">
        <v>15196</v>
      </c>
      <c r="W68" s="127">
        <v>15459</v>
      </c>
    </row>
    <row r="69" spans="1:23" s="125" customFormat="1" x14ac:dyDescent="0.2">
      <c r="A69" s="73"/>
      <c r="B69" s="73" t="s">
        <v>22</v>
      </c>
      <c r="C69" s="127">
        <v>3990</v>
      </c>
      <c r="D69" s="127">
        <v>6143</v>
      </c>
      <c r="E69" s="127">
        <v>8538</v>
      </c>
      <c r="F69" s="127">
        <v>7128</v>
      </c>
      <c r="G69" s="127">
        <v>3557</v>
      </c>
      <c r="H69" s="127">
        <v>29356</v>
      </c>
      <c r="I69" s="127">
        <v>30837</v>
      </c>
      <c r="J69" s="127">
        <v>11545</v>
      </c>
      <c r="K69" s="127">
        <v>17204</v>
      </c>
      <c r="L69" s="127">
        <v>21531</v>
      </c>
      <c r="M69" s="127">
        <v>15772</v>
      </c>
      <c r="N69" s="127">
        <v>6640</v>
      </c>
      <c r="O69" s="127">
        <v>72692</v>
      </c>
      <c r="P69" s="127">
        <v>74856</v>
      </c>
      <c r="Q69" s="127">
        <v>15535</v>
      </c>
      <c r="R69" s="127">
        <v>23347</v>
      </c>
      <c r="S69" s="127">
        <v>30069</v>
      </c>
      <c r="T69" s="127">
        <v>22900</v>
      </c>
      <c r="U69" s="127">
        <v>10197</v>
      </c>
      <c r="V69" s="127">
        <v>102048</v>
      </c>
      <c r="W69" s="127">
        <v>105693</v>
      </c>
    </row>
    <row r="70" spans="1:23" s="125" customFormat="1" x14ac:dyDescent="0.2">
      <c r="A70" s="73"/>
      <c r="B70" s="73" t="s">
        <v>61</v>
      </c>
      <c r="C70" s="127">
        <v>812</v>
      </c>
      <c r="D70" s="127">
        <v>2610</v>
      </c>
      <c r="E70" s="127">
        <v>4113</v>
      </c>
      <c r="F70" s="127">
        <v>3346</v>
      </c>
      <c r="G70" s="127">
        <v>1560</v>
      </c>
      <c r="H70" s="127">
        <v>12441</v>
      </c>
      <c r="I70" s="127">
        <v>13301</v>
      </c>
      <c r="J70" s="127">
        <v>1989</v>
      </c>
      <c r="K70" s="127">
        <v>4526</v>
      </c>
      <c r="L70" s="127">
        <v>5145</v>
      </c>
      <c r="M70" s="127">
        <v>2998</v>
      </c>
      <c r="N70" s="127">
        <v>1193</v>
      </c>
      <c r="O70" s="127">
        <v>15851</v>
      </c>
      <c r="P70" s="127">
        <v>16479</v>
      </c>
      <c r="Q70" s="127">
        <v>2801</v>
      </c>
      <c r="R70" s="127">
        <v>7136</v>
      </c>
      <c r="S70" s="127">
        <v>9258</v>
      </c>
      <c r="T70" s="127">
        <v>6344</v>
      </c>
      <c r="U70" s="127">
        <v>2753</v>
      </c>
      <c r="V70" s="127">
        <v>28292</v>
      </c>
      <c r="W70" s="127">
        <v>29780</v>
      </c>
    </row>
    <row r="71" spans="1:23" s="125" customFormat="1" x14ac:dyDescent="0.2">
      <c r="A71" s="73"/>
      <c r="B71" s="73" t="s">
        <v>23</v>
      </c>
      <c r="C71" s="127">
        <v>358</v>
      </c>
      <c r="D71" s="127">
        <v>1547</v>
      </c>
      <c r="E71" s="127">
        <v>2096</v>
      </c>
      <c r="F71" s="127">
        <v>1147</v>
      </c>
      <c r="G71" s="127">
        <v>380</v>
      </c>
      <c r="H71" s="127">
        <v>5528</v>
      </c>
      <c r="I71" s="127">
        <v>5770</v>
      </c>
      <c r="J71" s="127">
        <v>806</v>
      </c>
      <c r="K71" s="127">
        <v>2200</v>
      </c>
      <c r="L71" s="127">
        <v>2523</v>
      </c>
      <c r="M71" s="127">
        <v>1087</v>
      </c>
      <c r="N71" s="127">
        <v>351</v>
      </c>
      <c r="O71" s="127">
        <v>6967</v>
      </c>
      <c r="P71" s="127">
        <v>7166</v>
      </c>
      <c r="Q71" s="127">
        <v>1164</v>
      </c>
      <c r="R71" s="127">
        <v>3747</v>
      </c>
      <c r="S71" s="127">
        <v>4619</v>
      </c>
      <c r="T71" s="127">
        <v>2234</v>
      </c>
      <c r="U71" s="127">
        <v>731</v>
      </c>
      <c r="V71" s="127">
        <v>12495</v>
      </c>
      <c r="W71" s="127">
        <v>12936</v>
      </c>
    </row>
    <row r="72" spans="1:23" s="125" customFormat="1" x14ac:dyDescent="0.2">
      <c r="A72" s="73"/>
      <c r="B72" s="73" t="s">
        <v>24</v>
      </c>
      <c r="C72" s="127">
        <v>1212</v>
      </c>
      <c r="D72" s="127">
        <v>807</v>
      </c>
      <c r="E72" s="127">
        <v>755</v>
      </c>
      <c r="F72" s="127">
        <v>557</v>
      </c>
      <c r="G72" s="127">
        <v>364</v>
      </c>
      <c r="H72" s="127">
        <v>3695</v>
      </c>
      <c r="I72" s="127">
        <v>4036</v>
      </c>
      <c r="J72" s="127">
        <v>2468</v>
      </c>
      <c r="K72" s="127">
        <v>1857</v>
      </c>
      <c r="L72" s="127">
        <v>1829</v>
      </c>
      <c r="M72" s="127">
        <v>1523</v>
      </c>
      <c r="N72" s="127">
        <v>1012</v>
      </c>
      <c r="O72" s="127">
        <v>8689</v>
      </c>
      <c r="P72" s="127">
        <v>9487</v>
      </c>
      <c r="Q72" s="127">
        <v>3680</v>
      </c>
      <c r="R72" s="127">
        <v>2664</v>
      </c>
      <c r="S72" s="127">
        <v>2584</v>
      </c>
      <c r="T72" s="127">
        <v>2080</v>
      </c>
      <c r="U72" s="127">
        <v>1376</v>
      </c>
      <c r="V72" s="127">
        <v>12384</v>
      </c>
      <c r="W72" s="127">
        <v>13523</v>
      </c>
    </row>
    <row r="73" spans="1:23" s="125" customFormat="1" x14ac:dyDescent="0.2">
      <c r="A73" s="73"/>
      <c r="B73" s="73" t="s">
        <v>25</v>
      </c>
      <c r="C73" s="127">
        <v>589</v>
      </c>
      <c r="D73" s="127">
        <v>474</v>
      </c>
      <c r="E73" s="127">
        <v>380</v>
      </c>
      <c r="F73" s="127">
        <v>336</v>
      </c>
      <c r="G73" s="127">
        <v>221</v>
      </c>
      <c r="H73" s="127">
        <v>2000</v>
      </c>
      <c r="I73" s="127">
        <v>2126</v>
      </c>
      <c r="J73" s="127">
        <v>854</v>
      </c>
      <c r="K73" s="127">
        <v>722</v>
      </c>
      <c r="L73" s="127">
        <v>718</v>
      </c>
      <c r="M73" s="127">
        <v>582</v>
      </c>
      <c r="N73" s="127">
        <v>355</v>
      </c>
      <c r="O73" s="127">
        <v>3231</v>
      </c>
      <c r="P73" s="127">
        <v>3472</v>
      </c>
      <c r="Q73" s="127">
        <v>1443</v>
      </c>
      <c r="R73" s="127">
        <v>1196</v>
      </c>
      <c r="S73" s="127">
        <v>1098</v>
      </c>
      <c r="T73" s="127">
        <v>918</v>
      </c>
      <c r="U73" s="127">
        <v>576</v>
      </c>
      <c r="V73" s="127">
        <v>5231</v>
      </c>
      <c r="W73" s="127">
        <v>5598</v>
      </c>
    </row>
    <row r="74" spans="1:23" s="125" customFormat="1" x14ac:dyDescent="0.2">
      <c r="A74" s="73"/>
      <c r="B74" s="73" t="s">
        <v>26</v>
      </c>
      <c r="C74" s="127">
        <v>805</v>
      </c>
      <c r="D74" s="127">
        <v>636</v>
      </c>
      <c r="E74" s="127">
        <v>605</v>
      </c>
      <c r="F74" s="127">
        <v>470</v>
      </c>
      <c r="G74" s="127">
        <v>290</v>
      </c>
      <c r="H74" s="127">
        <v>2806</v>
      </c>
      <c r="I74" s="127">
        <v>3021</v>
      </c>
      <c r="J74" s="127">
        <v>1396</v>
      </c>
      <c r="K74" s="127">
        <v>1304</v>
      </c>
      <c r="L74" s="127">
        <v>1278</v>
      </c>
      <c r="M74" s="127">
        <v>1074</v>
      </c>
      <c r="N74" s="127">
        <v>743</v>
      </c>
      <c r="O74" s="127">
        <v>5795</v>
      </c>
      <c r="P74" s="127">
        <v>6409</v>
      </c>
      <c r="Q74" s="127">
        <v>2201</v>
      </c>
      <c r="R74" s="127">
        <v>1940</v>
      </c>
      <c r="S74" s="127">
        <v>1883</v>
      </c>
      <c r="T74" s="127">
        <v>1544</v>
      </c>
      <c r="U74" s="127">
        <v>1033</v>
      </c>
      <c r="V74" s="127">
        <v>8601</v>
      </c>
      <c r="W74" s="127">
        <v>9430</v>
      </c>
    </row>
    <row r="75" spans="1:23" s="125" customFormat="1" x14ac:dyDescent="0.2">
      <c r="A75" s="73"/>
      <c r="B75" s="73" t="s">
        <v>74</v>
      </c>
      <c r="C75" s="127">
        <v>968</v>
      </c>
      <c r="D75" s="127">
        <v>450</v>
      </c>
      <c r="E75" s="127">
        <v>225</v>
      </c>
      <c r="F75" s="127">
        <v>125</v>
      </c>
      <c r="G75" s="127">
        <v>91</v>
      </c>
      <c r="H75" s="127">
        <v>1859</v>
      </c>
      <c r="I75" s="127">
        <v>1962</v>
      </c>
      <c r="J75" s="127">
        <v>1434</v>
      </c>
      <c r="K75" s="127">
        <v>535</v>
      </c>
      <c r="L75" s="127">
        <v>314</v>
      </c>
      <c r="M75" s="127">
        <v>197</v>
      </c>
      <c r="N75" s="127">
        <v>125</v>
      </c>
      <c r="O75" s="127">
        <v>2605</v>
      </c>
      <c r="P75" s="127">
        <v>2748</v>
      </c>
      <c r="Q75" s="127">
        <v>2402</v>
      </c>
      <c r="R75" s="127">
        <v>985</v>
      </c>
      <c r="S75" s="127">
        <v>539</v>
      </c>
      <c r="T75" s="127">
        <v>322</v>
      </c>
      <c r="U75" s="127">
        <v>216</v>
      </c>
      <c r="V75" s="127">
        <v>4464</v>
      </c>
      <c r="W75" s="127">
        <v>4710</v>
      </c>
    </row>
    <row r="76" spans="1:23" s="125" customFormat="1" x14ac:dyDescent="0.2">
      <c r="A76" s="73"/>
      <c r="B76" s="73" t="s">
        <v>28</v>
      </c>
      <c r="C76" s="127">
        <v>1018</v>
      </c>
      <c r="D76" s="127">
        <v>726</v>
      </c>
      <c r="E76" s="127">
        <v>629</v>
      </c>
      <c r="F76" s="127">
        <v>443</v>
      </c>
      <c r="G76" s="127">
        <v>272</v>
      </c>
      <c r="H76" s="127">
        <v>3088</v>
      </c>
      <c r="I76" s="127">
        <v>3276</v>
      </c>
      <c r="J76" s="127">
        <v>1434</v>
      </c>
      <c r="K76" s="127">
        <v>1014</v>
      </c>
      <c r="L76" s="127">
        <v>821</v>
      </c>
      <c r="M76" s="127">
        <v>564</v>
      </c>
      <c r="N76" s="127">
        <v>257</v>
      </c>
      <c r="O76" s="127">
        <v>4090</v>
      </c>
      <c r="P76" s="127">
        <v>4293</v>
      </c>
      <c r="Q76" s="127">
        <v>2452</v>
      </c>
      <c r="R76" s="127">
        <v>1740</v>
      </c>
      <c r="S76" s="127">
        <v>1450</v>
      </c>
      <c r="T76" s="127">
        <v>1007</v>
      </c>
      <c r="U76" s="127">
        <v>529</v>
      </c>
      <c r="V76" s="127">
        <v>7178</v>
      </c>
      <c r="W76" s="127">
        <v>7569</v>
      </c>
    </row>
    <row r="77" spans="1:23" s="125" customFormat="1" x14ac:dyDescent="0.2">
      <c r="A77" s="73"/>
      <c r="B77" s="73" t="s">
        <v>29</v>
      </c>
      <c r="C77" s="127">
        <v>1570</v>
      </c>
      <c r="D77" s="127">
        <v>1724</v>
      </c>
      <c r="E77" s="127">
        <v>1895</v>
      </c>
      <c r="F77" s="127">
        <v>1587</v>
      </c>
      <c r="G77" s="127">
        <v>1032</v>
      </c>
      <c r="H77" s="127">
        <v>7808</v>
      </c>
      <c r="I77" s="127">
        <v>8689</v>
      </c>
      <c r="J77" s="127">
        <v>3928</v>
      </c>
      <c r="K77" s="127">
        <v>4377</v>
      </c>
      <c r="L77" s="127">
        <v>4290</v>
      </c>
      <c r="M77" s="127">
        <v>2933</v>
      </c>
      <c r="N77" s="127">
        <v>1813</v>
      </c>
      <c r="O77" s="127">
        <v>17341</v>
      </c>
      <c r="P77" s="127">
        <v>18758</v>
      </c>
      <c r="Q77" s="127">
        <v>5498</v>
      </c>
      <c r="R77" s="127">
        <v>6101</v>
      </c>
      <c r="S77" s="127">
        <v>6185</v>
      </c>
      <c r="T77" s="127">
        <v>4520</v>
      </c>
      <c r="U77" s="127">
        <v>2845</v>
      </c>
      <c r="V77" s="127">
        <v>25149</v>
      </c>
      <c r="W77" s="127">
        <v>27447</v>
      </c>
    </row>
    <row r="78" spans="1:23" s="125" customFormat="1" x14ac:dyDescent="0.2">
      <c r="A78" s="73"/>
      <c r="B78" s="73" t="s">
        <v>30</v>
      </c>
      <c r="C78" s="127">
        <v>936</v>
      </c>
      <c r="D78" s="127">
        <v>1340</v>
      </c>
      <c r="E78" s="127">
        <v>1609</v>
      </c>
      <c r="F78" s="127">
        <v>1355</v>
      </c>
      <c r="G78" s="127">
        <v>868</v>
      </c>
      <c r="H78" s="127">
        <v>6108</v>
      </c>
      <c r="I78" s="127">
        <v>6560</v>
      </c>
      <c r="J78" s="127">
        <v>758</v>
      </c>
      <c r="K78" s="127">
        <v>922</v>
      </c>
      <c r="L78" s="127">
        <v>966</v>
      </c>
      <c r="M78" s="127">
        <v>780</v>
      </c>
      <c r="N78" s="127">
        <v>428</v>
      </c>
      <c r="O78" s="127">
        <v>3854</v>
      </c>
      <c r="P78" s="127">
        <v>4052</v>
      </c>
      <c r="Q78" s="127">
        <v>1694</v>
      </c>
      <c r="R78" s="127">
        <v>2262</v>
      </c>
      <c r="S78" s="127">
        <v>2575</v>
      </c>
      <c r="T78" s="127">
        <v>2135</v>
      </c>
      <c r="U78" s="127">
        <v>1296</v>
      </c>
      <c r="V78" s="127">
        <v>9962</v>
      </c>
      <c r="W78" s="127">
        <v>10612</v>
      </c>
    </row>
    <row r="79" spans="1:23" s="125" customFormat="1" x14ac:dyDescent="0.2">
      <c r="A79" s="73"/>
      <c r="B79" s="73" t="s">
        <v>31</v>
      </c>
      <c r="C79" s="127">
        <v>905</v>
      </c>
      <c r="D79" s="127">
        <v>1473</v>
      </c>
      <c r="E79" s="127">
        <v>2085</v>
      </c>
      <c r="F79" s="127">
        <v>2774</v>
      </c>
      <c r="G79" s="127">
        <v>3451</v>
      </c>
      <c r="H79" s="127">
        <v>10688</v>
      </c>
      <c r="I79" s="127">
        <v>12748</v>
      </c>
      <c r="J79" s="127">
        <v>1265</v>
      </c>
      <c r="K79" s="127">
        <v>1570</v>
      </c>
      <c r="L79" s="127">
        <v>1847</v>
      </c>
      <c r="M79" s="127">
        <v>1701</v>
      </c>
      <c r="N79" s="127">
        <v>1400</v>
      </c>
      <c r="O79" s="127">
        <v>7783</v>
      </c>
      <c r="P79" s="127">
        <v>8552</v>
      </c>
      <c r="Q79" s="127">
        <v>2170</v>
      </c>
      <c r="R79" s="127">
        <v>3043</v>
      </c>
      <c r="S79" s="127">
        <v>3932</v>
      </c>
      <c r="T79" s="127">
        <v>4475</v>
      </c>
      <c r="U79" s="127">
        <v>4851</v>
      </c>
      <c r="V79" s="127">
        <v>18471</v>
      </c>
      <c r="W79" s="127">
        <v>21300</v>
      </c>
    </row>
    <row r="80" spans="1:23" s="125" customFormat="1" x14ac:dyDescent="0.2">
      <c r="A80" s="73"/>
      <c r="B80" s="73" t="s">
        <v>32</v>
      </c>
      <c r="C80" s="127">
        <v>2494</v>
      </c>
      <c r="D80" s="127">
        <v>3754</v>
      </c>
      <c r="E80" s="127">
        <v>5151</v>
      </c>
      <c r="F80" s="127">
        <v>5941</v>
      </c>
      <c r="G80" s="127">
        <v>5362</v>
      </c>
      <c r="H80" s="127">
        <v>22702</v>
      </c>
      <c r="I80" s="127">
        <v>29288</v>
      </c>
      <c r="J80" s="127">
        <v>4094</v>
      </c>
      <c r="K80" s="127">
        <v>5178</v>
      </c>
      <c r="L80" s="127">
        <v>6694</v>
      </c>
      <c r="M80" s="127">
        <v>6831</v>
      </c>
      <c r="N80" s="127">
        <v>5982</v>
      </c>
      <c r="O80" s="127">
        <v>28779</v>
      </c>
      <c r="P80" s="127">
        <v>34891</v>
      </c>
      <c r="Q80" s="127">
        <v>6588</v>
      </c>
      <c r="R80" s="127">
        <v>8932</v>
      </c>
      <c r="S80" s="127">
        <v>11845</v>
      </c>
      <c r="T80" s="127">
        <v>12772</v>
      </c>
      <c r="U80" s="127">
        <v>11344</v>
      </c>
      <c r="V80" s="127">
        <v>51481</v>
      </c>
      <c r="W80" s="127">
        <v>64179</v>
      </c>
    </row>
    <row r="81" spans="1:23" s="125" customFormat="1" x14ac:dyDescent="0.2">
      <c r="A81" s="73"/>
      <c r="B81" s="73" t="s">
        <v>54</v>
      </c>
      <c r="C81" s="127">
        <v>82471</v>
      </c>
      <c r="D81" s="127">
        <v>88643</v>
      </c>
      <c r="E81" s="127">
        <v>103556</v>
      </c>
      <c r="F81" s="127">
        <v>93836</v>
      </c>
      <c r="G81" s="127">
        <v>71406</v>
      </c>
      <c r="H81" s="127">
        <v>439912</v>
      </c>
      <c r="I81" s="127">
        <v>521837</v>
      </c>
      <c r="J81" s="127">
        <v>109611</v>
      </c>
      <c r="K81" s="127">
        <v>124855</v>
      </c>
      <c r="L81" s="127">
        <v>133101</v>
      </c>
      <c r="M81" s="127">
        <v>103151</v>
      </c>
      <c r="N81" s="127">
        <v>67765</v>
      </c>
      <c r="O81" s="127">
        <v>538483</v>
      </c>
      <c r="P81" s="127">
        <v>606485</v>
      </c>
      <c r="Q81" s="127">
        <v>192082</v>
      </c>
      <c r="R81" s="127">
        <v>213498</v>
      </c>
      <c r="S81" s="127">
        <v>236657</v>
      </c>
      <c r="T81" s="127">
        <v>196987</v>
      </c>
      <c r="U81" s="127">
        <v>139171</v>
      </c>
      <c r="V81" s="127">
        <v>978395</v>
      </c>
      <c r="W81" s="127">
        <v>1128322</v>
      </c>
    </row>
    <row r="84" spans="1:23" x14ac:dyDescent="0.2">
      <c r="A84" s="70" t="s">
        <v>65</v>
      </c>
      <c r="B84" s="70" t="s">
        <v>92</v>
      </c>
      <c r="C84" s="70" t="s">
        <v>94</v>
      </c>
      <c r="D84" s="70" t="s">
        <v>95</v>
      </c>
      <c r="E84" s="70" t="s">
        <v>96</v>
      </c>
      <c r="F84" s="70" t="s">
        <v>97</v>
      </c>
      <c r="G84" s="70" t="s">
        <v>98</v>
      </c>
      <c r="H84" s="70" t="s">
        <v>139</v>
      </c>
      <c r="I84" s="70" t="s">
        <v>58</v>
      </c>
    </row>
    <row r="85" spans="1:23" x14ac:dyDescent="0.2">
      <c r="A85" s="70" t="s">
        <v>66</v>
      </c>
      <c r="B85" s="70" t="s">
        <v>100</v>
      </c>
      <c r="C85" s="70">
        <v>82471</v>
      </c>
      <c r="D85" s="70">
        <v>88643</v>
      </c>
      <c r="E85" s="70">
        <v>103556</v>
      </c>
      <c r="F85" s="70">
        <v>93836</v>
      </c>
      <c r="G85" s="70">
        <v>71406</v>
      </c>
      <c r="H85" s="70">
        <v>439912</v>
      </c>
      <c r="I85" s="70">
        <v>521837</v>
      </c>
    </row>
    <row r="86" spans="1:23" x14ac:dyDescent="0.2">
      <c r="A86" s="70" t="s">
        <v>66</v>
      </c>
      <c r="B86" s="70" t="s">
        <v>101</v>
      </c>
      <c r="C86" s="70">
        <v>5491</v>
      </c>
      <c r="D86" s="70">
        <v>5927</v>
      </c>
      <c r="E86" s="70">
        <v>6637</v>
      </c>
      <c r="F86" s="70">
        <v>6102</v>
      </c>
      <c r="G86" s="70">
        <v>5515</v>
      </c>
      <c r="H86" s="70">
        <v>29672</v>
      </c>
      <c r="I86" s="70">
        <v>36813</v>
      </c>
    </row>
    <row r="87" spans="1:23" x14ac:dyDescent="0.2">
      <c r="A87" s="70" t="s">
        <v>66</v>
      </c>
      <c r="B87" s="70" t="s">
        <v>102</v>
      </c>
      <c r="C87" s="70">
        <v>6947</v>
      </c>
      <c r="D87" s="70">
        <v>6997</v>
      </c>
      <c r="E87" s="70">
        <v>6487</v>
      </c>
      <c r="F87" s="70">
        <v>5741</v>
      </c>
      <c r="G87" s="70">
        <v>4808</v>
      </c>
      <c r="H87" s="70">
        <v>30980</v>
      </c>
      <c r="I87" s="70">
        <v>37353</v>
      </c>
    </row>
    <row r="88" spans="1:23" x14ac:dyDescent="0.2">
      <c r="A88" s="70" t="s">
        <v>66</v>
      </c>
      <c r="B88" s="70" t="s">
        <v>103</v>
      </c>
      <c r="C88" s="70">
        <v>7913</v>
      </c>
      <c r="D88" s="70">
        <v>6783</v>
      </c>
      <c r="E88" s="70">
        <v>6613</v>
      </c>
      <c r="F88" s="70">
        <v>6103</v>
      </c>
      <c r="G88" s="70">
        <v>5259</v>
      </c>
      <c r="H88" s="70">
        <v>32671</v>
      </c>
      <c r="I88" s="70">
        <v>39995</v>
      </c>
    </row>
    <row r="89" spans="1:23" x14ac:dyDescent="0.2">
      <c r="A89" s="70" t="s">
        <v>66</v>
      </c>
      <c r="B89" s="70" t="s">
        <v>104</v>
      </c>
      <c r="C89" s="70">
        <v>834</v>
      </c>
      <c r="D89" s="70">
        <v>808</v>
      </c>
      <c r="E89" s="70">
        <v>915</v>
      </c>
      <c r="F89" s="70">
        <v>876</v>
      </c>
      <c r="G89" s="70">
        <v>729</v>
      </c>
      <c r="H89" s="70">
        <v>4162</v>
      </c>
      <c r="I89" s="70">
        <v>4946</v>
      </c>
    </row>
    <row r="90" spans="1:23" x14ac:dyDescent="0.2">
      <c r="A90" s="70" t="s">
        <v>66</v>
      </c>
      <c r="B90" s="70" t="s">
        <v>105</v>
      </c>
      <c r="C90" s="70">
        <v>16481</v>
      </c>
      <c r="D90" s="70">
        <v>9825</v>
      </c>
      <c r="E90" s="70">
        <v>9793</v>
      </c>
      <c r="F90" s="70">
        <v>8771</v>
      </c>
      <c r="G90" s="70">
        <v>7350</v>
      </c>
      <c r="H90" s="70">
        <v>52220</v>
      </c>
      <c r="I90" s="70">
        <v>64932</v>
      </c>
    </row>
    <row r="91" spans="1:23" x14ac:dyDescent="0.2">
      <c r="A91" s="70" t="s">
        <v>66</v>
      </c>
      <c r="B91" s="70" t="s">
        <v>106</v>
      </c>
      <c r="C91" s="70">
        <v>3947</v>
      </c>
      <c r="D91" s="70">
        <v>1764</v>
      </c>
      <c r="E91" s="70">
        <v>1427</v>
      </c>
      <c r="F91" s="70">
        <v>1097</v>
      </c>
      <c r="G91" s="70">
        <v>792</v>
      </c>
      <c r="H91" s="70">
        <v>9027</v>
      </c>
      <c r="I91" s="70">
        <v>10002</v>
      </c>
    </row>
    <row r="92" spans="1:23" x14ac:dyDescent="0.2">
      <c r="A92" s="70" t="s">
        <v>66</v>
      </c>
      <c r="B92" s="70" t="s">
        <v>107</v>
      </c>
      <c r="C92" s="70">
        <v>898</v>
      </c>
      <c r="D92" s="70">
        <v>1511</v>
      </c>
      <c r="E92" s="70">
        <v>2297</v>
      </c>
      <c r="F92" s="70">
        <v>2659</v>
      </c>
      <c r="G92" s="70">
        <v>2118</v>
      </c>
      <c r="H92" s="70">
        <v>9483</v>
      </c>
      <c r="I92" s="70">
        <v>11316</v>
      </c>
    </row>
    <row r="93" spans="1:23" x14ac:dyDescent="0.2">
      <c r="A93" s="70" t="s">
        <v>66</v>
      </c>
      <c r="B93" s="70" t="s">
        <v>108</v>
      </c>
      <c r="C93" s="70">
        <v>685</v>
      </c>
      <c r="D93" s="70">
        <v>959</v>
      </c>
      <c r="E93" s="70">
        <v>1348</v>
      </c>
      <c r="F93" s="70">
        <v>1423</v>
      </c>
      <c r="G93" s="70">
        <v>1224</v>
      </c>
      <c r="H93" s="70">
        <v>5639</v>
      </c>
      <c r="I93" s="70">
        <v>7196</v>
      </c>
    </row>
    <row r="94" spans="1:23" x14ac:dyDescent="0.2">
      <c r="A94" s="70" t="s">
        <v>66</v>
      </c>
      <c r="B94" s="70" t="s">
        <v>109</v>
      </c>
      <c r="C94" s="70">
        <v>440</v>
      </c>
      <c r="D94" s="70">
        <v>1028</v>
      </c>
      <c r="E94" s="70">
        <v>1645</v>
      </c>
      <c r="F94" s="70">
        <v>2027</v>
      </c>
      <c r="G94" s="70">
        <v>1741</v>
      </c>
      <c r="H94" s="70">
        <v>6881</v>
      </c>
      <c r="I94" s="70">
        <v>8694</v>
      </c>
    </row>
    <row r="95" spans="1:23" x14ac:dyDescent="0.2">
      <c r="A95" s="70" t="s">
        <v>66</v>
      </c>
      <c r="B95" s="70" t="s">
        <v>110</v>
      </c>
      <c r="C95" s="70">
        <v>2</v>
      </c>
      <c r="D95" s="70">
        <v>3</v>
      </c>
      <c r="E95" s="70">
        <v>7</v>
      </c>
      <c r="F95" s="70">
        <v>21</v>
      </c>
      <c r="G95" s="70">
        <v>19</v>
      </c>
      <c r="H95" s="70">
        <v>52</v>
      </c>
      <c r="I95" s="70">
        <v>78</v>
      </c>
    </row>
    <row r="96" spans="1:23" x14ac:dyDescent="0.2">
      <c r="A96" s="70" t="s">
        <v>66</v>
      </c>
      <c r="B96" s="70" t="s">
        <v>111</v>
      </c>
      <c r="C96" s="70">
        <v>255</v>
      </c>
      <c r="D96" s="70">
        <v>458</v>
      </c>
      <c r="E96" s="70">
        <v>652</v>
      </c>
      <c r="F96" s="70">
        <v>701</v>
      </c>
      <c r="G96" s="70">
        <v>655</v>
      </c>
      <c r="H96" s="70">
        <v>2721</v>
      </c>
      <c r="I96" s="70">
        <v>3962</v>
      </c>
    </row>
    <row r="97" spans="1:9" x14ac:dyDescent="0.2">
      <c r="A97" s="70" t="s">
        <v>66</v>
      </c>
      <c r="B97" s="70" t="s">
        <v>112</v>
      </c>
      <c r="C97" s="70">
        <v>1792</v>
      </c>
      <c r="D97" s="70">
        <v>3731</v>
      </c>
      <c r="E97" s="70">
        <v>5193</v>
      </c>
      <c r="F97" s="70">
        <v>5023</v>
      </c>
      <c r="G97" s="70">
        <v>3964</v>
      </c>
      <c r="H97" s="70">
        <v>19703</v>
      </c>
      <c r="I97" s="70">
        <v>23012</v>
      </c>
    </row>
    <row r="98" spans="1:9" x14ac:dyDescent="0.2">
      <c r="A98" s="70" t="s">
        <v>66</v>
      </c>
      <c r="B98" s="70" t="s">
        <v>113</v>
      </c>
      <c r="C98" s="70">
        <v>4263</v>
      </c>
      <c r="D98" s="70">
        <v>4194</v>
      </c>
      <c r="E98" s="70">
        <v>4237</v>
      </c>
      <c r="F98" s="70">
        <v>3567</v>
      </c>
      <c r="G98" s="70">
        <v>2694</v>
      </c>
      <c r="H98" s="70">
        <v>18955</v>
      </c>
      <c r="I98" s="70">
        <v>22103</v>
      </c>
    </row>
    <row r="99" spans="1:9" x14ac:dyDescent="0.2">
      <c r="A99" s="70" t="s">
        <v>66</v>
      </c>
      <c r="B99" s="70" t="s">
        <v>114</v>
      </c>
      <c r="C99" s="70">
        <v>3836</v>
      </c>
      <c r="D99" s="70">
        <v>3838</v>
      </c>
      <c r="E99" s="70">
        <v>4362</v>
      </c>
      <c r="F99" s="70">
        <v>3821</v>
      </c>
      <c r="G99" s="70">
        <v>2547</v>
      </c>
      <c r="H99" s="70">
        <v>18404</v>
      </c>
      <c r="I99" s="70">
        <v>21011</v>
      </c>
    </row>
    <row r="100" spans="1:9" x14ac:dyDescent="0.2">
      <c r="A100" s="70" t="s">
        <v>66</v>
      </c>
      <c r="B100" s="70" t="s">
        <v>115</v>
      </c>
      <c r="C100" s="70">
        <v>1725</v>
      </c>
      <c r="D100" s="70">
        <v>1848</v>
      </c>
      <c r="E100" s="70">
        <v>1935</v>
      </c>
      <c r="F100" s="70">
        <v>1681</v>
      </c>
      <c r="G100" s="70">
        <v>1105</v>
      </c>
      <c r="H100" s="70">
        <v>8294</v>
      </c>
      <c r="I100" s="70">
        <v>9446</v>
      </c>
    </row>
    <row r="101" spans="1:9" x14ac:dyDescent="0.2">
      <c r="A101" s="70" t="s">
        <v>66</v>
      </c>
      <c r="B101" s="70" t="s">
        <v>116</v>
      </c>
      <c r="C101" s="70">
        <v>4843</v>
      </c>
      <c r="D101" s="70">
        <v>6438</v>
      </c>
      <c r="E101" s="70">
        <v>7190</v>
      </c>
      <c r="F101" s="70">
        <v>5125</v>
      </c>
      <c r="G101" s="70">
        <v>2659</v>
      </c>
      <c r="H101" s="70">
        <v>26255</v>
      </c>
      <c r="I101" s="70">
        <v>27957</v>
      </c>
    </row>
    <row r="102" spans="1:9" x14ac:dyDescent="0.2">
      <c r="A102" s="70" t="s">
        <v>66</v>
      </c>
      <c r="B102" s="70" t="s">
        <v>117</v>
      </c>
      <c r="C102" s="70">
        <v>628</v>
      </c>
      <c r="D102" s="70">
        <v>972</v>
      </c>
      <c r="E102" s="70">
        <v>1313</v>
      </c>
      <c r="F102" s="70">
        <v>1375</v>
      </c>
      <c r="G102" s="70">
        <v>1226</v>
      </c>
      <c r="H102" s="70">
        <v>5514</v>
      </c>
      <c r="I102" s="70">
        <v>7406</v>
      </c>
    </row>
    <row r="103" spans="1:9" x14ac:dyDescent="0.2">
      <c r="A103" s="70" t="s">
        <v>66</v>
      </c>
      <c r="B103" s="70" t="s">
        <v>118</v>
      </c>
      <c r="C103" s="70">
        <v>1559</v>
      </c>
      <c r="D103" s="70">
        <v>3136</v>
      </c>
      <c r="E103" s="70">
        <v>4629</v>
      </c>
      <c r="F103" s="70">
        <v>5120</v>
      </c>
      <c r="G103" s="70">
        <v>4499</v>
      </c>
      <c r="H103" s="70">
        <v>18943</v>
      </c>
      <c r="I103" s="70">
        <v>26413</v>
      </c>
    </row>
    <row r="104" spans="1:9" x14ac:dyDescent="0.2">
      <c r="A104" s="70" t="s">
        <v>66</v>
      </c>
      <c r="B104" s="70" t="s">
        <v>119</v>
      </c>
      <c r="C104" s="70">
        <v>945</v>
      </c>
      <c r="D104" s="70">
        <v>1713</v>
      </c>
      <c r="E104" s="70">
        <v>2716</v>
      </c>
      <c r="F104" s="70">
        <v>2490</v>
      </c>
      <c r="G104" s="70">
        <v>2085</v>
      </c>
      <c r="H104" s="70">
        <v>9949</v>
      </c>
      <c r="I104" s="70">
        <v>12741</v>
      </c>
    </row>
    <row r="105" spans="1:9" x14ac:dyDescent="0.2">
      <c r="A105" s="70" t="s">
        <v>66</v>
      </c>
      <c r="B105" s="70" t="s">
        <v>120</v>
      </c>
      <c r="C105" s="70">
        <v>359</v>
      </c>
      <c r="D105" s="70">
        <v>538</v>
      </c>
      <c r="E105" s="70">
        <v>765</v>
      </c>
      <c r="F105" s="70">
        <v>784</v>
      </c>
      <c r="G105" s="70">
        <v>666</v>
      </c>
      <c r="H105" s="70">
        <v>3112</v>
      </c>
      <c r="I105" s="70">
        <v>4149</v>
      </c>
    </row>
    <row r="106" spans="1:9" x14ac:dyDescent="0.2">
      <c r="A106" s="70" t="s">
        <v>66</v>
      </c>
      <c r="B106" s="70" t="s">
        <v>121</v>
      </c>
      <c r="C106" s="70">
        <v>2330</v>
      </c>
      <c r="D106" s="70">
        <v>3230</v>
      </c>
      <c r="E106" s="70">
        <v>3834</v>
      </c>
      <c r="F106" s="70">
        <v>3096</v>
      </c>
      <c r="G106" s="70">
        <v>1923</v>
      </c>
      <c r="H106" s="70">
        <v>14413</v>
      </c>
      <c r="I106" s="70">
        <v>15808</v>
      </c>
    </row>
    <row r="107" spans="1:9" x14ac:dyDescent="0.2">
      <c r="A107" s="70" t="s">
        <v>66</v>
      </c>
      <c r="B107" s="70" t="s">
        <v>122</v>
      </c>
      <c r="C107" s="70">
        <v>641</v>
      </c>
      <c r="D107" s="70">
        <v>1258</v>
      </c>
      <c r="E107" s="70">
        <v>1480</v>
      </c>
      <c r="F107" s="70">
        <v>1024</v>
      </c>
      <c r="G107" s="70">
        <v>380</v>
      </c>
      <c r="H107" s="70">
        <v>4783</v>
      </c>
      <c r="I107" s="70">
        <v>4890</v>
      </c>
    </row>
    <row r="108" spans="1:9" x14ac:dyDescent="0.2">
      <c r="A108" s="70" t="s">
        <v>66</v>
      </c>
      <c r="B108" s="70" t="s">
        <v>123</v>
      </c>
      <c r="C108" s="70">
        <v>3990</v>
      </c>
      <c r="D108" s="70">
        <v>6143</v>
      </c>
      <c r="E108" s="70">
        <v>8538</v>
      </c>
      <c r="F108" s="70">
        <v>7128</v>
      </c>
      <c r="G108" s="70">
        <v>3557</v>
      </c>
      <c r="H108" s="70">
        <v>29356</v>
      </c>
      <c r="I108" s="70">
        <v>30837</v>
      </c>
    </row>
    <row r="109" spans="1:9" x14ac:dyDescent="0.2">
      <c r="A109" s="70" t="s">
        <v>66</v>
      </c>
      <c r="B109" s="70" t="s">
        <v>124</v>
      </c>
      <c r="C109" s="70">
        <v>812</v>
      </c>
      <c r="D109" s="70">
        <v>2610</v>
      </c>
      <c r="E109" s="70">
        <v>4113</v>
      </c>
      <c r="F109" s="70">
        <v>3346</v>
      </c>
      <c r="G109" s="70">
        <v>1560</v>
      </c>
      <c r="H109" s="70">
        <v>12441</v>
      </c>
      <c r="I109" s="70">
        <v>13301</v>
      </c>
    </row>
    <row r="110" spans="1:9" x14ac:dyDescent="0.2">
      <c r="A110" s="70" t="s">
        <v>66</v>
      </c>
      <c r="B110" s="70" t="s">
        <v>125</v>
      </c>
      <c r="C110" s="70">
        <v>358</v>
      </c>
      <c r="D110" s="70">
        <v>1547</v>
      </c>
      <c r="E110" s="70">
        <v>2096</v>
      </c>
      <c r="F110" s="70">
        <v>1147</v>
      </c>
      <c r="G110" s="70">
        <v>380</v>
      </c>
      <c r="H110" s="70">
        <v>5528</v>
      </c>
      <c r="I110" s="70">
        <v>5770</v>
      </c>
    </row>
    <row r="111" spans="1:9" x14ac:dyDescent="0.2">
      <c r="A111" s="70" t="s">
        <v>66</v>
      </c>
      <c r="B111" s="70" t="s">
        <v>126</v>
      </c>
      <c r="C111" s="70">
        <v>1212</v>
      </c>
      <c r="D111" s="70">
        <v>807</v>
      </c>
      <c r="E111" s="70">
        <v>755</v>
      </c>
      <c r="F111" s="70">
        <v>557</v>
      </c>
      <c r="G111" s="70">
        <v>364</v>
      </c>
      <c r="H111" s="70">
        <v>3695</v>
      </c>
      <c r="I111" s="70">
        <v>4036</v>
      </c>
    </row>
    <row r="112" spans="1:9" x14ac:dyDescent="0.2">
      <c r="A112" s="70" t="s">
        <v>66</v>
      </c>
      <c r="B112" s="70" t="s">
        <v>127</v>
      </c>
      <c r="C112" s="70">
        <v>589</v>
      </c>
      <c r="D112" s="70">
        <v>474</v>
      </c>
      <c r="E112" s="70">
        <v>380</v>
      </c>
      <c r="F112" s="70">
        <v>336</v>
      </c>
      <c r="G112" s="70">
        <v>221</v>
      </c>
      <c r="H112" s="70">
        <v>2000</v>
      </c>
      <c r="I112" s="70">
        <v>2126</v>
      </c>
    </row>
    <row r="113" spans="1:9" x14ac:dyDescent="0.2">
      <c r="A113" s="70" t="s">
        <v>66</v>
      </c>
      <c r="B113" s="70" t="s">
        <v>128</v>
      </c>
      <c r="C113" s="70">
        <v>805</v>
      </c>
      <c r="D113" s="70">
        <v>636</v>
      </c>
      <c r="E113" s="70">
        <v>605</v>
      </c>
      <c r="F113" s="70">
        <v>470</v>
      </c>
      <c r="G113" s="70">
        <v>290</v>
      </c>
      <c r="H113" s="70">
        <v>2806</v>
      </c>
      <c r="I113" s="70">
        <v>3021</v>
      </c>
    </row>
    <row r="114" spans="1:9" x14ac:dyDescent="0.2">
      <c r="A114" s="70" t="s">
        <v>66</v>
      </c>
      <c r="B114" s="70" t="s">
        <v>129</v>
      </c>
      <c r="C114" s="70">
        <v>968</v>
      </c>
      <c r="D114" s="70">
        <v>450</v>
      </c>
      <c r="E114" s="70">
        <v>225</v>
      </c>
      <c r="F114" s="70">
        <v>125</v>
      </c>
      <c r="G114" s="70">
        <v>91</v>
      </c>
      <c r="H114" s="70">
        <v>1859</v>
      </c>
      <c r="I114" s="70">
        <v>1962</v>
      </c>
    </row>
    <row r="115" spans="1:9" x14ac:dyDescent="0.2">
      <c r="A115" s="70" t="s">
        <v>66</v>
      </c>
      <c r="B115" s="70" t="s">
        <v>130</v>
      </c>
      <c r="C115" s="70">
        <v>1018</v>
      </c>
      <c r="D115" s="70">
        <v>726</v>
      </c>
      <c r="E115" s="70">
        <v>629</v>
      </c>
      <c r="F115" s="70">
        <v>443</v>
      </c>
      <c r="G115" s="70">
        <v>272</v>
      </c>
      <c r="H115" s="70">
        <v>3088</v>
      </c>
      <c r="I115" s="70">
        <v>3276</v>
      </c>
    </row>
    <row r="116" spans="1:9" x14ac:dyDescent="0.2">
      <c r="A116" s="70" t="s">
        <v>66</v>
      </c>
      <c r="B116" s="70" t="s">
        <v>131</v>
      </c>
      <c r="C116" s="70">
        <v>1570</v>
      </c>
      <c r="D116" s="70">
        <v>1724</v>
      </c>
      <c r="E116" s="70">
        <v>1895</v>
      </c>
      <c r="F116" s="70">
        <v>1587</v>
      </c>
      <c r="G116" s="70">
        <v>1032</v>
      </c>
      <c r="H116" s="70">
        <v>7808</v>
      </c>
      <c r="I116" s="70">
        <v>8689</v>
      </c>
    </row>
    <row r="117" spans="1:9" x14ac:dyDescent="0.2">
      <c r="A117" s="70" t="s">
        <v>66</v>
      </c>
      <c r="B117" s="70" t="s">
        <v>132</v>
      </c>
      <c r="C117" s="70">
        <v>936</v>
      </c>
      <c r="D117" s="70">
        <v>1340</v>
      </c>
      <c r="E117" s="70">
        <v>1609</v>
      </c>
      <c r="F117" s="70">
        <v>1355</v>
      </c>
      <c r="G117" s="70">
        <v>868</v>
      </c>
      <c r="H117" s="70">
        <v>6108</v>
      </c>
      <c r="I117" s="70">
        <v>6560</v>
      </c>
    </row>
    <row r="118" spans="1:9" x14ac:dyDescent="0.2">
      <c r="A118" s="70" t="s">
        <v>66</v>
      </c>
      <c r="B118" s="70" t="s">
        <v>133</v>
      </c>
      <c r="C118" s="70">
        <v>905</v>
      </c>
      <c r="D118" s="70">
        <v>1473</v>
      </c>
      <c r="E118" s="70">
        <v>2085</v>
      </c>
      <c r="F118" s="70">
        <v>2774</v>
      </c>
      <c r="G118" s="70">
        <v>3451</v>
      </c>
      <c r="H118" s="70">
        <v>10688</v>
      </c>
      <c r="I118" s="70">
        <v>12748</v>
      </c>
    </row>
    <row r="119" spans="1:9" x14ac:dyDescent="0.2">
      <c r="A119" s="70" t="s">
        <v>66</v>
      </c>
      <c r="B119" s="70" t="s">
        <v>134</v>
      </c>
      <c r="C119" s="70">
        <v>2494</v>
      </c>
      <c r="D119" s="70">
        <v>3754</v>
      </c>
      <c r="E119" s="70">
        <v>5151</v>
      </c>
      <c r="F119" s="70">
        <v>5941</v>
      </c>
      <c r="G119" s="70">
        <v>5362</v>
      </c>
      <c r="H119" s="70">
        <v>22702</v>
      </c>
      <c r="I119" s="70">
        <v>29288</v>
      </c>
    </row>
    <row r="120" spans="1:9" x14ac:dyDescent="0.2">
      <c r="A120" s="70" t="s">
        <v>67</v>
      </c>
      <c r="B120" s="70" t="s">
        <v>100</v>
      </c>
      <c r="C120" s="70">
        <v>109611</v>
      </c>
      <c r="D120" s="70">
        <v>124855</v>
      </c>
      <c r="E120" s="70">
        <v>133101</v>
      </c>
      <c r="F120" s="70">
        <v>103151</v>
      </c>
      <c r="G120" s="70">
        <v>67765</v>
      </c>
      <c r="H120" s="70">
        <v>538483</v>
      </c>
      <c r="I120" s="70">
        <v>606485</v>
      </c>
    </row>
    <row r="121" spans="1:9" x14ac:dyDescent="0.2">
      <c r="A121" s="70" t="s">
        <v>67</v>
      </c>
      <c r="B121" s="70" t="s">
        <v>101</v>
      </c>
      <c r="C121" s="70">
        <v>8972</v>
      </c>
      <c r="D121" s="70">
        <v>8947</v>
      </c>
      <c r="E121" s="70">
        <v>8906</v>
      </c>
      <c r="F121" s="70">
        <v>7865</v>
      </c>
      <c r="G121" s="70">
        <v>6423</v>
      </c>
      <c r="H121" s="70">
        <v>41113</v>
      </c>
      <c r="I121" s="70">
        <v>49107</v>
      </c>
    </row>
    <row r="122" spans="1:9" x14ac:dyDescent="0.2">
      <c r="A122" s="70" t="s">
        <v>67</v>
      </c>
      <c r="B122" s="70" t="s">
        <v>102</v>
      </c>
      <c r="C122" s="70">
        <v>6103</v>
      </c>
      <c r="D122" s="70">
        <v>6661</v>
      </c>
      <c r="E122" s="70">
        <v>6428</v>
      </c>
      <c r="F122" s="70">
        <v>5223</v>
      </c>
      <c r="G122" s="70">
        <v>4293</v>
      </c>
      <c r="H122" s="70">
        <v>28708</v>
      </c>
      <c r="I122" s="70">
        <v>34456</v>
      </c>
    </row>
    <row r="123" spans="1:9" x14ac:dyDescent="0.2">
      <c r="A123" s="70" t="s">
        <v>67</v>
      </c>
      <c r="B123" s="70" t="s">
        <v>103</v>
      </c>
      <c r="C123" s="70">
        <v>2843</v>
      </c>
      <c r="D123" s="70">
        <v>2287</v>
      </c>
      <c r="E123" s="70">
        <v>2157</v>
      </c>
      <c r="F123" s="70">
        <v>1741</v>
      </c>
      <c r="G123" s="70">
        <v>1406</v>
      </c>
      <c r="H123" s="70">
        <v>10434</v>
      </c>
      <c r="I123" s="70">
        <v>12249</v>
      </c>
    </row>
    <row r="124" spans="1:9" x14ac:dyDescent="0.2">
      <c r="A124" s="70" t="s">
        <v>67</v>
      </c>
      <c r="B124" s="70" t="s">
        <v>104</v>
      </c>
      <c r="C124" s="70">
        <v>390</v>
      </c>
      <c r="D124" s="70">
        <v>396</v>
      </c>
      <c r="E124" s="70">
        <v>458</v>
      </c>
      <c r="F124" s="70">
        <v>361</v>
      </c>
      <c r="G124" s="70">
        <v>326</v>
      </c>
      <c r="H124" s="70">
        <v>1931</v>
      </c>
      <c r="I124" s="70">
        <v>2306</v>
      </c>
    </row>
    <row r="125" spans="1:9" x14ac:dyDescent="0.2">
      <c r="A125" s="70" t="s">
        <v>67</v>
      </c>
      <c r="B125" s="70" t="s">
        <v>105</v>
      </c>
      <c r="C125" s="70">
        <v>11451</v>
      </c>
      <c r="D125" s="70">
        <v>7685</v>
      </c>
      <c r="E125" s="70">
        <v>7090</v>
      </c>
      <c r="F125" s="70">
        <v>6072</v>
      </c>
      <c r="G125" s="70">
        <v>4830</v>
      </c>
      <c r="H125" s="70">
        <v>37128</v>
      </c>
      <c r="I125" s="70">
        <v>44129</v>
      </c>
    </row>
    <row r="126" spans="1:9" x14ac:dyDescent="0.2">
      <c r="A126" s="70" t="s">
        <v>67</v>
      </c>
      <c r="B126" s="70" t="s">
        <v>106</v>
      </c>
      <c r="C126" s="70">
        <v>2110</v>
      </c>
      <c r="D126" s="70">
        <v>886</v>
      </c>
      <c r="E126" s="70">
        <v>672</v>
      </c>
      <c r="F126" s="70">
        <v>461</v>
      </c>
      <c r="G126" s="70">
        <v>291</v>
      </c>
      <c r="H126" s="70">
        <v>4420</v>
      </c>
      <c r="I126" s="70">
        <v>4751</v>
      </c>
    </row>
    <row r="127" spans="1:9" x14ac:dyDescent="0.2">
      <c r="A127" s="70" t="s">
        <v>67</v>
      </c>
      <c r="B127" s="70" t="s">
        <v>107</v>
      </c>
      <c r="C127" s="70">
        <v>1000</v>
      </c>
      <c r="D127" s="70">
        <v>1457</v>
      </c>
      <c r="E127" s="70">
        <v>1682</v>
      </c>
      <c r="F127" s="70">
        <v>1631</v>
      </c>
      <c r="G127" s="70">
        <v>1097</v>
      </c>
      <c r="H127" s="70">
        <v>6867</v>
      </c>
      <c r="I127" s="70">
        <v>7509</v>
      </c>
    </row>
    <row r="128" spans="1:9" x14ac:dyDescent="0.2">
      <c r="A128" s="70" t="s">
        <v>67</v>
      </c>
      <c r="B128" s="70" t="s">
        <v>108</v>
      </c>
      <c r="C128" s="70">
        <v>78</v>
      </c>
      <c r="D128" s="70">
        <v>93</v>
      </c>
      <c r="E128" s="70">
        <v>108</v>
      </c>
      <c r="F128" s="70">
        <v>118</v>
      </c>
      <c r="G128" s="70">
        <v>92</v>
      </c>
      <c r="H128" s="70">
        <v>489</v>
      </c>
      <c r="I128" s="70">
        <v>651</v>
      </c>
    </row>
    <row r="129" spans="1:9" x14ac:dyDescent="0.2">
      <c r="A129" s="70" t="s">
        <v>67</v>
      </c>
      <c r="B129" s="70" t="s">
        <v>109</v>
      </c>
      <c r="C129" s="70">
        <v>382</v>
      </c>
      <c r="D129" s="70">
        <v>672</v>
      </c>
      <c r="E129" s="70">
        <v>904</v>
      </c>
      <c r="F129" s="70">
        <v>890</v>
      </c>
      <c r="G129" s="70">
        <v>719</v>
      </c>
      <c r="H129" s="70">
        <v>3567</v>
      </c>
      <c r="I129" s="70">
        <v>4233</v>
      </c>
    </row>
    <row r="130" spans="1:9" x14ac:dyDescent="0.2">
      <c r="A130" s="70" t="s">
        <v>67</v>
      </c>
      <c r="B130" s="70" t="s">
        <v>110</v>
      </c>
      <c r="C130" s="70">
        <v>67</v>
      </c>
      <c r="D130" s="70">
        <v>57</v>
      </c>
      <c r="E130" s="70">
        <v>89</v>
      </c>
      <c r="F130" s="70">
        <v>92</v>
      </c>
      <c r="G130" s="70">
        <v>62</v>
      </c>
      <c r="H130" s="70">
        <v>367</v>
      </c>
      <c r="I130" s="70">
        <v>430</v>
      </c>
    </row>
    <row r="131" spans="1:9" x14ac:dyDescent="0.2">
      <c r="A131" s="70" t="s">
        <v>67</v>
      </c>
      <c r="B131" s="70" t="s">
        <v>111</v>
      </c>
      <c r="C131" s="70">
        <v>154</v>
      </c>
      <c r="D131" s="70">
        <v>293</v>
      </c>
      <c r="E131" s="70">
        <v>325</v>
      </c>
      <c r="F131" s="70">
        <v>340</v>
      </c>
      <c r="G131" s="70">
        <v>332</v>
      </c>
      <c r="H131" s="70">
        <v>1444</v>
      </c>
      <c r="I131" s="70">
        <v>2032</v>
      </c>
    </row>
    <row r="132" spans="1:9" x14ac:dyDescent="0.2">
      <c r="A132" s="70" t="s">
        <v>67</v>
      </c>
      <c r="B132" s="70" t="s">
        <v>112</v>
      </c>
      <c r="C132" s="70">
        <v>1674</v>
      </c>
      <c r="D132" s="70">
        <v>2865</v>
      </c>
      <c r="E132" s="70">
        <v>3833</v>
      </c>
      <c r="F132" s="70">
        <v>3417</v>
      </c>
      <c r="G132" s="70">
        <v>2736</v>
      </c>
      <c r="H132" s="70">
        <v>14525</v>
      </c>
      <c r="I132" s="70">
        <v>16795</v>
      </c>
    </row>
    <row r="133" spans="1:9" x14ac:dyDescent="0.2">
      <c r="A133" s="70" t="s">
        <v>67</v>
      </c>
      <c r="B133" s="70" t="s">
        <v>113</v>
      </c>
      <c r="C133" s="70">
        <v>2137</v>
      </c>
      <c r="D133" s="70">
        <v>2077</v>
      </c>
      <c r="E133" s="70">
        <v>1901</v>
      </c>
      <c r="F133" s="70">
        <v>1553</v>
      </c>
      <c r="G133" s="70">
        <v>1187</v>
      </c>
      <c r="H133" s="70">
        <v>8855</v>
      </c>
      <c r="I133" s="70">
        <v>10159</v>
      </c>
    </row>
    <row r="134" spans="1:9" x14ac:dyDescent="0.2">
      <c r="A134" s="70" t="s">
        <v>67</v>
      </c>
      <c r="B134" s="70" t="s">
        <v>114</v>
      </c>
      <c r="C134" s="70">
        <v>5609</v>
      </c>
      <c r="D134" s="70">
        <v>4065</v>
      </c>
      <c r="E134" s="70">
        <v>3760</v>
      </c>
      <c r="F134" s="70">
        <v>2910</v>
      </c>
      <c r="G134" s="70">
        <v>1953</v>
      </c>
      <c r="H134" s="70">
        <v>18297</v>
      </c>
      <c r="I134" s="70">
        <v>20198</v>
      </c>
    </row>
    <row r="135" spans="1:9" x14ac:dyDescent="0.2">
      <c r="A135" s="70" t="s">
        <v>67</v>
      </c>
      <c r="B135" s="70" t="s">
        <v>115</v>
      </c>
      <c r="C135" s="70">
        <v>1659</v>
      </c>
      <c r="D135" s="70">
        <v>1476</v>
      </c>
      <c r="E135" s="70">
        <v>1421</v>
      </c>
      <c r="F135" s="70">
        <v>1171</v>
      </c>
      <c r="G135" s="70">
        <v>820</v>
      </c>
      <c r="H135" s="70">
        <v>6547</v>
      </c>
      <c r="I135" s="70">
        <v>7477</v>
      </c>
    </row>
    <row r="136" spans="1:9" x14ac:dyDescent="0.2">
      <c r="A136" s="70" t="s">
        <v>67</v>
      </c>
      <c r="B136" s="70" t="s">
        <v>116</v>
      </c>
      <c r="C136" s="70">
        <v>6137</v>
      </c>
      <c r="D136" s="70">
        <v>7890</v>
      </c>
      <c r="E136" s="70">
        <v>8041</v>
      </c>
      <c r="F136" s="70">
        <v>5565</v>
      </c>
      <c r="G136" s="70">
        <v>2908</v>
      </c>
      <c r="H136" s="70">
        <v>30541</v>
      </c>
      <c r="I136" s="70">
        <v>32506</v>
      </c>
    </row>
    <row r="137" spans="1:9" x14ac:dyDescent="0.2">
      <c r="A137" s="70" t="s">
        <v>67</v>
      </c>
      <c r="B137" s="70" t="s">
        <v>117</v>
      </c>
      <c r="C137" s="70">
        <v>1589</v>
      </c>
      <c r="D137" s="70">
        <v>1940</v>
      </c>
      <c r="E137" s="70">
        <v>2174</v>
      </c>
      <c r="F137" s="70">
        <v>1828</v>
      </c>
      <c r="G137" s="70">
        <v>1537</v>
      </c>
      <c r="H137" s="70">
        <v>9068</v>
      </c>
      <c r="I137" s="70">
        <v>11368</v>
      </c>
    </row>
    <row r="138" spans="1:9" x14ac:dyDescent="0.2">
      <c r="A138" s="70" t="s">
        <v>67</v>
      </c>
      <c r="B138" s="70" t="s">
        <v>118</v>
      </c>
      <c r="C138" s="70">
        <v>8267</v>
      </c>
      <c r="D138" s="70">
        <v>11575</v>
      </c>
      <c r="E138" s="70">
        <v>12581</v>
      </c>
      <c r="F138" s="70">
        <v>10586</v>
      </c>
      <c r="G138" s="70">
        <v>7834</v>
      </c>
      <c r="H138" s="70">
        <v>50843</v>
      </c>
      <c r="I138" s="70">
        <v>61391</v>
      </c>
    </row>
    <row r="139" spans="1:9" x14ac:dyDescent="0.2">
      <c r="A139" s="70" t="s">
        <v>67</v>
      </c>
      <c r="B139" s="70" t="s">
        <v>119</v>
      </c>
      <c r="C139" s="70">
        <v>4989</v>
      </c>
      <c r="D139" s="70">
        <v>6573</v>
      </c>
      <c r="E139" s="70">
        <v>7461</v>
      </c>
      <c r="F139" s="70">
        <v>5803</v>
      </c>
      <c r="G139" s="70">
        <v>4054</v>
      </c>
      <c r="H139" s="70">
        <v>28880</v>
      </c>
      <c r="I139" s="70">
        <v>33702</v>
      </c>
    </row>
    <row r="140" spans="1:9" x14ac:dyDescent="0.2">
      <c r="A140" s="70" t="s">
        <v>67</v>
      </c>
      <c r="B140" s="70" t="s">
        <v>120</v>
      </c>
      <c r="C140" s="70">
        <v>562</v>
      </c>
      <c r="D140" s="70">
        <v>923</v>
      </c>
      <c r="E140" s="70">
        <v>1172</v>
      </c>
      <c r="F140" s="70">
        <v>1058</v>
      </c>
      <c r="G140" s="70">
        <v>860</v>
      </c>
      <c r="H140" s="70">
        <v>4575</v>
      </c>
      <c r="I140" s="70">
        <v>5655</v>
      </c>
    </row>
    <row r="141" spans="1:9" x14ac:dyDescent="0.2">
      <c r="A141" s="70" t="s">
        <v>67</v>
      </c>
      <c r="B141" s="70" t="s">
        <v>121</v>
      </c>
      <c r="C141" s="70">
        <v>9870</v>
      </c>
      <c r="D141" s="70">
        <v>11349</v>
      </c>
      <c r="E141" s="70">
        <v>10741</v>
      </c>
      <c r="F141" s="70">
        <v>6610</v>
      </c>
      <c r="G141" s="70">
        <v>3224</v>
      </c>
      <c r="H141" s="70">
        <v>41794</v>
      </c>
      <c r="I141" s="70">
        <v>43649</v>
      </c>
    </row>
    <row r="142" spans="1:9" x14ac:dyDescent="0.2">
      <c r="A142" s="70" t="s">
        <v>67</v>
      </c>
      <c r="B142" s="70" t="s">
        <v>122</v>
      </c>
      <c r="C142" s="70">
        <v>1597</v>
      </c>
      <c r="D142" s="70">
        <v>3279</v>
      </c>
      <c r="E142" s="70">
        <v>3241</v>
      </c>
      <c r="F142" s="70">
        <v>1814</v>
      </c>
      <c r="G142" s="70">
        <v>482</v>
      </c>
      <c r="H142" s="70">
        <v>10413</v>
      </c>
      <c r="I142" s="70">
        <v>10569</v>
      </c>
    </row>
    <row r="143" spans="1:9" x14ac:dyDescent="0.2">
      <c r="A143" s="70" t="s">
        <v>67</v>
      </c>
      <c r="B143" s="70" t="s">
        <v>123</v>
      </c>
      <c r="C143" s="70">
        <v>11545</v>
      </c>
      <c r="D143" s="70">
        <v>17204</v>
      </c>
      <c r="E143" s="70">
        <v>21531</v>
      </c>
      <c r="F143" s="70">
        <v>15772</v>
      </c>
      <c r="G143" s="70">
        <v>6640</v>
      </c>
      <c r="H143" s="70">
        <v>72692</v>
      </c>
      <c r="I143" s="70">
        <v>74856</v>
      </c>
    </row>
    <row r="144" spans="1:9" x14ac:dyDescent="0.2">
      <c r="A144" s="70" t="s">
        <v>67</v>
      </c>
      <c r="B144" s="70" t="s">
        <v>124</v>
      </c>
      <c r="C144" s="70">
        <v>1989</v>
      </c>
      <c r="D144" s="70">
        <v>4526</v>
      </c>
      <c r="E144" s="70">
        <v>5145</v>
      </c>
      <c r="F144" s="70">
        <v>2998</v>
      </c>
      <c r="G144" s="70">
        <v>1193</v>
      </c>
      <c r="H144" s="70">
        <v>15851</v>
      </c>
      <c r="I144" s="70">
        <v>16479</v>
      </c>
    </row>
    <row r="145" spans="1:9" x14ac:dyDescent="0.2">
      <c r="A145" s="70" t="s">
        <v>67</v>
      </c>
      <c r="B145" s="70" t="s">
        <v>125</v>
      </c>
      <c r="C145" s="70">
        <v>806</v>
      </c>
      <c r="D145" s="70">
        <v>2200</v>
      </c>
      <c r="E145" s="70">
        <v>2523</v>
      </c>
      <c r="F145" s="70">
        <v>1087</v>
      </c>
      <c r="G145" s="70">
        <v>351</v>
      </c>
      <c r="H145" s="70">
        <v>6967</v>
      </c>
      <c r="I145" s="70">
        <v>7166</v>
      </c>
    </row>
    <row r="146" spans="1:9" x14ac:dyDescent="0.2">
      <c r="A146" s="70" t="s">
        <v>67</v>
      </c>
      <c r="B146" s="70" t="s">
        <v>126</v>
      </c>
      <c r="C146" s="70">
        <v>2468</v>
      </c>
      <c r="D146" s="70">
        <v>1857</v>
      </c>
      <c r="E146" s="70">
        <v>1829</v>
      </c>
      <c r="F146" s="70">
        <v>1523</v>
      </c>
      <c r="G146" s="70">
        <v>1012</v>
      </c>
      <c r="H146" s="70">
        <v>8689</v>
      </c>
      <c r="I146" s="70">
        <v>9487</v>
      </c>
    </row>
    <row r="147" spans="1:9" x14ac:dyDescent="0.2">
      <c r="A147" s="70" t="s">
        <v>67</v>
      </c>
      <c r="B147" s="70" t="s">
        <v>127</v>
      </c>
      <c r="C147" s="70">
        <v>854</v>
      </c>
      <c r="D147" s="70">
        <v>722</v>
      </c>
      <c r="E147" s="70">
        <v>718</v>
      </c>
      <c r="F147" s="70">
        <v>582</v>
      </c>
      <c r="G147" s="70">
        <v>355</v>
      </c>
      <c r="H147" s="70">
        <v>3231</v>
      </c>
      <c r="I147" s="70">
        <v>3472</v>
      </c>
    </row>
    <row r="148" spans="1:9" x14ac:dyDescent="0.2">
      <c r="A148" s="70" t="s">
        <v>67</v>
      </c>
      <c r="B148" s="70" t="s">
        <v>128</v>
      </c>
      <c r="C148" s="70">
        <v>1396</v>
      </c>
      <c r="D148" s="70">
        <v>1304</v>
      </c>
      <c r="E148" s="70">
        <v>1278</v>
      </c>
      <c r="F148" s="70">
        <v>1074</v>
      </c>
      <c r="G148" s="70">
        <v>743</v>
      </c>
      <c r="H148" s="70">
        <v>5795</v>
      </c>
      <c r="I148" s="70">
        <v>6409</v>
      </c>
    </row>
    <row r="149" spans="1:9" x14ac:dyDescent="0.2">
      <c r="A149" s="70" t="s">
        <v>67</v>
      </c>
      <c r="B149" s="70" t="s">
        <v>129</v>
      </c>
      <c r="C149" s="70">
        <v>1434</v>
      </c>
      <c r="D149" s="70">
        <v>535</v>
      </c>
      <c r="E149" s="70">
        <v>314</v>
      </c>
      <c r="F149" s="70">
        <v>197</v>
      </c>
      <c r="G149" s="70">
        <v>125</v>
      </c>
      <c r="H149" s="70">
        <v>2605</v>
      </c>
      <c r="I149" s="70">
        <v>2748</v>
      </c>
    </row>
    <row r="150" spans="1:9" x14ac:dyDescent="0.2">
      <c r="A150" s="70" t="s">
        <v>67</v>
      </c>
      <c r="B150" s="70" t="s">
        <v>130</v>
      </c>
      <c r="C150" s="70">
        <v>1434</v>
      </c>
      <c r="D150" s="70">
        <v>1014</v>
      </c>
      <c r="E150" s="70">
        <v>821</v>
      </c>
      <c r="F150" s="70">
        <v>564</v>
      </c>
      <c r="G150" s="70">
        <v>257</v>
      </c>
      <c r="H150" s="70">
        <v>4090</v>
      </c>
      <c r="I150" s="70">
        <v>4293</v>
      </c>
    </row>
    <row r="151" spans="1:9" x14ac:dyDescent="0.2">
      <c r="A151" s="70" t="s">
        <v>67</v>
      </c>
      <c r="B151" s="70" t="s">
        <v>131</v>
      </c>
      <c r="C151" s="70">
        <v>3928</v>
      </c>
      <c r="D151" s="70">
        <v>4377</v>
      </c>
      <c r="E151" s="70">
        <v>4290</v>
      </c>
      <c r="F151" s="70">
        <v>2933</v>
      </c>
      <c r="G151" s="70">
        <v>1813</v>
      </c>
      <c r="H151" s="70">
        <v>17341</v>
      </c>
      <c r="I151" s="70">
        <v>18758</v>
      </c>
    </row>
    <row r="152" spans="1:9" x14ac:dyDescent="0.2">
      <c r="A152" s="70" t="s">
        <v>67</v>
      </c>
      <c r="B152" s="70" t="s">
        <v>132</v>
      </c>
      <c r="C152" s="70">
        <v>758</v>
      </c>
      <c r="D152" s="70">
        <v>922</v>
      </c>
      <c r="E152" s="70">
        <v>966</v>
      </c>
      <c r="F152" s="70">
        <v>780</v>
      </c>
      <c r="G152" s="70">
        <v>428</v>
      </c>
      <c r="H152" s="70">
        <v>3854</v>
      </c>
      <c r="I152" s="70">
        <v>4052</v>
      </c>
    </row>
    <row r="153" spans="1:9" x14ac:dyDescent="0.2">
      <c r="A153" s="70" t="s">
        <v>67</v>
      </c>
      <c r="B153" s="70" t="s">
        <v>133</v>
      </c>
      <c r="C153" s="70">
        <v>1265</v>
      </c>
      <c r="D153" s="70">
        <v>1570</v>
      </c>
      <c r="E153" s="70">
        <v>1847</v>
      </c>
      <c r="F153" s="70">
        <v>1701</v>
      </c>
      <c r="G153" s="70">
        <v>1400</v>
      </c>
      <c r="H153" s="70">
        <v>7783</v>
      </c>
      <c r="I153" s="70">
        <v>8552</v>
      </c>
    </row>
    <row r="154" spans="1:9" x14ac:dyDescent="0.2">
      <c r="A154" s="70" t="s">
        <v>67</v>
      </c>
      <c r="B154" s="70" t="s">
        <v>134</v>
      </c>
      <c r="C154" s="70">
        <v>4094</v>
      </c>
      <c r="D154" s="70">
        <v>5178</v>
      </c>
      <c r="E154" s="70">
        <v>6694</v>
      </c>
      <c r="F154" s="70">
        <v>6831</v>
      </c>
      <c r="G154" s="70">
        <v>5982</v>
      </c>
      <c r="H154" s="70">
        <v>28779</v>
      </c>
      <c r="I154" s="70">
        <v>34891</v>
      </c>
    </row>
    <row r="155" spans="1:9" x14ac:dyDescent="0.2">
      <c r="A155" s="70" t="s">
        <v>100</v>
      </c>
      <c r="B155" s="70" t="s">
        <v>100</v>
      </c>
      <c r="C155" s="70">
        <v>192082</v>
      </c>
      <c r="D155" s="70">
        <v>213498</v>
      </c>
      <c r="E155" s="70">
        <v>236657</v>
      </c>
      <c r="F155" s="70">
        <v>196987</v>
      </c>
      <c r="G155" s="70">
        <v>139171</v>
      </c>
      <c r="H155" s="70">
        <v>978395</v>
      </c>
      <c r="I155" s="70">
        <v>1128322</v>
      </c>
    </row>
    <row r="156" spans="1:9" x14ac:dyDescent="0.2">
      <c r="A156" s="70" t="s">
        <v>100</v>
      </c>
      <c r="B156" s="70" t="s">
        <v>101</v>
      </c>
      <c r="C156" s="70">
        <v>14463</v>
      </c>
      <c r="D156" s="70">
        <v>14874</v>
      </c>
      <c r="E156" s="70">
        <v>15543</v>
      </c>
      <c r="F156" s="70">
        <v>13967</v>
      </c>
      <c r="G156" s="70">
        <v>11938</v>
      </c>
      <c r="H156" s="70">
        <v>70785</v>
      </c>
      <c r="I156" s="70">
        <v>85920</v>
      </c>
    </row>
    <row r="157" spans="1:9" x14ac:dyDescent="0.2">
      <c r="A157" s="70" t="s">
        <v>100</v>
      </c>
      <c r="B157" s="70" t="s">
        <v>102</v>
      </c>
      <c r="C157" s="70">
        <v>13050</v>
      </c>
      <c r="D157" s="70">
        <v>13658</v>
      </c>
      <c r="E157" s="70">
        <v>12915</v>
      </c>
      <c r="F157" s="70">
        <v>10964</v>
      </c>
      <c r="G157" s="70">
        <v>9101</v>
      </c>
      <c r="H157" s="70">
        <v>59688</v>
      </c>
      <c r="I157" s="70">
        <v>71809</v>
      </c>
    </row>
    <row r="158" spans="1:9" x14ac:dyDescent="0.2">
      <c r="A158" s="70" t="s">
        <v>100</v>
      </c>
      <c r="B158" s="70" t="s">
        <v>103</v>
      </c>
      <c r="C158" s="70">
        <v>10756</v>
      </c>
      <c r="D158" s="70">
        <v>9070</v>
      </c>
      <c r="E158" s="70">
        <v>8770</v>
      </c>
      <c r="F158" s="70">
        <v>7844</v>
      </c>
      <c r="G158" s="70">
        <v>6665</v>
      </c>
      <c r="H158" s="70">
        <v>43105</v>
      </c>
      <c r="I158" s="70">
        <v>52244</v>
      </c>
    </row>
    <row r="159" spans="1:9" x14ac:dyDescent="0.2">
      <c r="A159" s="70" t="s">
        <v>100</v>
      </c>
      <c r="B159" s="70" t="s">
        <v>104</v>
      </c>
      <c r="C159" s="70">
        <v>1224</v>
      </c>
      <c r="D159" s="70">
        <v>1204</v>
      </c>
      <c r="E159" s="70">
        <v>1373</v>
      </c>
      <c r="F159" s="70">
        <v>1237</v>
      </c>
      <c r="G159" s="70">
        <v>1055</v>
      </c>
      <c r="H159" s="70">
        <v>6093</v>
      </c>
      <c r="I159" s="70">
        <v>7252</v>
      </c>
    </row>
    <row r="160" spans="1:9" x14ac:dyDescent="0.2">
      <c r="A160" s="70" t="s">
        <v>100</v>
      </c>
      <c r="B160" s="70" t="s">
        <v>105</v>
      </c>
      <c r="C160" s="70">
        <v>27932</v>
      </c>
      <c r="D160" s="70">
        <v>17510</v>
      </c>
      <c r="E160" s="70">
        <v>16883</v>
      </c>
      <c r="F160" s="70">
        <v>14843</v>
      </c>
      <c r="G160" s="70">
        <v>12180</v>
      </c>
      <c r="H160" s="70">
        <v>89348</v>
      </c>
      <c r="I160" s="70">
        <v>109061</v>
      </c>
    </row>
    <row r="161" spans="1:9" x14ac:dyDescent="0.2">
      <c r="A161" s="70" t="s">
        <v>100</v>
      </c>
      <c r="B161" s="70" t="s">
        <v>106</v>
      </c>
      <c r="C161" s="70">
        <v>6057</v>
      </c>
      <c r="D161" s="70">
        <v>2650</v>
      </c>
      <c r="E161" s="70">
        <v>2099</v>
      </c>
      <c r="F161" s="70">
        <v>1558</v>
      </c>
      <c r="G161" s="70">
        <v>1083</v>
      </c>
      <c r="H161" s="70">
        <v>13447</v>
      </c>
      <c r="I161" s="70">
        <v>14753</v>
      </c>
    </row>
    <row r="162" spans="1:9" x14ac:dyDescent="0.2">
      <c r="A162" s="70" t="s">
        <v>100</v>
      </c>
      <c r="B162" s="70" t="s">
        <v>107</v>
      </c>
      <c r="C162" s="70">
        <v>1898</v>
      </c>
      <c r="D162" s="70">
        <v>2968</v>
      </c>
      <c r="E162" s="70">
        <v>3979</v>
      </c>
      <c r="F162" s="70">
        <v>4290</v>
      </c>
      <c r="G162" s="70">
        <v>3215</v>
      </c>
      <c r="H162" s="70">
        <v>16350</v>
      </c>
      <c r="I162" s="70">
        <v>18825</v>
      </c>
    </row>
    <row r="163" spans="1:9" x14ac:dyDescent="0.2">
      <c r="A163" s="70" t="s">
        <v>100</v>
      </c>
      <c r="B163" s="70" t="s">
        <v>108</v>
      </c>
      <c r="C163" s="70">
        <v>763</v>
      </c>
      <c r="D163" s="70">
        <v>1052</v>
      </c>
      <c r="E163" s="70">
        <v>1456</v>
      </c>
      <c r="F163" s="70">
        <v>1541</v>
      </c>
      <c r="G163" s="70">
        <v>1316</v>
      </c>
      <c r="H163" s="70">
        <v>6128</v>
      </c>
      <c r="I163" s="70">
        <v>7847</v>
      </c>
    </row>
    <row r="164" spans="1:9" x14ac:dyDescent="0.2">
      <c r="A164" s="70" t="s">
        <v>100</v>
      </c>
      <c r="B164" s="70" t="s">
        <v>109</v>
      </c>
      <c r="C164" s="70">
        <v>822</v>
      </c>
      <c r="D164" s="70">
        <v>1700</v>
      </c>
      <c r="E164" s="70">
        <v>2549</v>
      </c>
      <c r="F164" s="70">
        <v>2917</v>
      </c>
      <c r="G164" s="70">
        <v>2460</v>
      </c>
      <c r="H164" s="70">
        <v>10448</v>
      </c>
      <c r="I164" s="70">
        <v>12927</v>
      </c>
    </row>
    <row r="165" spans="1:9" x14ac:dyDescent="0.2">
      <c r="A165" s="70" t="s">
        <v>100</v>
      </c>
      <c r="B165" s="70" t="s">
        <v>110</v>
      </c>
      <c r="C165" s="70">
        <v>69</v>
      </c>
      <c r="D165" s="70">
        <v>60</v>
      </c>
      <c r="E165" s="70">
        <v>96</v>
      </c>
      <c r="F165" s="70">
        <v>113</v>
      </c>
      <c r="G165" s="70">
        <v>81</v>
      </c>
      <c r="H165" s="70">
        <v>419</v>
      </c>
      <c r="I165" s="70">
        <v>508</v>
      </c>
    </row>
    <row r="166" spans="1:9" x14ac:dyDescent="0.2">
      <c r="A166" s="70" t="s">
        <v>100</v>
      </c>
      <c r="B166" s="70" t="s">
        <v>111</v>
      </c>
      <c r="C166" s="70">
        <v>409</v>
      </c>
      <c r="D166" s="70">
        <v>751</v>
      </c>
      <c r="E166" s="70">
        <v>977</v>
      </c>
      <c r="F166" s="70">
        <v>1041</v>
      </c>
      <c r="G166" s="70">
        <v>987</v>
      </c>
      <c r="H166" s="70">
        <v>4165</v>
      </c>
      <c r="I166" s="70">
        <v>5994</v>
      </c>
    </row>
    <row r="167" spans="1:9" x14ac:dyDescent="0.2">
      <c r="A167" s="70" t="s">
        <v>100</v>
      </c>
      <c r="B167" s="70" t="s">
        <v>112</v>
      </c>
      <c r="C167" s="70">
        <v>3466</v>
      </c>
      <c r="D167" s="70">
        <v>6596</v>
      </c>
      <c r="E167" s="70">
        <v>9026</v>
      </c>
      <c r="F167" s="70">
        <v>8440</v>
      </c>
      <c r="G167" s="70">
        <v>6700</v>
      </c>
      <c r="H167" s="70">
        <v>34228</v>
      </c>
      <c r="I167" s="70">
        <v>39807</v>
      </c>
    </row>
    <row r="168" spans="1:9" x14ac:dyDescent="0.2">
      <c r="A168" s="70" t="s">
        <v>100</v>
      </c>
      <c r="B168" s="70" t="s">
        <v>113</v>
      </c>
      <c r="C168" s="70">
        <v>6400</v>
      </c>
      <c r="D168" s="70">
        <v>6271</v>
      </c>
      <c r="E168" s="70">
        <v>6138</v>
      </c>
      <c r="F168" s="70">
        <v>5120</v>
      </c>
      <c r="G168" s="70">
        <v>3881</v>
      </c>
      <c r="H168" s="70">
        <v>27810</v>
      </c>
      <c r="I168" s="70">
        <v>32262</v>
      </c>
    </row>
    <row r="169" spans="1:9" x14ac:dyDescent="0.2">
      <c r="A169" s="70" t="s">
        <v>100</v>
      </c>
      <c r="B169" s="70" t="s">
        <v>114</v>
      </c>
      <c r="C169" s="70">
        <v>9445</v>
      </c>
      <c r="D169" s="70">
        <v>7903</v>
      </c>
      <c r="E169" s="70">
        <v>8122</v>
      </c>
      <c r="F169" s="70">
        <v>6731</v>
      </c>
      <c r="G169" s="70">
        <v>4500</v>
      </c>
      <c r="H169" s="70">
        <v>36701</v>
      </c>
      <c r="I169" s="70">
        <v>41209</v>
      </c>
    </row>
    <row r="170" spans="1:9" x14ac:dyDescent="0.2">
      <c r="A170" s="70" t="s">
        <v>100</v>
      </c>
      <c r="B170" s="70" t="s">
        <v>115</v>
      </c>
      <c r="C170" s="70">
        <v>3384</v>
      </c>
      <c r="D170" s="70">
        <v>3324</v>
      </c>
      <c r="E170" s="70">
        <v>3356</v>
      </c>
      <c r="F170" s="70">
        <v>2852</v>
      </c>
      <c r="G170" s="70">
        <v>1925</v>
      </c>
      <c r="H170" s="70">
        <v>14841</v>
      </c>
      <c r="I170" s="70">
        <v>16923</v>
      </c>
    </row>
    <row r="171" spans="1:9" x14ac:dyDescent="0.2">
      <c r="A171" s="70" t="s">
        <v>100</v>
      </c>
      <c r="B171" s="70" t="s">
        <v>116</v>
      </c>
      <c r="C171" s="70">
        <v>10980</v>
      </c>
      <c r="D171" s="70">
        <v>14328</v>
      </c>
      <c r="E171" s="70">
        <v>15231</v>
      </c>
      <c r="F171" s="70">
        <v>10690</v>
      </c>
      <c r="G171" s="70">
        <v>5567</v>
      </c>
      <c r="H171" s="70">
        <v>56796</v>
      </c>
      <c r="I171" s="70">
        <v>60463</v>
      </c>
    </row>
    <row r="172" spans="1:9" x14ac:dyDescent="0.2">
      <c r="A172" s="70" t="s">
        <v>100</v>
      </c>
      <c r="B172" s="70" t="s">
        <v>117</v>
      </c>
      <c r="C172" s="70">
        <v>2217</v>
      </c>
      <c r="D172" s="70">
        <v>2912</v>
      </c>
      <c r="E172" s="70">
        <v>3487</v>
      </c>
      <c r="F172" s="70">
        <v>3203</v>
      </c>
      <c r="G172" s="70">
        <v>2763</v>
      </c>
      <c r="H172" s="70">
        <v>14582</v>
      </c>
      <c r="I172" s="70">
        <v>18774</v>
      </c>
    </row>
    <row r="173" spans="1:9" x14ac:dyDescent="0.2">
      <c r="A173" s="70" t="s">
        <v>100</v>
      </c>
      <c r="B173" s="70" t="s">
        <v>118</v>
      </c>
      <c r="C173" s="70">
        <v>9826</v>
      </c>
      <c r="D173" s="70">
        <v>14711</v>
      </c>
      <c r="E173" s="70">
        <v>17210</v>
      </c>
      <c r="F173" s="70">
        <v>15706</v>
      </c>
      <c r="G173" s="70">
        <v>12333</v>
      </c>
      <c r="H173" s="70">
        <v>69786</v>
      </c>
      <c r="I173" s="70">
        <v>87804</v>
      </c>
    </row>
    <row r="174" spans="1:9" x14ac:dyDescent="0.2">
      <c r="A174" s="70" t="s">
        <v>100</v>
      </c>
      <c r="B174" s="70" t="s">
        <v>119</v>
      </c>
      <c r="C174" s="70">
        <v>5934</v>
      </c>
      <c r="D174" s="70">
        <v>8286</v>
      </c>
      <c r="E174" s="70">
        <v>10177</v>
      </c>
      <c r="F174" s="70">
        <v>8293</v>
      </c>
      <c r="G174" s="70">
        <v>6139</v>
      </c>
      <c r="H174" s="70">
        <v>38829</v>
      </c>
      <c r="I174" s="70">
        <v>46443</v>
      </c>
    </row>
    <row r="175" spans="1:9" x14ac:dyDescent="0.2">
      <c r="A175" s="70" t="s">
        <v>100</v>
      </c>
      <c r="B175" s="70" t="s">
        <v>120</v>
      </c>
      <c r="C175" s="70">
        <v>921</v>
      </c>
      <c r="D175" s="70">
        <v>1461</v>
      </c>
      <c r="E175" s="70">
        <v>1937</v>
      </c>
      <c r="F175" s="70">
        <v>1842</v>
      </c>
      <c r="G175" s="70">
        <v>1526</v>
      </c>
      <c r="H175" s="70">
        <v>7687</v>
      </c>
      <c r="I175" s="70">
        <v>9804</v>
      </c>
    </row>
    <row r="176" spans="1:9" x14ac:dyDescent="0.2">
      <c r="A176" s="70" t="s">
        <v>100</v>
      </c>
      <c r="B176" s="70" t="s">
        <v>121</v>
      </c>
      <c r="C176" s="70">
        <v>12200</v>
      </c>
      <c r="D176" s="70">
        <v>14579</v>
      </c>
      <c r="E176" s="70">
        <v>14575</v>
      </c>
      <c r="F176" s="70">
        <v>9706</v>
      </c>
      <c r="G176" s="70">
        <v>5147</v>
      </c>
      <c r="H176" s="70">
        <v>56207</v>
      </c>
      <c r="I176" s="70">
        <v>59457</v>
      </c>
    </row>
    <row r="177" spans="1:9" x14ac:dyDescent="0.2">
      <c r="A177" s="70" t="s">
        <v>100</v>
      </c>
      <c r="B177" s="70" t="s">
        <v>122</v>
      </c>
      <c r="C177" s="70">
        <v>2238</v>
      </c>
      <c r="D177" s="70">
        <v>4537</v>
      </c>
      <c r="E177" s="70">
        <v>4721</v>
      </c>
      <c r="F177" s="70">
        <v>2838</v>
      </c>
      <c r="G177" s="70">
        <v>862</v>
      </c>
      <c r="H177" s="70">
        <v>15196</v>
      </c>
      <c r="I177" s="70">
        <v>15459</v>
      </c>
    </row>
    <row r="178" spans="1:9" x14ac:dyDescent="0.2">
      <c r="A178" s="70" t="s">
        <v>100</v>
      </c>
      <c r="B178" s="70" t="s">
        <v>123</v>
      </c>
      <c r="C178" s="70">
        <v>15535</v>
      </c>
      <c r="D178" s="70">
        <v>23347</v>
      </c>
      <c r="E178" s="70">
        <v>30069</v>
      </c>
      <c r="F178" s="70">
        <v>22900</v>
      </c>
      <c r="G178" s="70">
        <v>10197</v>
      </c>
      <c r="H178" s="70">
        <v>102048</v>
      </c>
      <c r="I178" s="70">
        <v>105693</v>
      </c>
    </row>
    <row r="179" spans="1:9" x14ac:dyDescent="0.2">
      <c r="A179" s="70" t="s">
        <v>100</v>
      </c>
      <c r="B179" s="70" t="s">
        <v>124</v>
      </c>
      <c r="C179" s="70">
        <v>2801</v>
      </c>
      <c r="D179" s="70">
        <v>7136</v>
      </c>
      <c r="E179" s="70">
        <v>9258</v>
      </c>
      <c r="F179" s="70">
        <v>6344</v>
      </c>
      <c r="G179" s="70">
        <v>2753</v>
      </c>
      <c r="H179" s="70">
        <v>28292</v>
      </c>
      <c r="I179" s="70">
        <v>29780</v>
      </c>
    </row>
    <row r="180" spans="1:9" x14ac:dyDescent="0.2">
      <c r="A180" s="70" t="s">
        <v>100</v>
      </c>
      <c r="B180" s="70" t="s">
        <v>125</v>
      </c>
      <c r="C180" s="70">
        <v>1164</v>
      </c>
      <c r="D180" s="70">
        <v>3747</v>
      </c>
      <c r="E180" s="70">
        <v>4619</v>
      </c>
      <c r="F180" s="70">
        <v>2234</v>
      </c>
      <c r="G180" s="70">
        <v>731</v>
      </c>
      <c r="H180" s="70">
        <v>12495</v>
      </c>
      <c r="I180" s="70">
        <v>12936</v>
      </c>
    </row>
    <row r="181" spans="1:9" x14ac:dyDescent="0.2">
      <c r="A181" s="70" t="s">
        <v>100</v>
      </c>
      <c r="B181" s="70" t="s">
        <v>126</v>
      </c>
      <c r="C181" s="70">
        <v>3680</v>
      </c>
      <c r="D181" s="70">
        <v>2664</v>
      </c>
      <c r="E181" s="70">
        <v>2584</v>
      </c>
      <c r="F181" s="70">
        <v>2080</v>
      </c>
      <c r="G181" s="70">
        <v>1376</v>
      </c>
      <c r="H181" s="70">
        <v>12384</v>
      </c>
      <c r="I181" s="70">
        <v>13523</v>
      </c>
    </row>
    <row r="182" spans="1:9" x14ac:dyDescent="0.2">
      <c r="A182" s="70" t="s">
        <v>100</v>
      </c>
      <c r="B182" s="70" t="s">
        <v>127</v>
      </c>
      <c r="C182" s="70">
        <v>1443</v>
      </c>
      <c r="D182" s="70">
        <v>1196</v>
      </c>
      <c r="E182" s="70">
        <v>1098</v>
      </c>
      <c r="F182" s="70">
        <v>918</v>
      </c>
      <c r="G182" s="70">
        <v>576</v>
      </c>
      <c r="H182" s="70">
        <v>5231</v>
      </c>
      <c r="I182" s="70">
        <v>5598</v>
      </c>
    </row>
    <row r="183" spans="1:9" x14ac:dyDescent="0.2">
      <c r="A183" s="70" t="s">
        <v>100</v>
      </c>
      <c r="B183" s="70" t="s">
        <v>128</v>
      </c>
      <c r="C183" s="70">
        <v>2201</v>
      </c>
      <c r="D183" s="70">
        <v>1940</v>
      </c>
      <c r="E183" s="70">
        <v>1883</v>
      </c>
      <c r="F183" s="70">
        <v>1544</v>
      </c>
      <c r="G183" s="70">
        <v>1033</v>
      </c>
      <c r="H183" s="70">
        <v>8601</v>
      </c>
      <c r="I183" s="70">
        <v>9430</v>
      </c>
    </row>
    <row r="184" spans="1:9" x14ac:dyDescent="0.2">
      <c r="A184" s="70" t="s">
        <v>100</v>
      </c>
      <c r="B184" s="70" t="s">
        <v>129</v>
      </c>
      <c r="C184" s="70">
        <v>2402</v>
      </c>
      <c r="D184" s="70">
        <v>985</v>
      </c>
      <c r="E184" s="70">
        <v>539</v>
      </c>
      <c r="F184" s="70">
        <v>322</v>
      </c>
      <c r="G184" s="70">
        <v>216</v>
      </c>
      <c r="H184" s="70">
        <v>4464</v>
      </c>
      <c r="I184" s="70">
        <v>4710</v>
      </c>
    </row>
    <row r="185" spans="1:9" x14ac:dyDescent="0.2">
      <c r="A185" s="70" t="s">
        <v>100</v>
      </c>
      <c r="B185" s="70" t="s">
        <v>130</v>
      </c>
      <c r="C185" s="70">
        <v>2452</v>
      </c>
      <c r="D185" s="70">
        <v>1740</v>
      </c>
      <c r="E185" s="70">
        <v>1450</v>
      </c>
      <c r="F185" s="70">
        <v>1007</v>
      </c>
      <c r="G185" s="70">
        <v>529</v>
      </c>
      <c r="H185" s="70">
        <v>7178</v>
      </c>
      <c r="I185" s="70">
        <v>7569</v>
      </c>
    </row>
    <row r="186" spans="1:9" x14ac:dyDescent="0.2">
      <c r="A186" s="70" t="s">
        <v>100</v>
      </c>
      <c r="B186" s="70" t="s">
        <v>131</v>
      </c>
      <c r="C186" s="70">
        <v>5498</v>
      </c>
      <c r="D186" s="70">
        <v>6101</v>
      </c>
      <c r="E186" s="70">
        <v>6185</v>
      </c>
      <c r="F186" s="70">
        <v>4520</v>
      </c>
      <c r="G186" s="70">
        <v>2845</v>
      </c>
      <c r="H186" s="70">
        <v>25149</v>
      </c>
      <c r="I186" s="70">
        <v>27447</v>
      </c>
    </row>
    <row r="187" spans="1:9" x14ac:dyDescent="0.2">
      <c r="A187" s="70" t="s">
        <v>100</v>
      </c>
      <c r="B187" s="70" t="s">
        <v>132</v>
      </c>
      <c r="C187" s="70">
        <v>1694</v>
      </c>
      <c r="D187" s="70">
        <v>2262</v>
      </c>
      <c r="E187" s="70">
        <v>2575</v>
      </c>
      <c r="F187" s="70">
        <v>2135</v>
      </c>
      <c r="G187" s="70">
        <v>1296</v>
      </c>
      <c r="H187" s="70">
        <v>9962</v>
      </c>
      <c r="I187" s="70">
        <v>10612</v>
      </c>
    </row>
    <row r="188" spans="1:9" x14ac:dyDescent="0.2">
      <c r="A188" s="70" t="s">
        <v>100</v>
      </c>
      <c r="B188" s="70" t="s">
        <v>133</v>
      </c>
      <c r="C188" s="70">
        <v>2170</v>
      </c>
      <c r="D188" s="70">
        <v>3043</v>
      </c>
      <c r="E188" s="70">
        <v>3932</v>
      </c>
      <c r="F188" s="70">
        <v>4475</v>
      </c>
      <c r="G188" s="70">
        <v>4851</v>
      </c>
      <c r="H188" s="70">
        <v>18471</v>
      </c>
      <c r="I188" s="70">
        <v>21300</v>
      </c>
    </row>
    <row r="189" spans="1:9" x14ac:dyDescent="0.2">
      <c r="A189" s="70" t="s">
        <v>100</v>
      </c>
      <c r="B189" s="70" t="s">
        <v>134</v>
      </c>
      <c r="C189" s="70">
        <v>6588</v>
      </c>
      <c r="D189" s="70">
        <v>8932</v>
      </c>
      <c r="E189" s="70">
        <v>11845</v>
      </c>
      <c r="F189" s="70">
        <v>12772</v>
      </c>
      <c r="G189" s="70">
        <v>11344</v>
      </c>
      <c r="H189" s="70">
        <v>51481</v>
      </c>
      <c r="I189" s="70">
        <v>64179</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W189"/>
  <sheetViews>
    <sheetView workbookViewId="0">
      <selection activeCell="P13" sqref="P13:Q14"/>
    </sheetView>
  </sheetViews>
  <sheetFormatPr defaultRowHeight="12.75" x14ac:dyDescent="0.2"/>
  <cols>
    <col min="2" max="2" width="17.85546875" customWidth="1"/>
  </cols>
  <sheetData>
    <row r="1" spans="1:23" ht="15.75" x14ac:dyDescent="0.25">
      <c r="A1" s="123" t="s">
        <v>259</v>
      </c>
      <c r="F1" s="206" t="s">
        <v>263</v>
      </c>
    </row>
    <row r="3" spans="1:23" x14ac:dyDescent="0.2">
      <c r="A3" s="42"/>
      <c r="B3" s="65"/>
      <c r="C3" s="97" t="s">
        <v>39</v>
      </c>
      <c r="D3" s="98"/>
      <c r="E3" s="98"/>
      <c r="F3" s="98"/>
      <c r="G3" s="98"/>
      <c r="H3" s="98"/>
      <c r="I3" s="98"/>
      <c r="J3" s="97" t="s">
        <v>40</v>
      </c>
      <c r="K3" s="98"/>
      <c r="L3" s="98"/>
      <c r="M3" s="98"/>
      <c r="N3" s="98"/>
      <c r="O3" s="98"/>
      <c r="P3" s="98"/>
      <c r="Q3" s="97" t="s">
        <v>59</v>
      </c>
      <c r="R3" s="98"/>
      <c r="S3" s="98"/>
      <c r="T3" s="98"/>
      <c r="U3" s="98"/>
      <c r="V3" s="98"/>
      <c r="W3" s="98"/>
    </row>
    <row r="4" spans="1:23" x14ac:dyDescent="0.2">
      <c r="A4" s="42"/>
      <c r="B4" s="65"/>
      <c r="C4" s="97" t="s">
        <v>33</v>
      </c>
      <c r="D4" s="97" t="s">
        <v>34</v>
      </c>
      <c r="E4" s="97" t="s">
        <v>35</v>
      </c>
      <c r="F4" s="97" t="s">
        <v>36</v>
      </c>
      <c r="G4" s="97" t="s">
        <v>37</v>
      </c>
      <c r="H4" s="97" t="s">
        <v>47</v>
      </c>
      <c r="I4" s="97" t="s">
        <v>58</v>
      </c>
      <c r="J4" s="97" t="s">
        <v>33</v>
      </c>
      <c r="K4" s="97" t="s">
        <v>34</v>
      </c>
      <c r="L4" s="97" t="s">
        <v>35</v>
      </c>
      <c r="M4" s="97" t="s">
        <v>36</v>
      </c>
      <c r="N4" s="97" t="s">
        <v>37</v>
      </c>
      <c r="O4" s="97" t="s">
        <v>47</v>
      </c>
      <c r="P4" s="97" t="s">
        <v>58</v>
      </c>
      <c r="Q4" s="97" t="s">
        <v>33</v>
      </c>
      <c r="R4" s="97" t="s">
        <v>34</v>
      </c>
      <c r="S4" s="97" t="s">
        <v>35</v>
      </c>
      <c r="T4" s="97" t="s">
        <v>36</v>
      </c>
      <c r="U4" s="97" t="s">
        <v>37</v>
      </c>
      <c r="V4" s="98" t="s">
        <v>47</v>
      </c>
      <c r="W4" s="98" t="s">
        <v>58</v>
      </c>
    </row>
    <row r="5" spans="1:23" x14ac:dyDescent="0.2">
      <c r="A5" s="43"/>
      <c r="B5" s="99" t="s">
        <v>0</v>
      </c>
      <c r="C5" s="87">
        <f>IF(OR(C47=1,C47=2),"x",ROUND(C47/$I47*100,1))</f>
        <v>16.8</v>
      </c>
      <c r="D5" s="87">
        <f t="shared" ref="D5:H5" si="0">IF(OR(D47=1,D47=2),"x",ROUND(D47/$I47*100,1))</f>
        <v>16.899999999999999</v>
      </c>
      <c r="E5" s="87">
        <f t="shared" si="0"/>
        <v>18.399999999999999</v>
      </c>
      <c r="F5" s="87">
        <f t="shared" si="0"/>
        <v>16.3</v>
      </c>
      <c r="G5" s="87">
        <f t="shared" si="0"/>
        <v>14.3</v>
      </c>
      <c r="H5" s="87">
        <f t="shared" si="0"/>
        <v>82.6</v>
      </c>
      <c r="I5" s="66">
        <f>ROUND(I47,0)</f>
        <v>31738</v>
      </c>
      <c r="J5" s="87">
        <f>IF(OR(J47=1,J47=2),"x",ROUND(J47/$P47*100,1))</f>
        <v>17.8</v>
      </c>
      <c r="K5" s="87">
        <f t="shared" ref="K5:O5" si="1">IF(OR(K47=1,K47=2),"x",ROUND(K47/$P47*100,1))</f>
        <v>18</v>
      </c>
      <c r="L5" s="87">
        <f t="shared" si="1"/>
        <v>18.7</v>
      </c>
      <c r="M5" s="87">
        <f t="shared" si="1"/>
        <v>16.2</v>
      </c>
      <c r="N5" s="87">
        <f t="shared" si="1"/>
        <v>13.4</v>
      </c>
      <c r="O5" s="87">
        <f t="shared" si="1"/>
        <v>84.2</v>
      </c>
      <c r="P5" s="66">
        <f>ROUND(P47,0)</f>
        <v>47637</v>
      </c>
      <c r="Q5" s="87">
        <f>IF(OR(Q47=1,Q47=2),"x",ROUND(Q47/$W47*100,1))</f>
        <v>17.399999999999999</v>
      </c>
      <c r="R5" s="87">
        <f t="shared" ref="R5:V5" si="2">IF(OR(R47=1,R47=2),"x",ROUND(R47/$W47*100,1))</f>
        <v>17.600000000000001</v>
      </c>
      <c r="S5" s="87">
        <f t="shared" si="2"/>
        <v>18.600000000000001</v>
      </c>
      <c r="T5" s="87">
        <f t="shared" si="2"/>
        <v>16.3</v>
      </c>
      <c r="U5" s="87">
        <f t="shared" si="2"/>
        <v>13.8</v>
      </c>
      <c r="V5" s="87">
        <f t="shared" si="2"/>
        <v>83.6</v>
      </c>
      <c r="W5" s="66">
        <f>ROUND(W47,0)</f>
        <v>79375</v>
      </c>
    </row>
    <row r="6" spans="1:23" x14ac:dyDescent="0.2">
      <c r="A6" s="42"/>
      <c r="B6" s="99" t="s">
        <v>1</v>
      </c>
      <c r="C6" s="87">
        <f t="shared" ref="C6:H21" si="3">IF(OR(C48=1,C48=2),"x",ROUND(C48/$I48*100,1))</f>
        <v>20.2</v>
      </c>
      <c r="D6" s="87">
        <f t="shared" si="3"/>
        <v>18.399999999999999</v>
      </c>
      <c r="E6" s="87">
        <f t="shared" si="3"/>
        <v>17.7</v>
      </c>
      <c r="F6" s="87">
        <f t="shared" si="3"/>
        <v>14.8</v>
      </c>
      <c r="G6" s="87">
        <f t="shared" si="3"/>
        <v>12.5</v>
      </c>
      <c r="H6" s="87">
        <f t="shared" si="3"/>
        <v>83.5</v>
      </c>
      <c r="I6" s="66">
        <f t="shared" ref="I6:I39" si="4">ROUND(I48,0)</f>
        <v>34069</v>
      </c>
      <c r="J6" s="87">
        <f t="shared" ref="J6:O21" si="5">IF(OR(J48=1,J48=2),"x",ROUND(J48/$P48*100,1))</f>
        <v>17.3</v>
      </c>
      <c r="K6" s="87">
        <f t="shared" si="5"/>
        <v>19.100000000000001</v>
      </c>
      <c r="L6" s="87">
        <f t="shared" si="5"/>
        <v>18.5</v>
      </c>
      <c r="M6" s="87">
        <f t="shared" si="5"/>
        <v>15.8</v>
      </c>
      <c r="N6" s="87">
        <f t="shared" si="5"/>
        <v>13.4</v>
      </c>
      <c r="O6" s="87">
        <f t="shared" si="5"/>
        <v>84</v>
      </c>
      <c r="P6" s="66">
        <f t="shared" ref="P6:P39" si="6">ROUND(P48,0)</f>
        <v>32980</v>
      </c>
      <c r="Q6" s="87">
        <f t="shared" ref="Q6:V21" si="7">IF(OR(Q48=1,Q48=2),"x",ROUND(Q48/$W48*100,1))</f>
        <v>18.7</v>
      </c>
      <c r="R6" s="87">
        <f t="shared" si="7"/>
        <v>18.7</v>
      </c>
      <c r="S6" s="87">
        <f t="shared" si="7"/>
        <v>18.100000000000001</v>
      </c>
      <c r="T6" s="87">
        <f t="shared" si="7"/>
        <v>15.3</v>
      </c>
      <c r="U6" s="87">
        <f t="shared" si="7"/>
        <v>12.9</v>
      </c>
      <c r="V6" s="87">
        <f t="shared" si="7"/>
        <v>83.7</v>
      </c>
      <c r="W6" s="66">
        <f t="shared" ref="W6:W39" si="8">ROUND(W48,0)</f>
        <v>67049</v>
      </c>
    </row>
    <row r="7" spans="1:23" x14ac:dyDescent="0.2">
      <c r="A7" s="42"/>
      <c r="B7" s="99" t="s">
        <v>2</v>
      </c>
      <c r="C7" s="87">
        <f t="shared" si="3"/>
        <v>19.2</v>
      </c>
      <c r="D7" s="87">
        <f t="shared" si="3"/>
        <v>14.9</v>
      </c>
      <c r="E7" s="87">
        <f t="shared" si="3"/>
        <v>16.8</v>
      </c>
      <c r="F7" s="87">
        <f t="shared" si="3"/>
        <v>16.2</v>
      </c>
      <c r="G7" s="87">
        <f t="shared" si="3"/>
        <v>14.2</v>
      </c>
      <c r="H7" s="87">
        <f t="shared" si="3"/>
        <v>81.3</v>
      </c>
      <c r="I7" s="66">
        <f t="shared" si="4"/>
        <v>38891</v>
      </c>
      <c r="J7" s="87">
        <f t="shared" si="5"/>
        <v>21.2</v>
      </c>
      <c r="K7" s="87">
        <f t="shared" si="5"/>
        <v>16.7</v>
      </c>
      <c r="L7" s="87">
        <f t="shared" si="5"/>
        <v>18</v>
      </c>
      <c r="M7" s="87">
        <f t="shared" si="5"/>
        <v>15.6</v>
      </c>
      <c r="N7" s="87">
        <f t="shared" si="5"/>
        <v>13.2</v>
      </c>
      <c r="O7" s="87">
        <f t="shared" si="5"/>
        <v>84.7</v>
      </c>
      <c r="P7" s="66">
        <f t="shared" si="6"/>
        <v>11982</v>
      </c>
      <c r="Q7" s="87">
        <f t="shared" si="7"/>
        <v>19.7</v>
      </c>
      <c r="R7" s="87">
        <f t="shared" si="7"/>
        <v>15.3</v>
      </c>
      <c r="S7" s="87">
        <f t="shared" si="7"/>
        <v>17.100000000000001</v>
      </c>
      <c r="T7" s="87">
        <f t="shared" si="7"/>
        <v>16.100000000000001</v>
      </c>
      <c r="U7" s="87">
        <f t="shared" si="7"/>
        <v>14</v>
      </c>
      <c r="V7" s="87">
        <f t="shared" si="7"/>
        <v>82.1</v>
      </c>
      <c r="W7" s="66">
        <f t="shared" si="8"/>
        <v>50873</v>
      </c>
    </row>
    <row r="8" spans="1:23" x14ac:dyDescent="0.2">
      <c r="A8" s="42"/>
      <c r="B8" s="99" t="s">
        <v>3</v>
      </c>
      <c r="C8" s="87">
        <f t="shared" si="3"/>
        <v>18.5</v>
      </c>
      <c r="D8" s="87">
        <f t="shared" si="3"/>
        <v>17.399999999999999</v>
      </c>
      <c r="E8" s="87">
        <f t="shared" si="3"/>
        <v>19.600000000000001</v>
      </c>
      <c r="F8" s="87">
        <f t="shared" si="3"/>
        <v>16.600000000000001</v>
      </c>
      <c r="G8" s="87">
        <f t="shared" si="3"/>
        <v>13.5</v>
      </c>
      <c r="H8" s="87">
        <f t="shared" si="3"/>
        <v>85.7</v>
      </c>
      <c r="I8" s="66">
        <f t="shared" si="4"/>
        <v>3898</v>
      </c>
      <c r="J8" s="87">
        <f t="shared" si="5"/>
        <v>17.5</v>
      </c>
      <c r="K8" s="87">
        <f t="shared" si="5"/>
        <v>18.5</v>
      </c>
      <c r="L8" s="87">
        <f t="shared" si="5"/>
        <v>19.399999999999999</v>
      </c>
      <c r="M8" s="87">
        <f t="shared" si="5"/>
        <v>17.5</v>
      </c>
      <c r="N8" s="87">
        <f t="shared" si="5"/>
        <v>13.2</v>
      </c>
      <c r="O8" s="87">
        <f t="shared" si="5"/>
        <v>86.2</v>
      </c>
      <c r="P8" s="66">
        <f t="shared" si="6"/>
        <v>1882</v>
      </c>
      <c r="Q8" s="87">
        <f t="shared" si="7"/>
        <v>18.2</v>
      </c>
      <c r="R8" s="87">
        <f t="shared" si="7"/>
        <v>17.8</v>
      </c>
      <c r="S8" s="87">
        <f t="shared" si="7"/>
        <v>19.600000000000001</v>
      </c>
      <c r="T8" s="87">
        <f t="shared" si="7"/>
        <v>16.899999999999999</v>
      </c>
      <c r="U8" s="87">
        <f t="shared" si="7"/>
        <v>13.4</v>
      </c>
      <c r="V8" s="87">
        <f t="shared" si="7"/>
        <v>85.9</v>
      </c>
      <c r="W8" s="66">
        <f t="shared" si="8"/>
        <v>5780</v>
      </c>
    </row>
    <row r="9" spans="1:23" x14ac:dyDescent="0.2">
      <c r="A9" s="42"/>
      <c r="B9" s="99" t="s">
        <v>4</v>
      </c>
      <c r="C9" s="87">
        <f t="shared" si="3"/>
        <v>25.4</v>
      </c>
      <c r="D9" s="87">
        <f t="shared" si="3"/>
        <v>15.1</v>
      </c>
      <c r="E9" s="87">
        <f t="shared" si="3"/>
        <v>15</v>
      </c>
      <c r="F9" s="87">
        <f t="shared" si="3"/>
        <v>13.6</v>
      </c>
      <c r="G9" s="87">
        <f t="shared" si="3"/>
        <v>11.4</v>
      </c>
      <c r="H9" s="87">
        <f t="shared" si="3"/>
        <v>80.5</v>
      </c>
      <c r="I9" s="66">
        <f t="shared" si="4"/>
        <v>66415</v>
      </c>
      <c r="J9" s="87">
        <f t="shared" si="5"/>
        <v>25.1</v>
      </c>
      <c r="K9" s="87">
        <f t="shared" si="5"/>
        <v>17.399999999999999</v>
      </c>
      <c r="L9" s="87">
        <f t="shared" si="5"/>
        <v>16.3</v>
      </c>
      <c r="M9" s="87">
        <f t="shared" si="5"/>
        <v>14.2</v>
      </c>
      <c r="N9" s="87">
        <f t="shared" si="5"/>
        <v>11</v>
      </c>
      <c r="O9" s="87">
        <f t="shared" si="5"/>
        <v>83.9</v>
      </c>
      <c r="P9" s="66">
        <f t="shared" si="6"/>
        <v>44624</v>
      </c>
      <c r="Q9" s="87">
        <f t="shared" si="7"/>
        <v>25.3</v>
      </c>
      <c r="R9" s="87">
        <f t="shared" si="7"/>
        <v>16</v>
      </c>
      <c r="S9" s="87">
        <f t="shared" si="7"/>
        <v>15.5</v>
      </c>
      <c r="T9" s="87">
        <f t="shared" si="7"/>
        <v>13.8</v>
      </c>
      <c r="U9" s="87">
        <f t="shared" si="7"/>
        <v>11.2</v>
      </c>
      <c r="V9" s="87">
        <f t="shared" si="7"/>
        <v>81.900000000000006</v>
      </c>
      <c r="W9" s="66">
        <f t="shared" si="8"/>
        <v>111039</v>
      </c>
    </row>
    <row r="10" spans="1:23" x14ac:dyDescent="0.2">
      <c r="A10" s="42"/>
      <c r="B10" s="99" t="s">
        <v>5</v>
      </c>
      <c r="C10" s="87">
        <f t="shared" si="3"/>
        <v>39.4</v>
      </c>
      <c r="D10" s="87">
        <f t="shared" si="3"/>
        <v>17.5</v>
      </c>
      <c r="E10" s="87">
        <f t="shared" si="3"/>
        <v>14.2</v>
      </c>
      <c r="F10" s="87">
        <f t="shared" si="3"/>
        <v>11</v>
      </c>
      <c r="G10" s="87">
        <f t="shared" si="3"/>
        <v>8.1</v>
      </c>
      <c r="H10" s="87">
        <f t="shared" si="3"/>
        <v>90.2</v>
      </c>
      <c r="I10" s="66">
        <f t="shared" si="4"/>
        <v>11594</v>
      </c>
      <c r="J10" s="87">
        <f t="shared" si="5"/>
        <v>42.7</v>
      </c>
      <c r="K10" s="87">
        <f t="shared" si="5"/>
        <v>18</v>
      </c>
      <c r="L10" s="87">
        <f t="shared" si="5"/>
        <v>12.8</v>
      </c>
      <c r="M10" s="87">
        <f t="shared" si="5"/>
        <v>10.6</v>
      </c>
      <c r="N10" s="87">
        <f t="shared" si="5"/>
        <v>7.3</v>
      </c>
      <c r="O10" s="87">
        <f t="shared" si="5"/>
        <v>91.4</v>
      </c>
      <c r="P10" s="66">
        <f t="shared" si="6"/>
        <v>5176</v>
      </c>
      <c r="Q10" s="87">
        <f t="shared" si="7"/>
        <v>40.4</v>
      </c>
      <c r="R10" s="87">
        <f t="shared" si="7"/>
        <v>17.600000000000001</v>
      </c>
      <c r="S10" s="87">
        <f t="shared" si="7"/>
        <v>13.8</v>
      </c>
      <c r="T10" s="87">
        <f t="shared" si="7"/>
        <v>10.9</v>
      </c>
      <c r="U10" s="87">
        <f t="shared" si="7"/>
        <v>7.9</v>
      </c>
      <c r="V10" s="87">
        <f t="shared" si="7"/>
        <v>90.6</v>
      </c>
      <c r="W10" s="66">
        <f t="shared" si="8"/>
        <v>16770</v>
      </c>
    </row>
    <row r="11" spans="1:23" x14ac:dyDescent="0.2">
      <c r="A11" s="42"/>
      <c r="B11" s="99" t="s">
        <v>6</v>
      </c>
      <c r="C11" s="87">
        <f t="shared" si="3"/>
        <v>8.3000000000000007</v>
      </c>
      <c r="D11" s="87">
        <f t="shared" si="3"/>
        <v>13.6</v>
      </c>
      <c r="E11" s="87">
        <f t="shared" si="3"/>
        <v>20.6</v>
      </c>
      <c r="F11" s="87">
        <f t="shared" si="3"/>
        <v>22.8</v>
      </c>
      <c r="G11" s="87">
        <f t="shared" si="3"/>
        <v>20</v>
      </c>
      <c r="H11" s="87">
        <f t="shared" si="3"/>
        <v>85.2</v>
      </c>
      <c r="I11" s="66">
        <f t="shared" si="4"/>
        <v>10343</v>
      </c>
      <c r="J11" s="87">
        <f t="shared" si="5"/>
        <v>14.2</v>
      </c>
      <c r="K11" s="87">
        <f t="shared" si="5"/>
        <v>17.8</v>
      </c>
      <c r="L11" s="87">
        <f t="shared" si="5"/>
        <v>22.4</v>
      </c>
      <c r="M11" s="87">
        <f t="shared" si="5"/>
        <v>20.7</v>
      </c>
      <c r="N11" s="87">
        <f t="shared" si="5"/>
        <v>16.100000000000001</v>
      </c>
      <c r="O11" s="87">
        <f t="shared" si="5"/>
        <v>91.2</v>
      </c>
      <c r="P11" s="66">
        <f t="shared" si="6"/>
        <v>6204</v>
      </c>
      <c r="Q11" s="87">
        <f t="shared" si="7"/>
        <v>10.5</v>
      </c>
      <c r="R11" s="87">
        <f t="shared" si="7"/>
        <v>15.1</v>
      </c>
      <c r="S11" s="87">
        <f t="shared" si="7"/>
        <v>21.3</v>
      </c>
      <c r="T11" s="87">
        <f t="shared" si="7"/>
        <v>22</v>
      </c>
      <c r="U11" s="87">
        <f t="shared" si="7"/>
        <v>18.5</v>
      </c>
      <c r="V11" s="87">
        <f t="shared" si="7"/>
        <v>87.5</v>
      </c>
      <c r="W11" s="66">
        <f t="shared" si="8"/>
        <v>16547</v>
      </c>
    </row>
    <row r="12" spans="1:23" x14ac:dyDescent="0.2">
      <c r="A12" s="42"/>
      <c r="B12" s="2" t="s">
        <v>168</v>
      </c>
      <c r="C12" s="87">
        <f t="shared" si="3"/>
        <v>9.6</v>
      </c>
      <c r="D12" s="87">
        <f t="shared" si="3"/>
        <v>13.1</v>
      </c>
      <c r="E12" s="87">
        <f t="shared" si="3"/>
        <v>17.100000000000001</v>
      </c>
      <c r="F12" s="87">
        <f t="shared" si="3"/>
        <v>20.399999999999999</v>
      </c>
      <c r="G12" s="87">
        <f t="shared" si="3"/>
        <v>18.2</v>
      </c>
      <c r="H12" s="87">
        <f t="shared" si="3"/>
        <v>78.400000000000006</v>
      </c>
      <c r="I12" s="66">
        <f t="shared" si="4"/>
        <v>10353</v>
      </c>
      <c r="J12" s="87">
        <f t="shared" si="5"/>
        <v>11.5</v>
      </c>
      <c r="K12" s="87">
        <f t="shared" si="5"/>
        <v>14.8</v>
      </c>
      <c r="L12" s="87">
        <f t="shared" si="5"/>
        <v>17.8</v>
      </c>
      <c r="M12" s="87">
        <f t="shared" si="5"/>
        <v>20.7</v>
      </c>
      <c r="N12" s="87">
        <f t="shared" si="5"/>
        <v>16.100000000000001</v>
      </c>
      <c r="O12" s="87">
        <f t="shared" si="5"/>
        <v>80.900000000000006</v>
      </c>
      <c r="P12" s="66">
        <f t="shared" si="6"/>
        <v>1091</v>
      </c>
      <c r="Q12" s="87">
        <f t="shared" si="7"/>
        <v>9.8000000000000007</v>
      </c>
      <c r="R12" s="87">
        <f t="shared" si="7"/>
        <v>13.2</v>
      </c>
      <c r="S12" s="87">
        <f t="shared" si="7"/>
        <v>17.2</v>
      </c>
      <c r="T12" s="87">
        <f t="shared" si="7"/>
        <v>20.399999999999999</v>
      </c>
      <c r="U12" s="87">
        <f t="shared" si="7"/>
        <v>18</v>
      </c>
      <c r="V12" s="87">
        <f t="shared" si="7"/>
        <v>78.599999999999994</v>
      </c>
      <c r="W12" s="66">
        <f t="shared" si="8"/>
        <v>11444</v>
      </c>
    </row>
    <row r="13" spans="1:23" x14ac:dyDescent="0.2">
      <c r="A13" s="42"/>
      <c r="B13" s="99" t="s">
        <v>8</v>
      </c>
      <c r="C13" s="87">
        <f t="shared" si="3"/>
        <v>5.2</v>
      </c>
      <c r="D13" s="87">
        <f t="shared" si="3"/>
        <v>11.6</v>
      </c>
      <c r="E13" s="87">
        <f t="shared" si="3"/>
        <v>19.100000000000001</v>
      </c>
      <c r="F13" s="87">
        <f t="shared" si="3"/>
        <v>21.9</v>
      </c>
      <c r="G13" s="87">
        <f t="shared" si="3"/>
        <v>21.1</v>
      </c>
      <c r="H13" s="87">
        <f t="shared" si="3"/>
        <v>78.900000000000006</v>
      </c>
      <c r="I13" s="66">
        <f t="shared" si="4"/>
        <v>7508</v>
      </c>
      <c r="J13" s="87">
        <f t="shared" si="5"/>
        <v>11.2</v>
      </c>
      <c r="K13" s="87">
        <f t="shared" si="5"/>
        <v>17.8</v>
      </c>
      <c r="L13" s="87">
        <f t="shared" si="5"/>
        <v>23.3</v>
      </c>
      <c r="M13" s="87">
        <f t="shared" si="5"/>
        <v>20.2</v>
      </c>
      <c r="N13" s="87">
        <f t="shared" si="5"/>
        <v>16.399999999999999</v>
      </c>
      <c r="O13" s="87">
        <f t="shared" si="5"/>
        <v>88.8</v>
      </c>
      <c r="P13" s="66">
        <f t="shared" si="6"/>
        <v>3240</v>
      </c>
      <c r="Q13" s="87">
        <f t="shared" si="7"/>
        <v>7</v>
      </c>
      <c r="R13" s="87">
        <f t="shared" si="7"/>
        <v>13.4</v>
      </c>
      <c r="S13" s="87">
        <f t="shared" si="7"/>
        <v>20.3</v>
      </c>
      <c r="T13" s="87">
        <f t="shared" si="7"/>
        <v>21.4</v>
      </c>
      <c r="U13" s="87">
        <f t="shared" si="7"/>
        <v>19.7</v>
      </c>
      <c r="V13" s="87">
        <f t="shared" si="7"/>
        <v>81.900000000000006</v>
      </c>
      <c r="W13" s="66">
        <f t="shared" si="8"/>
        <v>10748</v>
      </c>
    </row>
    <row r="14" spans="1:23" x14ac:dyDescent="0.2">
      <c r="A14" s="42"/>
      <c r="B14" s="99" t="s">
        <v>9</v>
      </c>
      <c r="C14" s="87">
        <f t="shared" si="3"/>
        <v>0</v>
      </c>
      <c r="D14" s="87">
        <f t="shared" si="3"/>
        <v>5.8</v>
      </c>
      <c r="E14" s="87">
        <f t="shared" si="3"/>
        <v>26.9</v>
      </c>
      <c r="F14" s="87">
        <f t="shared" si="3"/>
        <v>17.3</v>
      </c>
      <c r="G14" s="87">
        <f t="shared" si="3"/>
        <v>17.3</v>
      </c>
      <c r="H14" s="87">
        <f t="shared" si="3"/>
        <v>67.3</v>
      </c>
      <c r="I14" s="66">
        <f t="shared" si="4"/>
        <v>52</v>
      </c>
      <c r="J14" s="87">
        <f t="shared" si="5"/>
        <v>15.4</v>
      </c>
      <c r="K14" s="87">
        <f t="shared" si="5"/>
        <v>22.1</v>
      </c>
      <c r="L14" s="87">
        <f t="shared" si="5"/>
        <v>20.2</v>
      </c>
      <c r="M14" s="87">
        <f t="shared" si="5"/>
        <v>18</v>
      </c>
      <c r="N14" s="87">
        <f t="shared" si="5"/>
        <v>12.9</v>
      </c>
      <c r="O14" s="87">
        <f t="shared" si="5"/>
        <v>88.6</v>
      </c>
      <c r="P14" s="66">
        <f t="shared" si="6"/>
        <v>272</v>
      </c>
      <c r="Q14" s="87">
        <f t="shared" si="7"/>
        <v>13</v>
      </c>
      <c r="R14" s="87">
        <f t="shared" si="7"/>
        <v>19.399999999999999</v>
      </c>
      <c r="S14" s="87">
        <f t="shared" si="7"/>
        <v>21.3</v>
      </c>
      <c r="T14" s="87">
        <f t="shared" si="7"/>
        <v>17.899999999999999</v>
      </c>
      <c r="U14" s="87">
        <f t="shared" si="7"/>
        <v>13.6</v>
      </c>
      <c r="V14" s="87">
        <f t="shared" si="7"/>
        <v>85.2</v>
      </c>
      <c r="W14" s="66">
        <f t="shared" si="8"/>
        <v>324</v>
      </c>
    </row>
    <row r="15" spans="1:23" x14ac:dyDescent="0.2">
      <c r="A15" s="42"/>
      <c r="B15" s="99" t="s">
        <v>10</v>
      </c>
      <c r="C15" s="87">
        <f t="shared" si="3"/>
        <v>5.7</v>
      </c>
      <c r="D15" s="87">
        <f t="shared" si="3"/>
        <v>14.2</v>
      </c>
      <c r="E15" s="87">
        <f t="shared" si="3"/>
        <v>18.5</v>
      </c>
      <c r="F15" s="87">
        <f t="shared" si="3"/>
        <v>16.5</v>
      </c>
      <c r="G15" s="87">
        <f t="shared" si="3"/>
        <v>16.5</v>
      </c>
      <c r="H15" s="87">
        <f t="shared" si="3"/>
        <v>71.400000000000006</v>
      </c>
      <c r="I15" s="66">
        <f t="shared" si="4"/>
        <v>3367</v>
      </c>
      <c r="J15" s="87">
        <f t="shared" si="5"/>
        <v>8.4</v>
      </c>
      <c r="K15" s="87">
        <f t="shared" si="5"/>
        <v>13.4</v>
      </c>
      <c r="L15" s="87">
        <f t="shared" si="5"/>
        <v>15.6</v>
      </c>
      <c r="M15" s="87">
        <f t="shared" si="5"/>
        <v>16.8</v>
      </c>
      <c r="N15" s="87">
        <f t="shared" si="5"/>
        <v>15.6</v>
      </c>
      <c r="O15" s="87">
        <f t="shared" si="5"/>
        <v>69.8</v>
      </c>
      <c r="P15" s="66">
        <f t="shared" si="6"/>
        <v>1686</v>
      </c>
      <c r="Q15" s="87">
        <f t="shared" si="7"/>
        <v>6.6</v>
      </c>
      <c r="R15" s="87">
        <f t="shared" si="7"/>
        <v>13.9</v>
      </c>
      <c r="S15" s="87">
        <f t="shared" si="7"/>
        <v>17.5</v>
      </c>
      <c r="T15" s="87">
        <f t="shared" si="7"/>
        <v>16.600000000000001</v>
      </c>
      <c r="U15" s="87">
        <f t="shared" si="7"/>
        <v>16.2</v>
      </c>
      <c r="V15" s="87">
        <f t="shared" si="7"/>
        <v>70.8</v>
      </c>
      <c r="W15" s="66">
        <f t="shared" si="8"/>
        <v>5053</v>
      </c>
    </row>
    <row r="16" spans="1:23" x14ac:dyDescent="0.2">
      <c r="A16" s="42"/>
      <c r="B16" s="99" t="s">
        <v>11</v>
      </c>
      <c r="C16" s="87">
        <f t="shared" si="3"/>
        <v>8.6</v>
      </c>
      <c r="D16" s="87">
        <f t="shared" si="3"/>
        <v>16.5</v>
      </c>
      <c r="E16" s="87">
        <f t="shared" si="3"/>
        <v>23.7</v>
      </c>
      <c r="F16" s="87">
        <f t="shared" si="3"/>
        <v>22.5</v>
      </c>
      <c r="G16" s="87">
        <f t="shared" si="3"/>
        <v>16</v>
      </c>
      <c r="H16" s="87">
        <f t="shared" si="3"/>
        <v>87.2</v>
      </c>
      <c r="I16" s="66">
        <f t="shared" si="4"/>
        <v>22120</v>
      </c>
      <c r="J16" s="87">
        <f t="shared" si="5"/>
        <v>9.6999999999999993</v>
      </c>
      <c r="K16" s="87">
        <f t="shared" si="5"/>
        <v>16.600000000000001</v>
      </c>
      <c r="L16" s="87">
        <f t="shared" si="5"/>
        <v>22.8</v>
      </c>
      <c r="M16" s="87">
        <f t="shared" si="5"/>
        <v>21.4</v>
      </c>
      <c r="N16" s="87">
        <f t="shared" si="5"/>
        <v>15.5</v>
      </c>
      <c r="O16" s="87">
        <f t="shared" si="5"/>
        <v>85.9</v>
      </c>
      <c r="P16" s="66">
        <f t="shared" si="6"/>
        <v>15965</v>
      </c>
      <c r="Q16" s="87">
        <f t="shared" si="7"/>
        <v>9</v>
      </c>
      <c r="R16" s="87">
        <f t="shared" si="7"/>
        <v>16.600000000000001</v>
      </c>
      <c r="S16" s="87">
        <f t="shared" si="7"/>
        <v>23.3</v>
      </c>
      <c r="T16" s="87">
        <f t="shared" si="7"/>
        <v>22</v>
      </c>
      <c r="U16" s="87">
        <f t="shared" si="7"/>
        <v>15.8</v>
      </c>
      <c r="V16" s="87">
        <f t="shared" si="7"/>
        <v>86.7</v>
      </c>
      <c r="W16" s="66">
        <f t="shared" si="8"/>
        <v>38085</v>
      </c>
    </row>
    <row r="17" spans="1:23" x14ac:dyDescent="0.2">
      <c r="A17" s="42"/>
      <c r="B17" s="99" t="s">
        <v>12</v>
      </c>
      <c r="C17" s="87">
        <f t="shared" si="3"/>
        <v>17.8</v>
      </c>
      <c r="D17" s="87">
        <f t="shared" si="3"/>
        <v>18.8</v>
      </c>
      <c r="E17" s="87">
        <f t="shared" si="3"/>
        <v>19.5</v>
      </c>
      <c r="F17" s="87">
        <f t="shared" si="3"/>
        <v>17.100000000000001</v>
      </c>
      <c r="G17" s="87">
        <f t="shared" si="3"/>
        <v>12.7</v>
      </c>
      <c r="H17" s="87">
        <f t="shared" si="3"/>
        <v>85.9</v>
      </c>
      <c r="I17" s="66">
        <f t="shared" si="4"/>
        <v>25432</v>
      </c>
      <c r="J17" s="87">
        <f t="shared" si="5"/>
        <v>20.8</v>
      </c>
      <c r="K17" s="87">
        <f t="shared" si="5"/>
        <v>19.7</v>
      </c>
      <c r="L17" s="87">
        <f t="shared" si="5"/>
        <v>19.600000000000001</v>
      </c>
      <c r="M17" s="87">
        <f t="shared" si="5"/>
        <v>16.3</v>
      </c>
      <c r="N17" s="87">
        <f t="shared" si="5"/>
        <v>11.3</v>
      </c>
      <c r="O17" s="87">
        <f t="shared" si="5"/>
        <v>87.6</v>
      </c>
      <c r="P17" s="66">
        <f t="shared" si="6"/>
        <v>12203</v>
      </c>
      <c r="Q17" s="87">
        <f t="shared" si="7"/>
        <v>18.7</v>
      </c>
      <c r="R17" s="87">
        <f t="shared" si="7"/>
        <v>19.100000000000001</v>
      </c>
      <c r="S17" s="87">
        <f t="shared" si="7"/>
        <v>19.600000000000001</v>
      </c>
      <c r="T17" s="87">
        <f t="shared" si="7"/>
        <v>16.899999999999999</v>
      </c>
      <c r="U17" s="87">
        <f t="shared" si="7"/>
        <v>12.2</v>
      </c>
      <c r="V17" s="87">
        <f t="shared" si="7"/>
        <v>86.5</v>
      </c>
      <c r="W17" s="66">
        <f t="shared" si="8"/>
        <v>37635</v>
      </c>
    </row>
    <row r="18" spans="1:23" x14ac:dyDescent="0.2">
      <c r="A18" s="42"/>
      <c r="B18" s="99" t="s">
        <v>13</v>
      </c>
      <c r="C18" s="87">
        <f t="shared" si="3"/>
        <v>18.100000000000001</v>
      </c>
      <c r="D18" s="87">
        <f t="shared" si="3"/>
        <v>17.899999999999999</v>
      </c>
      <c r="E18" s="87">
        <f t="shared" si="3"/>
        <v>20.9</v>
      </c>
      <c r="F18" s="87">
        <f t="shared" si="3"/>
        <v>18.2</v>
      </c>
      <c r="G18" s="87">
        <f t="shared" si="3"/>
        <v>12.7</v>
      </c>
      <c r="H18" s="87">
        <f t="shared" si="3"/>
        <v>87.9</v>
      </c>
      <c r="I18" s="66">
        <f t="shared" si="4"/>
        <v>22561</v>
      </c>
      <c r="J18" s="87">
        <f t="shared" si="5"/>
        <v>24.2</v>
      </c>
      <c r="K18" s="87">
        <f t="shared" si="5"/>
        <v>19.100000000000001</v>
      </c>
      <c r="L18" s="87">
        <f t="shared" si="5"/>
        <v>20.3</v>
      </c>
      <c r="M18" s="87">
        <f t="shared" si="5"/>
        <v>16.100000000000001</v>
      </c>
      <c r="N18" s="87">
        <f t="shared" si="5"/>
        <v>10.6</v>
      </c>
      <c r="O18" s="87">
        <f t="shared" si="5"/>
        <v>90.3</v>
      </c>
      <c r="P18" s="66">
        <f t="shared" si="6"/>
        <v>22275</v>
      </c>
      <c r="Q18" s="87">
        <f t="shared" si="7"/>
        <v>21.1</v>
      </c>
      <c r="R18" s="87">
        <f t="shared" si="7"/>
        <v>18.5</v>
      </c>
      <c r="S18" s="87">
        <f t="shared" si="7"/>
        <v>20.6</v>
      </c>
      <c r="T18" s="87">
        <f t="shared" si="7"/>
        <v>17.2</v>
      </c>
      <c r="U18" s="87">
        <f t="shared" si="7"/>
        <v>11.7</v>
      </c>
      <c r="V18" s="87">
        <f t="shared" si="7"/>
        <v>89.1</v>
      </c>
      <c r="W18" s="66">
        <f t="shared" si="8"/>
        <v>44836</v>
      </c>
    </row>
    <row r="19" spans="1:23" x14ac:dyDescent="0.2">
      <c r="A19" s="42"/>
      <c r="B19" s="99" t="s">
        <v>14</v>
      </c>
      <c r="C19" s="87">
        <f t="shared" si="3"/>
        <v>17.100000000000001</v>
      </c>
      <c r="D19" s="87">
        <f t="shared" si="3"/>
        <v>19.399999999999999</v>
      </c>
      <c r="E19" s="87">
        <f t="shared" si="3"/>
        <v>21.3</v>
      </c>
      <c r="F19" s="87">
        <f t="shared" si="3"/>
        <v>17.600000000000001</v>
      </c>
      <c r="G19" s="87">
        <f t="shared" si="3"/>
        <v>12.1</v>
      </c>
      <c r="H19" s="87">
        <f t="shared" si="3"/>
        <v>87.5</v>
      </c>
      <c r="I19" s="66">
        <f t="shared" si="4"/>
        <v>9739</v>
      </c>
      <c r="J19" s="87">
        <f t="shared" si="5"/>
        <v>21.7</v>
      </c>
      <c r="K19" s="87">
        <f t="shared" si="5"/>
        <v>19.7</v>
      </c>
      <c r="L19" s="87">
        <f t="shared" si="5"/>
        <v>19</v>
      </c>
      <c r="M19" s="87">
        <f t="shared" si="5"/>
        <v>15.8</v>
      </c>
      <c r="N19" s="87">
        <f t="shared" si="5"/>
        <v>11.3</v>
      </c>
      <c r="O19" s="87">
        <f t="shared" si="5"/>
        <v>87.4</v>
      </c>
      <c r="P19" s="66">
        <f t="shared" si="6"/>
        <v>8330</v>
      </c>
      <c r="Q19" s="87">
        <f t="shared" si="7"/>
        <v>19.2</v>
      </c>
      <c r="R19" s="87">
        <f t="shared" si="7"/>
        <v>19.5</v>
      </c>
      <c r="S19" s="87">
        <f t="shared" si="7"/>
        <v>20.2</v>
      </c>
      <c r="T19" s="87">
        <f t="shared" si="7"/>
        <v>16.8</v>
      </c>
      <c r="U19" s="87">
        <f t="shared" si="7"/>
        <v>11.7</v>
      </c>
      <c r="V19" s="87">
        <f t="shared" si="7"/>
        <v>87.5</v>
      </c>
      <c r="W19" s="66">
        <f t="shared" si="8"/>
        <v>18069</v>
      </c>
    </row>
    <row r="20" spans="1:23" x14ac:dyDescent="0.2">
      <c r="A20" s="42"/>
      <c r="B20" s="99" t="s">
        <v>15</v>
      </c>
      <c r="C20" s="87">
        <f t="shared" si="3"/>
        <v>16.2</v>
      </c>
      <c r="D20" s="87">
        <f t="shared" si="3"/>
        <v>23.1</v>
      </c>
      <c r="E20" s="87">
        <f t="shared" si="3"/>
        <v>26.4</v>
      </c>
      <c r="F20" s="87">
        <f t="shared" si="3"/>
        <v>19</v>
      </c>
      <c r="G20" s="87">
        <f t="shared" si="3"/>
        <v>9.8000000000000007</v>
      </c>
      <c r="H20" s="87">
        <f t="shared" si="3"/>
        <v>94.4</v>
      </c>
      <c r="I20" s="66">
        <f t="shared" si="4"/>
        <v>28711</v>
      </c>
      <c r="J20" s="87">
        <f t="shared" si="5"/>
        <v>18.5</v>
      </c>
      <c r="K20" s="87">
        <f t="shared" si="5"/>
        <v>24.4</v>
      </c>
      <c r="L20" s="87">
        <f t="shared" si="5"/>
        <v>24.9</v>
      </c>
      <c r="M20" s="87">
        <f t="shared" si="5"/>
        <v>17.2</v>
      </c>
      <c r="N20" s="87">
        <f t="shared" si="5"/>
        <v>9.1999999999999993</v>
      </c>
      <c r="O20" s="87">
        <f t="shared" si="5"/>
        <v>94.2</v>
      </c>
      <c r="P20" s="66">
        <f t="shared" si="6"/>
        <v>35167</v>
      </c>
      <c r="Q20" s="87">
        <f t="shared" si="7"/>
        <v>17.399999999999999</v>
      </c>
      <c r="R20" s="87">
        <f t="shared" si="7"/>
        <v>23.8</v>
      </c>
      <c r="S20" s="87">
        <f t="shared" si="7"/>
        <v>25.6</v>
      </c>
      <c r="T20" s="87">
        <f t="shared" si="7"/>
        <v>18</v>
      </c>
      <c r="U20" s="87">
        <f t="shared" si="7"/>
        <v>9.5</v>
      </c>
      <c r="V20" s="87">
        <f t="shared" si="7"/>
        <v>94.3</v>
      </c>
      <c r="W20" s="66">
        <f t="shared" si="8"/>
        <v>63878</v>
      </c>
    </row>
    <row r="21" spans="1:23" x14ac:dyDescent="0.2">
      <c r="A21" s="42"/>
      <c r="B21" s="99" t="s">
        <v>16</v>
      </c>
      <c r="C21" s="87">
        <f t="shared" si="3"/>
        <v>7.8</v>
      </c>
      <c r="D21" s="87">
        <f t="shared" si="3"/>
        <v>13.9</v>
      </c>
      <c r="E21" s="87">
        <f t="shared" si="3"/>
        <v>19.7</v>
      </c>
      <c r="F21" s="87">
        <f t="shared" si="3"/>
        <v>18.100000000000001</v>
      </c>
      <c r="G21" s="87">
        <f t="shared" si="3"/>
        <v>15.6</v>
      </c>
      <c r="H21" s="87">
        <f t="shared" si="3"/>
        <v>75.099999999999994</v>
      </c>
      <c r="I21" s="66">
        <f t="shared" si="4"/>
        <v>6973</v>
      </c>
      <c r="J21" s="87">
        <f t="shared" si="5"/>
        <v>12.3</v>
      </c>
      <c r="K21" s="87">
        <f t="shared" si="5"/>
        <v>16.7</v>
      </c>
      <c r="L21" s="87">
        <f t="shared" si="5"/>
        <v>18.7</v>
      </c>
      <c r="M21" s="87">
        <f t="shared" si="5"/>
        <v>17.600000000000001</v>
      </c>
      <c r="N21" s="87">
        <f t="shared" si="5"/>
        <v>14.2</v>
      </c>
      <c r="O21" s="87">
        <f t="shared" si="5"/>
        <v>79.5</v>
      </c>
      <c r="P21" s="66">
        <f t="shared" si="6"/>
        <v>10990</v>
      </c>
      <c r="Q21" s="87">
        <f t="shared" si="7"/>
        <v>10.5</v>
      </c>
      <c r="R21" s="87">
        <f t="shared" si="7"/>
        <v>15.6</v>
      </c>
      <c r="S21" s="87">
        <f t="shared" si="7"/>
        <v>19.100000000000001</v>
      </c>
      <c r="T21" s="87">
        <f t="shared" si="7"/>
        <v>17.8</v>
      </c>
      <c r="U21" s="87">
        <f t="shared" si="7"/>
        <v>14.8</v>
      </c>
      <c r="V21" s="87">
        <f t="shared" si="7"/>
        <v>77.8</v>
      </c>
      <c r="W21" s="66">
        <f t="shared" si="8"/>
        <v>17963</v>
      </c>
    </row>
    <row r="22" spans="1:23" x14ac:dyDescent="0.2">
      <c r="A22" s="42"/>
      <c r="B22" s="99" t="s">
        <v>17</v>
      </c>
      <c r="C22" s="87">
        <f t="shared" ref="C22:H37" si="9">IF(OR(C64=1,C64=2),"x",ROUND(C64/$I64*100,1))</f>
        <v>6.8</v>
      </c>
      <c r="D22" s="87">
        <f t="shared" si="9"/>
        <v>13.3</v>
      </c>
      <c r="E22" s="87">
        <f t="shared" si="9"/>
        <v>19.2</v>
      </c>
      <c r="F22" s="87">
        <f t="shared" si="9"/>
        <v>18.2</v>
      </c>
      <c r="G22" s="87">
        <f t="shared" si="9"/>
        <v>16.2</v>
      </c>
      <c r="H22" s="87">
        <f t="shared" si="9"/>
        <v>73.599999999999994</v>
      </c>
      <c r="I22" s="66">
        <f t="shared" si="4"/>
        <v>25282</v>
      </c>
      <c r="J22" s="87">
        <f t="shared" ref="J22:O37" si="10">IF(OR(J64=1,J64=2),"x",ROUND(J64/$P64*100,1))</f>
        <v>14.7</v>
      </c>
      <c r="K22" s="87">
        <f t="shared" si="10"/>
        <v>20.2</v>
      </c>
      <c r="L22" s="87">
        <f t="shared" si="10"/>
        <v>21</v>
      </c>
      <c r="M22" s="87">
        <f t="shared" si="10"/>
        <v>16.399999999999999</v>
      </c>
      <c r="N22" s="87">
        <f t="shared" si="10"/>
        <v>12</v>
      </c>
      <c r="O22" s="87">
        <f t="shared" si="10"/>
        <v>84.2</v>
      </c>
      <c r="P22" s="66">
        <f t="shared" si="6"/>
        <v>62965</v>
      </c>
      <c r="Q22" s="87">
        <f t="shared" ref="Q22:V37" si="11">IF(OR(Q64=1,Q64=2),"x",ROUND(Q64/$W64*100,1))</f>
        <v>12.5</v>
      </c>
      <c r="R22" s="87">
        <f t="shared" si="11"/>
        <v>18.2</v>
      </c>
      <c r="S22" s="87">
        <f t="shared" si="11"/>
        <v>20.399999999999999</v>
      </c>
      <c r="T22" s="87">
        <f t="shared" si="11"/>
        <v>16.899999999999999</v>
      </c>
      <c r="U22" s="87">
        <f t="shared" si="11"/>
        <v>13.2</v>
      </c>
      <c r="V22" s="87">
        <f t="shared" si="11"/>
        <v>81.2</v>
      </c>
      <c r="W22" s="66">
        <f t="shared" si="8"/>
        <v>88247</v>
      </c>
    </row>
    <row r="23" spans="1:23" x14ac:dyDescent="0.2">
      <c r="A23" s="42"/>
      <c r="B23" s="99" t="s">
        <v>18</v>
      </c>
      <c r="C23" s="87">
        <f t="shared" si="9"/>
        <v>8.1</v>
      </c>
      <c r="D23" s="87">
        <f t="shared" si="9"/>
        <v>15.4</v>
      </c>
      <c r="E23" s="87">
        <f t="shared" si="9"/>
        <v>20.9</v>
      </c>
      <c r="F23" s="87">
        <f t="shared" si="9"/>
        <v>20.399999999999999</v>
      </c>
      <c r="G23" s="87">
        <f t="shared" si="9"/>
        <v>15.4</v>
      </c>
      <c r="H23" s="87">
        <f t="shared" si="9"/>
        <v>80.3</v>
      </c>
      <c r="I23" s="66">
        <f t="shared" si="4"/>
        <v>12662</v>
      </c>
      <c r="J23" s="87">
        <f t="shared" si="10"/>
        <v>15.7</v>
      </c>
      <c r="K23" s="87">
        <f t="shared" si="10"/>
        <v>20.100000000000001</v>
      </c>
      <c r="L23" s="87">
        <f t="shared" si="10"/>
        <v>21.3</v>
      </c>
      <c r="M23" s="87">
        <f t="shared" si="10"/>
        <v>17.2</v>
      </c>
      <c r="N23" s="87">
        <f t="shared" si="10"/>
        <v>12.2</v>
      </c>
      <c r="O23" s="87">
        <f t="shared" si="10"/>
        <v>86.5</v>
      </c>
      <c r="P23" s="66">
        <f t="shared" si="6"/>
        <v>36734</v>
      </c>
      <c r="Q23" s="87">
        <f t="shared" si="11"/>
        <v>13.8</v>
      </c>
      <c r="R23" s="87">
        <f t="shared" si="11"/>
        <v>18.899999999999999</v>
      </c>
      <c r="S23" s="87">
        <f t="shared" si="11"/>
        <v>21.2</v>
      </c>
      <c r="T23" s="87">
        <f t="shared" si="11"/>
        <v>18.100000000000001</v>
      </c>
      <c r="U23" s="87">
        <f t="shared" si="11"/>
        <v>13</v>
      </c>
      <c r="V23" s="87">
        <f t="shared" si="11"/>
        <v>84.9</v>
      </c>
      <c r="W23" s="66">
        <f t="shared" si="8"/>
        <v>49396</v>
      </c>
    </row>
    <row r="24" spans="1:23" x14ac:dyDescent="0.2">
      <c r="A24" s="42"/>
      <c r="B24" s="99" t="s">
        <v>19</v>
      </c>
      <c r="C24" s="87">
        <f t="shared" si="9"/>
        <v>9.6999999999999993</v>
      </c>
      <c r="D24" s="87">
        <f t="shared" si="9"/>
        <v>12.1</v>
      </c>
      <c r="E24" s="87">
        <f t="shared" si="9"/>
        <v>18.2</v>
      </c>
      <c r="F24" s="87">
        <f t="shared" si="9"/>
        <v>18.5</v>
      </c>
      <c r="G24" s="87">
        <f t="shared" si="9"/>
        <v>17.3</v>
      </c>
      <c r="H24" s="87">
        <f t="shared" si="9"/>
        <v>75.900000000000006</v>
      </c>
      <c r="I24" s="66">
        <f t="shared" si="4"/>
        <v>2940</v>
      </c>
      <c r="J24" s="87">
        <f t="shared" si="10"/>
        <v>11.3</v>
      </c>
      <c r="K24" s="87">
        <f t="shared" si="10"/>
        <v>14.1</v>
      </c>
      <c r="L24" s="87">
        <f t="shared" si="10"/>
        <v>19.600000000000001</v>
      </c>
      <c r="M24" s="87">
        <f t="shared" si="10"/>
        <v>18.8</v>
      </c>
      <c r="N24" s="87">
        <f t="shared" si="10"/>
        <v>16.600000000000001</v>
      </c>
      <c r="O24" s="87">
        <f t="shared" si="10"/>
        <v>80.400000000000006</v>
      </c>
      <c r="P24" s="66">
        <f t="shared" si="6"/>
        <v>4368</v>
      </c>
      <c r="Q24" s="87">
        <f t="shared" si="11"/>
        <v>10.7</v>
      </c>
      <c r="R24" s="87">
        <f t="shared" si="11"/>
        <v>13.3</v>
      </c>
      <c r="S24" s="87">
        <f t="shared" si="11"/>
        <v>19</v>
      </c>
      <c r="T24" s="87">
        <f t="shared" si="11"/>
        <v>18.7</v>
      </c>
      <c r="U24" s="87">
        <f t="shared" si="11"/>
        <v>16.8</v>
      </c>
      <c r="V24" s="87">
        <f t="shared" si="11"/>
        <v>78.599999999999994</v>
      </c>
      <c r="W24" s="66">
        <f t="shared" si="8"/>
        <v>7308</v>
      </c>
    </row>
    <row r="25" spans="1:23" x14ac:dyDescent="0.2">
      <c r="A25" s="42"/>
      <c r="B25" s="99" t="s">
        <v>20</v>
      </c>
      <c r="C25" s="87">
        <f>IF(OR(C67=1,C67=2),"x",ROUND(C67/$I67*100,1))</f>
        <v>15.2</v>
      </c>
      <c r="D25" s="87">
        <f t="shared" si="9"/>
        <v>20</v>
      </c>
      <c r="E25" s="87">
        <f t="shared" si="9"/>
        <v>25.4</v>
      </c>
      <c r="F25" s="87">
        <f t="shared" si="9"/>
        <v>19.3</v>
      </c>
      <c r="G25" s="87">
        <f t="shared" si="9"/>
        <v>11.2</v>
      </c>
      <c r="H25" s="87">
        <f t="shared" si="9"/>
        <v>91.1</v>
      </c>
      <c r="I25" s="66">
        <f t="shared" si="4"/>
        <v>14206</v>
      </c>
      <c r="J25" s="87">
        <f t="shared" si="10"/>
        <v>22.8</v>
      </c>
      <c r="K25" s="87">
        <f t="shared" si="10"/>
        <v>25.8</v>
      </c>
      <c r="L25" s="87">
        <f t="shared" si="10"/>
        <v>25.9</v>
      </c>
      <c r="M25" s="87">
        <f t="shared" si="10"/>
        <v>14.5</v>
      </c>
      <c r="N25" s="87">
        <f t="shared" si="10"/>
        <v>6.9</v>
      </c>
      <c r="O25" s="87">
        <f t="shared" si="10"/>
        <v>95.8</v>
      </c>
      <c r="P25" s="66">
        <f t="shared" si="6"/>
        <v>41218</v>
      </c>
      <c r="Q25" s="87">
        <f t="shared" si="11"/>
        <v>20.9</v>
      </c>
      <c r="R25" s="87">
        <f t="shared" si="11"/>
        <v>24.3</v>
      </c>
      <c r="S25" s="87">
        <f t="shared" si="11"/>
        <v>25.7</v>
      </c>
      <c r="T25" s="87">
        <f t="shared" si="11"/>
        <v>15.7</v>
      </c>
      <c r="U25" s="87">
        <f t="shared" si="11"/>
        <v>8</v>
      </c>
      <c r="V25" s="87">
        <f t="shared" si="11"/>
        <v>94.6</v>
      </c>
      <c r="W25" s="66">
        <f t="shared" si="8"/>
        <v>55424</v>
      </c>
    </row>
    <row r="26" spans="1:23" x14ac:dyDescent="0.2">
      <c r="A26" s="42"/>
      <c r="B26" s="99" t="s">
        <v>21</v>
      </c>
      <c r="C26" s="87">
        <f t="shared" si="9"/>
        <v>13.3</v>
      </c>
      <c r="D26" s="87">
        <f t="shared" si="9"/>
        <v>26.8</v>
      </c>
      <c r="E26" s="87">
        <f t="shared" si="9"/>
        <v>31.4</v>
      </c>
      <c r="F26" s="87">
        <f t="shared" si="9"/>
        <v>19.899999999999999</v>
      </c>
      <c r="G26" s="87">
        <f t="shared" si="9"/>
        <v>6.4</v>
      </c>
      <c r="H26" s="87">
        <f t="shared" si="9"/>
        <v>97.9</v>
      </c>
      <c r="I26" s="66">
        <f t="shared" si="4"/>
        <v>4537</v>
      </c>
      <c r="J26" s="87">
        <f t="shared" si="10"/>
        <v>16.7</v>
      </c>
      <c r="K26" s="87">
        <f t="shared" si="10"/>
        <v>29.9</v>
      </c>
      <c r="L26" s="87">
        <f t="shared" si="10"/>
        <v>31.5</v>
      </c>
      <c r="M26" s="87">
        <f t="shared" si="10"/>
        <v>16</v>
      </c>
      <c r="N26" s="87">
        <f t="shared" si="10"/>
        <v>4.7</v>
      </c>
      <c r="O26" s="87">
        <f t="shared" si="10"/>
        <v>98.7</v>
      </c>
      <c r="P26" s="66">
        <f t="shared" si="6"/>
        <v>9893</v>
      </c>
      <c r="Q26" s="87">
        <f t="shared" si="11"/>
        <v>15.6</v>
      </c>
      <c r="R26" s="87">
        <f t="shared" si="11"/>
        <v>28.9</v>
      </c>
      <c r="S26" s="87">
        <f t="shared" si="11"/>
        <v>31.5</v>
      </c>
      <c r="T26" s="87">
        <f t="shared" si="11"/>
        <v>17.2</v>
      </c>
      <c r="U26" s="87">
        <f t="shared" si="11"/>
        <v>5.2</v>
      </c>
      <c r="V26" s="87">
        <f t="shared" si="11"/>
        <v>98.5</v>
      </c>
      <c r="W26" s="66">
        <f t="shared" si="8"/>
        <v>14430</v>
      </c>
    </row>
    <row r="27" spans="1:23" x14ac:dyDescent="0.2">
      <c r="A27" s="42"/>
      <c r="B27" s="99" t="s">
        <v>22</v>
      </c>
      <c r="C27" s="87">
        <f t="shared" si="9"/>
        <v>12.4</v>
      </c>
      <c r="D27" s="87">
        <f t="shared" si="9"/>
        <v>20.7</v>
      </c>
      <c r="E27" s="87">
        <f t="shared" si="9"/>
        <v>29.4</v>
      </c>
      <c r="F27" s="87">
        <f t="shared" si="9"/>
        <v>23.2</v>
      </c>
      <c r="G27" s="87">
        <f t="shared" si="9"/>
        <v>10.3</v>
      </c>
      <c r="H27" s="87">
        <f t="shared" si="9"/>
        <v>96</v>
      </c>
      <c r="I27" s="66">
        <f t="shared" si="4"/>
        <v>28213</v>
      </c>
      <c r="J27" s="87">
        <f t="shared" si="10"/>
        <v>15.2</v>
      </c>
      <c r="K27" s="87">
        <f t="shared" si="10"/>
        <v>24.1</v>
      </c>
      <c r="L27" s="87">
        <f t="shared" si="10"/>
        <v>29.6</v>
      </c>
      <c r="M27" s="87">
        <f t="shared" si="10"/>
        <v>20.6</v>
      </c>
      <c r="N27" s="87">
        <f t="shared" si="10"/>
        <v>8.1</v>
      </c>
      <c r="O27" s="87">
        <f t="shared" si="10"/>
        <v>97.5</v>
      </c>
      <c r="P27" s="66">
        <f t="shared" si="6"/>
        <v>72899</v>
      </c>
      <c r="Q27" s="87">
        <f t="shared" si="11"/>
        <v>14.4</v>
      </c>
      <c r="R27" s="87">
        <f t="shared" si="11"/>
        <v>23.1</v>
      </c>
      <c r="S27" s="87">
        <f t="shared" si="11"/>
        <v>29.5</v>
      </c>
      <c r="T27" s="87">
        <f t="shared" si="11"/>
        <v>21.3</v>
      </c>
      <c r="U27" s="87">
        <f t="shared" si="11"/>
        <v>8.6999999999999993</v>
      </c>
      <c r="V27" s="87">
        <f t="shared" si="11"/>
        <v>97.1</v>
      </c>
      <c r="W27" s="66">
        <f t="shared" si="8"/>
        <v>101112</v>
      </c>
    </row>
    <row r="28" spans="1:23" x14ac:dyDescent="0.2">
      <c r="A28" s="42"/>
      <c r="B28" s="99" t="s">
        <v>51</v>
      </c>
      <c r="C28" s="87">
        <f t="shared" si="9"/>
        <v>6.1</v>
      </c>
      <c r="D28" s="87">
        <f t="shared" si="9"/>
        <v>18.899999999999999</v>
      </c>
      <c r="E28" s="87">
        <f t="shared" si="9"/>
        <v>31.5</v>
      </c>
      <c r="F28" s="87">
        <f t="shared" si="9"/>
        <v>25.5</v>
      </c>
      <c r="G28" s="87">
        <f t="shared" si="9"/>
        <v>12.1</v>
      </c>
      <c r="H28" s="87">
        <f t="shared" si="9"/>
        <v>94.1</v>
      </c>
      <c r="I28" s="66">
        <f t="shared" si="4"/>
        <v>12322</v>
      </c>
      <c r="J28" s="87">
        <f t="shared" si="10"/>
        <v>11.9</v>
      </c>
      <c r="K28" s="87">
        <f t="shared" si="10"/>
        <v>27.6</v>
      </c>
      <c r="L28" s="87">
        <f t="shared" si="10"/>
        <v>31.4</v>
      </c>
      <c r="M28" s="87">
        <f t="shared" si="10"/>
        <v>18.600000000000001</v>
      </c>
      <c r="N28" s="87">
        <f t="shared" si="10"/>
        <v>7.3</v>
      </c>
      <c r="O28" s="87">
        <f t="shared" si="10"/>
        <v>96.8</v>
      </c>
      <c r="P28" s="66">
        <f t="shared" si="6"/>
        <v>15390</v>
      </c>
      <c r="Q28" s="87">
        <f t="shared" si="11"/>
        <v>9.3000000000000007</v>
      </c>
      <c r="R28" s="87">
        <f t="shared" si="11"/>
        <v>23.7</v>
      </c>
      <c r="S28" s="87">
        <f t="shared" si="11"/>
        <v>31.5</v>
      </c>
      <c r="T28" s="87">
        <f t="shared" si="11"/>
        <v>21.6</v>
      </c>
      <c r="U28" s="87">
        <f t="shared" si="11"/>
        <v>9.4</v>
      </c>
      <c r="V28" s="87">
        <f t="shared" si="11"/>
        <v>95.6</v>
      </c>
      <c r="W28" s="66">
        <f t="shared" si="8"/>
        <v>27712</v>
      </c>
    </row>
    <row r="29" spans="1:23" x14ac:dyDescent="0.2">
      <c r="A29" s="42"/>
      <c r="B29" s="99" t="s">
        <v>23</v>
      </c>
      <c r="C29" s="87">
        <f t="shared" si="9"/>
        <v>7.6</v>
      </c>
      <c r="D29" s="87">
        <f t="shared" si="9"/>
        <v>27.1</v>
      </c>
      <c r="E29" s="87">
        <f t="shared" si="9"/>
        <v>35.6</v>
      </c>
      <c r="F29" s="87">
        <f t="shared" si="9"/>
        <v>19.100000000000001</v>
      </c>
      <c r="G29" s="87">
        <f t="shared" si="9"/>
        <v>6.7</v>
      </c>
      <c r="H29" s="87">
        <f t="shared" si="9"/>
        <v>96.1</v>
      </c>
      <c r="I29" s="66">
        <f t="shared" si="4"/>
        <v>6376</v>
      </c>
      <c r="J29" s="87">
        <f t="shared" si="10"/>
        <v>11.7</v>
      </c>
      <c r="K29" s="87">
        <f t="shared" si="10"/>
        <v>31.5</v>
      </c>
      <c r="L29" s="87">
        <f t="shared" si="10"/>
        <v>33.1</v>
      </c>
      <c r="M29" s="87">
        <f t="shared" si="10"/>
        <v>16.3</v>
      </c>
      <c r="N29" s="87">
        <f t="shared" si="10"/>
        <v>5.3</v>
      </c>
      <c r="O29" s="87">
        <f t="shared" si="10"/>
        <v>97.9</v>
      </c>
      <c r="P29" s="66">
        <f t="shared" si="6"/>
        <v>9221</v>
      </c>
      <c r="Q29" s="87">
        <f t="shared" si="11"/>
        <v>10</v>
      </c>
      <c r="R29" s="87">
        <f t="shared" si="11"/>
        <v>29.7</v>
      </c>
      <c r="S29" s="87">
        <f t="shared" si="11"/>
        <v>34.1</v>
      </c>
      <c r="T29" s="87">
        <f t="shared" si="11"/>
        <v>17.399999999999999</v>
      </c>
      <c r="U29" s="87">
        <f t="shared" si="11"/>
        <v>5.8</v>
      </c>
      <c r="V29" s="87">
        <f t="shared" si="11"/>
        <v>97.1</v>
      </c>
      <c r="W29" s="66">
        <f t="shared" si="8"/>
        <v>15597</v>
      </c>
    </row>
    <row r="30" spans="1:23" x14ac:dyDescent="0.2">
      <c r="A30" s="42"/>
      <c r="B30" s="99" t="s">
        <v>24</v>
      </c>
      <c r="C30" s="87">
        <f t="shared" si="9"/>
        <v>29.4</v>
      </c>
      <c r="D30" s="87">
        <f t="shared" si="9"/>
        <v>20.5</v>
      </c>
      <c r="E30" s="87">
        <f t="shared" si="9"/>
        <v>18.5</v>
      </c>
      <c r="F30" s="87">
        <f t="shared" si="9"/>
        <v>14.3</v>
      </c>
      <c r="G30" s="87">
        <f t="shared" si="9"/>
        <v>9.9</v>
      </c>
      <c r="H30" s="87">
        <f t="shared" si="9"/>
        <v>92.6</v>
      </c>
      <c r="I30" s="66">
        <f t="shared" si="4"/>
        <v>3793</v>
      </c>
      <c r="J30" s="87">
        <f t="shared" si="10"/>
        <v>25.6</v>
      </c>
      <c r="K30" s="87">
        <f t="shared" si="10"/>
        <v>20.399999999999999</v>
      </c>
      <c r="L30" s="87">
        <f t="shared" si="10"/>
        <v>19.399999999999999</v>
      </c>
      <c r="M30" s="87">
        <f t="shared" si="10"/>
        <v>15.1</v>
      </c>
      <c r="N30" s="87">
        <f t="shared" si="10"/>
        <v>10.5</v>
      </c>
      <c r="O30" s="87">
        <f t="shared" si="10"/>
        <v>91</v>
      </c>
      <c r="P30" s="66">
        <f t="shared" si="6"/>
        <v>8712</v>
      </c>
      <c r="Q30" s="87">
        <f t="shared" si="11"/>
        <v>26.7</v>
      </c>
      <c r="R30" s="87">
        <f t="shared" si="11"/>
        <v>20.399999999999999</v>
      </c>
      <c r="S30" s="87">
        <f t="shared" si="11"/>
        <v>19.100000000000001</v>
      </c>
      <c r="T30" s="87">
        <f t="shared" si="11"/>
        <v>14.9</v>
      </c>
      <c r="U30" s="87">
        <f t="shared" si="11"/>
        <v>10.3</v>
      </c>
      <c r="V30" s="87">
        <f t="shared" si="11"/>
        <v>91.4</v>
      </c>
      <c r="W30" s="66">
        <f t="shared" si="8"/>
        <v>12505</v>
      </c>
    </row>
    <row r="31" spans="1:23" x14ac:dyDescent="0.2">
      <c r="A31" s="42"/>
      <c r="B31" s="99" t="s">
        <v>25</v>
      </c>
      <c r="C31" s="87">
        <f t="shared" si="9"/>
        <v>30.1</v>
      </c>
      <c r="D31" s="87">
        <f t="shared" si="9"/>
        <v>21.6</v>
      </c>
      <c r="E31" s="87">
        <f t="shared" si="9"/>
        <v>18</v>
      </c>
      <c r="F31" s="87">
        <f t="shared" si="9"/>
        <v>14.9</v>
      </c>
      <c r="G31" s="87">
        <f t="shared" si="9"/>
        <v>9.5</v>
      </c>
      <c r="H31" s="87">
        <f t="shared" si="9"/>
        <v>94.1</v>
      </c>
      <c r="I31" s="66">
        <f t="shared" si="4"/>
        <v>1953</v>
      </c>
      <c r="J31" s="87">
        <f t="shared" si="10"/>
        <v>26.8</v>
      </c>
      <c r="K31" s="87">
        <f t="shared" si="10"/>
        <v>21.9</v>
      </c>
      <c r="L31" s="87">
        <f t="shared" si="10"/>
        <v>20.399999999999999</v>
      </c>
      <c r="M31" s="87">
        <f t="shared" si="10"/>
        <v>15.2</v>
      </c>
      <c r="N31" s="87">
        <f t="shared" si="10"/>
        <v>9.8000000000000007</v>
      </c>
      <c r="O31" s="87">
        <f t="shared" si="10"/>
        <v>94.2</v>
      </c>
      <c r="P31" s="66">
        <f t="shared" si="6"/>
        <v>3082</v>
      </c>
      <c r="Q31" s="87">
        <f t="shared" si="11"/>
        <v>28.1</v>
      </c>
      <c r="R31" s="87">
        <f t="shared" si="11"/>
        <v>21.8</v>
      </c>
      <c r="S31" s="87">
        <f t="shared" si="11"/>
        <v>19.5</v>
      </c>
      <c r="T31" s="87">
        <f t="shared" si="11"/>
        <v>15.1</v>
      </c>
      <c r="U31" s="87">
        <f t="shared" si="11"/>
        <v>9.6999999999999993</v>
      </c>
      <c r="V31" s="87">
        <f t="shared" si="11"/>
        <v>94.2</v>
      </c>
      <c r="W31" s="66">
        <f t="shared" si="8"/>
        <v>5035</v>
      </c>
    </row>
    <row r="32" spans="1:23" x14ac:dyDescent="0.2">
      <c r="A32" s="42"/>
      <c r="B32" s="99" t="s">
        <v>26</v>
      </c>
      <c r="C32" s="87">
        <f t="shared" si="9"/>
        <v>25.6</v>
      </c>
      <c r="D32" s="87">
        <f t="shared" si="9"/>
        <v>23.9</v>
      </c>
      <c r="E32" s="87">
        <f t="shared" si="9"/>
        <v>20</v>
      </c>
      <c r="F32" s="87">
        <f t="shared" si="9"/>
        <v>14</v>
      </c>
      <c r="G32" s="87">
        <f t="shared" si="9"/>
        <v>9.1</v>
      </c>
      <c r="H32" s="87">
        <f t="shared" si="9"/>
        <v>92.6</v>
      </c>
      <c r="I32" s="66">
        <f t="shared" si="4"/>
        <v>3413</v>
      </c>
      <c r="J32" s="87">
        <f t="shared" si="10"/>
        <v>22.2</v>
      </c>
      <c r="K32" s="87">
        <f t="shared" si="10"/>
        <v>21.8</v>
      </c>
      <c r="L32" s="87">
        <f t="shared" si="10"/>
        <v>21.5</v>
      </c>
      <c r="M32" s="87">
        <f t="shared" si="10"/>
        <v>15.5</v>
      </c>
      <c r="N32" s="87">
        <f t="shared" si="10"/>
        <v>10.7</v>
      </c>
      <c r="O32" s="87">
        <f t="shared" si="10"/>
        <v>91.8</v>
      </c>
      <c r="P32" s="66">
        <f t="shared" si="6"/>
        <v>6977</v>
      </c>
      <c r="Q32" s="87">
        <f t="shared" si="11"/>
        <v>23.3</v>
      </c>
      <c r="R32" s="87">
        <f t="shared" si="11"/>
        <v>22.5</v>
      </c>
      <c r="S32" s="87">
        <f t="shared" si="11"/>
        <v>21</v>
      </c>
      <c r="T32" s="87">
        <f t="shared" si="11"/>
        <v>15</v>
      </c>
      <c r="U32" s="87">
        <f t="shared" si="11"/>
        <v>10.199999999999999</v>
      </c>
      <c r="V32" s="87">
        <f t="shared" si="11"/>
        <v>92</v>
      </c>
      <c r="W32" s="66">
        <f t="shared" si="8"/>
        <v>10390</v>
      </c>
    </row>
    <row r="33" spans="1:23" x14ac:dyDescent="0.2">
      <c r="A33" s="42"/>
      <c r="B33" s="99" t="s">
        <v>27</v>
      </c>
      <c r="C33" s="87">
        <f t="shared" si="9"/>
        <v>47.1</v>
      </c>
      <c r="D33" s="87">
        <f t="shared" si="9"/>
        <v>25.2</v>
      </c>
      <c r="E33" s="87">
        <f t="shared" si="9"/>
        <v>12.5</v>
      </c>
      <c r="F33" s="87">
        <f t="shared" si="9"/>
        <v>6.6</v>
      </c>
      <c r="G33" s="87">
        <f t="shared" si="9"/>
        <v>3.3</v>
      </c>
      <c r="H33" s="87">
        <f t="shared" si="9"/>
        <v>94.7</v>
      </c>
      <c r="I33" s="66">
        <f t="shared" si="4"/>
        <v>2108</v>
      </c>
      <c r="J33" s="87">
        <f t="shared" si="10"/>
        <v>51.6</v>
      </c>
      <c r="K33" s="87">
        <f t="shared" si="10"/>
        <v>19.5</v>
      </c>
      <c r="L33" s="87">
        <f t="shared" si="10"/>
        <v>13</v>
      </c>
      <c r="M33" s="87">
        <f t="shared" si="10"/>
        <v>7.3</v>
      </c>
      <c r="N33" s="87">
        <f t="shared" si="10"/>
        <v>4.4000000000000004</v>
      </c>
      <c r="O33" s="87">
        <f t="shared" si="10"/>
        <v>95.8</v>
      </c>
      <c r="P33" s="66">
        <f t="shared" si="6"/>
        <v>2856</v>
      </c>
      <c r="Q33" s="87">
        <f t="shared" si="11"/>
        <v>49.7</v>
      </c>
      <c r="R33" s="87">
        <f t="shared" si="11"/>
        <v>21.9</v>
      </c>
      <c r="S33" s="87">
        <f t="shared" si="11"/>
        <v>12.8</v>
      </c>
      <c r="T33" s="87">
        <f t="shared" si="11"/>
        <v>7</v>
      </c>
      <c r="U33" s="87">
        <f t="shared" si="11"/>
        <v>4</v>
      </c>
      <c r="V33" s="87">
        <f t="shared" si="11"/>
        <v>95.4</v>
      </c>
      <c r="W33" s="66">
        <f t="shared" si="8"/>
        <v>4964</v>
      </c>
    </row>
    <row r="34" spans="1:23" x14ac:dyDescent="0.2">
      <c r="A34" s="42"/>
      <c r="B34" s="99" t="s">
        <v>28</v>
      </c>
      <c r="C34" s="87">
        <f t="shared" si="9"/>
        <v>27.5</v>
      </c>
      <c r="D34" s="87">
        <f t="shared" si="9"/>
        <v>22</v>
      </c>
      <c r="E34" s="87">
        <f t="shared" si="9"/>
        <v>23.5</v>
      </c>
      <c r="F34" s="87">
        <f t="shared" si="9"/>
        <v>15</v>
      </c>
      <c r="G34" s="87">
        <f t="shared" si="9"/>
        <v>6.9</v>
      </c>
      <c r="H34" s="87">
        <f t="shared" si="9"/>
        <v>95</v>
      </c>
      <c r="I34" s="66">
        <f t="shared" si="4"/>
        <v>3073</v>
      </c>
      <c r="J34" s="87">
        <f t="shared" si="10"/>
        <v>30.6</v>
      </c>
      <c r="K34" s="87">
        <f t="shared" si="10"/>
        <v>24.1</v>
      </c>
      <c r="L34" s="87">
        <f t="shared" si="10"/>
        <v>21.9</v>
      </c>
      <c r="M34" s="87">
        <f t="shared" si="10"/>
        <v>13.3</v>
      </c>
      <c r="N34" s="87">
        <f t="shared" si="10"/>
        <v>5.6</v>
      </c>
      <c r="O34" s="87">
        <f t="shared" si="10"/>
        <v>95.4</v>
      </c>
      <c r="P34" s="66">
        <f t="shared" si="6"/>
        <v>4313</v>
      </c>
      <c r="Q34" s="87">
        <f t="shared" si="11"/>
        <v>29.3</v>
      </c>
      <c r="R34" s="87">
        <f t="shared" si="11"/>
        <v>23.2</v>
      </c>
      <c r="S34" s="87">
        <f t="shared" si="11"/>
        <v>22.6</v>
      </c>
      <c r="T34" s="87">
        <f t="shared" si="11"/>
        <v>14</v>
      </c>
      <c r="U34" s="87">
        <f t="shared" si="11"/>
        <v>6.1</v>
      </c>
      <c r="V34" s="87">
        <f t="shared" si="11"/>
        <v>95.2</v>
      </c>
      <c r="W34" s="66">
        <f t="shared" si="8"/>
        <v>7386</v>
      </c>
    </row>
    <row r="35" spans="1:23" x14ac:dyDescent="0.2">
      <c r="A35" s="42"/>
      <c r="B35" s="99" t="s">
        <v>29</v>
      </c>
      <c r="C35" s="87">
        <f t="shared" si="9"/>
        <v>18.3</v>
      </c>
      <c r="D35" s="87">
        <f t="shared" si="9"/>
        <v>21.1</v>
      </c>
      <c r="E35" s="87">
        <f t="shared" si="9"/>
        <v>23.6</v>
      </c>
      <c r="F35" s="87">
        <f t="shared" si="9"/>
        <v>17.399999999999999</v>
      </c>
      <c r="G35" s="87">
        <f t="shared" si="9"/>
        <v>10.5</v>
      </c>
      <c r="H35" s="87">
        <f t="shared" si="9"/>
        <v>91</v>
      </c>
      <c r="I35" s="66">
        <f t="shared" si="4"/>
        <v>9487</v>
      </c>
      <c r="J35" s="87">
        <f t="shared" si="10"/>
        <v>21.3</v>
      </c>
      <c r="K35" s="87">
        <f t="shared" si="10"/>
        <v>23.4</v>
      </c>
      <c r="L35" s="87">
        <f t="shared" si="10"/>
        <v>23.2</v>
      </c>
      <c r="M35" s="87">
        <f t="shared" si="10"/>
        <v>15.6</v>
      </c>
      <c r="N35" s="87">
        <f t="shared" si="10"/>
        <v>9.1999999999999993</v>
      </c>
      <c r="O35" s="87">
        <f t="shared" si="10"/>
        <v>92.7</v>
      </c>
      <c r="P35" s="66">
        <f t="shared" si="6"/>
        <v>21008</v>
      </c>
      <c r="Q35" s="87">
        <f t="shared" si="11"/>
        <v>20.399999999999999</v>
      </c>
      <c r="R35" s="87">
        <f t="shared" si="11"/>
        <v>22.7</v>
      </c>
      <c r="S35" s="87">
        <f t="shared" si="11"/>
        <v>23.3</v>
      </c>
      <c r="T35" s="87">
        <f t="shared" si="11"/>
        <v>16.100000000000001</v>
      </c>
      <c r="U35" s="87">
        <f t="shared" si="11"/>
        <v>9.6</v>
      </c>
      <c r="V35" s="87">
        <f t="shared" si="11"/>
        <v>92.1</v>
      </c>
      <c r="W35" s="66">
        <f t="shared" si="8"/>
        <v>30495</v>
      </c>
    </row>
    <row r="36" spans="1:23" x14ac:dyDescent="0.2">
      <c r="A36" s="42"/>
      <c r="B36" s="99" t="s">
        <v>30</v>
      </c>
      <c r="C36" s="87">
        <f t="shared" si="9"/>
        <v>15.4</v>
      </c>
      <c r="D36" s="87">
        <f t="shared" si="9"/>
        <v>20.399999999999999</v>
      </c>
      <c r="E36" s="87">
        <f t="shared" si="9"/>
        <v>23.5</v>
      </c>
      <c r="F36" s="87">
        <f t="shared" si="9"/>
        <v>22.1</v>
      </c>
      <c r="G36" s="87">
        <f t="shared" si="9"/>
        <v>12</v>
      </c>
      <c r="H36" s="87">
        <f t="shared" si="9"/>
        <v>93.4</v>
      </c>
      <c r="I36" s="66">
        <f t="shared" si="4"/>
        <v>5118</v>
      </c>
      <c r="J36" s="87">
        <f t="shared" si="10"/>
        <v>17.5</v>
      </c>
      <c r="K36" s="87">
        <f t="shared" si="10"/>
        <v>23.4</v>
      </c>
      <c r="L36" s="87">
        <f t="shared" si="10"/>
        <v>24</v>
      </c>
      <c r="M36" s="87">
        <f t="shared" si="10"/>
        <v>19.8</v>
      </c>
      <c r="N36" s="87">
        <f t="shared" si="10"/>
        <v>10.199999999999999</v>
      </c>
      <c r="O36" s="87">
        <f t="shared" si="10"/>
        <v>94.9</v>
      </c>
      <c r="P36" s="66">
        <f t="shared" si="6"/>
        <v>3848</v>
      </c>
      <c r="Q36" s="87">
        <f t="shared" si="11"/>
        <v>16.3</v>
      </c>
      <c r="R36" s="87">
        <f t="shared" si="11"/>
        <v>21.7</v>
      </c>
      <c r="S36" s="87">
        <f t="shared" si="11"/>
        <v>23.7</v>
      </c>
      <c r="T36" s="87">
        <f t="shared" si="11"/>
        <v>21.1</v>
      </c>
      <c r="U36" s="87">
        <f t="shared" si="11"/>
        <v>11.2</v>
      </c>
      <c r="V36" s="87">
        <f t="shared" si="11"/>
        <v>94.1</v>
      </c>
      <c r="W36" s="66">
        <f t="shared" si="8"/>
        <v>8966</v>
      </c>
    </row>
    <row r="37" spans="1:23" x14ac:dyDescent="0.2">
      <c r="A37" s="42"/>
      <c r="B37" s="99" t="s">
        <v>31</v>
      </c>
      <c r="C37" s="87">
        <f t="shared" si="9"/>
        <v>8</v>
      </c>
      <c r="D37" s="87">
        <f t="shared" si="9"/>
        <v>11.5</v>
      </c>
      <c r="E37" s="87">
        <f t="shared" si="9"/>
        <v>16.3</v>
      </c>
      <c r="F37" s="87">
        <f t="shared" si="9"/>
        <v>19.899999999999999</v>
      </c>
      <c r="G37" s="87">
        <f t="shared" si="9"/>
        <v>27.5</v>
      </c>
      <c r="H37" s="87">
        <f t="shared" si="9"/>
        <v>83.2</v>
      </c>
      <c r="I37" s="66">
        <f t="shared" si="4"/>
        <v>10821</v>
      </c>
      <c r="J37" s="87">
        <f t="shared" si="10"/>
        <v>17</v>
      </c>
      <c r="K37" s="87">
        <f t="shared" si="10"/>
        <v>18.600000000000001</v>
      </c>
      <c r="L37" s="87">
        <f t="shared" si="10"/>
        <v>20.5</v>
      </c>
      <c r="M37" s="87">
        <f t="shared" si="10"/>
        <v>18.5</v>
      </c>
      <c r="N37" s="87">
        <f t="shared" si="10"/>
        <v>17.2</v>
      </c>
      <c r="O37" s="87">
        <f t="shared" si="10"/>
        <v>91.7</v>
      </c>
      <c r="P37" s="66">
        <f t="shared" si="6"/>
        <v>7929</v>
      </c>
      <c r="Q37" s="87">
        <f t="shared" si="11"/>
        <v>11.8</v>
      </c>
      <c r="R37" s="87">
        <f t="shared" si="11"/>
        <v>14.5</v>
      </c>
      <c r="S37" s="87">
        <f t="shared" si="11"/>
        <v>18</v>
      </c>
      <c r="T37" s="87">
        <f t="shared" si="11"/>
        <v>19.3</v>
      </c>
      <c r="U37" s="87">
        <f t="shared" si="11"/>
        <v>23.2</v>
      </c>
      <c r="V37" s="87">
        <f t="shared" si="11"/>
        <v>86.8</v>
      </c>
      <c r="W37" s="66">
        <f t="shared" si="8"/>
        <v>18750</v>
      </c>
    </row>
    <row r="38" spans="1:23" x14ac:dyDescent="0.2">
      <c r="A38" s="42"/>
      <c r="B38" s="99" t="s">
        <v>32</v>
      </c>
      <c r="C38" s="87">
        <f t="shared" ref="C38:H39" si="12">IF(OR(C80=1,C80=2),"x",ROUND(C80/$I80*100,1))</f>
        <v>10.199999999999999</v>
      </c>
      <c r="D38" s="87">
        <f t="shared" si="12"/>
        <v>14.6</v>
      </c>
      <c r="E38" s="87">
        <f t="shared" si="12"/>
        <v>19.100000000000001</v>
      </c>
      <c r="F38" s="87">
        <f t="shared" si="12"/>
        <v>19.899999999999999</v>
      </c>
      <c r="G38" s="87">
        <f t="shared" si="12"/>
        <v>16.7</v>
      </c>
      <c r="H38" s="87">
        <f t="shared" si="12"/>
        <v>80.599999999999994</v>
      </c>
      <c r="I38" s="66">
        <f t="shared" si="4"/>
        <v>15035</v>
      </c>
      <c r="J38" s="87">
        <f t="shared" ref="J38:O39" si="13">IF(OR(J80=1,J80=2),"x",ROUND(J80/$P80*100,1))</f>
        <v>11.9</v>
      </c>
      <c r="K38" s="87">
        <f t="shared" si="13"/>
        <v>15.7</v>
      </c>
      <c r="L38" s="87">
        <f t="shared" si="13"/>
        <v>20</v>
      </c>
      <c r="M38" s="87">
        <f t="shared" si="13"/>
        <v>19.3</v>
      </c>
      <c r="N38" s="87">
        <f t="shared" si="13"/>
        <v>16</v>
      </c>
      <c r="O38" s="87">
        <f t="shared" si="13"/>
        <v>83</v>
      </c>
      <c r="P38" s="66">
        <f t="shared" si="6"/>
        <v>18482</v>
      </c>
      <c r="Q38" s="87">
        <f t="shared" ref="Q38:V39" si="14">IF(OR(Q80=1,Q80=2),"x",ROUND(Q80/$W80*100,1))</f>
        <v>11.2</v>
      </c>
      <c r="R38" s="87">
        <f t="shared" si="14"/>
        <v>15.2</v>
      </c>
      <c r="S38" s="87">
        <f t="shared" si="14"/>
        <v>19.600000000000001</v>
      </c>
      <c r="T38" s="87">
        <f t="shared" si="14"/>
        <v>19.600000000000001</v>
      </c>
      <c r="U38" s="87">
        <f t="shared" si="14"/>
        <v>16.3</v>
      </c>
      <c r="V38" s="87">
        <f t="shared" si="14"/>
        <v>81.900000000000006</v>
      </c>
      <c r="W38" s="66">
        <f t="shared" si="8"/>
        <v>33517</v>
      </c>
    </row>
    <row r="39" spans="1:23" x14ac:dyDescent="0.2">
      <c r="A39" s="42"/>
      <c r="B39" s="100" t="s">
        <v>46</v>
      </c>
      <c r="C39" s="87">
        <f t="shared" si="12"/>
        <v>16.5</v>
      </c>
      <c r="D39" s="87">
        <f t="shared" si="12"/>
        <v>17.3</v>
      </c>
      <c r="E39" s="87">
        <f t="shared" si="12"/>
        <v>20.399999999999999</v>
      </c>
      <c r="F39" s="87">
        <f t="shared" si="12"/>
        <v>17.8</v>
      </c>
      <c r="G39" s="87">
        <f t="shared" si="12"/>
        <v>13.3</v>
      </c>
      <c r="H39" s="87">
        <f t="shared" si="12"/>
        <v>85.2</v>
      </c>
      <c r="I39" s="66">
        <f t="shared" si="4"/>
        <v>495103</v>
      </c>
      <c r="J39" s="87">
        <f t="shared" si="13"/>
        <v>18.2</v>
      </c>
      <c r="K39" s="87">
        <f t="shared" si="13"/>
        <v>21</v>
      </c>
      <c r="L39" s="87">
        <f t="shared" si="13"/>
        <v>22.4</v>
      </c>
      <c r="M39" s="87">
        <f t="shared" si="13"/>
        <v>16.899999999999999</v>
      </c>
      <c r="N39" s="87">
        <f t="shared" si="13"/>
        <v>10.9</v>
      </c>
      <c r="O39" s="87">
        <f t="shared" si="13"/>
        <v>89.4</v>
      </c>
      <c r="P39" s="66">
        <f t="shared" si="6"/>
        <v>591599</v>
      </c>
      <c r="Q39" s="87">
        <f t="shared" si="14"/>
        <v>17.399999999999999</v>
      </c>
      <c r="R39" s="87">
        <f t="shared" si="14"/>
        <v>19.3</v>
      </c>
      <c r="S39" s="87">
        <f t="shared" si="14"/>
        <v>21.5</v>
      </c>
      <c r="T39" s="87">
        <f t="shared" si="14"/>
        <v>17.3</v>
      </c>
      <c r="U39" s="87">
        <f t="shared" si="14"/>
        <v>12</v>
      </c>
      <c r="V39" s="87">
        <f t="shared" si="14"/>
        <v>87.5</v>
      </c>
      <c r="W39" s="66">
        <f t="shared" si="8"/>
        <v>1086702</v>
      </c>
    </row>
    <row r="41" spans="1:23" ht="15" x14ac:dyDescent="0.2">
      <c r="A41" s="130" t="s">
        <v>138</v>
      </c>
    </row>
    <row r="42" spans="1:23" x14ac:dyDescent="0.2">
      <c r="A42" s="132" t="s">
        <v>137</v>
      </c>
    </row>
    <row r="44" spans="1:23" x14ac:dyDescent="0.2">
      <c r="B44" s="73"/>
      <c r="C44" s="73" t="s">
        <v>39</v>
      </c>
      <c r="D44" s="73"/>
      <c r="E44" s="73"/>
      <c r="F44" s="73"/>
      <c r="G44" s="73"/>
      <c r="H44" s="73"/>
      <c r="I44" s="73"/>
      <c r="J44" s="73" t="s">
        <v>40</v>
      </c>
      <c r="K44" s="73"/>
      <c r="L44" s="73"/>
      <c r="M44" s="73"/>
      <c r="N44" s="73"/>
      <c r="O44" s="73"/>
      <c r="P44" s="73"/>
      <c r="Q44" s="125" t="s">
        <v>141</v>
      </c>
      <c r="R44" s="73"/>
      <c r="S44" s="73"/>
      <c r="T44" s="73"/>
      <c r="U44" s="73"/>
      <c r="V44" s="73"/>
      <c r="W44" s="73"/>
    </row>
    <row r="45" spans="1:23" x14ac:dyDescent="0.2">
      <c r="B45" s="73"/>
      <c r="C45" s="73" t="s">
        <v>33</v>
      </c>
      <c r="D45" s="73" t="s">
        <v>34</v>
      </c>
      <c r="E45" s="73" t="s">
        <v>35</v>
      </c>
      <c r="F45" s="73" t="s">
        <v>36</v>
      </c>
      <c r="G45" s="73" t="s">
        <v>37</v>
      </c>
      <c r="H45" s="92" t="s">
        <v>47</v>
      </c>
      <c r="I45" s="73" t="s">
        <v>54</v>
      </c>
      <c r="J45" s="73" t="s">
        <v>33</v>
      </c>
      <c r="K45" s="73" t="s">
        <v>34</v>
      </c>
      <c r="L45" s="73" t="s">
        <v>35</v>
      </c>
      <c r="M45" s="73" t="s">
        <v>36</v>
      </c>
      <c r="N45" s="73" t="s">
        <v>37</v>
      </c>
      <c r="O45" s="92" t="s">
        <v>47</v>
      </c>
      <c r="P45" s="73" t="s">
        <v>54</v>
      </c>
      <c r="Q45" s="133" t="s">
        <v>33</v>
      </c>
      <c r="R45" s="133" t="s">
        <v>34</v>
      </c>
      <c r="S45" s="133" t="s">
        <v>35</v>
      </c>
      <c r="T45" s="133" t="s">
        <v>36</v>
      </c>
      <c r="U45" s="133" t="s">
        <v>37</v>
      </c>
      <c r="V45" s="92" t="s">
        <v>47</v>
      </c>
      <c r="W45" s="133" t="s">
        <v>54</v>
      </c>
    </row>
    <row r="46" spans="1:23" x14ac:dyDescent="0.2">
      <c r="B46" s="73"/>
      <c r="C46" s="73"/>
      <c r="D46" s="73"/>
      <c r="E46" s="73"/>
      <c r="F46" s="73"/>
      <c r="G46" s="73"/>
      <c r="H46" s="73"/>
      <c r="I46" s="73"/>
      <c r="J46" s="73"/>
      <c r="K46" s="73"/>
      <c r="L46" s="73"/>
      <c r="M46" s="73"/>
      <c r="N46" s="73"/>
      <c r="O46" s="73"/>
      <c r="P46" s="73"/>
      <c r="Q46" s="133"/>
      <c r="R46" s="133"/>
      <c r="S46" s="133"/>
      <c r="T46" s="133"/>
      <c r="U46" s="133"/>
      <c r="V46" s="133"/>
      <c r="W46" s="133"/>
    </row>
    <row r="47" spans="1:23" x14ac:dyDescent="0.2">
      <c r="B47" s="73" t="s">
        <v>101</v>
      </c>
      <c r="C47">
        <v>5321</v>
      </c>
      <c r="D47">
        <v>5359</v>
      </c>
      <c r="E47">
        <v>5828</v>
      </c>
      <c r="F47">
        <v>5172</v>
      </c>
      <c r="G47">
        <v>4536</v>
      </c>
      <c r="H47">
        <v>26216</v>
      </c>
      <c r="I47">
        <v>31738</v>
      </c>
      <c r="J47">
        <v>8467</v>
      </c>
      <c r="K47">
        <v>8594</v>
      </c>
      <c r="L47">
        <v>8927</v>
      </c>
      <c r="M47">
        <v>7735</v>
      </c>
      <c r="N47">
        <v>6380</v>
      </c>
      <c r="O47">
        <v>40103</v>
      </c>
      <c r="P47">
        <v>47637</v>
      </c>
      <c r="Q47">
        <v>13788</v>
      </c>
      <c r="R47">
        <v>13953</v>
      </c>
      <c r="S47">
        <v>14755</v>
      </c>
      <c r="T47">
        <v>12907</v>
      </c>
      <c r="U47">
        <v>10916</v>
      </c>
      <c r="V47">
        <v>66319</v>
      </c>
      <c r="W47">
        <v>79375</v>
      </c>
    </row>
    <row r="48" spans="1:23" x14ac:dyDescent="0.2">
      <c r="B48" s="73" t="s">
        <v>102</v>
      </c>
      <c r="C48">
        <v>6869</v>
      </c>
      <c r="D48">
        <v>6253</v>
      </c>
      <c r="E48">
        <v>6036</v>
      </c>
      <c r="F48">
        <v>5036</v>
      </c>
      <c r="G48">
        <v>4242</v>
      </c>
      <c r="H48">
        <v>28436</v>
      </c>
      <c r="I48">
        <v>34069</v>
      </c>
      <c r="J48">
        <v>5691</v>
      </c>
      <c r="K48">
        <v>6288</v>
      </c>
      <c r="L48">
        <v>6086</v>
      </c>
      <c r="M48">
        <v>5196</v>
      </c>
      <c r="N48">
        <v>4427</v>
      </c>
      <c r="O48">
        <v>27688</v>
      </c>
      <c r="P48">
        <v>32980</v>
      </c>
      <c r="Q48">
        <v>12560</v>
      </c>
      <c r="R48">
        <v>12541</v>
      </c>
      <c r="S48">
        <v>12122</v>
      </c>
      <c r="T48">
        <v>10232</v>
      </c>
      <c r="U48">
        <v>8669</v>
      </c>
      <c r="V48">
        <v>56124</v>
      </c>
      <c r="W48">
        <v>67049</v>
      </c>
    </row>
    <row r="49" spans="2:23" x14ac:dyDescent="0.2">
      <c r="B49" s="73" t="s">
        <v>103</v>
      </c>
      <c r="C49">
        <v>7472</v>
      </c>
      <c r="D49">
        <v>5779</v>
      </c>
      <c r="E49">
        <v>6546</v>
      </c>
      <c r="F49">
        <v>6305</v>
      </c>
      <c r="G49">
        <v>5528</v>
      </c>
      <c r="H49">
        <v>31630</v>
      </c>
      <c r="I49">
        <v>38891</v>
      </c>
      <c r="J49">
        <v>2543</v>
      </c>
      <c r="K49">
        <v>1999</v>
      </c>
      <c r="L49">
        <v>2153</v>
      </c>
      <c r="M49">
        <v>1870</v>
      </c>
      <c r="N49">
        <v>1579</v>
      </c>
      <c r="O49">
        <v>10144</v>
      </c>
      <c r="P49">
        <v>11982</v>
      </c>
      <c r="Q49">
        <v>10015</v>
      </c>
      <c r="R49">
        <v>7778</v>
      </c>
      <c r="S49">
        <v>8699</v>
      </c>
      <c r="T49">
        <v>8175</v>
      </c>
      <c r="U49">
        <v>7107</v>
      </c>
      <c r="V49">
        <v>41774</v>
      </c>
      <c r="W49">
        <v>50873</v>
      </c>
    </row>
    <row r="50" spans="2:23" x14ac:dyDescent="0.2">
      <c r="B50" s="73" t="s">
        <v>104</v>
      </c>
      <c r="C50">
        <v>722</v>
      </c>
      <c r="D50">
        <v>680</v>
      </c>
      <c r="E50">
        <v>765</v>
      </c>
      <c r="F50">
        <v>649</v>
      </c>
      <c r="G50">
        <v>526</v>
      </c>
      <c r="H50">
        <v>3342</v>
      </c>
      <c r="I50">
        <v>3898</v>
      </c>
      <c r="J50">
        <v>330</v>
      </c>
      <c r="K50">
        <v>348</v>
      </c>
      <c r="L50">
        <v>366</v>
      </c>
      <c r="M50">
        <v>330</v>
      </c>
      <c r="N50">
        <v>249</v>
      </c>
      <c r="O50">
        <v>1623</v>
      </c>
      <c r="P50">
        <v>1882</v>
      </c>
      <c r="Q50">
        <v>1052</v>
      </c>
      <c r="R50">
        <v>1028</v>
      </c>
      <c r="S50">
        <v>1131</v>
      </c>
      <c r="T50">
        <v>979</v>
      </c>
      <c r="U50">
        <v>775</v>
      </c>
      <c r="V50">
        <v>4965</v>
      </c>
      <c r="W50">
        <v>5780</v>
      </c>
    </row>
    <row r="51" spans="2:23" x14ac:dyDescent="0.2">
      <c r="B51" s="73" t="s">
        <v>105</v>
      </c>
      <c r="C51">
        <v>16859</v>
      </c>
      <c r="D51">
        <v>10053</v>
      </c>
      <c r="E51">
        <v>9976</v>
      </c>
      <c r="F51">
        <v>9027</v>
      </c>
      <c r="G51">
        <v>7544</v>
      </c>
      <c r="H51">
        <v>53459</v>
      </c>
      <c r="I51">
        <v>66415</v>
      </c>
      <c r="J51">
        <v>11198</v>
      </c>
      <c r="K51">
        <v>7751</v>
      </c>
      <c r="L51">
        <v>7262</v>
      </c>
      <c r="M51">
        <v>6324</v>
      </c>
      <c r="N51">
        <v>4895</v>
      </c>
      <c r="O51">
        <v>37430</v>
      </c>
      <c r="P51">
        <v>44624</v>
      </c>
      <c r="Q51">
        <v>28057</v>
      </c>
      <c r="R51">
        <v>17804</v>
      </c>
      <c r="S51">
        <v>17238</v>
      </c>
      <c r="T51">
        <v>15351</v>
      </c>
      <c r="U51">
        <v>12439</v>
      </c>
      <c r="V51">
        <v>90889</v>
      </c>
      <c r="W51">
        <v>111039</v>
      </c>
    </row>
    <row r="52" spans="2:23" x14ac:dyDescent="0.2">
      <c r="B52" s="73" t="s">
        <v>106</v>
      </c>
      <c r="C52">
        <v>4572</v>
      </c>
      <c r="D52">
        <v>2025</v>
      </c>
      <c r="E52">
        <v>1649</v>
      </c>
      <c r="F52">
        <v>1273</v>
      </c>
      <c r="G52">
        <v>942</v>
      </c>
      <c r="H52">
        <v>10461</v>
      </c>
      <c r="I52">
        <v>11594</v>
      </c>
      <c r="J52">
        <v>2209</v>
      </c>
      <c r="K52">
        <v>934</v>
      </c>
      <c r="L52">
        <v>664</v>
      </c>
      <c r="M52">
        <v>548</v>
      </c>
      <c r="N52">
        <v>378</v>
      </c>
      <c r="O52">
        <v>4733</v>
      </c>
      <c r="P52">
        <v>5176</v>
      </c>
      <c r="Q52">
        <v>6781</v>
      </c>
      <c r="R52">
        <v>2959</v>
      </c>
      <c r="S52">
        <v>2313</v>
      </c>
      <c r="T52">
        <v>1821</v>
      </c>
      <c r="U52">
        <v>1320</v>
      </c>
      <c r="V52">
        <v>15194</v>
      </c>
      <c r="W52">
        <v>16770</v>
      </c>
    </row>
    <row r="53" spans="2:23" x14ac:dyDescent="0.2">
      <c r="B53" s="73" t="s">
        <v>107</v>
      </c>
      <c r="C53">
        <v>857</v>
      </c>
      <c r="D53">
        <v>1403</v>
      </c>
      <c r="E53">
        <v>2132</v>
      </c>
      <c r="F53">
        <v>2361</v>
      </c>
      <c r="G53">
        <v>2064</v>
      </c>
      <c r="H53">
        <v>8817</v>
      </c>
      <c r="I53">
        <v>10343</v>
      </c>
      <c r="J53">
        <v>879</v>
      </c>
      <c r="K53">
        <v>1103</v>
      </c>
      <c r="L53">
        <v>1392</v>
      </c>
      <c r="M53">
        <v>1285</v>
      </c>
      <c r="N53">
        <v>996</v>
      </c>
      <c r="O53">
        <v>5655</v>
      </c>
      <c r="P53">
        <v>6204</v>
      </c>
      <c r="Q53">
        <v>1736</v>
      </c>
      <c r="R53">
        <v>2506</v>
      </c>
      <c r="S53">
        <v>3524</v>
      </c>
      <c r="T53">
        <v>3646</v>
      </c>
      <c r="U53">
        <v>3060</v>
      </c>
      <c r="V53">
        <v>14472</v>
      </c>
      <c r="W53">
        <v>16547</v>
      </c>
    </row>
    <row r="54" spans="2:23" x14ac:dyDescent="0.2">
      <c r="B54" s="73" t="s">
        <v>239</v>
      </c>
      <c r="C54">
        <v>997</v>
      </c>
      <c r="D54">
        <v>1352</v>
      </c>
      <c r="E54">
        <v>1772</v>
      </c>
      <c r="F54">
        <v>2112</v>
      </c>
      <c r="G54">
        <v>1884</v>
      </c>
      <c r="H54">
        <v>8117</v>
      </c>
      <c r="I54">
        <v>10353</v>
      </c>
      <c r="J54">
        <v>126</v>
      </c>
      <c r="K54">
        <v>161</v>
      </c>
      <c r="L54">
        <v>194</v>
      </c>
      <c r="M54">
        <v>226</v>
      </c>
      <c r="N54">
        <v>176</v>
      </c>
      <c r="O54">
        <v>883</v>
      </c>
      <c r="P54">
        <v>1091</v>
      </c>
      <c r="Q54">
        <v>1123</v>
      </c>
      <c r="R54">
        <v>1513</v>
      </c>
      <c r="S54">
        <v>1966</v>
      </c>
      <c r="T54">
        <v>2338</v>
      </c>
      <c r="U54">
        <v>2060</v>
      </c>
      <c r="V54">
        <v>9000</v>
      </c>
      <c r="W54">
        <v>11444</v>
      </c>
    </row>
    <row r="55" spans="2:23" x14ac:dyDescent="0.2">
      <c r="B55" s="73" t="s">
        <v>109</v>
      </c>
      <c r="C55">
        <v>394</v>
      </c>
      <c r="D55">
        <v>868</v>
      </c>
      <c r="E55">
        <v>1431</v>
      </c>
      <c r="F55">
        <v>1646</v>
      </c>
      <c r="G55">
        <v>1582</v>
      </c>
      <c r="H55">
        <v>5921</v>
      </c>
      <c r="I55">
        <v>7508</v>
      </c>
      <c r="J55">
        <v>362</v>
      </c>
      <c r="K55">
        <v>577</v>
      </c>
      <c r="L55">
        <v>755</v>
      </c>
      <c r="M55">
        <v>653</v>
      </c>
      <c r="N55">
        <v>530</v>
      </c>
      <c r="O55">
        <v>2877</v>
      </c>
      <c r="P55">
        <v>3240</v>
      </c>
      <c r="Q55">
        <v>756</v>
      </c>
      <c r="R55">
        <v>1445</v>
      </c>
      <c r="S55">
        <v>2186</v>
      </c>
      <c r="T55">
        <v>2299</v>
      </c>
      <c r="U55">
        <v>2112</v>
      </c>
      <c r="V55">
        <v>8798</v>
      </c>
      <c r="W55">
        <v>10748</v>
      </c>
    </row>
    <row r="56" spans="2:23" x14ac:dyDescent="0.2">
      <c r="B56" s="73" t="s">
        <v>110</v>
      </c>
      <c r="C56">
        <v>0</v>
      </c>
      <c r="D56">
        <v>3</v>
      </c>
      <c r="E56">
        <v>14</v>
      </c>
      <c r="F56">
        <v>9</v>
      </c>
      <c r="G56">
        <v>9</v>
      </c>
      <c r="H56">
        <v>35</v>
      </c>
      <c r="I56">
        <v>52</v>
      </c>
      <c r="J56">
        <v>42</v>
      </c>
      <c r="K56">
        <v>60</v>
      </c>
      <c r="L56">
        <v>55</v>
      </c>
      <c r="M56">
        <v>49</v>
      </c>
      <c r="N56">
        <v>35</v>
      </c>
      <c r="O56">
        <v>241</v>
      </c>
      <c r="P56">
        <v>272</v>
      </c>
      <c r="Q56">
        <v>42</v>
      </c>
      <c r="R56">
        <v>63</v>
      </c>
      <c r="S56">
        <v>69</v>
      </c>
      <c r="T56">
        <v>58</v>
      </c>
      <c r="U56">
        <v>44</v>
      </c>
      <c r="V56">
        <v>276</v>
      </c>
      <c r="W56">
        <v>324</v>
      </c>
    </row>
    <row r="57" spans="2:23" x14ac:dyDescent="0.2">
      <c r="B57" s="73" t="s">
        <v>111</v>
      </c>
      <c r="C57">
        <v>193</v>
      </c>
      <c r="D57">
        <v>478</v>
      </c>
      <c r="E57">
        <v>623</v>
      </c>
      <c r="F57">
        <v>555</v>
      </c>
      <c r="G57">
        <v>554</v>
      </c>
      <c r="H57">
        <v>2403</v>
      </c>
      <c r="I57">
        <v>3367</v>
      </c>
      <c r="J57">
        <v>142</v>
      </c>
      <c r="K57">
        <v>226</v>
      </c>
      <c r="L57">
        <v>263</v>
      </c>
      <c r="M57">
        <v>283</v>
      </c>
      <c r="N57">
        <v>263</v>
      </c>
      <c r="O57">
        <v>1177</v>
      </c>
      <c r="P57">
        <v>1686</v>
      </c>
      <c r="Q57">
        <v>335</v>
      </c>
      <c r="R57">
        <v>704</v>
      </c>
      <c r="S57">
        <v>886</v>
      </c>
      <c r="T57">
        <v>838</v>
      </c>
      <c r="U57">
        <v>817</v>
      </c>
      <c r="V57">
        <v>3580</v>
      </c>
      <c r="W57">
        <v>5053</v>
      </c>
    </row>
    <row r="58" spans="2:23" x14ac:dyDescent="0.2">
      <c r="B58" s="73" t="s">
        <v>112</v>
      </c>
      <c r="C58">
        <v>1900</v>
      </c>
      <c r="D58">
        <v>3659</v>
      </c>
      <c r="E58">
        <v>5235</v>
      </c>
      <c r="F58">
        <v>4966</v>
      </c>
      <c r="G58">
        <v>3538</v>
      </c>
      <c r="H58">
        <v>19298</v>
      </c>
      <c r="I58">
        <v>22120</v>
      </c>
      <c r="J58">
        <v>1542</v>
      </c>
      <c r="K58">
        <v>2645</v>
      </c>
      <c r="L58">
        <v>3635</v>
      </c>
      <c r="M58">
        <v>3419</v>
      </c>
      <c r="N58">
        <v>2479</v>
      </c>
      <c r="O58">
        <v>13720</v>
      </c>
      <c r="P58">
        <v>15965</v>
      </c>
      <c r="Q58">
        <v>3442</v>
      </c>
      <c r="R58">
        <v>6304</v>
      </c>
      <c r="S58">
        <v>8870</v>
      </c>
      <c r="T58">
        <v>8385</v>
      </c>
      <c r="U58">
        <v>6017</v>
      </c>
      <c r="V58">
        <v>33018</v>
      </c>
      <c r="W58">
        <v>38085</v>
      </c>
    </row>
    <row r="59" spans="2:23" x14ac:dyDescent="0.2">
      <c r="B59" s="73" t="s">
        <v>113</v>
      </c>
      <c r="C59">
        <v>4516</v>
      </c>
      <c r="D59">
        <v>4788</v>
      </c>
      <c r="E59">
        <v>4970</v>
      </c>
      <c r="F59">
        <v>4355</v>
      </c>
      <c r="G59">
        <v>3226</v>
      </c>
      <c r="H59">
        <v>21855</v>
      </c>
      <c r="I59">
        <v>25432</v>
      </c>
      <c r="J59">
        <v>2536</v>
      </c>
      <c r="K59">
        <v>2398</v>
      </c>
      <c r="L59">
        <v>2390</v>
      </c>
      <c r="M59">
        <v>1990</v>
      </c>
      <c r="N59">
        <v>1381</v>
      </c>
      <c r="O59">
        <v>10695</v>
      </c>
      <c r="P59">
        <v>12203</v>
      </c>
      <c r="Q59">
        <v>7052</v>
      </c>
      <c r="R59">
        <v>7186</v>
      </c>
      <c r="S59">
        <v>7360</v>
      </c>
      <c r="T59">
        <v>6345</v>
      </c>
      <c r="U59">
        <v>4607</v>
      </c>
      <c r="V59">
        <v>32550</v>
      </c>
      <c r="W59">
        <v>37635</v>
      </c>
    </row>
    <row r="60" spans="2:23" x14ac:dyDescent="0.2">
      <c r="B60" s="73" t="s">
        <v>114</v>
      </c>
      <c r="C60">
        <v>4092</v>
      </c>
      <c r="D60">
        <v>4049</v>
      </c>
      <c r="E60">
        <v>4726</v>
      </c>
      <c r="F60">
        <v>4106</v>
      </c>
      <c r="G60">
        <v>2868</v>
      </c>
      <c r="H60">
        <v>19841</v>
      </c>
      <c r="I60">
        <v>22561</v>
      </c>
      <c r="J60">
        <v>5383</v>
      </c>
      <c r="K60">
        <v>4258</v>
      </c>
      <c r="L60">
        <v>4512</v>
      </c>
      <c r="M60">
        <v>3597</v>
      </c>
      <c r="N60">
        <v>2362</v>
      </c>
      <c r="O60">
        <v>20112</v>
      </c>
      <c r="P60">
        <v>22275</v>
      </c>
      <c r="Q60">
        <v>9475</v>
      </c>
      <c r="R60">
        <v>8307</v>
      </c>
      <c r="S60">
        <v>9238</v>
      </c>
      <c r="T60">
        <v>7703</v>
      </c>
      <c r="U60">
        <v>5230</v>
      </c>
      <c r="V60">
        <v>39953</v>
      </c>
      <c r="W60">
        <v>44836</v>
      </c>
    </row>
    <row r="61" spans="2:23" x14ac:dyDescent="0.2">
      <c r="B61" s="73" t="s">
        <v>115</v>
      </c>
      <c r="C61">
        <v>1667</v>
      </c>
      <c r="D61">
        <v>1887</v>
      </c>
      <c r="E61">
        <v>2072</v>
      </c>
      <c r="F61">
        <v>1718</v>
      </c>
      <c r="G61">
        <v>1181</v>
      </c>
      <c r="H61">
        <v>8525</v>
      </c>
      <c r="I61">
        <v>9739</v>
      </c>
      <c r="J61">
        <v>1806</v>
      </c>
      <c r="K61">
        <v>1640</v>
      </c>
      <c r="L61">
        <v>1580</v>
      </c>
      <c r="M61">
        <v>1316</v>
      </c>
      <c r="N61">
        <v>942</v>
      </c>
      <c r="O61">
        <v>7284</v>
      </c>
      <c r="P61">
        <v>8330</v>
      </c>
      <c r="Q61">
        <v>3473</v>
      </c>
      <c r="R61">
        <v>3527</v>
      </c>
      <c r="S61">
        <v>3652</v>
      </c>
      <c r="T61">
        <v>3034</v>
      </c>
      <c r="U61">
        <v>2123</v>
      </c>
      <c r="V61">
        <v>15809</v>
      </c>
      <c r="W61">
        <v>18069</v>
      </c>
    </row>
    <row r="62" spans="2:23" x14ac:dyDescent="0.2">
      <c r="B62" s="73" t="s">
        <v>116</v>
      </c>
      <c r="C62">
        <v>4640</v>
      </c>
      <c r="D62">
        <v>6638</v>
      </c>
      <c r="E62">
        <v>7568</v>
      </c>
      <c r="F62">
        <v>5441</v>
      </c>
      <c r="G62">
        <v>2826</v>
      </c>
      <c r="H62">
        <v>27113</v>
      </c>
      <c r="I62">
        <v>28711</v>
      </c>
      <c r="J62">
        <v>6500</v>
      </c>
      <c r="K62">
        <v>8592</v>
      </c>
      <c r="L62">
        <v>8761</v>
      </c>
      <c r="M62">
        <v>6061</v>
      </c>
      <c r="N62">
        <v>3225</v>
      </c>
      <c r="O62">
        <v>33139</v>
      </c>
      <c r="P62">
        <v>35167</v>
      </c>
      <c r="Q62">
        <v>11140</v>
      </c>
      <c r="R62">
        <v>15230</v>
      </c>
      <c r="S62">
        <v>16329</v>
      </c>
      <c r="T62">
        <v>11502</v>
      </c>
      <c r="U62">
        <v>6051</v>
      </c>
      <c r="V62">
        <v>60252</v>
      </c>
      <c r="W62">
        <v>63878</v>
      </c>
    </row>
    <row r="63" spans="2:23" x14ac:dyDescent="0.2">
      <c r="B63" s="73" t="s">
        <v>117</v>
      </c>
      <c r="C63">
        <v>544</v>
      </c>
      <c r="D63">
        <v>969</v>
      </c>
      <c r="E63">
        <v>1371</v>
      </c>
      <c r="F63">
        <v>1260</v>
      </c>
      <c r="G63">
        <v>1091</v>
      </c>
      <c r="H63">
        <v>5235</v>
      </c>
      <c r="I63">
        <v>6973</v>
      </c>
      <c r="J63">
        <v>1350</v>
      </c>
      <c r="K63">
        <v>1830</v>
      </c>
      <c r="L63">
        <v>2058</v>
      </c>
      <c r="M63">
        <v>1935</v>
      </c>
      <c r="N63">
        <v>1564</v>
      </c>
      <c r="O63">
        <v>8737</v>
      </c>
      <c r="P63">
        <v>10990</v>
      </c>
      <c r="Q63">
        <v>1894</v>
      </c>
      <c r="R63">
        <v>2799</v>
      </c>
      <c r="S63">
        <v>3429</v>
      </c>
      <c r="T63">
        <v>3195</v>
      </c>
      <c r="U63">
        <v>2655</v>
      </c>
      <c r="V63">
        <v>13972</v>
      </c>
      <c r="W63">
        <v>17963</v>
      </c>
    </row>
    <row r="64" spans="2:23" x14ac:dyDescent="0.2">
      <c r="B64" s="73" t="s">
        <v>118</v>
      </c>
      <c r="C64">
        <v>1724</v>
      </c>
      <c r="D64">
        <v>3364</v>
      </c>
      <c r="E64">
        <v>4842</v>
      </c>
      <c r="F64">
        <v>4598</v>
      </c>
      <c r="G64">
        <v>4088</v>
      </c>
      <c r="H64">
        <v>18616</v>
      </c>
      <c r="I64">
        <v>25282</v>
      </c>
      <c r="J64">
        <v>9280</v>
      </c>
      <c r="K64">
        <v>12695</v>
      </c>
      <c r="L64">
        <v>13204</v>
      </c>
      <c r="M64">
        <v>10316</v>
      </c>
      <c r="N64">
        <v>7551</v>
      </c>
      <c r="O64">
        <v>53046</v>
      </c>
      <c r="P64">
        <v>62965</v>
      </c>
      <c r="Q64">
        <v>11004</v>
      </c>
      <c r="R64">
        <v>16059</v>
      </c>
      <c r="S64">
        <v>18046</v>
      </c>
      <c r="T64">
        <v>14914</v>
      </c>
      <c r="U64">
        <v>11639</v>
      </c>
      <c r="V64">
        <v>71662</v>
      </c>
      <c r="W64">
        <v>88247</v>
      </c>
    </row>
    <row r="65" spans="2:23" x14ac:dyDescent="0.2">
      <c r="B65" s="73" t="s">
        <v>119</v>
      </c>
      <c r="C65">
        <v>1023</v>
      </c>
      <c r="D65">
        <v>1955</v>
      </c>
      <c r="E65">
        <v>2646</v>
      </c>
      <c r="F65">
        <v>2586</v>
      </c>
      <c r="G65">
        <v>1955</v>
      </c>
      <c r="H65">
        <v>10165</v>
      </c>
      <c r="I65">
        <v>12662</v>
      </c>
      <c r="J65">
        <v>5776</v>
      </c>
      <c r="K65">
        <v>7369</v>
      </c>
      <c r="L65">
        <v>7811</v>
      </c>
      <c r="M65">
        <v>6330</v>
      </c>
      <c r="N65">
        <v>4491</v>
      </c>
      <c r="O65">
        <v>31777</v>
      </c>
      <c r="P65">
        <v>36734</v>
      </c>
      <c r="Q65">
        <v>6799</v>
      </c>
      <c r="R65">
        <v>9324</v>
      </c>
      <c r="S65">
        <v>10457</v>
      </c>
      <c r="T65">
        <v>8916</v>
      </c>
      <c r="U65">
        <v>6446</v>
      </c>
      <c r="V65">
        <v>41942</v>
      </c>
      <c r="W65">
        <v>49396</v>
      </c>
    </row>
    <row r="66" spans="2:23" x14ac:dyDescent="0.2">
      <c r="B66" s="73" t="s">
        <v>120</v>
      </c>
      <c r="C66">
        <v>286</v>
      </c>
      <c r="D66">
        <v>357</v>
      </c>
      <c r="E66">
        <v>536</v>
      </c>
      <c r="F66">
        <v>545</v>
      </c>
      <c r="G66">
        <v>508</v>
      </c>
      <c r="H66">
        <v>2232</v>
      </c>
      <c r="I66">
        <v>2940</v>
      </c>
      <c r="J66">
        <v>494</v>
      </c>
      <c r="K66">
        <v>616</v>
      </c>
      <c r="L66">
        <v>855</v>
      </c>
      <c r="M66">
        <v>822</v>
      </c>
      <c r="N66">
        <v>723</v>
      </c>
      <c r="O66">
        <v>3510</v>
      </c>
      <c r="P66">
        <v>4368</v>
      </c>
      <c r="Q66">
        <v>780</v>
      </c>
      <c r="R66">
        <v>973</v>
      </c>
      <c r="S66">
        <v>1391</v>
      </c>
      <c r="T66">
        <v>1367</v>
      </c>
      <c r="U66">
        <v>1231</v>
      </c>
      <c r="V66">
        <v>5742</v>
      </c>
      <c r="W66">
        <v>7308</v>
      </c>
    </row>
    <row r="67" spans="2:23" x14ac:dyDescent="0.2">
      <c r="B67" s="73" t="s">
        <v>121</v>
      </c>
      <c r="C67">
        <v>2162</v>
      </c>
      <c r="D67">
        <v>2846</v>
      </c>
      <c r="E67">
        <v>3607</v>
      </c>
      <c r="F67">
        <v>2744</v>
      </c>
      <c r="G67">
        <v>1589</v>
      </c>
      <c r="H67">
        <v>12948</v>
      </c>
      <c r="I67">
        <v>14206</v>
      </c>
      <c r="J67">
        <v>9410</v>
      </c>
      <c r="K67">
        <v>10624</v>
      </c>
      <c r="L67">
        <v>10657</v>
      </c>
      <c r="M67">
        <v>5964</v>
      </c>
      <c r="N67">
        <v>2840</v>
      </c>
      <c r="O67">
        <v>39495</v>
      </c>
      <c r="P67">
        <v>41218</v>
      </c>
      <c r="Q67">
        <v>11572</v>
      </c>
      <c r="R67">
        <v>13470</v>
      </c>
      <c r="S67">
        <v>14264</v>
      </c>
      <c r="T67">
        <v>8708</v>
      </c>
      <c r="U67">
        <v>4429</v>
      </c>
      <c r="V67">
        <v>52443</v>
      </c>
      <c r="W67">
        <v>55424</v>
      </c>
    </row>
    <row r="68" spans="2:23" x14ac:dyDescent="0.2">
      <c r="B68" s="73" t="s">
        <v>122</v>
      </c>
      <c r="C68">
        <v>604</v>
      </c>
      <c r="D68">
        <v>1218</v>
      </c>
      <c r="E68">
        <v>1425</v>
      </c>
      <c r="F68">
        <v>905</v>
      </c>
      <c r="G68">
        <v>291</v>
      </c>
      <c r="H68">
        <v>4443</v>
      </c>
      <c r="I68">
        <v>4537</v>
      </c>
      <c r="J68">
        <v>1652</v>
      </c>
      <c r="K68">
        <v>2955</v>
      </c>
      <c r="L68">
        <v>3116</v>
      </c>
      <c r="M68">
        <v>1582</v>
      </c>
      <c r="N68">
        <v>464</v>
      </c>
      <c r="O68">
        <v>9769</v>
      </c>
      <c r="P68">
        <v>9893</v>
      </c>
      <c r="Q68">
        <v>2256</v>
      </c>
      <c r="R68">
        <v>4173</v>
      </c>
      <c r="S68">
        <v>4541</v>
      </c>
      <c r="T68">
        <v>2487</v>
      </c>
      <c r="U68">
        <v>755</v>
      </c>
      <c r="V68">
        <v>14212</v>
      </c>
      <c r="W68">
        <v>14430</v>
      </c>
    </row>
    <row r="69" spans="2:23" x14ac:dyDescent="0.2">
      <c r="B69" s="73" t="s">
        <v>123</v>
      </c>
      <c r="C69">
        <v>3499</v>
      </c>
      <c r="D69">
        <v>5840</v>
      </c>
      <c r="E69">
        <v>8295</v>
      </c>
      <c r="F69">
        <v>6545</v>
      </c>
      <c r="G69">
        <v>2915</v>
      </c>
      <c r="H69">
        <v>27094</v>
      </c>
      <c r="I69">
        <v>28213</v>
      </c>
      <c r="J69">
        <v>11070</v>
      </c>
      <c r="K69">
        <v>17556</v>
      </c>
      <c r="L69">
        <v>21545</v>
      </c>
      <c r="M69">
        <v>15019</v>
      </c>
      <c r="N69">
        <v>5920</v>
      </c>
      <c r="O69">
        <v>71110</v>
      </c>
      <c r="P69">
        <v>72899</v>
      </c>
      <c r="Q69">
        <v>14569</v>
      </c>
      <c r="R69">
        <v>23396</v>
      </c>
      <c r="S69">
        <v>29840</v>
      </c>
      <c r="T69">
        <v>21564</v>
      </c>
      <c r="U69">
        <v>8835</v>
      </c>
      <c r="V69">
        <v>98204</v>
      </c>
      <c r="W69">
        <v>101112</v>
      </c>
    </row>
    <row r="70" spans="2:23" x14ac:dyDescent="0.2">
      <c r="B70" s="73" t="s">
        <v>124</v>
      </c>
      <c r="C70">
        <v>756</v>
      </c>
      <c r="D70">
        <v>2330</v>
      </c>
      <c r="E70">
        <v>3881</v>
      </c>
      <c r="F70">
        <v>3136</v>
      </c>
      <c r="G70">
        <v>1486</v>
      </c>
      <c r="H70">
        <v>11589</v>
      </c>
      <c r="I70">
        <v>12322</v>
      </c>
      <c r="J70">
        <v>1827</v>
      </c>
      <c r="K70">
        <v>4248</v>
      </c>
      <c r="L70">
        <v>4839</v>
      </c>
      <c r="M70">
        <v>2861</v>
      </c>
      <c r="N70">
        <v>1128</v>
      </c>
      <c r="O70">
        <v>14903</v>
      </c>
      <c r="P70">
        <v>15390</v>
      </c>
      <c r="Q70">
        <v>2583</v>
      </c>
      <c r="R70">
        <v>6578</v>
      </c>
      <c r="S70">
        <v>8720</v>
      </c>
      <c r="T70">
        <v>5997</v>
      </c>
      <c r="U70">
        <v>2614</v>
      </c>
      <c r="V70">
        <v>26492</v>
      </c>
      <c r="W70">
        <v>27712</v>
      </c>
    </row>
    <row r="71" spans="2:23" x14ac:dyDescent="0.2">
      <c r="B71" s="73" t="s">
        <v>125</v>
      </c>
      <c r="C71">
        <v>487</v>
      </c>
      <c r="D71">
        <v>1729</v>
      </c>
      <c r="E71">
        <v>2270</v>
      </c>
      <c r="F71">
        <v>1217</v>
      </c>
      <c r="G71">
        <v>425</v>
      </c>
      <c r="H71">
        <v>6128</v>
      </c>
      <c r="I71">
        <v>6376</v>
      </c>
      <c r="J71">
        <v>1077</v>
      </c>
      <c r="K71">
        <v>2906</v>
      </c>
      <c r="L71">
        <v>3052</v>
      </c>
      <c r="M71">
        <v>1502</v>
      </c>
      <c r="N71">
        <v>487</v>
      </c>
      <c r="O71">
        <v>9024</v>
      </c>
      <c r="P71">
        <v>9221</v>
      </c>
      <c r="Q71">
        <v>1564</v>
      </c>
      <c r="R71">
        <v>4635</v>
      </c>
      <c r="S71">
        <v>5322</v>
      </c>
      <c r="T71">
        <v>2719</v>
      </c>
      <c r="U71">
        <v>912</v>
      </c>
      <c r="V71">
        <v>15152</v>
      </c>
      <c r="W71">
        <v>15597</v>
      </c>
    </row>
    <row r="72" spans="2:23" x14ac:dyDescent="0.2">
      <c r="B72" s="73" t="s">
        <v>126</v>
      </c>
      <c r="C72">
        <v>1114</v>
      </c>
      <c r="D72">
        <v>776</v>
      </c>
      <c r="E72">
        <v>702</v>
      </c>
      <c r="F72">
        <v>542</v>
      </c>
      <c r="G72">
        <v>377</v>
      </c>
      <c r="H72">
        <v>3511</v>
      </c>
      <c r="I72">
        <v>3793</v>
      </c>
      <c r="J72">
        <v>2226</v>
      </c>
      <c r="K72">
        <v>1774</v>
      </c>
      <c r="L72">
        <v>1692</v>
      </c>
      <c r="M72">
        <v>1317</v>
      </c>
      <c r="N72">
        <v>915</v>
      </c>
      <c r="O72">
        <v>7924</v>
      </c>
      <c r="P72">
        <v>8712</v>
      </c>
      <c r="Q72">
        <v>3340</v>
      </c>
      <c r="R72">
        <v>2550</v>
      </c>
      <c r="S72">
        <v>2394</v>
      </c>
      <c r="T72">
        <v>1859</v>
      </c>
      <c r="U72">
        <v>1292</v>
      </c>
      <c r="V72">
        <v>11435</v>
      </c>
      <c r="W72">
        <v>12505</v>
      </c>
    </row>
    <row r="73" spans="2:23" x14ac:dyDescent="0.2">
      <c r="B73" s="73" t="s">
        <v>127</v>
      </c>
      <c r="C73">
        <v>588</v>
      </c>
      <c r="D73">
        <v>422</v>
      </c>
      <c r="E73">
        <v>351</v>
      </c>
      <c r="F73">
        <v>291</v>
      </c>
      <c r="G73">
        <v>186</v>
      </c>
      <c r="H73">
        <v>1838</v>
      </c>
      <c r="I73">
        <v>1953</v>
      </c>
      <c r="J73">
        <v>827</v>
      </c>
      <c r="K73">
        <v>674</v>
      </c>
      <c r="L73">
        <v>630</v>
      </c>
      <c r="M73">
        <v>469</v>
      </c>
      <c r="N73">
        <v>303</v>
      </c>
      <c r="O73">
        <v>2903</v>
      </c>
      <c r="P73">
        <v>3082</v>
      </c>
      <c r="Q73">
        <v>1415</v>
      </c>
      <c r="R73">
        <v>1096</v>
      </c>
      <c r="S73">
        <v>981</v>
      </c>
      <c r="T73">
        <v>760</v>
      </c>
      <c r="U73">
        <v>489</v>
      </c>
      <c r="V73">
        <v>4741</v>
      </c>
      <c r="W73">
        <v>5035</v>
      </c>
    </row>
    <row r="74" spans="2:23" x14ac:dyDescent="0.2">
      <c r="B74" s="73" t="s">
        <v>128</v>
      </c>
      <c r="C74">
        <v>873</v>
      </c>
      <c r="D74">
        <v>815</v>
      </c>
      <c r="E74">
        <v>683</v>
      </c>
      <c r="F74">
        <v>477</v>
      </c>
      <c r="G74">
        <v>312</v>
      </c>
      <c r="H74">
        <v>3160</v>
      </c>
      <c r="I74">
        <v>3413</v>
      </c>
      <c r="J74">
        <v>1548</v>
      </c>
      <c r="K74">
        <v>1521</v>
      </c>
      <c r="L74">
        <v>1503</v>
      </c>
      <c r="M74">
        <v>1084</v>
      </c>
      <c r="N74">
        <v>746</v>
      </c>
      <c r="O74">
        <v>6402</v>
      </c>
      <c r="P74">
        <v>6977</v>
      </c>
      <c r="Q74">
        <v>2421</v>
      </c>
      <c r="R74">
        <v>2336</v>
      </c>
      <c r="S74">
        <v>2186</v>
      </c>
      <c r="T74">
        <v>1561</v>
      </c>
      <c r="U74">
        <v>1058</v>
      </c>
      <c r="V74">
        <v>9562</v>
      </c>
      <c r="W74">
        <v>10390</v>
      </c>
    </row>
    <row r="75" spans="2:23" x14ac:dyDescent="0.2">
      <c r="B75" s="73" t="s">
        <v>129</v>
      </c>
      <c r="C75">
        <v>993</v>
      </c>
      <c r="D75">
        <v>532</v>
      </c>
      <c r="E75">
        <v>263</v>
      </c>
      <c r="F75">
        <v>139</v>
      </c>
      <c r="G75">
        <v>70</v>
      </c>
      <c r="H75">
        <v>1997</v>
      </c>
      <c r="I75">
        <v>2108</v>
      </c>
      <c r="J75">
        <v>1473</v>
      </c>
      <c r="K75">
        <v>557</v>
      </c>
      <c r="L75">
        <v>371</v>
      </c>
      <c r="M75">
        <v>209</v>
      </c>
      <c r="N75">
        <v>127</v>
      </c>
      <c r="O75">
        <v>2737</v>
      </c>
      <c r="P75">
        <v>2856</v>
      </c>
      <c r="Q75">
        <v>2466</v>
      </c>
      <c r="R75">
        <v>1089</v>
      </c>
      <c r="S75">
        <v>634</v>
      </c>
      <c r="T75">
        <v>348</v>
      </c>
      <c r="U75">
        <v>197</v>
      </c>
      <c r="V75">
        <v>4734</v>
      </c>
      <c r="W75">
        <v>4964</v>
      </c>
    </row>
    <row r="76" spans="2:23" x14ac:dyDescent="0.2">
      <c r="B76" s="73" t="s">
        <v>130</v>
      </c>
      <c r="C76">
        <v>846</v>
      </c>
      <c r="D76">
        <v>676</v>
      </c>
      <c r="E76">
        <v>723</v>
      </c>
      <c r="F76">
        <v>462</v>
      </c>
      <c r="G76">
        <v>211</v>
      </c>
      <c r="H76">
        <v>2918</v>
      </c>
      <c r="I76">
        <v>3073</v>
      </c>
      <c r="J76">
        <v>1320</v>
      </c>
      <c r="K76">
        <v>1040</v>
      </c>
      <c r="L76">
        <v>943</v>
      </c>
      <c r="M76">
        <v>572</v>
      </c>
      <c r="N76">
        <v>240</v>
      </c>
      <c r="O76">
        <v>4115</v>
      </c>
      <c r="P76">
        <v>4313</v>
      </c>
      <c r="Q76">
        <v>2166</v>
      </c>
      <c r="R76">
        <v>1716</v>
      </c>
      <c r="S76">
        <v>1666</v>
      </c>
      <c r="T76">
        <v>1034</v>
      </c>
      <c r="U76">
        <v>451</v>
      </c>
      <c r="V76">
        <v>7033</v>
      </c>
      <c r="W76">
        <v>7386</v>
      </c>
    </row>
    <row r="77" spans="2:23" x14ac:dyDescent="0.2">
      <c r="B77" s="73" t="s">
        <v>131</v>
      </c>
      <c r="C77">
        <v>1739</v>
      </c>
      <c r="D77">
        <v>2006</v>
      </c>
      <c r="E77">
        <v>2239</v>
      </c>
      <c r="F77">
        <v>1655</v>
      </c>
      <c r="G77">
        <v>994</v>
      </c>
      <c r="H77">
        <v>8633</v>
      </c>
      <c r="I77">
        <v>9487</v>
      </c>
      <c r="J77">
        <v>4472</v>
      </c>
      <c r="K77">
        <v>4919</v>
      </c>
      <c r="L77">
        <v>4865</v>
      </c>
      <c r="M77">
        <v>3267</v>
      </c>
      <c r="N77">
        <v>1941</v>
      </c>
      <c r="O77">
        <v>19464</v>
      </c>
      <c r="P77">
        <v>21008</v>
      </c>
      <c r="Q77">
        <v>6211</v>
      </c>
      <c r="R77">
        <v>6925</v>
      </c>
      <c r="S77">
        <v>7104</v>
      </c>
      <c r="T77">
        <v>4922</v>
      </c>
      <c r="U77">
        <v>2935</v>
      </c>
      <c r="V77">
        <v>28097</v>
      </c>
      <c r="W77">
        <v>30495</v>
      </c>
    </row>
    <row r="78" spans="2:23" x14ac:dyDescent="0.2">
      <c r="B78" s="73" t="s">
        <v>132</v>
      </c>
      <c r="C78">
        <v>790</v>
      </c>
      <c r="D78">
        <v>1045</v>
      </c>
      <c r="E78">
        <v>1202</v>
      </c>
      <c r="F78">
        <v>1132</v>
      </c>
      <c r="G78">
        <v>612</v>
      </c>
      <c r="H78">
        <v>4781</v>
      </c>
      <c r="I78">
        <v>5118</v>
      </c>
      <c r="J78">
        <v>674</v>
      </c>
      <c r="K78">
        <v>899</v>
      </c>
      <c r="L78">
        <v>925</v>
      </c>
      <c r="M78">
        <v>762</v>
      </c>
      <c r="N78">
        <v>393</v>
      </c>
      <c r="O78">
        <v>3653</v>
      </c>
      <c r="P78">
        <v>3848</v>
      </c>
      <c r="Q78">
        <v>1464</v>
      </c>
      <c r="R78">
        <v>1944</v>
      </c>
      <c r="S78">
        <v>2127</v>
      </c>
      <c r="T78">
        <v>1894</v>
      </c>
      <c r="U78">
        <v>1005</v>
      </c>
      <c r="V78">
        <v>8434</v>
      </c>
      <c r="W78">
        <v>8966</v>
      </c>
    </row>
    <row r="79" spans="2:23" x14ac:dyDescent="0.2">
      <c r="B79" s="73" t="s">
        <v>133</v>
      </c>
      <c r="C79">
        <v>867</v>
      </c>
      <c r="D79">
        <v>1246</v>
      </c>
      <c r="E79">
        <v>1760</v>
      </c>
      <c r="F79">
        <v>2151</v>
      </c>
      <c r="G79">
        <v>2981</v>
      </c>
      <c r="H79">
        <v>9005</v>
      </c>
      <c r="I79">
        <v>10821</v>
      </c>
      <c r="J79">
        <v>1346</v>
      </c>
      <c r="K79">
        <v>1473</v>
      </c>
      <c r="L79">
        <v>1623</v>
      </c>
      <c r="M79">
        <v>1464</v>
      </c>
      <c r="N79">
        <v>1363</v>
      </c>
      <c r="O79">
        <v>7269</v>
      </c>
      <c r="P79">
        <v>7929</v>
      </c>
      <c r="Q79">
        <v>2213</v>
      </c>
      <c r="R79">
        <v>2719</v>
      </c>
      <c r="S79">
        <v>3383</v>
      </c>
      <c r="T79">
        <v>3615</v>
      </c>
      <c r="U79">
        <v>4344</v>
      </c>
      <c r="V79">
        <v>16274</v>
      </c>
      <c r="W79">
        <v>18750</v>
      </c>
    </row>
    <row r="80" spans="2:23" x14ac:dyDescent="0.2">
      <c r="B80" s="73" t="s">
        <v>134</v>
      </c>
      <c r="C80">
        <v>1534</v>
      </c>
      <c r="D80">
        <v>2200</v>
      </c>
      <c r="E80">
        <v>2873</v>
      </c>
      <c r="F80">
        <v>2999</v>
      </c>
      <c r="G80">
        <v>2510</v>
      </c>
      <c r="H80">
        <v>12116</v>
      </c>
      <c r="I80">
        <v>15035</v>
      </c>
      <c r="J80">
        <v>2205</v>
      </c>
      <c r="K80">
        <v>2909</v>
      </c>
      <c r="L80">
        <v>3691</v>
      </c>
      <c r="M80">
        <v>3567</v>
      </c>
      <c r="N80">
        <v>2959</v>
      </c>
      <c r="O80">
        <v>15331</v>
      </c>
      <c r="P80">
        <v>18482</v>
      </c>
      <c r="Q80">
        <v>3739</v>
      </c>
      <c r="R80">
        <v>5109</v>
      </c>
      <c r="S80">
        <v>6564</v>
      </c>
      <c r="T80">
        <v>6566</v>
      </c>
      <c r="U80">
        <v>5469</v>
      </c>
      <c r="V80">
        <v>27447</v>
      </c>
      <c r="W80">
        <v>33517</v>
      </c>
    </row>
    <row r="81" spans="1:23" x14ac:dyDescent="0.2">
      <c r="B81" s="73" t="s">
        <v>54</v>
      </c>
      <c r="C81">
        <v>81500</v>
      </c>
      <c r="D81">
        <v>85600</v>
      </c>
      <c r="E81">
        <v>101012</v>
      </c>
      <c r="F81">
        <v>88115</v>
      </c>
      <c r="G81">
        <v>65651</v>
      </c>
      <c r="H81">
        <v>421878</v>
      </c>
      <c r="I81">
        <v>495103</v>
      </c>
      <c r="J81">
        <v>107783</v>
      </c>
      <c r="K81">
        <v>124139</v>
      </c>
      <c r="L81">
        <v>132375</v>
      </c>
      <c r="M81">
        <v>99924</v>
      </c>
      <c r="N81">
        <v>64452</v>
      </c>
      <c r="O81">
        <v>528673</v>
      </c>
      <c r="P81">
        <v>591599</v>
      </c>
      <c r="Q81">
        <v>189283</v>
      </c>
      <c r="R81">
        <v>209739</v>
      </c>
      <c r="S81">
        <v>233387</v>
      </c>
      <c r="T81">
        <v>188039</v>
      </c>
      <c r="U81">
        <v>130103</v>
      </c>
      <c r="V81">
        <v>950551</v>
      </c>
      <c r="W81">
        <v>1086702</v>
      </c>
    </row>
    <row r="84" spans="1:23" x14ac:dyDescent="0.2">
      <c r="A84" t="s">
        <v>65</v>
      </c>
      <c r="B84" t="s">
        <v>92</v>
      </c>
      <c r="C84" t="s">
        <v>94</v>
      </c>
      <c r="D84" t="s">
        <v>95</v>
      </c>
      <c r="E84" t="s">
        <v>96</v>
      </c>
      <c r="F84" t="s">
        <v>97</v>
      </c>
      <c r="G84" t="s">
        <v>98</v>
      </c>
      <c r="H84" t="s">
        <v>139</v>
      </c>
      <c r="I84" t="s">
        <v>58</v>
      </c>
    </row>
    <row r="85" spans="1:23" x14ac:dyDescent="0.2">
      <c r="A85" t="s">
        <v>66</v>
      </c>
      <c r="B85" t="s">
        <v>100</v>
      </c>
      <c r="C85">
        <v>81500</v>
      </c>
      <c r="D85">
        <v>85600</v>
      </c>
      <c r="E85">
        <v>101012</v>
      </c>
      <c r="F85">
        <v>88115</v>
      </c>
      <c r="G85">
        <v>65651</v>
      </c>
      <c r="H85">
        <v>421878</v>
      </c>
      <c r="I85">
        <v>495103</v>
      </c>
    </row>
    <row r="86" spans="1:23" x14ac:dyDescent="0.2">
      <c r="A86" t="s">
        <v>66</v>
      </c>
      <c r="B86" t="s">
        <v>101</v>
      </c>
      <c r="C86">
        <v>5321</v>
      </c>
      <c r="D86">
        <v>5359</v>
      </c>
      <c r="E86">
        <v>5828</v>
      </c>
      <c r="F86">
        <v>5172</v>
      </c>
      <c r="G86">
        <v>4536</v>
      </c>
      <c r="H86">
        <v>26216</v>
      </c>
      <c r="I86">
        <v>31738</v>
      </c>
    </row>
    <row r="87" spans="1:23" x14ac:dyDescent="0.2">
      <c r="A87" t="s">
        <v>66</v>
      </c>
      <c r="B87" t="s">
        <v>102</v>
      </c>
      <c r="C87">
        <v>6869</v>
      </c>
      <c r="D87">
        <v>6253</v>
      </c>
      <c r="E87">
        <v>6036</v>
      </c>
      <c r="F87">
        <v>5036</v>
      </c>
      <c r="G87">
        <v>4242</v>
      </c>
      <c r="H87">
        <v>28436</v>
      </c>
      <c r="I87">
        <v>34069</v>
      </c>
    </row>
    <row r="88" spans="1:23" x14ac:dyDescent="0.2">
      <c r="A88" t="s">
        <v>66</v>
      </c>
      <c r="B88" t="s">
        <v>103</v>
      </c>
      <c r="C88">
        <v>7472</v>
      </c>
      <c r="D88">
        <v>5779</v>
      </c>
      <c r="E88">
        <v>6546</v>
      </c>
      <c r="F88">
        <v>6305</v>
      </c>
      <c r="G88">
        <v>5528</v>
      </c>
      <c r="H88">
        <v>31630</v>
      </c>
      <c r="I88">
        <v>38891</v>
      </c>
    </row>
    <row r="89" spans="1:23" x14ac:dyDescent="0.2">
      <c r="A89" t="s">
        <v>66</v>
      </c>
      <c r="B89" t="s">
        <v>104</v>
      </c>
      <c r="C89">
        <v>722</v>
      </c>
      <c r="D89">
        <v>680</v>
      </c>
      <c r="E89">
        <v>765</v>
      </c>
      <c r="F89">
        <v>649</v>
      </c>
      <c r="G89">
        <v>526</v>
      </c>
      <c r="H89">
        <v>3342</v>
      </c>
      <c r="I89">
        <v>3898</v>
      </c>
    </row>
    <row r="90" spans="1:23" x14ac:dyDescent="0.2">
      <c r="A90" t="s">
        <v>66</v>
      </c>
      <c r="B90" t="s">
        <v>105</v>
      </c>
      <c r="C90">
        <v>16859</v>
      </c>
      <c r="D90">
        <v>10053</v>
      </c>
      <c r="E90">
        <v>9976</v>
      </c>
      <c r="F90">
        <v>9027</v>
      </c>
      <c r="G90">
        <v>7544</v>
      </c>
      <c r="H90">
        <v>53459</v>
      </c>
      <c r="I90">
        <v>66415</v>
      </c>
    </row>
    <row r="91" spans="1:23" x14ac:dyDescent="0.2">
      <c r="A91" t="s">
        <v>66</v>
      </c>
      <c r="B91" t="s">
        <v>106</v>
      </c>
      <c r="C91">
        <v>4572</v>
      </c>
      <c r="D91">
        <v>2025</v>
      </c>
      <c r="E91">
        <v>1649</v>
      </c>
      <c r="F91">
        <v>1273</v>
      </c>
      <c r="G91">
        <v>942</v>
      </c>
      <c r="H91">
        <v>10461</v>
      </c>
      <c r="I91">
        <v>11594</v>
      </c>
    </row>
    <row r="92" spans="1:23" x14ac:dyDescent="0.2">
      <c r="A92" t="s">
        <v>66</v>
      </c>
      <c r="B92" t="s">
        <v>107</v>
      </c>
      <c r="C92">
        <v>857</v>
      </c>
      <c r="D92">
        <v>1403</v>
      </c>
      <c r="E92">
        <v>2132</v>
      </c>
      <c r="F92">
        <v>2361</v>
      </c>
      <c r="G92">
        <v>2064</v>
      </c>
      <c r="H92">
        <v>8817</v>
      </c>
      <c r="I92">
        <v>10343</v>
      </c>
    </row>
    <row r="93" spans="1:23" x14ac:dyDescent="0.2">
      <c r="A93" t="s">
        <v>66</v>
      </c>
      <c r="B93" t="s">
        <v>239</v>
      </c>
      <c r="C93">
        <v>997</v>
      </c>
      <c r="D93">
        <v>1352</v>
      </c>
      <c r="E93">
        <v>1772</v>
      </c>
      <c r="F93">
        <v>2112</v>
      </c>
      <c r="G93">
        <v>1884</v>
      </c>
      <c r="H93">
        <v>8117</v>
      </c>
      <c r="I93">
        <v>10353</v>
      </c>
    </row>
    <row r="94" spans="1:23" x14ac:dyDescent="0.2">
      <c r="A94" t="s">
        <v>66</v>
      </c>
      <c r="B94" t="s">
        <v>109</v>
      </c>
      <c r="C94">
        <v>394</v>
      </c>
      <c r="D94">
        <v>868</v>
      </c>
      <c r="E94">
        <v>1431</v>
      </c>
      <c r="F94">
        <v>1646</v>
      </c>
      <c r="G94">
        <v>1582</v>
      </c>
      <c r="H94">
        <v>5921</v>
      </c>
      <c r="I94">
        <v>7508</v>
      </c>
    </row>
    <row r="95" spans="1:23" x14ac:dyDescent="0.2">
      <c r="A95" t="s">
        <v>66</v>
      </c>
      <c r="B95" t="s">
        <v>110</v>
      </c>
      <c r="C95">
        <v>0</v>
      </c>
      <c r="D95">
        <v>3</v>
      </c>
      <c r="E95">
        <v>14</v>
      </c>
      <c r="F95">
        <v>9</v>
      </c>
      <c r="G95">
        <v>9</v>
      </c>
      <c r="H95">
        <v>35</v>
      </c>
      <c r="I95">
        <v>52</v>
      </c>
    </row>
    <row r="96" spans="1:23" x14ac:dyDescent="0.2">
      <c r="A96" t="s">
        <v>66</v>
      </c>
      <c r="B96" t="s">
        <v>111</v>
      </c>
      <c r="C96">
        <v>193</v>
      </c>
      <c r="D96">
        <v>478</v>
      </c>
      <c r="E96">
        <v>623</v>
      </c>
      <c r="F96">
        <v>555</v>
      </c>
      <c r="G96">
        <v>554</v>
      </c>
      <c r="H96">
        <v>2403</v>
      </c>
      <c r="I96">
        <v>3367</v>
      </c>
    </row>
    <row r="97" spans="1:9" x14ac:dyDescent="0.2">
      <c r="A97" t="s">
        <v>66</v>
      </c>
      <c r="B97" t="s">
        <v>112</v>
      </c>
      <c r="C97">
        <v>1900</v>
      </c>
      <c r="D97">
        <v>3659</v>
      </c>
      <c r="E97">
        <v>5235</v>
      </c>
      <c r="F97">
        <v>4966</v>
      </c>
      <c r="G97">
        <v>3538</v>
      </c>
      <c r="H97">
        <v>19298</v>
      </c>
      <c r="I97">
        <v>22120</v>
      </c>
    </row>
    <row r="98" spans="1:9" x14ac:dyDescent="0.2">
      <c r="A98" t="s">
        <v>66</v>
      </c>
      <c r="B98" t="s">
        <v>113</v>
      </c>
      <c r="C98">
        <v>4516</v>
      </c>
      <c r="D98">
        <v>4788</v>
      </c>
      <c r="E98">
        <v>4970</v>
      </c>
      <c r="F98">
        <v>4355</v>
      </c>
      <c r="G98">
        <v>3226</v>
      </c>
      <c r="H98">
        <v>21855</v>
      </c>
      <c r="I98">
        <v>25432</v>
      </c>
    </row>
    <row r="99" spans="1:9" x14ac:dyDescent="0.2">
      <c r="A99" t="s">
        <v>66</v>
      </c>
      <c r="B99" t="s">
        <v>114</v>
      </c>
      <c r="C99">
        <v>4092</v>
      </c>
      <c r="D99">
        <v>4049</v>
      </c>
      <c r="E99">
        <v>4726</v>
      </c>
      <c r="F99">
        <v>4106</v>
      </c>
      <c r="G99">
        <v>2868</v>
      </c>
      <c r="H99">
        <v>19841</v>
      </c>
      <c r="I99">
        <v>22561</v>
      </c>
    </row>
    <row r="100" spans="1:9" x14ac:dyDescent="0.2">
      <c r="A100" t="s">
        <v>66</v>
      </c>
      <c r="B100" t="s">
        <v>115</v>
      </c>
      <c r="C100">
        <v>1667</v>
      </c>
      <c r="D100">
        <v>1887</v>
      </c>
      <c r="E100">
        <v>2072</v>
      </c>
      <c r="F100">
        <v>1718</v>
      </c>
      <c r="G100">
        <v>1181</v>
      </c>
      <c r="H100">
        <v>8525</v>
      </c>
      <c r="I100">
        <v>9739</v>
      </c>
    </row>
    <row r="101" spans="1:9" x14ac:dyDescent="0.2">
      <c r="A101" t="s">
        <v>66</v>
      </c>
      <c r="B101" t="s">
        <v>116</v>
      </c>
      <c r="C101">
        <v>4640</v>
      </c>
      <c r="D101">
        <v>6638</v>
      </c>
      <c r="E101">
        <v>7568</v>
      </c>
      <c r="F101">
        <v>5441</v>
      </c>
      <c r="G101">
        <v>2826</v>
      </c>
      <c r="H101">
        <v>27113</v>
      </c>
      <c r="I101">
        <v>28711</v>
      </c>
    </row>
    <row r="102" spans="1:9" x14ac:dyDescent="0.2">
      <c r="A102" t="s">
        <v>66</v>
      </c>
      <c r="B102" t="s">
        <v>117</v>
      </c>
      <c r="C102">
        <v>544</v>
      </c>
      <c r="D102">
        <v>969</v>
      </c>
      <c r="E102">
        <v>1371</v>
      </c>
      <c r="F102">
        <v>1260</v>
      </c>
      <c r="G102">
        <v>1091</v>
      </c>
      <c r="H102">
        <v>5235</v>
      </c>
      <c r="I102">
        <v>6973</v>
      </c>
    </row>
    <row r="103" spans="1:9" x14ac:dyDescent="0.2">
      <c r="A103" t="s">
        <v>66</v>
      </c>
      <c r="B103" t="s">
        <v>118</v>
      </c>
      <c r="C103">
        <v>1724</v>
      </c>
      <c r="D103">
        <v>3364</v>
      </c>
      <c r="E103">
        <v>4842</v>
      </c>
      <c r="F103">
        <v>4598</v>
      </c>
      <c r="G103">
        <v>4088</v>
      </c>
      <c r="H103">
        <v>18616</v>
      </c>
      <c r="I103">
        <v>25282</v>
      </c>
    </row>
    <row r="104" spans="1:9" x14ac:dyDescent="0.2">
      <c r="A104" t="s">
        <v>66</v>
      </c>
      <c r="B104" t="s">
        <v>119</v>
      </c>
      <c r="C104">
        <v>1023</v>
      </c>
      <c r="D104">
        <v>1955</v>
      </c>
      <c r="E104">
        <v>2646</v>
      </c>
      <c r="F104">
        <v>2586</v>
      </c>
      <c r="G104">
        <v>1955</v>
      </c>
      <c r="H104">
        <v>10165</v>
      </c>
      <c r="I104">
        <v>12662</v>
      </c>
    </row>
    <row r="105" spans="1:9" x14ac:dyDescent="0.2">
      <c r="A105" t="s">
        <v>66</v>
      </c>
      <c r="B105" t="s">
        <v>120</v>
      </c>
      <c r="C105">
        <v>286</v>
      </c>
      <c r="D105">
        <v>357</v>
      </c>
      <c r="E105">
        <v>536</v>
      </c>
      <c r="F105">
        <v>545</v>
      </c>
      <c r="G105">
        <v>508</v>
      </c>
      <c r="H105">
        <v>2232</v>
      </c>
      <c r="I105">
        <v>2940</v>
      </c>
    </row>
    <row r="106" spans="1:9" x14ac:dyDescent="0.2">
      <c r="A106" t="s">
        <v>66</v>
      </c>
      <c r="B106" t="s">
        <v>121</v>
      </c>
      <c r="C106">
        <v>2162</v>
      </c>
      <c r="D106">
        <v>2846</v>
      </c>
      <c r="E106">
        <v>3607</v>
      </c>
      <c r="F106">
        <v>2744</v>
      </c>
      <c r="G106">
        <v>1589</v>
      </c>
      <c r="H106">
        <v>12948</v>
      </c>
      <c r="I106">
        <v>14206</v>
      </c>
    </row>
    <row r="107" spans="1:9" x14ac:dyDescent="0.2">
      <c r="A107" t="s">
        <v>66</v>
      </c>
      <c r="B107" t="s">
        <v>122</v>
      </c>
      <c r="C107">
        <v>604</v>
      </c>
      <c r="D107">
        <v>1218</v>
      </c>
      <c r="E107">
        <v>1425</v>
      </c>
      <c r="F107">
        <v>905</v>
      </c>
      <c r="G107">
        <v>291</v>
      </c>
      <c r="H107">
        <v>4443</v>
      </c>
      <c r="I107">
        <v>4537</v>
      </c>
    </row>
    <row r="108" spans="1:9" x14ac:dyDescent="0.2">
      <c r="A108" t="s">
        <v>66</v>
      </c>
      <c r="B108" t="s">
        <v>123</v>
      </c>
      <c r="C108">
        <v>3499</v>
      </c>
      <c r="D108">
        <v>5840</v>
      </c>
      <c r="E108">
        <v>8295</v>
      </c>
      <c r="F108">
        <v>6545</v>
      </c>
      <c r="G108">
        <v>2915</v>
      </c>
      <c r="H108">
        <v>27094</v>
      </c>
      <c r="I108">
        <v>28213</v>
      </c>
    </row>
    <row r="109" spans="1:9" x14ac:dyDescent="0.2">
      <c r="A109" t="s">
        <v>66</v>
      </c>
      <c r="B109" t="s">
        <v>124</v>
      </c>
      <c r="C109">
        <v>756</v>
      </c>
      <c r="D109">
        <v>2330</v>
      </c>
      <c r="E109">
        <v>3881</v>
      </c>
      <c r="F109">
        <v>3136</v>
      </c>
      <c r="G109">
        <v>1486</v>
      </c>
      <c r="H109">
        <v>11589</v>
      </c>
      <c r="I109">
        <v>12322</v>
      </c>
    </row>
    <row r="110" spans="1:9" x14ac:dyDescent="0.2">
      <c r="A110" t="s">
        <v>66</v>
      </c>
      <c r="B110" t="s">
        <v>125</v>
      </c>
      <c r="C110">
        <v>487</v>
      </c>
      <c r="D110">
        <v>1729</v>
      </c>
      <c r="E110">
        <v>2270</v>
      </c>
      <c r="F110">
        <v>1217</v>
      </c>
      <c r="G110">
        <v>425</v>
      </c>
      <c r="H110">
        <v>6128</v>
      </c>
      <c r="I110">
        <v>6376</v>
      </c>
    </row>
    <row r="111" spans="1:9" x14ac:dyDescent="0.2">
      <c r="A111" t="s">
        <v>66</v>
      </c>
      <c r="B111" t="s">
        <v>126</v>
      </c>
      <c r="C111">
        <v>1114</v>
      </c>
      <c r="D111">
        <v>776</v>
      </c>
      <c r="E111">
        <v>702</v>
      </c>
      <c r="F111">
        <v>542</v>
      </c>
      <c r="G111">
        <v>377</v>
      </c>
      <c r="H111">
        <v>3511</v>
      </c>
      <c r="I111">
        <v>3793</v>
      </c>
    </row>
    <row r="112" spans="1:9" x14ac:dyDescent="0.2">
      <c r="A112" t="s">
        <v>66</v>
      </c>
      <c r="B112" t="s">
        <v>127</v>
      </c>
      <c r="C112">
        <v>588</v>
      </c>
      <c r="D112">
        <v>422</v>
      </c>
      <c r="E112">
        <v>351</v>
      </c>
      <c r="F112">
        <v>291</v>
      </c>
      <c r="G112">
        <v>186</v>
      </c>
      <c r="H112">
        <v>1838</v>
      </c>
      <c r="I112">
        <v>1953</v>
      </c>
    </row>
    <row r="113" spans="1:9" x14ac:dyDescent="0.2">
      <c r="A113" t="s">
        <v>66</v>
      </c>
      <c r="B113" t="s">
        <v>128</v>
      </c>
      <c r="C113">
        <v>873</v>
      </c>
      <c r="D113">
        <v>815</v>
      </c>
      <c r="E113">
        <v>683</v>
      </c>
      <c r="F113">
        <v>477</v>
      </c>
      <c r="G113">
        <v>312</v>
      </c>
      <c r="H113">
        <v>3160</v>
      </c>
      <c r="I113">
        <v>3413</v>
      </c>
    </row>
    <row r="114" spans="1:9" x14ac:dyDescent="0.2">
      <c r="A114" t="s">
        <v>66</v>
      </c>
      <c r="B114" t="s">
        <v>129</v>
      </c>
      <c r="C114">
        <v>993</v>
      </c>
      <c r="D114">
        <v>532</v>
      </c>
      <c r="E114">
        <v>263</v>
      </c>
      <c r="F114">
        <v>139</v>
      </c>
      <c r="G114">
        <v>70</v>
      </c>
      <c r="H114">
        <v>1997</v>
      </c>
      <c r="I114">
        <v>2108</v>
      </c>
    </row>
    <row r="115" spans="1:9" x14ac:dyDescent="0.2">
      <c r="A115" t="s">
        <v>66</v>
      </c>
      <c r="B115" t="s">
        <v>130</v>
      </c>
      <c r="C115">
        <v>846</v>
      </c>
      <c r="D115">
        <v>676</v>
      </c>
      <c r="E115">
        <v>723</v>
      </c>
      <c r="F115">
        <v>462</v>
      </c>
      <c r="G115">
        <v>211</v>
      </c>
      <c r="H115">
        <v>2918</v>
      </c>
      <c r="I115">
        <v>3073</v>
      </c>
    </row>
    <row r="116" spans="1:9" x14ac:dyDescent="0.2">
      <c r="A116" t="s">
        <v>66</v>
      </c>
      <c r="B116" t="s">
        <v>131</v>
      </c>
      <c r="C116">
        <v>1739</v>
      </c>
      <c r="D116">
        <v>2006</v>
      </c>
      <c r="E116">
        <v>2239</v>
      </c>
      <c r="F116">
        <v>1655</v>
      </c>
      <c r="G116">
        <v>994</v>
      </c>
      <c r="H116">
        <v>8633</v>
      </c>
      <c r="I116">
        <v>9487</v>
      </c>
    </row>
    <row r="117" spans="1:9" x14ac:dyDescent="0.2">
      <c r="A117" t="s">
        <v>66</v>
      </c>
      <c r="B117" t="s">
        <v>132</v>
      </c>
      <c r="C117">
        <v>790</v>
      </c>
      <c r="D117">
        <v>1045</v>
      </c>
      <c r="E117">
        <v>1202</v>
      </c>
      <c r="F117">
        <v>1132</v>
      </c>
      <c r="G117">
        <v>612</v>
      </c>
      <c r="H117">
        <v>4781</v>
      </c>
      <c r="I117">
        <v>5118</v>
      </c>
    </row>
    <row r="118" spans="1:9" x14ac:dyDescent="0.2">
      <c r="A118" t="s">
        <v>66</v>
      </c>
      <c r="B118" t="s">
        <v>133</v>
      </c>
      <c r="C118">
        <v>867</v>
      </c>
      <c r="D118">
        <v>1246</v>
      </c>
      <c r="E118">
        <v>1760</v>
      </c>
      <c r="F118">
        <v>2151</v>
      </c>
      <c r="G118">
        <v>2981</v>
      </c>
      <c r="H118">
        <v>9005</v>
      </c>
      <c r="I118">
        <v>10821</v>
      </c>
    </row>
    <row r="119" spans="1:9" x14ac:dyDescent="0.2">
      <c r="A119" t="s">
        <v>66</v>
      </c>
      <c r="B119" t="s">
        <v>134</v>
      </c>
      <c r="C119">
        <v>1534</v>
      </c>
      <c r="D119">
        <v>2200</v>
      </c>
      <c r="E119">
        <v>2873</v>
      </c>
      <c r="F119">
        <v>2999</v>
      </c>
      <c r="G119">
        <v>2510</v>
      </c>
      <c r="H119">
        <v>12116</v>
      </c>
      <c r="I119">
        <v>15035</v>
      </c>
    </row>
    <row r="120" spans="1:9" x14ac:dyDescent="0.2">
      <c r="A120" t="s">
        <v>67</v>
      </c>
      <c r="B120" t="s">
        <v>100</v>
      </c>
      <c r="C120">
        <v>107783</v>
      </c>
      <c r="D120">
        <v>124139</v>
      </c>
      <c r="E120">
        <v>132375</v>
      </c>
      <c r="F120">
        <v>99924</v>
      </c>
      <c r="G120">
        <v>64452</v>
      </c>
      <c r="H120">
        <v>528673</v>
      </c>
      <c r="I120">
        <v>591599</v>
      </c>
    </row>
    <row r="121" spans="1:9" x14ac:dyDescent="0.2">
      <c r="A121" t="s">
        <v>67</v>
      </c>
      <c r="B121" t="s">
        <v>101</v>
      </c>
      <c r="C121">
        <v>8467</v>
      </c>
      <c r="D121">
        <v>8594</v>
      </c>
      <c r="E121">
        <v>8927</v>
      </c>
      <c r="F121">
        <v>7735</v>
      </c>
      <c r="G121">
        <v>6380</v>
      </c>
      <c r="H121">
        <v>40103</v>
      </c>
      <c r="I121">
        <v>47637</v>
      </c>
    </row>
    <row r="122" spans="1:9" x14ac:dyDescent="0.2">
      <c r="A122" t="s">
        <v>67</v>
      </c>
      <c r="B122" t="s">
        <v>102</v>
      </c>
      <c r="C122">
        <v>5691</v>
      </c>
      <c r="D122">
        <v>6288</v>
      </c>
      <c r="E122">
        <v>6086</v>
      </c>
      <c r="F122">
        <v>5196</v>
      </c>
      <c r="G122">
        <v>4427</v>
      </c>
      <c r="H122">
        <v>27688</v>
      </c>
      <c r="I122">
        <v>32980</v>
      </c>
    </row>
    <row r="123" spans="1:9" x14ac:dyDescent="0.2">
      <c r="A123" t="s">
        <v>67</v>
      </c>
      <c r="B123" t="s">
        <v>103</v>
      </c>
      <c r="C123">
        <v>2543</v>
      </c>
      <c r="D123">
        <v>1999</v>
      </c>
      <c r="E123">
        <v>2153</v>
      </c>
      <c r="F123">
        <v>1870</v>
      </c>
      <c r="G123">
        <v>1579</v>
      </c>
      <c r="H123">
        <v>10144</v>
      </c>
      <c r="I123">
        <v>11982</v>
      </c>
    </row>
    <row r="124" spans="1:9" x14ac:dyDescent="0.2">
      <c r="A124" t="s">
        <v>67</v>
      </c>
      <c r="B124" t="s">
        <v>104</v>
      </c>
      <c r="C124">
        <v>330</v>
      </c>
      <c r="D124">
        <v>348</v>
      </c>
      <c r="E124">
        <v>366</v>
      </c>
      <c r="F124">
        <v>330</v>
      </c>
      <c r="G124">
        <v>249</v>
      </c>
      <c r="H124">
        <v>1623</v>
      </c>
      <c r="I124">
        <v>1882</v>
      </c>
    </row>
    <row r="125" spans="1:9" x14ac:dyDescent="0.2">
      <c r="A125" t="s">
        <v>67</v>
      </c>
      <c r="B125" t="s">
        <v>105</v>
      </c>
      <c r="C125">
        <v>11198</v>
      </c>
      <c r="D125">
        <v>7751</v>
      </c>
      <c r="E125">
        <v>7262</v>
      </c>
      <c r="F125">
        <v>6324</v>
      </c>
      <c r="G125">
        <v>4895</v>
      </c>
      <c r="H125">
        <v>37430</v>
      </c>
      <c r="I125">
        <v>44624</v>
      </c>
    </row>
    <row r="126" spans="1:9" x14ac:dyDescent="0.2">
      <c r="A126" t="s">
        <v>67</v>
      </c>
      <c r="B126" t="s">
        <v>106</v>
      </c>
      <c r="C126">
        <v>2209</v>
      </c>
      <c r="D126">
        <v>934</v>
      </c>
      <c r="E126">
        <v>664</v>
      </c>
      <c r="F126">
        <v>548</v>
      </c>
      <c r="G126">
        <v>378</v>
      </c>
      <c r="H126">
        <v>4733</v>
      </c>
      <c r="I126">
        <v>5176</v>
      </c>
    </row>
    <row r="127" spans="1:9" x14ac:dyDescent="0.2">
      <c r="A127" t="s">
        <v>67</v>
      </c>
      <c r="B127" t="s">
        <v>107</v>
      </c>
      <c r="C127">
        <v>879</v>
      </c>
      <c r="D127">
        <v>1103</v>
      </c>
      <c r="E127">
        <v>1392</v>
      </c>
      <c r="F127">
        <v>1285</v>
      </c>
      <c r="G127">
        <v>996</v>
      </c>
      <c r="H127">
        <v>5655</v>
      </c>
      <c r="I127">
        <v>6204</v>
      </c>
    </row>
    <row r="128" spans="1:9" x14ac:dyDescent="0.2">
      <c r="A128" t="s">
        <v>67</v>
      </c>
      <c r="B128" t="s">
        <v>239</v>
      </c>
      <c r="C128">
        <v>126</v>
      </c>
      <c r="D128">
        <v>161</v>
      </c>
      <c r="E128">
        <v>194</v>
      </c>
      <c r="F128">
        <v>226</v>
      </c>
      <c r="G128">
        <v>176</v>
      </c>
      <c r="H128">
        <v>883</v>
      </c>
      <c r="I128">
        <v>1091</v>
      </c>
    </row>
    <row r="129" spans="1:9" x14ac:dyDescent="0.2">
      <c r="A129" t="s">
        <v>67</v>
      </c>
      <c r="B129" t="s">
        <v>109</v>
      </c>
      <c r="C129">
        <v>362</v>
      </c>
      <c r="D129">
        <v>577</v>
      </c>
      <c r="E129">
        <v>755</v>
      </c>
      <c r="F129">
        <v>653</v>
      </c>
      <c r="G129">
        <v>530</v>
      </c>
      <c r="H129">
        <v>2877</v>
      </c>
      <c r="I129">
        <v>3240</v>
      </c>
    </row>
    <row r="130" spans="1:9" x14ac:dyDescent="0.2">
      <c r="A130" t="s">
        <v>67</v>
      </c>
      <c r="B130" t="s">
        <v>110</v>
      </c>
      <c r="C130">
        <v>42</v>
      </c>
      <c r="D130">
        <v>60</v>
      </c>
      <c r="E130">
        <v>55</v>
      </c>
      <c r="F130">
        <v>49</v>
      </c>
      <c r="G130">
        <v>35</v>
      </c>
      <c r="H130">
        <v>241</v>
      </c>
      <c r="I130">
        <v>272</v>
      </c>
    </row>
    <row r="131" spans="1:9" x14ac:dyDescent="0.2">
      <c r="A131" t="s">
        <v>67</v>
      </c>
      <c r="B131" t="s">
        <v>111</v>
      </c>
      <c r="C131">
        <v>142</v>
      </c>
      <c r="D131">
        <v>226</v>
      </c>
      <c r="E131">
        <v>263</v>
      </c>
      <c r="F131">
        <v>283</v>
      </c>
      <c r="G131">
        <v>263</v>
      </c>
      <c r="H131">
        <v>1177</v>
      </c>
      <c r="I131">
        <v>1686</v>
      </c>
    </row>
    <row r="132" spans="1:9" x14ac:dyDescent="0.2">
      <c r="A132" t="s">
        <v>67</v>
      </c>
      <c r="B132" t="s">
        <v>112</v>
      </c>
      <c r="C132">
        <v>1542</v>
      </c>
      <c r="D132">
        <v>2645</v>
      </c>
      <c r="E132">
        <v>3635</v>
      </c>
      <c r="F132">
        <v>3419</v>
      </c>
      <c r="G132">
        <v>2479</v>
      </c>
      <c r="H132">
        <v>13720</v>
      </c>
      <c r="I132">
        <v>15965</v>
      </c>
    </row>
    <row r="133" spans="1:9" x14ac:dyDescent="0.2">
      <c r="A133" t="s">
        <v>67</v>
      </c>
      <c r="B133" t="s">
        <v>113</v>
      </c>
      <c r="C133">
        <v>2536</v>
      </c>
      <c r="D133">
        <v>2398</v>
      </c>
      <c r="E133">
        <v>2390</v>
      </c>
      <c r="F133">
        <v>1990</v>
      </c>
      <c r="G133">
        <v>1381</v>
      </c>
      <c r="H133">
        <v>10695</v>
      </c>
      <c r="I133">
        <v>12203</v>
      </c>
    </row>
    <row r="134" spans="1:9" x14ac:dyDescent="0.2">
      <c r="A134" t="s">
        <v>67</v>
      </c>
      <c r="B134" t="s">
        <v>114</v>
      </c>
      <c r="C134">
        <v>5383</v>
      </c>
      <c r="D134">
        <v>4258</v>
      </c>
      <c r="E134">
        <v>4512</v>
      </c>
      <c r="F134">
        <v>3597</v>
      </c>
      <c r="G134">
        <v>2362</v>
      </c>
      <c r="H134">
        <v>20112</v>
      </c>
      <c r="I134">
        <v>22275</v>
      </c>
    </row>
    <row r="135" spans="1:9" x14ac:dyDescent="0.2">
      <c r="A135" t="s">
        <v>67</v>
      </c>
      <c r="B135" t="s">
        <v>115</v>
      </c>
      <c r="C135">
        <v>1806</v>
      </c>
      <c r="D135">
        <v>1640</v>
      </c>
      <c r="E135">
        <v>1580</v>
      </c>
      <c r="F135">
        <v>1316</v>
      </c>
      <c r="G135">
        <v>942</v>
      </c>
      <c r="H135">
        <v>7284</v>
      </c>
      <c r="I135">
        <v>8330</v>
      </c>
    </row>
    <row r="136" spans="1:9" x14ac:dyDescent="0.2">
      <c r="A136" t="s">
        <v>67</v>
      </c>
      <c r="B136" t="s">
        <v>116</v>
      </c>
      <c r="C136">
        <v>6500</v>
      </c>
      <c r="D136">
        <v>8592</v>
      </c>
      <c r="E136">
        <v>8761</v>
      </c>
      <c r="F136">
        <v>6061</v>
      </c>
      <c r="G136">
        <v>3225</v>
      </c>
      <c r="H136">
        <v>33139</v>
      </c>
      <c r="I136">
        <v>35167</v>
      </c>
    </row>
    <row r="137" spans="1:9" x14ac:dyDescent="0.2">
      <c r="A137" t="s">
        <v>67</v>
      </c>
      <c r="B137" t="s">
        <v>117</v>
      </c>
      <c r="C137">
        <v>1350</v>
      </c>
      <c r="D137">
        <v>1830</v>
      </c>
      <c r="E137">
        <v>2058</v>
      </c>
      <c r="F137">
        <v>1935</v>
      </c>
      <c r="G137">
        <v>1564</v>
      </c>
      <c r="H137">
        <v>8737</v>
      </c>
      <c r="I137">
        <v>10990</v>
      </c>
    </row>
    <row r="138" spans="1:9" x14ac:dyDescent="0.2">
      <c r="A138" t="s">
        <v>67</v>
      </c>
      <c r="B138" t="s">
        <v>118</v>
      </c>
      <c r="C138">
        <v>9280</v>
      </c>
      <c r="D138">
        <v>12695</v>
      </c>
      <c r="E138">
        <v>13204</v>
      </c>
      <c r="F138">
        <v>10316</v>
      </c>
      <c r="G138">
        <v>7551</v>
      </c>
      <c r="H138">
        <v>53046</v>
      </c>
      <c r="I138">
        <v>62965</v>
      </c>
    </row>
    <row r="139" spans="1:9" x14ac:dyDescent="0.2">
      <c r="A139" t="s">
        <v>67</v>
      </c>
      <c r="B139" t="s">
        <v>119</v>
      </c>
      <c r="C139">
        <v>5776</v>
      </c>
      <c r="D139">
        <v>7369</v>
      </c>
      <c r="E139">
        <v>7811</v>
      </c>
      <c r="F139">
        <v>6330</v>
      </c>
      <c r="G139">
        <v>4491</v>
      </c>
      <c r="H139">
        <v>31777</v>
      </c>
      <c r="I139">
        <v>36734</v>
      </c>
    </row>
    <row r="140" spans="1:9" x14ac:dyDescent="0.2">
      <c r="A140" t="s">
        <v>67</v>
      </c>
      <c r="B140" t="s">
        <v>120</v>
      </c>
      <c r="C140">
        <v>494</v>
      </c>
      <c r="D140">
        <v>616</v>
      </c>
      <c r="E140">
        <v>855</v>
      </c>
      <c r="F140">
        <v>822</v>
      </c>
      <c r="G140">
        <v>723</v>
      </c>
      <c r="H140">
        <v>3510</v>
      </c>
      <c r="I140">
        <v>4368</v>
      </c>
    </row>
    <row r="141" spans="1:9" x14ac:dyDescent="0.2">
      <c r="A141" t="s">
        <v>67</v>
      </c>
      <c r="B141" t="s">
        <v>121</v>
      </c>
      <c r="C141">
        <v>9410</v>
      </c>
      <c r="D141">
        <v>10624</v>
      </c>
      <c r="E141">
        <v>10657</v>
      </c>
      <c r="F141">
        <v>5964</v>
      </c>
      <c r="G141">
        <v>2840</v>
      </c>
      <c r="H141">
        <v>39495</v>
      </c>
      <c r="I141">
        <v>41218</v>
      </c>
    </row>
    <row r="142" spans="1:9" x14ac:dyDescent="0.2">
      <c r="A142" t="s">
        <v>67</v>
      </c>
      <c r="B142" t="s">
        <v>122</v>
      </c>
      <c r="C142">
        <v>1652</v>
      </c>
      <c r="D142">
        <v>2955</v>
      </c>
      <c r="E142">
        <v>3116</v>
      </c>
      <c r="F142">
        <v>1582</v>
      </c>
      <c r="G142">
        <v>464</v>
      </c>
      <c r="H142">
        <v>9769</v>
      </c>
      <c r="I142">
        <v>9893</v>
      </c>
    </row>
    <row r="143" spans="1:9" x14ac:dyDescent="0.2">
      <c r="A143" t="s">
        <v>67</v>
      </c>
      <c r="B143" t="s">
        <v>123</v>
      </c>
      <c r="C143">
        <v>11070</v>
      </c>
      <c r="D143">
        <v>17556</v>
      </c>
      <c r="E143">
        <v>21545</v>
      </c>
      <c r="F143">
        <v>15019</v>
      </c>
      <c r="G143">
        <v>5920</v>
      </c>
      <c r="H143">
        <v>71110</v>
      </c>
      <c r="I143">
        <v>72899</v>
      </c>
    </row>
    <row r="144" spans="1:9" x14ac:dyDescent="0.2">
      <c r="A144" t="s">
        <v>67</v>
      </c>
      <c r="B144" t="s">
        <v>124</v>
      </c>
      <c r="C144">
        <v>1827</v>
      </c>
      <c r="D144">
        <v>4248</v>
      </c>
      <c r="E144">
        <v>4839</v>
      </c>
      <c r="F144">
        <v>2861</v>
      </c>
      <c r="G144">
        <v>1128</v>
      </c>
      <c r="H144">
        <v>14903</v>
      </c>
      <c r="I144">
        <v>15390</v>
      </c>
    </row>
    <row r="145" spans="1:9" x14ac:dyDescent="0.2">
      <c r="A145" t="s">
        <v>67</v>
      </c>
      <c r="B145" t="s">
        <v>125</v>
      </c>
      <c r="C145">
        <v>1077</v>
      </c>
      <c r="D145">
        <v>2906</v>
      </c>
      <c r="E145">
        <v>3052</v>
      </c>
      <c r="F145">
        <v>1502</v>
      </c>
      <c r="G145">
        <v>487</v>
      </c>
      <c r="H145">
        <v>9024</v>
      </c>
      <c r="I145">
        <v>9221</v>
      </c>
    </row>
    <row r="146" spans="1:9" x14ac:dyDescent="0.2">
      <c r="A146" t="s">
        <v>67</v>
      </c>
      <c r="B146" t="s">
        <v>126</v>
      </c>
      <c r="C146">
        <v>2226</v>
      </c>
      <c r="D146">
        <v>1774</v>
      </c>
      <c r="E146">
        <v>1692</v>
      </c>
      <c r="F146">
        <v>1317</v>
      </c>
      <c r="G146">
        <v>915</v>
      </c>
      <c r="H146">
        <v>7924</v>
      </c>
      <c r="I146">
        <v>8712</v>
      </c>
    </row>
    <row r="147" spans="1:9" x14ac:dyDescent="0.2">
      <c r="A147" t="s">
        <v>67</v>
      </c>
      <c r="B147" t="s">
        <v>127</v>
      </c>
      <c r="C147">
        <v>827</v>
      </c>
      <c r="D147">
        <v>674</v>
      </c>
      <c r="E147">
        <v>630</v>
      </c>
      <c r="F147">
        <v>469</v>
      </c>
      <c r="G147">
        <v>303</v>
      </c>
      <c r="H147">
        <v>2903</v>
      </c>
      <c r="I147">
        <v>3082</v>
      </c>
    </row>
    <row r="148" spans="1:9" x14ac:dyDescent="0.2">
      <c r="A148" t="s">
        <v>67</v>
      </c>
      <c r="B148" t="s">
        <v>128</v>
      </c>
      <c r="C148">
        <v>1548</v>
      </c>
      <c r="D148">
        <v>1521</v>
      </c>
      <c r="E148">
        <v>1503</v>
      </c>
      <c r="F148">
        <v>1084</v>
      </c>
      <c r="G148">
        <v>746</v>
      </c>
      <c r="H148">
        <v>6402</v>
      </c>
      <c r="I148">
        <v>6977</v>
      </c>
    </row>
    <row r="149" spans="1:9" x14ac:dyDescent="0.2">
      <c r="A149" t="s">
        <v>67</v>
      </c>
      <c r="B149" t="s">
        <v>129</v>
      </c>
      <c r="C149">
        <v>1473</v>
      </c>
      <c r="D149">
        <v>557</v>
      </c>
      <c r="E149">
        <v>371</v>
      </c>
      <c r="F149">
        <v>209</v>
      </c>
      <c r="G149">
        <v>127</v>
      </c>
      <c r="H149">
        <v>2737</v>
      </c>
      <c r="I149">
        <v>2856</v>
      </c>
    </row>
    <row r="150" spans="1:9" x14ac:dyDescent="0.2">
      <c r="A150" t="s">
        <v>67</v>
      </c>
      <c r="B150" t="s">
        <v>130</v>
      </c>
      <c r="C150">
        <v>1320</v>
      </c>
      <c r="D150">
        <v>1040</v>
      </c>
      <c r="E150">
        <v>943</v>
      </c>
      <c r="F150">
        <v>572</v>
      </c>
      <c r="G150">
        <v>240</v>
      </c>
      <c r="H150">
        <v>4115</v>
      </c>
      <c r="I150">
        <v>4313</v>
      </c>
    </row>
    <row r="151" spans="1:9" x14ac:dyDescent="0.2">
      <c r="A151" t="s">
        <v>67</v>
      </c>
      <c r="B151" t="s">
        <v>131</v>
      </c>
      <c r="C151">
        <v>4472</v>
      </c>
      <c r="D151">
        <v>4919</v>
      </c>
      <c r="E151">
        <v>4865</v>
      </c>
      <c r="F151">
        <v>3267</v>
      </c>
      <c r="G151">
        <v>1941</v>
      </c>
      <c r="H151">
        <v>19464</v>
      </c>
      <c r="I151">
        <v>21008</v>
      </c>
    </row>
    <row r="152" spans="1:9" x14ac:dyDescent="0.2">
      <c r="A152" t="s">
        <v>67</v>
      </c>
      <c r="B152" t="s">
        <v>132</v>
      </c>
      <c r="C152">
        <v>674</v>
      </c>
      <c r="D152">
        <v>899</v>
      </c>
      <c r="E152">
        <v>925</v>
      </c>
      <c r="F152">
        <v>762</v>
      </c>
      <c r="G152">
        <v>393</v>
      </c>
      <c r="H152">
        <v>3653</v>
      </c>
      <c r="I152">
        <v>3848</v>
      </c>
    </row>
    <row r="153" spans="1:9" x14ac:dyDescent="0.2">
      <c r="A153" t="s">
        <v>67</v>
      </c>
      <c r="B153" t="s">
        <v>133</v>
      </c>
      <c r="C153">
        <v>1346</v>
      </c>
      <c r="D153">
        <v>1473</v>
      </c>
      <c r="E153">
        <v>1623</v>
      </c>
      <c r="F153">
        <v>1464</v>
      </c>
      <c r="G153">
        <v>1363</v>
      </c>
      <c r="H153">
        <v>7269</v>
      </c>
      <c r="I153">
        <v>7929</v>
      </c>
    </row>
    <row r="154" spans="1:9" x14ac:dyDescent="0.2">
      <c r="A154" t="s">
        <v>67</v>
      </c>
      <c r="B154" t="s">
        <v>134</v>
      </c>
      <c r="C154">
        <v>2205</v>
      </c>
      <c r="D154">
        <v>2909</v>
      </c>
      <c r="E154">
        <v>3691</v>
      </c>
      <c r="F154">
        <v>3567</v>
      </c>
      <c r="G154">
        <v>2959</v>
      </c>
      <c r="H154">
        <v>15331</v>
      </c>
      <c r="I154">
        <v>18482</v>
      </c>
    </row>
    <row r="155" spans="1:9" x14ac:dyDescent="0.2">
      <c r="A155" t="s">
        <v>100</v>
      </c>
      <c r="B155" t="s">
        <v>100</v>
      </c>
      <c r="C155">
        <v>189283</v>
      </c>
      <c r="D155">
        <v>209739</v>
      </c>
      <c r="E155">
        <v>233387</v>
      </c>
      <c r="F155">
        <v>188039</v>
      </c>
      <c r="G155">
        <v>130103</v>
      </c>
      <c r="H155">
        <v>950551</v>
      </c>
      <c r="I155">
        <v>1086702</v>
      </c>
    </row>
    <row r="156" spans="1:9" x14ac:dyDescent="0.2">
      <c r="A156" t="s">
        <v>100</v>
      </c>
      <c r="B156" t="s">
        <v>101</v>
      </c>
      <c r="C156">
        <v>13788</v>
      </c>
      <c r="D156">
        <v>13953</v>
      </c>
      <c r="E156">
        <v>14755</v>
      </c>
      <c r="F156">
        <v>12907</v>
      </c>
      <c r="G156">
        <v>10916</v>
      </c>
      <c r="H156">
        <v>66319</v>
      </c>
      <c r="I156">
        <v>79375</v>
      </c>
    </row>
    <row r="157" spans="1:9" x14ac:dyDescent="0.2">
      <c r="A157" t="s">
        <v>100</v>
      </c>
      <c r="B157" t="s">
        <v>102</v>
      </c>
      <c r="C157">
        <v>12560</v>
      </c>
      <c r="D157">
        <v>12541</v>
      </c>
      <c r="E157">
        <v>12122</v>
      </c>
      <c r="F157">
        <v>10232</v>
      </c>
      <c r="G157">
        <v>8669</v>
      </c>
      <c r="H157">
        <v>56124</v>
      </c>
      <c r="I157">
        <v>67049</v>
      </c>
    </row>
    <row r="158" spans="1:9" x14ac:dyDescent="0.2">
      <c r="A158" t="s">
        <v>100</v>
      </c>
      <c r="B158" t="s">
        <v>103</v>
      </c>
      <c r="C158">
        <v>10015</v>
      </c>
      <c r="D158">
        <v>7778</v>
      </c>
      <c r="E158">
        <v>8699</v>
      </c>
      <c r="F158">
        <v>8175</v>
      </c>
      <c r="G158">
        <v>7107</v>
      </c>
      <c r="H158">
        <v>41774</v>
      </c>
      <c r="I158">
        <v>50873</v>
      </c>
    </row>
    <row r="159" spans="1:9" x14ac:dyDescent="0.2">
      <c r="A159" t="s">
        <v>100</v>
      </c>
      <c r="B159" t="s">
        <v>104</v>
      </c>
      <c r="C159">
        <v>1052</v>
      </c>
      <c r="D159">
        <v>1028</v>
      </c>
      <c r="E159">
        <v>1131</v>
      </c>
      <c r="F159">
        <v>979</v>
      </c>
      <c r="G159">
        <v>775</v>
      </c>
      <c r="H159">
        <v>4965</v>
      </c>
      <c r="I159">
        <v>5780</v>
      </c>
    </row>
    <row r="160" spans="1:9" x14ac:dyDescent="0.2">
      <c r="A160" t="s">
        <v>100</v>
      </c>
      <c r="B160" t="s">
        <v>105</v>
      </c>
      <c r="C160">
        <v>28057</v>
      </c>
      <c r="D160">
        <v>17804</v>
      </c>
      <c r="E160">
        <v>17238</v>
      </c>
      <c r="F160">
        <v>15351</v>
      </c>
      <c r="G160">
        <v>12439</v>
      </c>
      <c r="H160">
        <v>90889</v>
      </c>
      <c r="I160">
        <v>111039</v>
      </c>
    </row>
    <row r="161" spans="1:9" x14ac:dyDescent="0.2">
      <c r="A161" t="s">
        <v>100</v>
      </c>
      <c r="B161" t="s">
        <v>106</v>
      </c>
      <c r="C161">
        <v>6781</v>
      </c>
      <c r="D161">
        <v>2959</v>
      </c>
      <c r="E161">
        <v>2313</v>
      </c>
      <c r="F161">
        <v>1821</v>
      </c>
      <c r="G161">
        <v>1320</v>
      </c>
      <c r="H161">
        <v>15194</v>
      </c>
      <c r="I161">
        <v>16770</v>
      </c>
    </row>
    <row r="162" spans="1:9" x14ac:dyDescent="0.2">
      <c r="A162" t="s">
        <v>100</v>
      </c>
      <c r="B162" t="s">
        <v>107</v>
      </c>
      <c r="C162">
        <v>1736</v>
      </c>
      <c r="D162">
        <v>2506</v>
      </c>
      <c r="E162">
        <v>3524</v>
      </c>
      <c r="F162">
        <v>3646</v>
      </c>
      <c r="G162">
        <v>3060</v>
      </c>
      <c r="H162">
        <v>14472</v>
      </c>
      <c r="I162">
        <v>16547</v>
      </c>
    </row>
    <row r="163" spans="1:9" x14ac:dyDescent="0.2">
      <c r="A163" t="s">
        <v>100</v>
      </c>
      <c r="B163" t="s">
        <v>239</v>
      </c>
      <c r="C163">
        <v>1123</v>
      </c>
      <c r="D163">
        <v>1513</v>
      </c>
      <c r="E163">
        <v>1966</v>
      </c>
      <c r="F163">
        <v>2338</v>
      </c>
      <c r="G163">
        <v>2060</v>
      </c>
      <c r="H163">
        <v>9000</v>
      </c>
      <c r="I163">
        <v>11444</v>
      </c>
    </row>
    <row r="164" spans="1:9" x14ac:dyDescent="0.2">
      <c r="A164" t="s">
        <v>100</v>
      </c>
      <c r="B164" t="s">
        <v>109</v>
      </c>
      <c r="C164">
        <v>756</v>
      </c>
      <c r="D164">
        <v>1445</v>
      </c>
      <c r="E164">
        <v>2186</v>
      </c>
      <c r="F164">
        <v>2299</v>
      </c>
      <c r="G164">
        <v>2112</v>
      </c>
      <c r="H164">
        <v>8798</v>
      </c>
      <c r="I164">
        <v>10748</v>
      </c>
    </row>
    <row r="165" spans="1:9" x14ac:dyDescent="0.2">
      <c r="A165" t="s">
        <v>100</v>
      </c>
      <c r="B165" t="s">
        <v>110</v>
      </c>
      <c r="C165">
        <v>42</v>
      </c>
      <c r="D165">
        <v>63</v>
      </c>
      <c r="E165">
        <v>69</v>
      </c>
      <c r="F165">
        <v>58</v>
      </c>
      <c r="G165">
        <v>44</v>
      </c>
      <c r="H165">
        <v>276</v>
      </c>
      <c r="I165">
        <v>324</v>
      </c>
    </row>
    <row r="166" spans="1:9" x14ac:dyDescent="0.2">
      <c r="A166" t="s">
        <v>100</v>
      </c>
      <c r="B166" t="s">
        <v>111</v>
      </c>
      <c r="C166">
        <v>335</v>
      </c>
      <c r="D166">
        <v>704</v>
      </c>
      <c r="E166">
        <v>886</v>
      </c>
      <c r="F166">
        <v>838</v>
      </c>
      <c r="G166">
        <v>817</v>
      </c>
      <c r="H166">
        <v>3580</v>
      </c>
      <c r="I166">
        <v>5053</v>
      </c>
    </row>
    <row r="167" spans="1:9" x14ac:dyDescent="0.2">
      <c r="A167" t="s">
        <v>100</v>
      </c>
      <c r="B167" t="s">
        <v>112</v>
      </c>
      <c r="C167">
        <v>3442</v>
      </c>
      <c r="D167">
        <v>6304</v>
      </c>
      <c r="E167">
        <v>8870</v>
      </c>
      <c r="F167">
        <v>8385</v>
      </c>
      <c r="G167">
        <v>6017</v>
      </c>
      <c r="H167">
        <v>33018</v>
      </c>
      <c r="I167">
        <v>38085</v>
      </c>
    </row>
    <row r="168" spans="1:9" x14ac:dyDescent="0.2">
      <c r="A168" t="s">
        <v>100</v>
      </c>
      <c r="B168" t="s">
        <v>113</v>
      </c>
      <c r="C168">
        <v>7052</v>
      </c>
      <c r="D168">
        <v>7186</v>
      </c>
      <c r="E168">
        <v>7360</v>
      </c>
      <c r="F168">
        <v>6345</v>
      </c>
      <c r="G168">
        <v>4607</v>
      </c>
      <c r="H168">
        <v>32550</v>
      </c>
      <c r="I168">
        <v>37635</v>
      </c>
    </row>
    <row r="169" spans="1:9" x14ac:dyDescent="0.2">
      <c r="A169" t="s">
        <v>100</v>
      </c>
      <c r="B169" t="s">
        <v>114</v>
      </c>
      <c r="C169">
        <v>9475</v>
      </c>
      <c r="D169">
        <v>8307</v>
      </c>
      <c r="E169">
        <v>9238</v>
      </c>
      <c r="F169">
        <v>7703</v>
      </c>
      <c r="G169">
        <v>5230</v>
      </c>
      <c r="H169">
        <v>39953</v>
      </c>
      <c r="I169">
        <v>44836</v>
      </c>
    </row>
    <row r="170" spans="1:9" x14ac:dyDescent="0.2">
      <c r="A170" t="s">
        <v>100</v>
      </c>
      <c r="B170" t="s">
        <v>115</v>
      </c>
      <c r="C170">
        <v>3473</v>
      </c>
      <c r="D170">
        <v>3527</v>
      </c>
      <c r="E170">
        <v>3652</v>
      </c>
      <c r="F170">
        <v>3034</v>
      </c>
      <c r="G170">
        <v>2123</v>
      </c>
      <c r="H170">
        <v>15809</v>
      </c>
      <c r="I170">
        <v>18069</v>
      </c>
    </row>
    <row r="171" spans="1:9" x14ac:dyDescent="0.2">
      <c r="A171" t="s">
        <v>100</v>
      </c>
      <c r="B171" t="s">
        <v>116</v>
      </c>
      <c r="C171">
        <v>11140</v>
      </c>
      <c r="D171">
        <v>15230</v>
      </c>
      <c r="E171">
        <v>16329</v>
      </c>
      <c r="F171">
        <v>11502</v>
      </c>
      <c r="G171">
        <v>6051</v>
      </c>
      <c r="H171">
        <v>60252</v>
      </c>
      <c r="I171">
        <v>63878</v>
      </c>
    </row>
    <row r="172" spans="1:9" x14ac:dyDescent="0.2">
      <c r="A172" t="s">
        <v>100</v>
      </c>
      <c r="B172" t="s">
        <v>117</v>
      </c>
      <c r="C172">
        <v>1894</v>
      </c>
      <c r="D172">
        <v>2799</v>
      </c>
      <c r="E172">
        <v>3429</v>
      </c>
      <c r="F172">
        <v>3195</v>
      </c>
      <c r="G172">
        <v>2655</v>
      </c>
      <c r="H172">
        <v>13972</v>
      </c>
      <c r="I172">
        <v>17963</v>
      </c>
    </row>
    <row r="173" spans="1:9" x14ac:dyDescent="0.2">
      <c r="A173" t="s">
        <v>100</v>
      </c>
      <c r="B173" t="s">
        <v>118</v>
      </c>
      <c r="C173">
        <v>11004</v>
      </c>
      <c r="D173">
        <v>16059</v>
      </c>
      <c r="E173">
        <v>18046</v>
      </c>
      <c r="F173">
        <v>14914</v>
      </c>
      <c r="G173">
        <v>11639</v>
      </c>
      <c r="H173">
        <v>71662</v>
      </c>
      <c r="I173">
        <v>88247</v>
      </c>
    </row>
    <row r="174" spans="1:9" x14ac:dyDescent="0.2">
      <c r="A174" t="s">
        <v>100</v>
      </c>
      <c r="B174" t="s">
        <v>119</v>
      </c>
      <c r="C174">
        <v>6799</v>
      </c>
      <c r="D174">
        <v>9324</v>
      </c>
      <c r="E174">
        <v>10457</v>
      </c>
      <c r="F174">
        <v>8916</v>
      </c>
      <c r="G174">
        <v>6446</v>
      </c>
      <c r="H174">
        <v>41942</v>
      </c>
      <c r="I174">
        <v>49396</v>
      </c>
    </row>
    <row r="175" spans="1:9" x14ac:dyDescent="0.2">
      <c r="A175" t="s">
        <v>100</v>
      </c>
      <c r="B175" t="s">
        <v>120</v>
      </c>
      <c r="C175">
        <v>780</v>
      </c>
      <c r="D175">
        <v>973</v>
      </c>
      <c r="E175">
        <v>1391</v>
      </c>
      <c r="F175">
        <v>1367</v>
      </c>
      <c r="G175">
        <v>1231</v>
      </c>
      <c r="H175">
        <v>5742</v>
      </c>
      <c r="I175">
        <v>7308</v>
      </c>
    </row>
    <row r="176" spans="1:9" x14ac:dyDescent="0.2">
      <c r="A176" t="s">
        <v>100</v>
      </c>
      <c r="B176" t="s">
        <v>121</v>
      </c>
      <c r="C176">
        <v>11572</v>
      </c>
      <c r="D176">
        <v>13470</v>
      </c>
      <c r="E176">
        <v>14264</v>
      </c>
      <c r="F176">
        <v>8708</v>
      </c>
      <c r="G176">
        <v>4429</v>
      </c>
      <c r="H176">
        <v>52443</v>
      </c>
      <c r="I176">
        <v>55424</v>
      </c>
    </row>
    <row r="177" spans="1:9" x14ac:dyDescent="0.2">
      <c r="A177" t="s">
        <v>100</v>
      </c>
      <c r="B177" t="s">
        <v>122</v>
      </c>
      <c r="C177">
        <v>2256</v>
      </c>
      <c r="D177">
        <v>4173</v>
      </c>
      <c r="E177">
        <v>4541</v>
      </c>
      <c r="F177">
        <v>2487</v>
      </c>
      <c r="G177">
        <v>755</v>
      </c>
      <c r="H177">
        <v>14212</v>
      </c>
      <c r="I177">
        <v>14430</v>
      </c>
    </row>
    <row r="178" spans="1:9" x14ac:dyDescent="0.2">
      <c r="A178" t="s">
        <v>100</v>
      </c>
      <c r="B178" t="s">
        <v>123</v>
      </c>
      <c r="C178">
        <v>14569</v>
      </c>
      <c r="D178">
        <v>23396</v>
      </c>
      <c r="E178">
        <v>29840</v>
      </c>
      <c r="F178">
        <v>21564</v>
      </c>
      <c r="G178">
        <v>8835</v>
      </c>
      <c r="H178">
        <v>98204</v>
      </c>
      <c r="I178">
        <v>101112</v>
      </c>
    </row>
    <row r="179" spans="1:9" x14ac:dyDescent="0.2">
      <c r="A179" t="s">
        <v>100</v>
      </c>
      <c r="B179" t="s">
        <v>124</v>
      </c>
      <c r="C179">
        <v>2583</v>
      </c>
      <c r="D179">
        <v>6578</v>
      </c>
      <c r="E179">
        <v>8720</v>
      </c>
      <c r="F179">
        <v>5997</v>
      </c>
      <c r="G179">
        <v>2614</v>
      </c>
      <c r="H179">
        <v>26492</v>
      </c>
      <c r="I179">
        <v>27712</v>
      </c>
    </row>
    <row r="180" spans="1:9" x14ac:dyDescent="0.2">
      <c r="A180" t="s">
        <v>100</v>
      </c>
      <c r="B180" t="s">
        <v>125</v>
      </c>
      <c r="C180">
        <v>1564</v>
      </c>
      <c r="D180">
        <v>4635</v>
      </c>
      <c r="E180">
        <v>5322</v>
      </c>
      <c r="F180">
        <v>2719</v>
      </c>
      <c r="G180">
        <v>912</v>
      </c>
      <c r="H180">
        <v>15152</v>
      </c>
      <c r="I180">
        <v>15597</v>
      </c>
    </row>
    <row r="181" spans="1:9" x14ac:dyDescent="0.2">
      <c r="A181" t="s">
        <v>100</v>
      </c>
      <c r="B181" t="s">
        <v>126</v>
      </c>
      <c r="C181">
        <v>3340</v>
      </c>
      <c r="D181">
        <v>2550</v>
      </c>
      <c r="E181">
        <v>2394</v>
      </c>
      <c r="F181">
        <v>1859</v>
      </c>
      <c r="G181">
        <v>1292</v>
      </c>
      <c r="H181">
        <v>11435</v>
      </c>
      <c r="I181">
        <v>12505</v>
      </c>
    </row>
    <row r="182" spans="1:9" x14ac:dyDescent="0.2">
      <c r="A182" t="s">
        <v>100</v>
      </c>
      <c r="B182" t="s">
        <v>127</v>
      </c>
      <c r="C182">
        <v>1415</v>
      </c>
      <c r="D182">
        <v>1096</v>
      </c>
      <c r="E182">
        <v>981</v>
      </c>
      <c r="F182">
        <v>760</v>
      </c>
      <c r="G182">
        <v>489</v>
      </c>
      <c r="H182">
        <v>4741</v>
      </c>
      <c r="I182">
        <v>5035</v>
      </c>
    </row>
    <row r="183" spans="1:9" x14ac:dyDescent="0.2">
      <c r="A183" t="s">
        <v>100</v>
      </c>
      <c r="B183" t="s">
        <v>128</v>
      </c>
      <c r="C183">
        <v>2421</v>
      </c>
      <c r="D183">
        <v>2336</v>
      </c>
      <c r="E183">
        <v>2186</v>
      </c>
      <c r="F183">
        <v>1561</v>
      </c>
      <c r="G183">
        <v>1058</v>
      </c>
      <c r="H183">
        <v>9562</v>
      </c>
      <c r="I183">
        <v>10390</v>
      </c>
    </row>
    <row r="184" spans="1:9" x14ac:dyDescent="0.2">
      <c r="A184" t="s">
        <v>100</v>
      </c>
      <c r="B184" t="s">
        <v>129</v>
      </c>
      <c r="C184">
        <v>2466</v>
      </c>
      <c r="D184">
        <v>1089</v>
      </c>
      <c r="E184">
        <v>634</v>
      </c>
      <c r="F184">
        <v>348</v>
      </c>
      <c r="G184">
        <v>197</v>
      </c>
      <c r="H184">
        <v>4734</v>
      </c>
      <c r="I184">
        <v>4964</v>
      </c>
    </row>
    <row r="185" spans="1:9" x14ac:dyDescent="0.2">
      <c r="A185" t="s">
        <v>100</v>
      </c>
      <c r="B185" t="s">
        <v>130</v>
      </c>
      <c r="C185">
        <v>2166</v>
      </c>
      <c r="D185">
        <v>1716</v>
      </c>
      <c r="E185">
        <v>1666</v>
      </c>
      <c r="F185">
        <v>1034</v>
      </c>
      <c r="G185">
        <v>451</v>
      </c>
      <c r="H185">
        <v>7033</v>
      </c>
      <c r="I185">
        <v>7386</v>
      </c>
    </row>
    <row r="186" spans="1:9" x14ac:dyDescent="0.2">
      <c r="A186" t="s">
        <v>100</v>
      </c>
      <c r="B186" t="s">
        <v>131</v>
      </c>
      <c r="C186">
        <v>6211</v>
      </c>
      <c r="D186">
        <v>6925</v>
      </c>
      <c r="E186">
        <v>7104</v>
      </c>
      <c r="F186">
        <v>4922</v>
      </c>
      <c r="G186">
        <v>2935</v>
      </c>
      <c r="H186">
        <v>28097</v>
      </c>
      <c r="I186">
        <v>30495</v>
      </c>
    </row>
    <row r="187" spans="1:9" x14ac:dyDescent="0.2">
      <c r="A187" t="s">
        <v>100</v>
      </c>
      <c r="B187" t="s">
        <v>132</v>
      </c>
      <c r="C187">
        <v>1464</v>
      </c>
      <c r="D187">
        <v>1944</v>
      </c>
      <c r="E187">
        <v>2127</v>
      </c>
      <c r="F187">
        <v>1894</v>
      </c>
      <c r="G187">
        <v>1005</v>
      </c>
      <c r="H187">
        <v>8434</v>
      </c>
      <c r="I187">
        <v>8966</v>
      </c>
    </row>
    <row r="188" spans="1:9" x14ac:dyDescent="0.2">
      <c r="A188" t="s">
        <v>100</v>
      </c>
      <c r="B188" t="s">
        <v>133</v>
      </c>
      <c r="C188">
        <v>2213</v>
      </c>
      <c r="D188">
        <v>2719</v>
      </c>
      <c r="E188">
        <v>3383</v>
      </c>
      <c r="F188">
        <v>3615</v>
      </c>
      <c r="G188">
        <v>4344</v>
      </c>
      <c r="H188">
        <v>16274</v>
      </c>
      <c r="I188">
        <v>18750</v>
      </c>
    </row>
    <row r="189" spans="1:9" x14ac:dyDescent="0.2">
      <c r="A189" t="s">
        <v>100</v>
      </c>
      <c r="B189" t="s">
        <v>134</v>
      </c>
      <c r="C189">
        <v>3739</v>
      </c>
      <c r="D189">
        <v>5109</v>
      </c>
      <c r="E189">
        <v>6564</v>
      </c>
      <c r="F189">
        <v>6566</v>
      </c>
      <c r="G189">
        <v>5469</v>
      </c>
      <c r="H189">
        <v>27447</v>
      </c>
      <c r="I189">
        <v>33517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1:W189"/>
  <sheetViews>
    <sheetView showGridLines="0" workbookViewId="0">
      <selection sqref="A1:XFD1048576"/>
    </sheetView>
  </sheetViews>
  <sheetFormatPr defaultRowHeight="12.75" x14ac:dyDescent="0.2"/>
  <cols>
    <col min="2" max="2" width="17.85546875" customWidth="1"/>
  </cols>
  <sheetData>
    <row r="1" spans="1:23" ht="15.75" x14ac:dyDescent="0.25">
      <c r="A1" s="123" t="s">
        <v>253</v>
      </c>
    </row>
    <row r="3" spans="1:23" x14ac:dyDescent="0.2">
      <c r="A3" s="42"/>
      <c r="B3" s="65"/>
      <c r="C3" s="97" t="s">
        <v>39</v>
      </c>
      <c r="D3" s="98"/>
      <c r="E3" s="98"/>
      <c r="F3" s="98"/>
      <c r="G3" s="98"/>
      <c r="H3" s="98"/>
      <c r="I3" s="98"/>
      <c r="J3" s="97" t="s">
        <v>40</v>
      </c>
      <c r="K3" s="98"/>
      <c r="L3" s="98"/>
      <c r="M3" s="98"/>
      <c r="N3" s="98"/>
      <c r="O3" s="98"/>
      <c r="P3" s="98"/>
      <c r="Q3" s="97" t="s">
        <v>59</v>
      </c>
      <c r="R3" s="98"/>
      <c r="S3" s="98"/>
      <c r="T3" s="98"/>
      <c r="U3" s="98"/>
      <c r="V3" s="98"/>
      <c r="W3" s="98"/>
    </row>
    <row r="4" spans="1:23" x14ac:dyDescent="0.2">
      <c r="A4" s="42"/>
      <c r="B4" s="65"/>
      <c r="C4" s="97" t="s">
        <v>33</v>
      </c>
      <c r="D4" s="97" t="s">
        <v>34</v>
      </c>
      <c r="E4" s="97" t="s">
        <v>35</v>
      </c>
      <c r="F4" s="97" t="s">
        <v>36</v>
      </c>
      <c r="G4" s="97" t="s">
        <v>37</v>
      </c>
      <c r="H4" s="97" t="s">
        <v>47</v>
      </c>
      <c r="I4" s="97" t="s">
        <v>58</v>
      </c>
      <c r="J4" s="97" t="s">
        <v>33</v>
      </c>
      <c r="K4" s="97" t="s">
        <v>34</v>
      </c>
      <c r="L4" s="97" t="s">
        <v>35</v>
      </c>
      <c r="M4" s="97" t="s">
        <v>36</v>
      </c>
      <c r="N4" s="97" t="s">
        <v>37</v>
      </c>
      <c r="O4" s="97" t="s">
        <v>47</v>
      </c>
      <c r="P4" s="97" t="s">
        <v>58</v>
      </c>
      <c r="Q4" s="97" t="s">
        <v>33</v>
      </c>
      <c r="R4" s="97" t="s">
        <v>34</v>
      </c>
      <c r="S4" s="97" t="s">
        <v>35</v>
      </c>
      <c r="T4" s="97" t="s">
        <v>36</v>
      </c>
      <c r="U4" s="97" t="s">
        <v>37</v>
      </c>
      <c r="V4" s="98" t="s">
        <v>47</v>
      </c>
      <c r="W4" s="98" t="s">
        <v>58</v>
      </c>
    </row>
    <row r="5" spans="1:23" x14ac:dyDescent="0.2">
      <c r="A5" s="43"/>
      <c r="B5" s="99" t="s">
        <v>0</v>
      </c>
      <c r="C5" s="87">
        <f>IF(OR(C47=1,C47=2),"x",ROUND(C47/$I47*100,1))</f>
        <v>15.9</v>
      </c>
      <c r="D5" s="87">
        <f t="shared" ref="D5:H5" si="0">IF(OR(D47=1,D47=2),"x",ROUND(D47/$I47*100,1))</f>
        <v>16.2</v>
      </c>
      <c r="E5" s="87">
        <f t="shared" si="0"/>
        <v>18.7</v>
      </c>
      <c r="F5" s="87">
        <f t="shared" si="0"/>
        <v>16.899999999999999</v>
      </c>
      <c r="G5" s="87">
        <f t="shared" si="0"/>
        <v>14.3</v>
      </c>
      <c r="H5" s="87">
        <f t="shared" si="0"/>
        <v>82</v>
      </c>
      <c r="I5" s="66">
        <f>ROUND(I47,0)</f>
        <v>33505</v>
      </c>
      <c r="J5" s="87">
        <f>IF(OR(J47=1,J47=2),"x",ROUND(J47/$P47*100,1))</f>
        <v>18</v>
      </c>
      <c r="K5" s="87">
        <f t="shared" ref="K5:O5" si="1">IF(OR(K47=1,K47=2),"x",ROUND(K47/$P47*100,1))</f>
        <v>17.3</v>
      </c>
      <c r="L5" s="87">
        <f t="shared" si="1"/>
        <v>18.3</v>
      </c>
      <c r="M5" s="87">
        <f t="shared" si="1"/>
        <v>16.7</v>
      </c>
      <c r="N5" s="87">
        <f t="shared" si="1"/>
        <v>13.4</v>
      </c>
      <c r="O5" s="87">
        <f t="shared" si="1"/>
        <v>83.7</v>
      </c>
      <c r="P5" s="66">
        <f>ROUND(P47,0)</f>
        <v>48742</v>
      </c>
      <c r="Q5" s="87">
        <f>IF(OR(Q47=1,Q47=2),"x",ROUND(Q47/$W47*100,1))</f>
        <v>17.100000000000001</v>
      </c>
      <c r="R5" s="87">
        <f t="shared" ref="R5:V5" si="2">IF(OR(R47=1,R47=2),"x",ROUND(R47/$W47*100,1))</f>
        <v>16.8</v>
      </c>
      <c r="S5" s="87">
        <f t="shared" si="2"/>
        <v>18.399999999999999</v>
      </c>
      <c r="T5" s="87">
        <f t="shared" si="2"/>
        <v>16.8</v>
      </c>
      <c r="U5" s="87">
        <f t="shared" si="2"/>
        <v>13.8</v>
      </c>
      <c r="V5" s="87">
        <f t="shared" si="2"/>
        <v>83</v>
      </c>
      <c r="W5" s="66">
        <f>ROUND(W47,0)</f>
        <v>82247</v>
      </c>
    </row>
    <row r="6" spans="1:23" x14ac:dyDescent="0.2">
      <c r="A6" s="42"/>
      <c r="B6" s="99" t="s">
        <v>1</v>
      </c>
      <c r="C6" s="87">
        <f t="shared" ref="C6:H21" si="3">IF(OR(C48=1,C48=2),"x",ROUND(C48/$I48*100,1))</f>
        <v>19.600000000000001</v>
      </c>
      <c r="D6" s="87">
        <f t="shared" si="3"/>
        <v>18.399999999999999</v>
      </c>
      <c r="E6" s="87">
        <f t="shared" si="3"/>
        <v>17.7</v>
      </c>
      <c r="F6" s="87">
        <f t="shared" si="3"/>
        <v>14.9</v>
      </c>
      <c r="G6" s="87">
        <f t="shared" si="3"/>
        <v>12.6</v>
      </c>
      <c r="H6" s="87">
        <f t="shared" si="3"/>
        <v>83.2</v>
      </c>
      <c r="I6" s="66">
        <f t="shared" ref="I6:I39" si="4">ROUND(I48,0)</f>
        <v>35581</v>
      </c>
      <c r="J6" s="87">
        <f t="shared" ref="J6:O21" si="5">IF(OR(J48=1,J48=2),"x",ROUND(J48/$P48*100,1))</f>
        <v>17.100000000000001</v>
      </c>
      <c r="K6" s="87">
        <f t="shared" si="5"/>
        <v>18.7</v>
      </c>
      <c r="L6" s="87">
        <f t="shared" si="5"/>
        <v>18.7</v>
      </c>
      <c r="M6" s="87">
        <f t="shared" si="5"/>
        <v>16.3</v>
      </c>
      <c r="N6" s="87">
        <f t="shared" si="5"/>
        <v>12.7</v>
      </c>
      <c r="O6" s="87">
        <f t="shared" si="5"/>
        <v>83.4</v>
      </c>
      <c r="P6" s="66">
        <f t="shared" ref="P6:P39" si="6">ROUND(P48,0)</f>
        <v>34005</v>
      </c>
      <c r="Q6" s="87">
        <f t="shared" ref="Q6:V21" si="7">IF(OR(Q48=1,Q48=2),"x",ROUND(Q48/$W48*100,1))</f>
        <v>18.399999999999999</v>
      </c>
      <c r="R6" s="87">
        <f t="shared" si="7"/>
        <v>18.5</v>
      </c>
      <c r="S6" s="87">
        <f t="shared" si="7"/>
        <v>18.2</v>
      </c>
      <c r="T6" s="87">
        <f t="shared" si="7"/>
        <v>15.6</v>
      </c>
      <c r="U6" s="87">
        <f t="shared" si="7"/>
        <v>12.6</v>
      </c>
      <c r="V6" s="87">
        <f t="shared" si="7"/>
        <v>83.3</v>
      </c>
      <c r="W6" s="66">
        <f t="shared" ref="W6:W39" si="8">ROUND(W48,0)</f>
        <v>69586</v>
      </c>
    </row>
    <row r="7" spans="1:23" x14ac:dyDescent="0.2">
      <c r="A7" s="42"/>
      <c r="B7" s="99" t="s">
        <v>2</v>
      </c>
      <c r="C7" s="87">
        <f t="shared" si="3"/>
        <v>19.7</v>
      </c>
      <c r="D7" s="87">
        <f t="shared" si="3"/>
        <v>16</v>
      </c>
      <c r="E7" s="87">
        <f t="shared" si="3"/>
        <v>16.399999999999999</v>
      </c>
      <c r="F7" s="87">
        <f t="shared" si="3"/>
        <v>15.1</v>
      </c>
      <c r="G7" s="87">
        <f t="shared" si="3"/>
        <v>13.3</v>
      </c>
      <c r="H7" s="87">
        <f t="shared" si="3"/>
        <v>80.5</v>
      </c>
      <c r="I7" s="66">
        <f t="shared" si="4"/>
        <v>39444</v>
      </c>
      <c r="J7" s="87">
        <f t="shared" si="5"/>
        <v>22</v>
      </c>
      <c r="K7" s="87">
        <f t="shared" si="5"/>
        <v>18.5</v>
      </c>
      <c r="L7" s="87">
        <f t="shared" si="5"/>
        <v>17</v>
      </c>
      <c r="M7" s="87">
        <f t="shared" si="5"/>
        <v>15.1</v>
      </c>
      <c r="N7" s="87">
        <f t="shared" si="5"/>
        <v>12.3</v>
      </c>
      <c r="O7" s="87">
        <f t="shared" si="5"/>
        <v>84.9</v>
      </c>
      <c r="P7" s="66">
        <f t="shared" si="6"/>
        <v>12357</v>
      </c>
      <c r="Q7" s="87">
        <f t="shared" si="7"/>
        <v>20.3</v>
      </c>
      <c r="R7" s="87">
        <f t="shared" si="7"/>
        <v>16.600000000000001</v>
      </c>
      <c r="S7" s="87">
        <f t="shared" si="7"/>
        <v>16.600000000000001</v>
      </c>
      <c r="T7" s="87">
        <f t="shared" si="7"/>
        <v>15.1</v>
      </c>
      <c r="U7" s="87">
        <f t="shared" si="7"/>
        <v>13</v>
      </c>
      <c r="V7" s="87">
        <f t="shared" si="7"/>
        <v>81.599999999999994</v>
      </c>
      <c r="W7" s="66">
        <f t="shared" si="8"/>
        <v>51801</v>
      </c>
    </row>
    <row r="8" spans="1:23" x14ac:dyDescent="0.2">
      <c r="A8" s="42"/>
      <c r="B8" s="99" t="s">
        <v>3</v>
      </c>
      <c r="C8" s="87">
        <f t="shared" si="3"/>
        <v>16.8</v>
      </c>
      <c r="D8" s="87">
        <f t="shared" si="3"/>
        <v>17.5</v>
      </c>
      <c r="E8" s="87">
        <f t="shared" si="3"/>
        <v>19.399999999999999</v>
      </c>
      <c r="F8" s="87">
        <f t="shared" si="3"/>
        <v>16.899999999999999</v>
      </c>
      <c r="G8" s="87">
        <f t="shared" si="3"/>
        <v>14.3</v>
      </c>
      <c r="H8" s="87">
        <f t="shared" si="3"/>
        <v>84.9</v>
      </c>
      <c r="I8" s="66">
        <f t="shared" si="4"/>
        <v>4681</v>
      </c>
      <c r="J8" s="87">
        <f t="shared" si="5"/>
        <v>15.3</v>
      </c>
      <c r="K8" s="87">
        <f t="shared" si="5"/>
        <v>16.600000000000001</v>
      </c>
      <c r="L8" s="87">
        <f t="shared" si="5"/>
        <v>17.600000000000001</v>
      </c>
      <c r="M8" s="87">
        <f t="shared" si="5"/>
        <v>17.3</v>
      </c>
      <c r="N8" s="87">
        <f t="shared" si="5"/>
        <v>16.7</v>
      </c>
      <c r="O8" s="87">
        <f t="shared" si="5"/>
        <v>83.5</v>
      </c>
      <c r="P8" s="66">
        <f t="shared" si="6"/>
        <v>2224</v>
      </c>
      <c r="Q8" s="87">
        <f t="shared" si="7"/>
        <v>16.3</v>
      </c>
      <c r="R8" s="87">
        <f t="shared" si="7"/>
        <v>17.2</v>
      </c>
      <c r="S8" s="87">
        <f t="shared" si="7"/>
        <v>18.8</v>
      </c>
      <c r="T8" s="87">
        <f t="shared" si="7"/>
        <v>17</v>
      </c>
      <c r="U8" s="87">
        <f t="shared" si="7"/>
        <v>15</v>
      </c>
      <c r="V8" s="87">
        <f t="shared" si="7"/>
        <v>84.4</v>
      </c>
      <c r="W8" s="66">
        <f t="shared" si="8"/>
        <v>6905</v>
      </c>
    </row>
    <row r="9" spans="1:23" x14ac:dyDescent="0.2">
      <c r="A9" s="42"/>
      <c r="B9" s="99" t="s">
        <v>4</v>
      </c>
      <c r="C9" s="87">
        <f t="shared" si="3"/>
        <v>25.2</v>
      </c>
      <c r="D9" s="87">
        <f t="shared" si="3"/>
        <v>15.1</v>
      </c>
      <c r="E9" s="87">
        <f t="shared" si="3"/>
        <v>15.1</v>
      </c>
      <c r="F9" s="87">
        <f t="shared" si="3"/>
        <v>13.4</v>
      </c>
      <c r="G9" s="87">
        <f t="shared" si="3"/>
        <v>10.9</v>
      </c>
      <c r="H9" s="87">
        <f t="shared" si="3"/>
        <v>79.7</v>
      </c>
      <c r="I9" s="66">
        <f t="shared" si="4"/>
        <v>67086</v>
      </c>
      <c r="J9" s="87">
        <f t="shared" si="5"/>
        <v>25.9</v>
      </c>
      <c r="K9" s="87">
        <f t="shared" si="5"/>
        <v>17.2</v>
      </c>
      <c r="L9" s="87">
        <f t="shared" si="5"/>
        <v>16.3</v>
      </c>
      <c r="M9" s="87">
        <f t="shared" si="5"/>
        <v>13.6</v>
      </c>
      <c r="N9" s="87">
        <f t="shared" si="5"/>
        <v>10.4</v>
      </c>
      <c r="O9" s="87">
        <f t="shared" si="5"/>
        <v>83.4</v>
      </c>
      <c r="P9" s="66">
        <f t="shared" si="6"/>
        <v>45229</v>
      </c>
      <c r="Q9" s="87">
        <f t="shared" si="7"/>
        <v>25.5</v>
      </c>
      <c r="R9" s="87">
        <f t="shared" si="7"/>
        <v>15.9</v>
      </c>
      <c r="S9" s="87">
        <f t="shared" si="7"/>
        <v>15.6</v>
      </c>
      <c r="T9" s="87">
        <f t="shared" si="7"/>
        <v>13.5</v>
      </c>
      <c r="U9" s="87">
        <f t="shared" si="7"/>
        <v>10.7</v>
      </c>
      <c r="V9" s="87">
        <f t="shared" si="7"/>
        <v>81.2</v>
      </c>
      <c r="W9" s="66">
        <f t="shared" si="8"/>
        <v>112315</v>
      </c>
    </row>
    <row r="10" spans="1:23" x14ac:dyDescent="0.2">
      <c r="A10" s="42"/>
      <c r="B10" s="99" t="s">
        <v>5</v>
      </c>
      <c r="C10" s="87">
        <f t="shared" si="3"/>
        <v>38.799999999999997</v>
      </c>
      <c r="D10" s="87">
        <f t="shared" si="3"/>
        <v>16.7</v>
      </c>
      <c r="E10" s="87">
        <f t="shared" si="3"/>
        <v>14.2</v>
      </c>
      <c r="F10" s="87">
        <f t="shared" si="3"/>
        <v>11.3</v>
      </c>
      <c r="G10" s="87">
        <f t="shared" si="3"/>
        <v>9.1999999999999993</v>
      </c>
      <c r="H10" s="87">
        <f t="shared" si="3"/>
        <v>90.1</v>
      </c>
      <c r="I10" s="66">
        <f t="shared" si="4"/>
        <v>10939</v>
      </c>
      <c r="J10" s="87">
        <f t="shared" si="5"/>
        <v>42.4</v>
      </c>
      <c r="K10" s="87">
        <f t="shared" si="5"/>
        <v>17.399999999999999</v>
      </c>
      <c r="L10" s="87">
        <f t="shared" si="5"/>
        <v>13.6</v>
      </c>
      <c r="M10" s="87">
        <f t="shared" si="5"/>
        <v>10.5</v>
      </c>
      <c r="N10" s="87">
        <f t="shared" si="5"/>
        <v>7.8</v>
      </c>
      <c r="O10" s="87">
        <f t="shared" si="5"/>
        <v>91.7</v>
      </c>
      <c r="P10" s="66">
        <f t="shared" si="6"/>
        <v>4915</v>
      </c>
      <c r="Q10" s="87">
        <f t="shared" si="7"/>
        <v>39.9</v>
      </c>
      <c r="R10" s="87">
        <f t="shared" si="7"/>
        <v>16.899999999999999</v>
      </c>
      <c r="S10" s="87">
        <f t="shared" si="7"/>
        <v>14</v>
      </c>
      <c r="T10" s="87">
        <f t="shared" si="7"/>
        <v>11</v>
      </c>
      <c r="U10" s="87">
        <f t="shared" si="7"/>
        <v>8.6999999999999993</v>
      </c>
      <c r="V10" s="87">
        <f t="shared" si="7"/>
        <v>90.6</v>
      </c>
      <c r="W10" s="66">
        <f t="shared" si="8"/>
        <v>15854</v>
      </c>
    </row>
    <row r="11" spans="1:23" x14ac:dyDescent="0.2">
      <c r="A11" s="42"/>
      <c r="B11" s="99" t="s">
        <v>6</v>
      </c>
      <c r="C11" s="87">
        <f t="shared" si="3"/>
        <v>8.1</v>
      </c>
      <c r="D11" s="87">
        <f t="shared" si="3"/>
        <v>13.9</v>
      </c>
      <c r="E11" s="87">
        <f t="shared" si="3"/>
        <v>20.100000000000001</v>
      </c>
      <c r="F11" s="87">
        <f t="shared" si="3"/>
        <v>22.9</v>
      </c>
      <c r="G11" s="87">
        <f t="shared" si="3"/>
        <v>19.2</v>
      </c>
      <c r="H11" s="87">
        <f t="shared" si="3"/>
        <v>84.1</v>
      </c>
      <c r="I11" s="66">
        <f t="shared" si="4"/>
        <v>10893</v>
      </c>
      <c r="J11" s="87">
        <f t="shared" si="5"/>
        <v>13.5</v>
      </c>
      <c r="K11" s="87">
        <f t="shared" si="5"/>
        <v>19.8</v>
      </c>
      <c r="L11" s="87">
        <f t="shared" si="5"/>
        <v>22.1</v>
      </c>
      <c r="M11" s="87">
        <f t="shared" si="5"/>
        <v>21.3</v>
      </c>
      <c r="N11" s="87">
        <f t="shared" si="5"/>
        <v>14.3</v>
      </c>
      <c r="O11" s="87">
        <f t="shared" si="5"/>
        <v>90.9</v>
      </c>
      <c r="P11" s="66">
        <f t="shared" si="6"/>
        <v>7085</v>
      </c>
      <c r="Q11" s="87">
        <f t="shared" si="7"/>
        <v>10.199999999999999</v>
      </c>
      <c r="R11" s="87">
        <f t="shared" si="7"/>
        <v>16.2</v>
      </c>
      <c r="S11" s="87">
        <f t="shared" si="7"/>
        <v>20.9</v>
      </c>
      <c r="T11" s="87">
        <f t="shared" si="7"/>
        <v>22.2</v>
      </c>
      <c r="U11" s="87">
        <f t="shared" si="7"/>
        <v>17.2</v>
      </c>
      <c r="V11" s="87">
        <f t="shared" si="7"/>
        <v>86.8</v>
      </c>
      <c r="W11" s="66">
        <f t="shared" si="8"/>
        <v>17978</v>
      </c>
    </row>
    <row r="12" spans="1:23" x14ac:dyDescent="0.2">
      <c r="A12" s="42"/>
      <c r="B12" s="2" t="s">
        <v>168</v>
      </c>
      <c r="C12" s="87">
        <f t="shared" si="3"/>
        <v>9</v>
      </c>
      <c r="D12" s="87">
        <f t="shared" si="3"/>
        <v>13.6</v>
      </c>
      <c r="E12" s="87">
        <f t="shared" si="3"/>
        <v>17.899999999999999</v>
      </c>
      <c r="F12" s="87">
        <f t="shared" si="3"/>
        <v>20.2</v>
      </c>
      <c r="G12" s="87">
        <f t="shared" si="3"/>
        <v>16.899999999999999</v>
      </c>
      <c r="H12" s="87">
        <f t="shared" si="3"/>
        <v>77.5</v>
      </c>
      <c r="I12" s="66">
        <f t="shared" si="4"/>
        <v>9149</v>
      </c>
      <c r="J12" s="87">
        <f t="shared" si="5"/>
        <v>11.5</v>
      </c>
      <c r="K12" s="87">
        <f t="shared" si="5"/>
        <v>14</v>
      </c>
      <c r="L12" s="87">
        <f t="shared" si="5"/>
        <v>18.2</v>
      </c>
      <c r="M12" s="87">
        <f t="shared" si="5"/>
        <v>18.8</v>
      </c>
      <c r="N12" s="87">
        <f t="shared" si="5"/>
        <v>16.100000000000001</v>
      </c>
      <c r="O12" s="87">
        <f t="shared" si="5"/>
        <v>78.599999999999994</v>
      </c>
      <c r="P12" s="66">
        <f t="shared" si="6"/>
        <v>939</v>
      </c>
      <c r="Q12" s="87">
        <f t="shared" si="7"/>
        <v>9.1999999999999993</v>
      </c>
      <c r="R12" s="87">
        <f t="shared" si="7"/>
        <v>13.6</v>
      </c>
      <c r="S12" s="87">
        <f t="shared" si="7"/>
        <v>17.899999999999999</v>
      </c>
      <c r="T12" s="87">
        <f t="shared" si="7"/>
        <v>20.100000000000001</v>
      </c>
      <c r="U12" s="87">
        <f t="shared" si="7"/>
        <v>16.8</v>
      </c>
      <c r="V12" s="87">
        <f t="shared" si="7"/>
        <v>77.599999999999994</v>
      </c>
      <c r="W12" s="66">
        <f t="shared" si="8"/>
        <v>10088</v>
      </c>
    </row>
    <row r="13" spans="1:23" x14ac:dyDescent="0.2">
      <c r="A13" s="42"/>
      <c r="B13" s="99" t="s">
        <v>8</v>
      </c>
      <c r="C13" s="87">
        <f t="shared" si="3"/>
        <v>5.0999999999999996</v>
      </c>
      <c r="D13" s="87">
        <f t="shared" si="3"/>
        <v>11.3</v>
      </c>
      <c r="E13" s="87">
        <f t="shared" si="3"/>
        <v>18.8</v>
      </c>
      <c r="F13" s="87">
        <f t="shared" si="3"/>
        <v>22.3</v>
      </c>
      <c r="G13" s="87">
        <f t="shared" si="3"/>
        <v>19.8</v>
      </c>
      <c r="H13" s="87">
        <f t="shared" si="3"/>
        <v>77.3</v>
      </c>
      <c r="I13" s="66">
        <f t="shared" si="4"/>
        <v>8153</v>
      </c>
      <c r="J13" s="87">
        <f t="shared" si="5"/>
        <v>10.199999999999999</v>
      </c>
      <c r="K13" s="87">
        <f t="shared" si="5"/>
        <v>16.899999999999999</v>
      </c>
      <c r="L13" s="87">
        <f t="shared" si="5"/>
        <v>21.2</v>
      </c>
      <c r="M13" s="87">
        <f t="shared" si="5"/>
        <v>20.3</v>
      </c>
      <c r="N13" s="87">
        <f t="shared" si="5"/>
        <v>17.100000000000001</v>
      </c>
      <c r="O13" s="87">
        <f t="shared" si="5"/>
        <v>85.8</v>
      </c>
      <c r="P13" s="66">
        <f t="shared" si="6"/>
        <v>3716</v>
      </c>
      <c r="Q13" s="87">
        <f t="shared" si="7"/>
        <v>6.7</v>
      </c>
      <c r="R13" s="87">
        <f t="shared" si="7"/>
        <v>13.1</v>
      </c>
      <c r="S13" s="87">
        <f t="shared" si="7"/>
        <v>19.600000000000001</v>
      </c>
      <c r="T13" s="87">
        <f t="shared" si="7"/>
        <v>21.7</v>
      </c>
      <c r="U13" s="87">
        <f t="shared" si="7"/>
        <v>19</v>
      </c>
      <c r="V13" s="87">
        <f t="shared" si="7"/>
        <v>80</v>
      </c>
      <c r="W13" s="66">
        <f t="shared" si="8"/>
        <v>11869</v>
      </c>
    </row>
    <row r="14" spans="1:23" x14ac:dyDescent="0.2">
      <c r="A14" s="42"/>
      <c r="B14" s="99" t="s">
        <v>9</v>
      </c>
      <c r="C14" s="87">
        <f t="shared" si="3"/>
        <v>7.4</v>
      </c>
      <c r="D14" s="87">
        <f t="shared" si="3"/>
        <v>9.9</v>
      </c>
      <c r="E14" s="87">
        <f t="shared" si="3"/>
        <v>17.3</v>
      </c>
      <c r="F14" s="87">
        <f t="shared" si="3"/>
        <v>11.1</v>
      </c>
      <c r="G14" s="87">
        <f t="shared" si="3"/>
        <v>29.6</v>
      </c>
      <c r="H14" s="87">
        <f t="shared" si="3"/>
        <v>75.3</v>
      </c>
      <c r="I14" s="66">
        <f t="shared" si="4"/>
        <v>81</v>
      </c>
      <c r="J14" s="87">
        <f t="shared" si="5"/>
        <v>14.3</v>
      </c>
      <c r="K14" s="87">
        <f t="shared" si="5"/>
        <v>16.899999999999999</v>
      </c>
      <c r="L14" s="87">
        <f t="shared" si="5"/>
        <v>18.600000000000001</v>
      </c>
      <c r="M14" s="87">
        <f t="shared" si="5"/>
        <v>22.1</v>
      </c>
      <c r="N14" s="87">
        <f t="shared" si="5"/>
        <v>14.3</v>
      </c>
      <c r="O14" s="87">
        <f t="shared" si="5"/>
        <v>86.2</v>
      </c>
      <c r="P14" s="66">
        <f t="shared" si="6"/>
        <v>349</v>
      </c>
      <c r="Q14" s="87">
        <f t="shared" si="7"/>
        <v>13</v>
      </c>
      <c r="R14" s="87">
        <f t="shared" si="7"/>
        <v>15.6</v>
      </c>
      <c r="S14" s="87">
        <f t="shared" si="7"/>
        <v>18.399999999999999</v>
      </c>
      <c r="T14" s="87">
        <f t="shared" si="7"/>
        <v>20</v>
      </c>
      <c r="U14" s="87">
        <f t="shared" si="7"/>
        <v>17.2</v>
      </c>
      <c r="V14" s="87">
        <f t="shared" si="7"/>
        <v>84.2</v>
      </c>
      <c r="W14" s="66">
        <f t="shared" si="8"/>
        <v>430</v>
      </c>
    </row>
    <row r="15" spans="1:23" x14ac:dyDescent="0.2">
      <c r="A15" s="42"/>
      <c r="B15" s="99" t="s">
        <v>10</v>
      </c>
      <c r="C15" s="87">
        <f t="shared" si="3"/>
        <v>6.5</v>
      </c>
      <c r="D15" s="87">
        <f t="shared" si="3"/>
        <v>12.9</v>
      </c>
      <c r="E15" s="87">
        <f t="shared" si="3"/>
        <v>17</v>
      </c>
      <c r="F15" s="87">
        <f t="shared" si="3"/>
        <v>16.899999999999999</v>
      </c>
      <c r="G15" s="87">
        <f t="shared" si="3"/>
        <v>16.3</v>
      </c>
      <c r="H15" s="87">
        <f t="shared" si="3"/>
        <v>69.599999999999994</v>
      </c>
      <c r="I15" s="66">
        <f t="shared" si="4"/>
        <v>3661</v>
      </c>
      <c r="J15" s="87">
        <f t="shared" si="5"/>
        <v>8</v>
      </c>
      <c r="K15" s="87">
        <f t="shared" si="5"/>
        <v>11.9</v>
      </c>
      <c r="L15" s="87">
        <f t="shared" si="5"/>
        <v>17.100000000000001</v>
      </c>
      <c r="M15" s="87">
        <f t="shared" si="5"/>
        <v>18.8</v>
      </c>
      <c r="N15" s="87">
        <f t="shared" si="5"/>
        <v>15</v>
      </c>
      <c r="O15" s="87">
        <f t="shared" si="5"/>
        <v>70.8</v>
      </c>
      <c r="P15" s="66">
        <f t="shared" si="6"/>
        <v>1839</v>
      </c>
      <c r="Q15" s="87">
        <f t="shared" si="7"/>
        <v>7</v>
      </c>
      <c r="R15" s="87">
        <f t="shared" si="7"/>
        <v>12.5</v>
      </c>
      <c r="S15" s="87">
        <f t="shared" si="7"/>
        <v>17.100000000000001</v>
      </c>
      <c r="T15" s="87">
        <f t="shared" si="7"/>
        <v>17.5</v>
      </c>
      <c r="U15" s="87">
        <f t="shared" si="7"/>
        <v>15.9</v>
      </c>
      <c r="V15" s="87">
        <f t="shared" si="7"/>
        <v>70</v>
      </c>
      <c r="W15" s="66">
        <f t="shared" si="8"/>
        <v>5500</v>
      </c>
    </row>
    <row r="16" spans="1:23" x14ac:dyDescent="0.2">
      <c r="A16" s="42"/>
      <c r="B16" s="99" t="s">
        <v>11</v>
      </c>
      <c r="C16" s="87">
        <f t="shared" si="3"/>
        <v>8.6</v>
      </c>
      <c r="D16" s="87">
        <f t="shared" si="3"/>
        <v>17.600000000000001</v>
      </c>
      <c r="E16" s="87">
        <f t="shared" si="3"/>
        <v>23.7</v>
      </c>
      <c r="F16" s="87">
        <f t="shared" si="3"/>
        <v>21.4</v>
      </c>
      <c r="G16" s="87">
        <f t="shared" si="3"/>
        <v>15.2</v>
      </c>
      <c r="H16" s="87">
        <f t="shared" si="3"/>
        <v>86.5</v>
      </c>
      <c r="I16" s="66">
        <f t="shared" si="4"/>
        <v>23236</v>
      </c>
      <c r="J16" s="87">
        <f t="shared" si="5"/>
        <v>10.199999999999999</v>
      </c>
      <c r="K16" s="87">
        <f t="shared" si="5"/>
        <v>17.7</v>
      </c>
      <c r="L16" s="87">
        <f t="shared" si="5"/>
        <v>21.8</v>
      </c>
      <c r="M16" s="87">
        <f t="shared" si="5"/>
        <v>19.7</v>
      </c>
      <c r="N16" s="87">
        <f t="shared" si="5"/>
        <v>15</v>
      </c>
      <c r="O16" s="87">
        <f t="shared" si="5"/>
        <v>84.3</v>
      </c>
      <c r="P16" s="66">
        <f t="shared" si="6"/>
        <v>16936</v>
      </c>
      <c r="Q16" s="87">
        <f t="shared" si="7"/>
        <v>9.3000000000000007</v>
      </c>
      <c r="R16" s="87">
        <f t="shared" si="7"/>
        <v>17.600000000000001</v>
      </c>
      <c r="S16" s="87">
        <f t="shared" si="7"/>
        <v>22.9</v>
      </c>
      <c r="T16" s="87">
        <f t="shared" si="7"/>
        <v>20.7</v>
      </c>
      <c r="U16" s="87">
        <f t="shared" si="7"/>
        <v>15.1</v>
      </c>
      <c r="V16" s="87">
        <f t="shared" si="7"/>
        <v>85.6</v>
      </c>
      <c r="W16" s="66">
        <f t="shared" si="8"/>
        <v>40172</v>
      </c>
    </row>
    <row r="17" spans="1:23" x14ac:dyDescent="0.2">
      <c r="A17" s="42"/>
      <c r="B17" s="99" t="s">
        <v>12</v>
      </c>
      <c r="C17" s="87">
        <f t="shared" si="3"/>
        <v>19.3</v>
      </c>
      <c r="D17" s="87">
        <f t="shared" si="3"/>
        <v>18.7</v>
      </c>
      <c r="E17" s="87">
        <f t="shared" si="3"/>
        <v>18.899999999999999</v>
      </c>
      <c r="F17" s="87">
        <f t="shared" si="3"/>
        <v>16.399999999999999</v>
      </c>
      <c r="G17" s="87">
        <f t="shared" si="3"/>
        <v>12.8</v>
      </c>
      <c r="H17" s="87">
        <f t="shared" si="3"/>
        <v>86.1</v>
      </c>
      <c r="I17" s="66">
        <f t="shared" si="4"/>
        <v>22991</v>
      </c>
      <c r="J17" s="87">
        <f t="shared" si="5"/>
        <v>21.1</v>
      </c>
      <c r="K17" s="87">
        <f t="shared" si="5"/>
        <v>19.3</v>
      </c>
      <c r="L17" s="87">
        <f t="shared" si="5"/>
        <v>18.600000000000001</v>
      </c>
      <c r="M17" s="87">
        <f t="shared" si="5"/>
        <v>16.2</v>
      </c>
      <c r="N17" s="87">
        <f t="shared" si="5"/>
        <v>12.4</v>
      </c>
      <c r="O17" s="87">
        <f t="shared" si="5"/>
        <v>87.7</v>
      </c>
      <c r="P17" s="66">
        <f t="shared" si="6"/>
        <v>10626</v>
      </c>
      <c r="Q17" s="87">
        <f t="shared" si="7"/>
        <v>19.899999999999999</v>
      </c>
      <c r="R17" s="87">
        <f t="shared" si="7"/>
        <v>18.899999999999999</v>
      </c>
      <c r="S17" s="87">
        <f t="shared" si="7"/>
        <v>18.8</v>
      </c>
      <c r="T17" s="87">
        <f t="shared" si="7"/>
        <v>16.399999999999999</v>
      </c>
      <c r="U17" s="87">
        <f t="shared" si="7"/>
        <v>12.7</v>
      </c>
      <c r="V17" s="87">
        <f t="shared" si="7"/>
        <v>86.6</v>
      </c>
      <c r="W17" s="66">
        <f t="shared" si="8"/>
        <v>33617</v>
      </c>
    </row>
    <row r="18" spans="1:23" x14ac:dyDescent="0.2">
      <c r="A18" s="42"/>
      <c r="B18" s="99" t="s">
        <v>13</v>
      </c>
      <c r="C18" s="87">
        <f t="shared" si="3"/>
        <v>18.8</v>
      </c>
      <c r="D18" s="87">
        <f t="shared" si="3"/>
        <v>18.100000000000001</v>
      </c>
      <c r="E18" s="87">
        <f t="shared" si="3"/>
        <v>20.6</v>
      </c>
      <c r="F18" s="87">
        <f t="shared" si="3"/>
        <v>17.8</v>
      </c>
      <c r="G18" s="87">
        <f t="shared" si="3"/>
        <v>12.8</v>
      </c>
      <c r="H18" s="87">
        <f t="shared" si="3"/>
        <v>88.2</v>
      </c>
      <c r="I18" s="66">
        <f t="shared" si="4"/>
        <v>23432</v>
      </c>
      <c r="J18" s="87">
        <f t="shared" si="5"/>
        <v>27.1</v>
      </c>
      <c r="K18" s="87">
        <f t="shared" si="5"/>
        <v>19.8</v>
      </c>
      <c r="L18" s="87">
        <f t="shared" si="5"/>
        <v>19.100000000000001</v>
      </c>
      <c r="M18" s="87">
        <f t="shared" si="5"/>
        <v>14.7</v>
      </c>
      <c r="N18" s="87">
        <f t="shared" si="5"/>
        <v>9.9</v>
      </c>
      <c r="O18" s="87">
        <f t="shared" si="5"/>
        <v>90.7</v>
      </c>
      <c r="P18" s="66">
        <f t="shared" si="6"/>
        <v>23035</v>
      </c>
      <c r="Q18" s="87">
        <f t="shared" si="7"/>
        <v>23</v>
      </c>
      <c r="R18" s="87">
        <f t="shared" si="7"/>
        <v>18.899999999999999</v>
      </c>
      <c r="S18" s="87">
        <f t="shared" si="7"/>
        <v>19.899999999999999</v>
      </c>
      <c r="T18" s="87">
        <f t="shared" si="7"/>
        <v>16.3</v>
      </c>
      <c r="U18" s="87">
        <f t="shared" si="7"/>
        <v>11.4</v>
      </c>
      <c r="V18" s="87">
        <f t="shared" si="7"/>
        <v>89.4</v>
      </c>
      <c r="W18" s="66">
        <f t="shared" si="8"/>
        <v>46467</v>
      </c>
    </row>
    <row r="19" spans="1:23" x14ac:dyDescent="0.2">
      <c r="A19" s="42"/>
      <c r="B19" s="99" t="s">
        <v>14</v>
      </c>
      <c r="C19" s="87">
        <f t="shared" si="3"/>
        <v>17.600000000000001</v>
      </c>
      <c r="D19" s="87">
        <f t="shared" si="3"/>
        <v>18.899999999999999</v>
      </c>
      <c r="E19" s="87">
        <f t="shared" si="3"/>
        <v>21</v>
      </c>
      <c r="F19" s="87">
        <f t="shared" si="3"/>
        <v>17.100000000000001</v>
      </c>
      <c r="G19" s="87">
        <f t="shared" si="3"/>
        <v>12.4</v>
      </c>
      <c r="H19" s="87">
        <f t="shared" si="3"/>
        <v>87</v>
      </c>
      <c r="I19" s="66">
        <f t="shared" si="4"/>
        <v>9939</v>
      </c>
      <c r="J19" s="87">
        <f t="shared" si="5"/>
        <v>21.3</v>
      </c>
      <c r="K19" s="87">
        <f t="shared" si="5"/>
        <v>20.2</v>
      </c>
      <c r="L19" s="87">
        <f t="shared" si="5"/>
        <v>19.2</v>
      </c>
      <c r="M19" s="87">
        <f t="shared" si="5"/>
        <v>15.4</v>
      </c>
      <c r="N19" s="87">
        <f t="shared" si="5"/>
        <v>10.8</v>
      </c>
      <c r="O19" s="87">
        <f t="shared" si="5"/>
        <v>86.9</v>
      </c>
      <c r="P19" s="66">
        <f t="shared" si="6"/>
        <v>8200</v>
      </c>
      <c r="Q19" s="87">
        <f t="shared" si="7"/>
        <v>19.3</v>
      </c>
      <c r="R19" s="87">
        <f t="shared" si="7"/>
        <v>19.5</v>
      </c>
      <c r="S19" s="87">
        <f t="shared" si="7"/>
        <v>20.2</v>
      </c>
      <c r="T19" s="87">
        <f t="shared" si="7"/>
        <v>16.3</v>
      </c>
      <c r="U19" s="87">
        <f t="shared" si="7"/>
        <v>11.7</v>
      </c>
      <c r="V19" s="87">
        <f t="shared" si="7"/>
        <v>86.9</v>
      </c>
      <c r="W19" s="66">
        <f t="shared" si="8"/>
        <v>18139</v>
      </c>
    </row>
    <row r="20" spans="1:23" x14ac:dyDescent="0.2">
      <c r="A20" s="42"/>
      <c r="B20" s="99" t="s">
        <v>15</v>
      </c>
      <c r="C20" s="87">
        <f t="shared" si="3"/>
        <v>16.2</v>
      </c>
      <c r="D20" s="87">
        <f t="shared" si="3"/>
        <v>22.7</v>
      </c>
      <c r="E20" s="87">
        <f t="shared" si="3"/>
        <v>25.3</v>
      </c>
      <c r="F20" s="87">
        <f t="shared" si="3"/>
        <v>19.2</v>
      </c>
      <c r="G20" s="87">
        <f t="shared" si="3"/>
        <v>10.4</v>
      </c>
      <c r="H20" s="87">
        <f t="shared" si="3"/>
        <v>93.8</v>
      </c>
      <c r="I20" s="66">
        <f t="shared" si="4"/>
        <v>30328</v>
      </c>
      <c r="J20" s="87">
        <f t="shared" si="5"/>
        <v>18.2</v>
      </c>
      <c r="K20" s="87">
        <f t="shared" si="5"/>
        <v>23.2</v>
      </c>
      <c r="L20" s="87">
        <f t="shared" si="5"/>
        <v>24.7</v>
      </c>
      <c r="M20" s="87">
        <f t="shared" si="5"/>
        <v>17.899999999999999</v>
      </c>
      <c r="N20" s="87">
        <f t="shared" si="5"/>
        <v>9.4</v>
      </c>
      <c r="O20" s="87">
        <f t="shared" si="5"/>
        <v>93.6</v>
      </c>
      <c r="P20" s="66">
        <f t="shared" si="6"/>
        <v>36171</v>
      </c>
      <c r="Q20" s="87">
        <f t="shared" si="7"/>
        <v>17.3</v>
      </c>
      <c r="R20" s="87">
        <f t="shared" si="7"/>
        <v>23</v>
      </c>
      <c r="S20" s="87">
        <f t="shared" si="7"/>
        <v>25</v>
      </c>
      <c r="T20" s="87">
        <f t="shared" si="7"/>
        <v>18.5</v>
      </c>
      <c r="U20" s="87">
        <f t="shared" si="7"/>
        <v>9.8000000000000007</v>
      </c>
      <c r="V20" s="87">
        <f t="shared" si="7"/>
        <v>93.7</v>
      </c>
      <c r="W20" s="66">
        <f t="shared" si="8"/>
        <v>66499</v>
      </c>
    </row>
    <row r="21" spans="1:23" x14ac:dyDescent="0.2">
      <c r="A21" s="42"/>
      <c r="B21" s="99" t="s">
        <v>16</v>
      </c>
      <c r="C21" s="87">
        <f t="shared" si="3"/>
        <v>7.1</v>
      </c>
      <c r="D21" s="87">
        <f t="shared" si="3"/>
        <v>13.6</v>
      </c>
      <c r="E21" s="87">
        <f t="shared" si="3"/>
        <v>17.5</v>
      </c>
      <c r="F21" s="87">
        <f t="shared" si="3"/>
        <v>16.8</v>
      </c>
      <c r="G21" s="87">
        <f t="shared" si="3"/>
        <v>15.3</v>
      </c>
      <c r="H21" s="87">
        <f t="shared" si="3"/>
        <v>70.3</v>
      </c>
      <c r="I21" s="66">
        <f t="shared" si="4"/>
        <v>7165</v>
      </c>
      <c r="J21" s="87">
        <f t="shared" si="5"/>
        <v>11.6</v>
      </c>
      <c r="K21" s="87">
        <f t="shared" si="5"/>
        <v>16</v>
      </c>
      <c r="L21" s="87">
        <f t="shared" si="5"/>
        <v>18.2</v>
      </c>
      <c r="M21" s="87">
        <f t="shared" si="5"/>
        <v>16.899999999999999</v>
      </c>
      <c r="N21" s="87">
        <f t="shared" si="5"/>
        <v>13.8</v>
      </c>
      <c r="O21" s="87">
        <f t="shared" si="5"/>
        <v>76.400000000000006</v>
      </c>
      <c r="P21" s="66">
        <f t="shared" si="6"/>
        <v>11089</v>
      </c>
      <c r="Q21" s="87">
        <f t="shared" si="7"/>
        <v>9.8000000000000007</v>
      </c>
      <c r="R21" s="87">
        <f t="shared" si="7"/>
        <v>15</v>
      </c>
      <c r="S21" s="87">
        <f t="shared" si="7"/>
        <v>17.899999999999999</v>
      </c>
      <c r="T21" s="87">
        <f t="shared" si="7"/>
        <v>16.8</v>
      </c>
      <c r="U21" s="87">
        <f t="shared" si="7"/>
        <v>14.4</v>
      </c>
      <c r="V21" s="87">
        <f t="shared" si="7"/>
        <v>74</v>
      </c>
      <c r="W21" s="66">
        <f t="shared" si="8"/>
        <v>18254</v>
      </c>
    </row>
    <row r="22" spans="1:23" x14ac:dyDescent="0.2">
      <c r="A22" s="42"/>
      <c r="B22" s="99" t="s">
        <v>17</v>
      </c>
      <c r="C22" s="87">
        <f t="shared" ref="C22:H37" si="9">IF(OR(C64=1,C64=2),"x",ROUND(C64/$I64*100,1))</f>
        <v>6</v>
      </c>
      <c r="D22" s="87">
        <f t="shared" si="9"/>
        <v>12.1</v>
      </c>
      <c r="E22" s="87">
        <f t="shared" si="9"/>
        <v>17.7</v>
      </c>
      <c r="F22" s="87">
        <f t="shared" si="9"/>
        <v>19.8</v>
      </c>
      <c r="G22" s="87">
        <f t="shared" si="9"/>
        <v>17.5</v>
      </c>
      <c r="H22" s="87">
        <f t="shared" si="9"/>
        <v>73.099999999999994</v>
      </c>
      <c r="I22" s="66">
        <f t="shared" si="4"/>
        <v>25991</v>
      </c>
      <c r="J22" s="87">
        <f t="shared" ref="J22:O37" si="10">IF(OR(J64=1,J64=2),"x",ROUND(J64/$P64*100,1))</f>
        <v>13.9</v>
      </c>
      <c r="K22" s="87">
        <f t="shared" si="10"/>
        <v>18</v>
      </c>
      <c r="L22" s="87">
        <f t="shared" si="10"/>
        <v>20.2</v>
      </c>
      <c r="M22" s="87">
        <f t="shared" si="10"/>
        <v>18.2</v>
      </c>
      <c r="N22" s="87">
        <f t="shared" si="10"/>
        <v>13.2</v>
      </c>
      <c r="O22" s="87">
        <f t="shared" si="10"/>
        <v>83.5</v>
      </c>
      <c r="P22" s="66">
        <f t="shared" si="6"/>
        <v>63252</v>
      </c>
      <c r="Q22" s="87">
        <f t="shared" ref="Q22:V37" si="11">IF(OR(Q64=1,Q64=2),"x",ROUND(Q64/$W64*100,1))</f>
        <v>11.6</v>
      </c>
      <c r="R22" s="87">
        <f t="shared" si="11"/>
        <v>16.3</v>
      </c>
      <c r="S22" s="87">
        <f t="shared" si="11"/>
        <v>19.5</v>
      </c>
      <c r="T22" s="87">
        <f t="shared" si="11"/>
        <v>18.7</v>
      </c>
      <c r="U22" s="87">
        <f t="shared" si="11"/>
        <v>14.4</v>
      </c>
      <c r="V22" s="87">
        <f t="shared" si="11"/>
        <v>80.5</v>
      </c>
      <c r="W22" s="66">
        <f t="shared" si="8"/>
        <v>89243</v>
      </c>
    </row>
    <row r="23" spans="1:23" x14ac:dyDescent="0.2">
      <c r="A23" s="42"/>
      <c r="B23" s="99" t="s">
        <v>18</v>
      </c>
      <c r="C23" s="87">
        <f t="shared" si="9"/>
        <v>8.1999999999999993</v>
      </c>
      <c r="D23" s="87">
        <f t="shared" si="9"/>
        <v>15.3</v>
      </c>
      <c r="E23" s="87">
        <f t="shared" si="9"/>
        <v>19.899999999999999</v>
      </c>
      <c r="F23" s="87">
        <f t="shared" si="9"/>
        <v>20.3</v>
      </c>
      <c r="G23" s="87">
        <f t="shared" si="9"/>
        <v>16.5</v>
      </c>
      <c r="H23" s="87">
        <f t="shared" si="9"/>
        <v>80.3</v>
      </c>
      <c r="I23" s="66">
        <f t="shared" si="4"/>
        <v>12734</v>
      </c>
      <c r="J23" s="87">
        <f t="shared" si="10"/>
        <v>14.6</v>
      </c>
      <c r="K23" s="87">
        <f t="shared" si="10"/>
        <v>19.8</v>
      </c>
      <c r="L23" s="87">
        <f t="shared" si="10"/>
        <v>21.6</v>
      </c>
      <c r="M23" s="87">
        <f t="shared" si="10"/>
        <v>17.5</v>
      </c>
      <c r="N23" s="87">
        <f t="shared" si="10"/>
        <v>12.6</v>
      </c>
      <c r="O23" s="87">
        <f t="shared" si="10"/>
        <v>86.2</v>
      </c>
      <c r="P23" s="66">
        <f t="shared" si="6"/>
        <v>35662</v>
      </c>
      <c r="Q23" s="87">
        <f t="shared" si="11"/>
        <v>12.9</v>
      </c>
      <c r="R23" s="87">
        <f t="shared" si="11"/>
        <v>18.600000000000001</v>
      </c>
      <c r="S23" s="87">
        <f t="shared" si="11"/>
        <v>21.2</v>
      </c>
      <c r="T23" s="87">
        <f t="shared" si="11"/>
        <v>18.2</v>
      </c>
      <c r="U23" s="87">
        <f t="shared" si="11"/>
        <v>13.7</v>
      </c>
      <c r="V23" s="87">
        <f t="shared" si="11"/>
        <v>84.6</v>
      </c>
      <c r="W23" s="66">
        <f t="shared" si="8"/>
        <v>48396</v>
      </c>
    </row>
    <row r="24" spans="1:23" x14ac:dyDescent="0.2">
      <c r="A24" s="42"/>
      <c r="B24" s="99" t="s">
        <v>19</v>
      </c>
      <c r="C24" s="87">
        <f t="shared" si="9"/>
        <v>9.1999999999999993</v>
      </c>
      <c r="D24" s="87">
        <f t="shared" si="9"/>
        <v>13.6</v>
      </c>
      <c r="E24" s="87">
        <f t="shared" si="9"/>
        <v>16.3</v>
      </c>
      <c r="F24" s="87">
        <f t="shared" si="9"/>
        <v>19.2</v>
      </c>
      <c r="G24" s="87">
        <f t="shared" si="9"/>
        <v>17.5</v>
      </c>
      <c r="H24" s="87">
        <f t="shared" si="9"/>
        <v>75.8</v>
      </c>
      <c r="I24" s="66">
        <f t="shared" si="4"/>
        <v>3607</v>
      </c>
      <c r="J24" s="87">
        <f t="shared" si="10"/>
        <v>11.2</v>
      </c>
      <c r="K24" s="87">
        <f t="shared" si="10"/>
        <v>16.7</v>
      </c>
      <c r="L24" s="87">
        <f t="shared" si="10"/>
        <v>20</v>
      </c>
      <c r="M24" s="87">
        <f t="shared" si="10"/>
        <v>18.100000000000001</v>
      </c>
      <c r="N24" s="87">
        <f t="shared" si="10"/>
        <v>14.8</v>
      </c>
      <c r="O24" s="87">
        <f t="shared" si="10"/>
        <v>80.900000000000006</v>
      </c>
      <c r="P24" s="66">
        <f t="shared" si="6"/>
        <v>4994</v>
      </c>
      <c r="Q24" s="87">
        <f t="shared" si="11"/>
        <v>10.4</v>
      </c>
      <c r="R24" s="87">
        <f t="shared" si="11"/>
        <v>15.4</v>
      </c>
      <c r="S24" s="87">
        <f t="shared" si="11"/>
        <v>18.5</v>
      </c>
      <c r="T24" s="87">
        <f t="shared" si="11"/>
        <v>18.600000000000001</v>
      </c>
      <c r="U24" s="87">
        <f t="shared" si="11"/>
        <v>16</v>
      </c>
      <c r="V24" s="87">
        <f t="shared" si="11"/>
        <v>78.7</v>
      </c>
      <c r="W24" s="66">
        <f t="shared" si="8"/>
        <v>8601</v>
      </c>
    </row>
    <row r="25" spans="1:23" x14ac:dyDescent="0.2">
      <c r="A25" s="42"/>
      <c r="B25" s="99" t="s">
        <v>20</v>
      </c>
      <c r="C25" s="87">
        <f t="shared" si="9"/>
        <v>15.7</v>
      </c>
      <c r="D25" s="87">
        <f t="shared" si="9"/>
        <v>19.100000000000001</v>
      </c>
      <c r="E25" s="87">
        <f t="shared" si="9"/>
        <v>24.3</v>
      </c>
      <c r="F25" s="87">
        <f t="shared" si="9"/>
        <v>19.899999999999999</v>
      </c>
      <c r="G25" s="87">
        <f t="shared" si="9"/>
        <v>12.4</v>
      </c>
      <c r="H25" s="87">
        <f t="shared" si="9"/>
        <v>91.4</v>
      </c>
      <c r="I25" s="66">
        <f t="shared" si="4"/>
        <v>15135</v>
      </c>
      <c r="J25" s="87">
        <f t="shared" si="10"/>
        <v>23.3</v>
      </c>
      <c r="K25" s="87">
        <f t="shared" si="10"/>
        <v>25.4</v>
      </c>
      <c r="L25" s="87">
        <f t="shared" si="10"/>
        <v>25.1</v>
      </c>
      <c r="M25" s="87">
        <f t="shared" si="10"/>
        <v>15.1</v>
      </c>
      <c r="N25" s="87">
        <f t="shared" si="10"/>
        <v>7.2</v>
      </c>
      <c r="O25" s="87">
        <f t="shared" si="10"/>
        <v>96</v>
      </c>
      <c r="P25" s="66">
        <f t="shared" si="6"/>
        <v>43325</v>
      </c>
      <c r="Q25" s="87">
        <f t="shared" si="11"/>
        <v>21.3</v>
      </c>
      <c r="R25" s="87">
        <f t="shared" si="11"/>
        <v>23.8</v>
      </c>
      <c r="S25" s="87">
        <f t="shared" si="11"/>
        <v>24.9</v>
      </c>
      <c r="T25" s="87">
        <f t="shared" si="11"/>
        <v>16.3</v>
      </c>
      <c r="U25" s="87">
        <f t="shared" si="11"/>
        <v>8.5</v>
      </c>
      <c r="V25" s="87">
        <f t="shared" si="11"/>
        <v>94.8</v>
      </c>
      <c r="W25" s="66">
        <f t="shared" si="8"/>
        <v>58460</v>
      </c>
    </row>
    <row r="26" spans="1:23" x14ac:dyDescent="0.2">
      <c r="A26" s="42"/>
      <c r="B26" s="99" t="s">
        <v>21</v>
      </c>
      <c r="C26" s="87">
        <f t="shared" si="9"/>
        <v>13.4</v>
      </c>
      <c r="D26" s="87">
        <f t="shared" si="9"/>
        <v>25.3</v>
      </c>
      <c r="E26" s="87">
        <f t="shared" si="9"/>
        <v>30.5</v>
      </c>
      <c r="F26" s="87">
        <f t="shared" si="9"/>
        <v>21.8</v>
      </c>
      <c r="G26" s="87">
        <f t="shared" si="9"/>
        <v>7</v>
      </c>
      <c r="H26" s="87">
        <f t="shared" si="9"/>
        <v>98</v>
      </c>
      <c r="I26" s="66">
        <f t="shared" si="4"/>
        <v>5009</v>
      </c>
      <c r="J26" s="87">
        <f t="shared" si="10"/>
        <v>15.6</v>
      </c>
      <c r="K26" s="87">
        <f t="shared" si="10"/>
        <v>30</v>
      </c>
      <c r="L26" s="87">
        <f t="shared" si="10"/>
        <v>32</v>
      </c>
      <c r="M26" s="87">
        <f t="shared" si="10"/>
        <v>16.5</v>
      </c>
      <c r="N26" s="87">
        <f t="shared" si="10"/>
        <v>4.5</v>
      </c>
      <c r="O26" s="87">
        <f t="shared" si="10"/>
        <v>98.7</v>
      </c>
      <c r="P26" s="66">
        <f t="shared" si="6"/>
        <v>10576</v>
      </c>
      <c r="Q26" s="87">
        <f t="shared" si="11"/>
        <v>14.9</v>
      </c>
      <c r="R26" s="87">
        <f t="shared" si="11"/>
        <v>28.5</v>
      </c>
      <c r="S26" s="87">
        <f t="shared" si="11"/>
        <v>31.5</v>
      </c>
      <c r="T26" s="87">
        <f t="shared" si="11"/>
        <v>18.2</v>
      </c>
      <c r="U26" s="87">
        <f t="shared" si="11"/>
        <v>5.3</v>
      </c>
      <c r="V26" s="87">
        <f t="shared" si="11"/>
        <v>98.4</v>
      </c>
      <c r="W26" s="66">
        <f t="shared" si="8"/>
        <v>15585</v>
      </c>
    </row>
    <row r="27" spans="1:23" x14ac:dyDescent="0.2">
      <c r="A27" s="42"/>
      <c r="B27" s="99" t="s">
        <v>22</v>
      </c>
      <c r="C27" s="87">
        <f t="shared" si="9"/>
        <v>12.4</v>
      </c>
      <c r="D27" s="87">
        <f t="shared" si="9"/>
        <v>20.7</v>
      </c>
      <c r="E27" s="87">
        <f t="shared" si="9"/>
        <v>28.9</v>
      </c>
      <c r="F27" s="87">
        <f t="shared" si="9"/>
        <v>22.7</v>
      </c>
      <c r="G27" s="87">
        <f t="shared" si="9"/>
        <v>11.1</v>
      </c>
      <c r="H27" s="87">
        <f t="shared" si="9"/>
        <v>95.9</v>
      </c>
      <c r="I27" s="66">
        <f t="shared" si="4"/>
        <v>31590</v>
      </c>
      <c r="J27" s="87">
        <f t="shared" si="10"/>
        <v>15.2</v>
      </c>
      <c r="K27" s="87">
        <f t="shared" si="10"/>
        <v>24.3</v>
      </c>
      <c r="L27" s="87">
        <f t="shared" si="10"/>
        <v>29.6</v>
      </c>
      <c r="M27" s="87">
        <f t="shared" si="10"/>
        <v>20.3</v>
      </c>
      <c r="N27" s="87">
        <f t="shared" si="10"/>
        <v>8.1</v>
      </c>
      <c r="O27" s="87">
        <f t="shared" si="10"/>
        <v>97.4</v>
      </c>
      <c r="P27" s="66">
        <f t="shared" si="6"/>
        <v>77776</v>
      </c>
      <c r="Q27" s="87">
        <f t="shared" si="11"/>
        <v>14.4</v>
      </c>
      <c r="R27" s="87">
        <f t="shared" si="11"/>
        <v>23.2</v>
      </c>
      <c r="S27" s="87">
        <f t="shared" si="11"/>
        <v>29.4</v>
      </c>
      <c r="T27" s="87">
        <f t="shared" si="11"/>
        <v>21</v>
      </c>
      <c r="U27" s="87">
        <f t="shared" si="11"/>
        <v>9</v>
      </c>
      <c r="V27" s="87">
        <f t="shared" si="11"/>
        <v>97</v>
      </c>
      <c r="W27" s="66">
        <f t="shared" si="8"/>
        <v>109366</v>
      </c>
    </row>
    <row r="28" spans="1:23" x14ac:dyDescent="0.2">
      <c r="A28" s="42"/>
      <c r="B28" s="99" t="s">
        <v>51</v>
      </c>
      <c r="C28" s="87">
        <f t="shared" si="9"/>
        <v>6.2</v>
      </c>
      <c r="D28" s="87">
        <f t="shared" si="9"/>
        <v>19.100000000000001</v>
      </c>
      <c r="E28" s="87">
        <f t="shared" si="9"/>
        <v>30.7</v>
      </c>
      <c r="F28" s="87">
        <f t="shared" si="9"/>
        <v>25.1</v>
      </c>
      <c r="G28" s="87">
        <f t="shared" si="9"/>
        <v>12</v>
      </c>
      <c r="H28" s="87">
        <f t="shared" si="9"/>
        <v>93.2</v>
      </c>
      <c r="I28" s="66">
        <f t="shared" si="4"/>
        <v>12607</v>
      </c>
      <c r="J28" s="87">
        <f t="shared" si="10"/>
        <v>12.8</v>
      </c>
      <c r="K28" s="87">
        <f t="shared" si="10"/>
        <v>27.4</v>
      </c>
      <c r="L28" s="87">
        <f t="shared" si="10"/>
        <v>31.1</v>
      </c>
      <c r="M28" s="87">
        <f t="shared" si="10"/>
        <v>18.399999999999999</v>
      </c>
      <c r="N28" s="87">
        <f t="shared" si="10"/>
        <v>7.1</v>
      </c>
      <c r="O28" s="87">
        <f t="shared" si="10"/>
        <v>96.8</v>
      </c>
      <c r="P28" s="66">
        <f t="shared" si="6"/>
        <v>16264</v>
      </c>
      <c r="Q28" s="87">
        <f t="shared" si="11"/>
        <v>9.9</v>
      </c>
      <c r="R28" s="87">
        <f t="shared" si="11"/>
        <v>23.8</v>
      </c>
      <c r="S28" s="87">
        <f t="shared" si="11"/>
        <v>30.9</v>
      </c>
      <c r="T28" s="87">
        <f t="shared" si="11"/>
        <v>21.3</v>
      </c>
      <c r="U28" s="87">
        <f t="shared" si="11"/>
        <v>9.1999999999999993</v>
      </c>
      <c r="V28" s="87">
        <f t="shared" si="11"/>
        <v>95.2</v>
      </c>
      <c r="W28" s="66">
        <f t="shared" si="8"/>
        <v>28871</v>
      </c>
    </row>
    <row r="29" spans="1:23" x14ac:dyDescent="0.2">
      <c r="A29" s="42"/>
      <c r="B29" s="99" t="s">
        <v>23</v>
      </c>
      <c r="C29" s="87">
        <f t="shared" si="9"/>
        <v>8.1999999999999993</v>
      </c>
      <c r="D29" s="87">
        <f t="shared" si="9"/>
        <v>26</v>
      </c>
      <c r="E29" s="87">
        <f t="shared" si="9"/>
        <v>36</v>
      </c>
      <c r="F29" s="87">
        <f t="shared" si="9"/>
        <v>19.2</v>
      </c>
      <c r="G29" s="87">
        <f t="shared" si="9"/>
        <v>7.1</v>
      </c>
      <c r="H29" s="87">
        <f t="shared" si="9"/>
        <v>96.4</v>
      </c>
      <c r="I29" s="66">
        <f t="shared" si="4"/>
        <v>6339</v>
      </c>
      <c r="J29" s="87">
        <f t="shared" si="10"/>
        <v>12.4</v>
      </c>
      <c r="K29" s="87">
        <f t="shared" si="10"/>
        <v>31.6</v>
      </c>
      <c r="L29" s="87">
        <f t="shared" si="10"/>
        <v>33.4</v>
      </c>
      <c r="M29" s="87">
        <f t="shared" si="10"/>
        <v>15.5</v>
      </c>
      <c r="N29" s="87">
        <f t="shared" si="10"/>
        <v>4.8</v>
      </c>
      <c r="O29" s="87">
        <f t="shared" si="10"/>
        <v>97.8</v>
      </c>
      <c r="P29" s="66">
        <f t="shared" si="6"/>
        <v>8747</v>
      </c>
      <c r="Q29" s="87">
        <f t="shared" si="11"/>
        <v>10.6</v>
      </c>
      <c r="R29" s="87">
        <f t="shared" si="11"/>
        <v>29.3</v>
      </c>
      <c r="S29" s="87">
        <f t="shared" si="11"/>
        <v>34.5</v>
      </c>
      <c r="T29" s="87">
        <f t="shared" si="11"/>
        <v>17</v>
      </c>
      <c r="U29" s="87">
        <f t="shared" si="11"/>
        <v>5.8</v>
      </c>
      <c r="V29" s="87">
        <f t="shared" si="11"/>
        <v>97.2</v>
      </c>
      <c r="W29" s="66">
        <f t="shared" si="8"/>
        <v>15086</v>
      </c>
    </row>
    <row r="30" spans="1:23" x14ac:dyDescent="0.2">
      <c r="A30" s="42"/>
      <c r="B30" s="99" t="s">
        <v>24</v>
      </c>
      <c r="C30" s="87">
        <f t="shared" si="9"/>
        <v>28.9</v>
      </c>
      <c r="D30" s="87">
        <f t="shared" si="9"/>
        <v>19.5</v>
      </c>
      <c r="E30" s="87">
        <f t="shared" si="9"/>
        <v>17.7</v>
      </c>
      <c r="F30" s="87">
        <f t="shared" si="9"/>
        <v>15.8</v>
      </c>
      <c r="G30" s="87">
        <f t="shared" si="9"/>
        <v>10.4</v>
      </c>
      <c r="H30" s="87">
        <f t="shared" si="9"/>
        <v>92.3</v>
      </c>
      <c r="I30" s="66">
        <f t="shared" si="4"/>
        <v>3859</v>
      </c>
      <c r="J30" s="87">
        <f t="shared" si="10"/>
        <v>26.2</v>
      </c>
      <c r="K30" s="87">
        <f t="shared" si="10"/>
        <v>19.5</v>
      </c>
      <c r="L30" s="87">
        <f t="shared" si="10"/>
        <v>19</v>
      </c>
      <c r="M30" s="87">
        <f t="shared" si="10"/>
        <v>15</v>
      </c>
      <c r="N30" s="87">
        <f t="shared" si="10"/>
        <v>11.3</v>
      </c>
      <c r="O30" s="87">
        <f t="shared" si="10"/>
        <v>91</v>
      </c>
      <c r="P30" s="66">
        <f t="shared" si="6"/>
        <v>9390</v>
      </c>
      <c r="Q30" s="87">
        <f t="shared" si="11"/>
        <v>27</v>
      </c>
      <c r="R30" s="87">
        <f t="shared" si="11"/>
        <v>19.5</v>
      </c>
      <c r="S30" s="87">
        <f t="shared" si="11"/>
        <v>18.600000000000001</v>
      </c>
      <c r="T30" s="87">
        <f t="shared" si="11"/>
        <v>15.3</v>
      </c>
      <c r="U30" s="87">
        <f t="shared" si="11"/>
        <v>11</v>
      </c>
      <c r="V30" s="87">
        <f t="shared" si="11"/>
        <v>91.4</v>
      </c>
      <c r="W30" s="66">
        <f t="shared" si="8"/>
        <v>13249</v>
      </c>
    </row>
    <row r="31" spans="1:23" x14ac:dyDescent="0.2">
      <c r="A31" s="42"/>
      <c r="B31" s="99" t="s">
        <v>25</v>
      </c>
      <c r="C31" s="87">
        <f t="shared" si="9"/>
        <v>28.5</v>
      </c>
      <c r="D31" s="87">
        <f t="shared" si="9"/>
        <v>19.2</v>
      </c>
      <c r="E31" s="87">
        <f t="shared" si="9"/>
        <v>19.3</v>
      </c>
      <c r="F31" s="87">
        <f t="shared" si="9"/>
        <v>16</v>
      </c>
      <c r="G31" s="87">
        <f t="shared" si="9"/>
        <v>9.8000000000000007</v>
      </c>
      <c r="H31" s="87">
        <f t="shared" si="9"/>
        <v>92.8</v>
      </c>
      <c r="I31" s="66">
        <f t="shared" si="4"/>
        <v>2097</v>
      </c>
      <c r="J31" s="87">
        <f t="shared" si="10"/>
        <v>24</v>
      </c>
      <c r="K31" s="87">
        <f t="shared" si="10"/>
        <v>20.7</v>
      </c>
      <c r="L31" s="87">
        <f t="shared" si="10"/>
        <v>19.899999999999999</v>
      </c>
      <c r="M31" s="87">
        <f t="shared" si="10"/>
        <v>16.399999999999999</v>
      </c>
      <c r="N31" s="87">
        <f t="shared" si="10"/>
        <v>12</v>
      </c>
      <c r="O31" s="87">
        <f t="shared" si="10"/>
        <v>93.1</v>
      </c>
      <c r="P31" s="66">
        <f t="shared" si="6"/>
        <v>3382</v>
      </c>
      <c r="Q31" s="87">
        <f t="shared" si="11"/>
        <v>25.7</v>
      </c>
      <c r="R31" s="87">
        <f t="shared" si="11"/>
        <v>20.100000000000001</v>
      </c>
      <c r="S31" s="87">
        <f t="shared" si="11"/>
        <v>19.7</v>
      </c>
      <c r="T31" s="87">
        <f t="shared" si="11"/>
        <v>16.2</v>
      </c>
      <c r="U31" s="87">
        <f t="shared" si="11"/>
        <v>11.2</v>
      </c>
      <c r="V31" s="87">
        <f t="shared" si="11"/>
        <v>92.9</v>
      </c>
      <c r="W31" s="66">
        <f t="shared" si="8"/>
        <v>5479</v>
      </c>
    </row>
    <row r="32" spans="1:23" x14ac:dyDescent="0.2">
      <c r="A32" s="42"/>
      <c r="B32" s="99" t="s">
        <v>26</v>
      </c>
      <c r="C32" s="87">
        <f t="shared" si="9"/>
        <v>26.1</v>
      </c>
      <c r="D32" s="87">
        <f t="shared" si="9"/>
        <v>23.4</v>
      </c>
      <c r="E32" s="87">
        <f t="shared" si="9"/>
        <v>19.5</v>
      </c>
      <c r="F32" s="87">
        <f t="shared" si="9"/>
        <v>13.6</v>
      </c>
      <c r="G32" s="87">
        <f t="shared" si="9"/>
        <v>9.5</v>
      </c>
      <c r="H32" s="87">
        <f t="shared" si="9"/>
        <v>92</v>
      </c>
      <c r="I32" s="66">
        <f t="shared" si="4"/>
        <v>3369</v>
      </c>
      <c r="J32" s="87">
        <f t="shared" si="10"/>
        <v>22.2</v>
      </c>
      <c r="K32" s="87">
        <f t="shared" si="10"/>
        <v>21.9</v>
      </c>
      <c r="L32" s="87">
        <f t="shared" si="10"/>
        <v>21</v>
      </c>
      <c r="M32" s="87">
        <f t="shared" si="10"/>
        <v>15.1</v>
      </c>
      <c r="N32" s="87">
        <f t="shared" si="10"/>
        <v>11</v>
      </c>
      <c r="O32" s="87">
        <f t="shared" si="10"/>
        <v>91.2</v>
      </c>
      <c r="P32" s="66">
        <f t="shared" si="6"/>
        <v>7148</v>
      </c>
      <c r="Q32" s="87">
        <f t="shared" si="11"/>
        <v>23.5</v>
      </c>
      <c r="R32" s="87">
        <f t="shared" si="11"/>
        <v>22.4</v>
      </c>
      <c r="S32" s="87">
        <f t="shared" si="11"/>
        <v>20.5</v>
      </c>
      <c r="T32" s="87">
        <f t="shared" si="11"/>
        <v>14.6</v>
      </c>
      <c r="U32" s="87">
        <f t="shared" si="11"/>
        <v>10.5</v>
      </c>
      <c r="V32" s="87">
        <f t="shared" si="11"/>
        <v>91.5</v>
      </c>
      <c r="W32" s="66">
        <f t="shared" si="8"/>
        <v>10517</v>
      </c>
    </row>
    <row r="33" spans="1:23" x14ac:dyDescent="0.2">
      <c r="A33" s="42"/>
      <c r="B33" s="99" t="s">
        <v>27</v>
      </c>
      <c r="C33" s="87">
        <f t="shared" si="9"/>
        <v>48.7</v>
      </c>
      <c r="D33" s="87">
        <f t="shared" si="9"/>
        <v>23.1</v>
      </c>
      <c r="E33" s="87">
        <f t="shared" si="9"/>
        <v>11.5</v>
      </c>
      <c r="F33" s="87">
        <f t="shared" si="9"/>
        <v>6.3</v>
      </c>
      <c r="G33" s="87">
        <f t="shared" si="9"/>
        <v>5</v>
      </c>
      <c r="H33" s="87">
        <f t="shared" si="9"/>
        <v>94.6</v>
      </c>
      <c r="I33" s="66">
        <f t="shared" si="4"/>
        <v>2074</v>
      </c>
      <c r="J33" s="87">
        <f t="shared" si="10"/>
        <v>50.7</v>
      </c>
      <c r="K33" s="87">
        <f t="shared" si="10"/>
        <v>20.5</v>
      </c>
      <c r="L33" s="87">
        <f t="shared" si="10"/>
        <v>11.9</v>
      </c>
      <c r="M33" s="87">
        <f t="shared" si="10"/>
        <v>7.2</v>
      </c>
      <c r="N33" s="87">
        <f t="shared" si="10"/>
        <v>4.7</v>
      </c>
      <c r="O33" s="87">
        <f t="shared" si="10"/>
        <v>95</v>
      </c>
      <c r="P33" s="66">
        <f t="shared" si="6"/>
        <v>2931</v>
      </c>
      <c r="Q33" s="87">
        <f t="shared" si="11"/>
        <v>49.9</v>
      </c>
      <c r="R33" s="87">
        <f t="shared" si="11"/>
        <v>21.6</v>
      </c>
      <c r="S33" s="87">
        <f t="shared" si="11"/>
        <v>11.7</v>
      </c>
      <c r="T33" s="87">
        <f t="shared" si="11"/>
        <v>6.8</v>
      </c>
      <c r="U33" s="87">
        <f t="shared" si="11"/>
        <v>4.8</v>
      </c>
      <c r="V33" s="87">
        <f t="shared" si="11"/>
        <v>94.8</v>
      </c>
      <c r="W33" s="66">
        <f t="shared" si="8"/>
        <v>5005</v>
      </c>
    </row>
    <row r="34" spans="1:23" x14ac:dyDescent="0.2">
      <c r="A34" s="42"/>
      <c r="B34" s="99" t="s">
        <v>28</v>
      </c>
      <c r="C34" s="87">
        <f t="shared" si="9"/>
        <v>27.5</v>
      </c>
      <c r="D34" s="87">
        <f t="shared" si="9"/>
        <v>23.8</v>
      </c>
      <c r="E34" s="87">
        <f t="shared" si="9"/>
        <v>21.7</v>
      </c>
      <c r="F34" s="87">
        <f t="shared" si="9"/>
        <v>14.4</v>
      </c>
      <c r="G34" s="87">
        <f t="shared" si="9"/>
        <v>7.5</v>
      </c>
      <c r="H34" s="87">
        <f t="shared" si="9"/>
        <v>94.9</v>
      </c>
      <c r="I34" s="66">
        <f t="shared" si="4"/>
        <v>3211</v>
      </c>
      <c r="J34" s="87">
        <f t="shared" si="10"/>
        <v>30.8</v>
      </c>
      <c r="K34" s="87">
        <f t="shared" si="10"/>
        <v>26.6</v>
      </c>
      <c r="L34" s="87">
        <f t="shared" si="10"/>
        <v>20.2</v>
      </c>
      <c r="M34" s="87">
        <f t="shared" si="10"/>
        <v>12.3</v>
      </c>
      <c r="N34" s="87">
        <f t="shared" si="10"/>
        <v>5.8</v>
      </c>
      <c r="O34" s="87">
        <f t="shared" si="10"/>
        <v>95.7</v>
      </c>
      <c r="P34" s="66">
        <f t="shared" si="6"/>
        <v>4375</v>
      </c>
      <c r="Q34" s="87">
        <f t="shared" si="11"/>
        <v>29.4</v>
      </c>
      <c r="R34" s="87">
        <f t="shared" si="11"/>
        <v>25.4</v>
      </c>
      <c r="S34" s="87">
        <f t="shared" si="11"/>
        <v>20.8</v>
      </c>
      <c r="T34" s="87">
        <f t="shared" si="11"/>
        <v>13.2</v>
      </c>
      <c r="U34" s="87">
        <f t="shared" si="11"/>
        <v>6.6</v>
      </c>
      <c r="V34" s="87">
        <f t="shared" si="11"/>
        <v>95.3</v>
      </c>
      <c r="W34" s="66">
        <f t="shared" si="8"/>
        <v>7586</v>
      </c>
    </row>
    <row r="35" spans="1:23" x14ac:dyDescent="0.2">
      <c r="A35" s="42"/>
      <c r="B35" s="99" t="s">
        <v>29</v>
      </c>
      <c r="C35" s="87">
        <f t="shared" si="9"/>
        <v>18.600000000000001</v>
      </c>
      <c r="D35" s="87">
        <f t="shared" si="9"/>
        <v>19.7</v>
      </c>
      <c r="E35" s="87">
        <f t="shared" si="9"/>
        <v>22.1</v>
      </c>
      <c r="F35" s="87">
        <f t="shared" si="9"/>
        <v>17.8</v>
      </c>
      <c r="G35" s="87">
        <f t="shared" si="9"/>
        <v>11.4</v>
      </c>
      <c r="H35" s="87">
        <f t="shared" si="9"/>
        <v>89.6</v>
      </c>
      <c r="I35" s="66">
        <f t="shared" si="4"/>
        <v>9294</v>
      </c>
      <c r="J35" s="87">
        <f t="shared" si="10"/>
        <v>21.4</v>
      </c>
      <c r="K35" s="87">
        <f t="shared" si="10"/>
        <v>22.5</v>
      </c>
      <c r="L35" s="87">
        <f t="shared" si="10"/>
        <v>22.6</v>
      </c>
      <c r="M35" s="87">
        <f t="shared" si="10"/>
        <v>15.8</v>
      </c>
      <c r="N35" s="87">
        <f t="shared" si="10"/>
        <v>9.6</v>
      </c>
      <c r="O35" s="87">
        <f t="shared" si="10"/>
        <v>91.9</v>
      </c>
      <c r="P35" s="66">
        <f t="shared" si="6"/>
        <v>20225</v>
      </c>
      <c r="Q35" s="87">
        <f t="shared" si="11"/>
        <v>20.5</v>
      </c>
      <c r="R35" s="87">
        <f t="shared" si="11"/>
        <v>21.6</v>
      </c>
      <c r="S35" s="87">
        <f t="shared" si="11"/>
        <v>22.4</v>
      </c>
      <c r="T35" s="87">
        <f t="shared" si="11"/>
        <v>16.5</v>
      </c>
      <c r="U35" s="87">
        <f t="shared" si="11"/>
        <v>10.199999999999999</v>
      </c>
      <c r="V35" s="87">
        <f t="shared" si="11"/>
        <v>91.1</v>
      </c>
      <c r="W35" s="66">
        <f t="shared" si="8"/>
        <v>29519</v>
      </c>
    </row>
    <row r="36" spans="1:23" x14ac:dyDescent="0.2">
      <c r="A36" s="42"/>
      <c r="B36" s="99" t="s">
        <v>30</v>
      </c>
      <c r="C36" s="87">
        <f t="shared" si="9"/>
        <v>14.7</v>
      </c>
      <c r="D36" s="87">
        <f t="shared" si="9"/>
        <v>20.3</v>
      </c>
      <c r="E36" s="87">
        <f t="shared" si="9"/>
        <v>24</v>
      </c>
      <c r="F36" s="87">
        <f t="shared" si="9"/>
        <v>21.6</v>
      </c>
      <c r="G36" s="87">
        <f t="shared" si="9"/>
        <v>12.6</v>
      </c>
      <c r="H36" s="87">
        <f t="shared" si="9"/>
        <v>93.1</v>
      </c>
      <c r="I36" s="66">
        <f t="shared" si="4"/>
        <v>5908</v>
      </c>
      <c r="J36" s="87">
        <f t="shared" si="10"/>
        <v>16.399999999999999</v>
      </c>
      <c r="K36" s="87">
        <f t="shared" si="10"/>
        <v>22.5</v>
      </c>
      <c r="L36" s="87">
        <f t="shared" si="10"/>
        <v>24.3</v>
      </c>
      <c r="M36" s="87">
        <f t="shared" si="10"/>
        <v>20.399999999999999</v>
      </c>
      <c r="N36" s="87">
        <f t="shared" si="10"/>
        <v>11.2</v>
      </c>
      <c r="O36" s="87">
        <f t="shared" si="10"/>
        <v>94.7</v>
      </c>
      <c r="P36" s="66">
        <f t="shared" si="6"/>
        <v>3951</v>
      </c>
      <c r="Q36" s="87">
        <f t="shared" si="11"/>
        <v>15.4</v>
      </c>
      <c r="R36" s="87">
        <f t="shared" si="11"/>
        <v>21.2</v>
      </c>
      <c r="S36" s="87">
        <f t="shared" si="11"/>
        <v>24.1</v>
      </c>
      <c r="T36" s="87">
        <f t="shared" si="11"/>
        <v>21.1</v>
      </c>
      <c r="U36" s="87">
        <f t="shared" si="11"/>
        <v>12</v>
      </c>
      <c r="V36" s="87">
        <f t="shared" si="11"/>
        <v>93.8</v>
      </c>
      <c r="W36" s="66">
        <f t="shared" si="8"/>
        <v>9859</v>
      </c>
    </row>
    <row r="37" spans="1:23" x14ac:dyDescent="0.2">
      <c r="A37" s="42"/>
      <c r="B37" s="99" t="s">
        <v>31</v>
      </c>
      <c r="C37" s="87">
        <f t="shared" si="9"/>
        <v>7.4</v>
      </c>
      <c r="D37" s="87">
        <f t="shared" si="9"/>
        <v>11.6</v>
      </c>
      <c r="E37" s="87">
        <f t="shared" si="9"/>
        <v>17</v>
      </c>
      <c r="F37" s="87">
        <f t="shared" si="9"/>
        <v>21.3</v>
      </c>
      <c r="G37" s="87">
        <f t="shared" si="9"/>
        <v>26.9</v>
      </c>
      <c r="H37" s="87">
        <f t="shared" si="9"/>
        <v>84.2</v>
      </c>
      <c r="I37" s="66">
        <f t="shared" si="4"/>
        <v>11874</v>
      </c>
      <c r="J37" s="87">
        <f t="shared" si="10"/>
        <v>15.1</v>
      </c>
      <c r="K37" s="87">
        <f t="shared" si="10"/>
        <v>18.600000000000001</v>
      </c>
      <c r="L37" s="87">
        <f t="shared" si="10"/>
        <v>21.5</v>
      </c>
      <c r="M37" s="87">
        <f t="shared" si="10"/>
        <v>19.8</v>
      </c>
      <c r="N37" s="87">
        <f t="shared" si="10"/>
        <v>16.600000000000001</v>
      </c>
      <c r="O37" s="87">
        <f t="shared" si="10"/>
        <v>91.7</v>
      </c>
      <c r="P37" s="66">
        <f t="shared" si="6"/>
        <v>8383</v>
      </c>
      <c r="Q37" s="87">
        <f t="shared" si="11"/>
        <v>10.6</v>
      </c>
      <c r="R37" s="87">
        <f t="shared" si="11"/>
        <v>14.5</v>
      </c>
      <c r="S37" s="87">
        <f t="shared" si="11"/>
        <v>18.899999999999999</v>
      </c>
      <c r="T37" s="87">
        <f t="shared" si="11"/>
        <v>20.7</v>
      </c>
      <c r="U37" s="87">
        <f t="shared" si="11"/>
        <v>22.6</v>
      </c>
      <c r="V37" s="87">
        <f t="shared" si="11"/>
        <v>87.3</v>
      </c>
      <c r="W37" s="66">
        <f t="shared" si="8"/>
        <v>20257</v>
      </c>
    </row>
    <row r="38" spans="1:23" x14ac:dyDescent="0.2">
      <c r="A38" s="42"/>
      <c r="B38" s="99" t="s">
        <v>32</v>
      </c>
      <c r="C38" s="87">
        <f t="shared" ref="C38:H39" si="12">IF(OR(C80=1,C80=2),"x",ROUND(C80/$I80*100,1))</f>
        <v>9.6</v>
      </c>
      <c r="D38" s="87">
        <f t="shared" si="12"/>
        <v>13.1</v>
      </c>
      <c r="E38" s="87">
        <f t="shared" si="12"/>
        <v>18.5</v>
      </c>
      <c r="F38" s="87">
        <f t="shared" si="12"/>
        <v>20.399999999999999</v>
      </c>
      <c r="G38" s="87">
        <f t="shared" si="12"/>
        <v>17.7</v>
      </c>
      <c r="H38" s="87">
        <f t="shared" si="12"/>
        <v>79.400000000000006</v>
      </c>
      <c r="I38" s="66">
        <f t="shared" si="4"/>
        <v>22058</v>
      </c>
      <c r="J38" s="87">
        <f t="shared" ref="J38:O39" si="13">IF(OR(J80=1,J80=2),"x",ROUND(J80/$P80*100,1))</f>
        <v>12.5</v>
      </c>
      <c r="K38" s="87">
        <f t="shared" si="13"/>
        <v>15.4</v>
      </c>
      <c r="L38" s="87">
        <f t="shared" si="13"/>
        <v>20.3</v>
      </c>
      <c r="M38" s="87">
        <f t="shared" si="13"/>
        <v>20</v>
      </c>
      <c r="N38" s="87">
        <f t="shared" si="13"/>
        <v>15</v>
      </c>
      <c r="O38" s="87">
        <f t="shared" si="13"/>
        <v>83.2</v>
      </c>
      <c r="P38" s="66">
        <f t="shared" si="6"/>
        <v>27059</v>
      </c>
      <c r="Q38" s="87">
        <f t="shared" ref="Q38:V39" si="14">IF(OR(Q80=1,Q80=2),"x",ROUND(Q80/$W80*100,1))</f>
        <v>11.2</v>
      </c>
      <c r="R38" s="87">
        <f t="shared" si="14"/>
        <v>14.4</v>
      </c>
      <c r="S38" s="87">
        <f t="shared" si="14"/>
        <v>19.5</v>
      </c>
      <c r="T38" s="87">
        <f t="shared" si="14"/>
        <v>20.2</v>
      </c>
      <c r="U38" s="87">
        <f t="shared" si="14"/>
        <v>16.2</v>
      </c>
      <c r="V38" s="87">
        <f t="shared" si="14"/>
        <v>81.5</v>
      </c>
      <c r="W38" s="66">
        <f t="shared" si="8"/>
        <v>49117</v>
      </c>
    </row>
    <row r="39" spans="1:23" x14ac:dyDescent="0.2">
      <c r="A39" s="42"/>
      <c r="B39" s="100" t="s">
        <v>46</v>
      </c>
      <c r="C39" s="87">
        <f t="shared" si="12"/>
        <v>16.2</v>
      </c>
      <c r="D39" s="87">
        <f t="shared" si="12"/>
        <v>17.100000000000001</v>
      </c>
      <c r="E39" s="87">
        <f t="shared" si="12"/>
        <v>20.100000000000001</v>
      </c>
      <c r="F39" s="87">
        <f t="shared" si="12"/>
        <v>17.899999999999999</v>
      </c>
      <c r="G39" s="87">
        <f t="shared" si="12"/>
        <v>13.4</v>
      </c>
      <c r="H39" s="87">
        <f t="shared" si="12"/>
        <v>84.7</v>
      </c>
      <c r="I39" s="66">
        <f t="shared" si="4"/>
        <v>517020</v>
      </c>
      <c r="J39" s="87">
        <f t="shared" si="13"/>
        <v>18.100000000000001</v>
      </c>
      <c r="K39" s="87">
        <f t="shared" si="13"/>
        <v>20.6</v>
      </c>
      <c r="L39" s="87">
        <f t="shared" si="13"/>
        <v>22.1</v>
      </c>
      <c r="M39" s="87">
        <f t="shared" si="13"/>
        <v>17.2</v>
      </c>
      <c r="N39" s="87">
        <f t="shared" si="13"/>
        <v>11</v>
      </c>
      <c r="O39" s="87">
        <f t="shared" si="13"/>
        <v>89</v>
      </c>
      <c r="P39" s="66">
        <f t="shared" si="6"/>
        <v>614897</v>
      </c>
      <c r="Q39" s="87">
        <f t="shared" si="14"/>
        <v>17.2</v>
      </c>
      <c r="R39" s="87">
        <f t="shared" si="14"/>
        <v>19</v>
      </c>
      <c r="S39" s="87">
        <f t="shared" si="14"/>
        <v>21.2</v>
      </c>
      <c r="T39" s="87">
        <f t="shared" si="14"/>
        <v>17.5</v>
      </c>
      <c r="U39" s="87">
        <f t="shared" si="14"/>
        <v>12.1</v>
      </c>
      <c r="V39" s="87">
        <f t="shared" si="14"/>
        <v>87</v>
      </c>
      <c r="W39" s="66">
        <f t="shared" si="8"/>
        <v>1131917</v>
      </c>
    </row>
    <row r="41" spans="1:23" ht="15" x14ac:dyDescent="0.2">
      <c r="A41" s="130" t="s">
        <v>138</v>
      </c>
    </row>
    <row r="42" spans="1:23" x14ac:dyDescent="0.2">
      <c r="A42" s="132" t="s">
        <v>137</v>
      </c>
    </row>
    <row r="44" spans="1:23" x14ac:dyDescent="0.2">
      <c r="B44" s="73"/>
      <c r="C44" s="73" t="s">
        <v>39</v>
      </c>
      <c r="D44" s="73"/>
      <c r="E44" s="73"/>
      <c r="F44" s="73"/>
      <c r="G44" s="73"/>
      <c r="H44" s="73"/>
      <c r="I44" s="73"/>
      <c r="J44" s="73" t="s">
        <v>40</v>
      </c>
      <c r="K44" s="73"/>
      <c r="L44" s="73"/>
      <c r="M44" s="73"/>
      <c r="N44" s="73"/>
      <c r="O44" s="73"/>
      <c r="P44" s="73"/>
      <c r="Q44" s="125" t="s">
        <v>141</v>
      </c>
      <c r="R44" s="73"/>
      <c r="S44" s="73"/>
      <c r="T44" s="73"/>
      <c r="U44" s="73"/>
      <c r="V44" s="73"/>
      <c r="W44" s="73"/>
    </row>
    <row r="45" spans="1:23" x14ac:dyDescent="0.2">
      <c r="B45" s="73"/>
      <c r="C45" s="73" t="s">
        <v>33</v>
      </c>
      <c r="D45" s="73" t="s">
        <v>34</v>
      </c>
      <c r="E45" s="73" t="s">
        <v>35</v>
      </c>
      <c r="F45" s="73" t="s">
        <v>36</v>
      </c>
      <c r="G45" s="73" t="s">
        <v>37</v>
      </c>
      <c r="H45" s="92" t="s">
        <v>47</v>
      </c>
      <c r="I45" s="73" t="s">
        <v>54</v>
      </c>
      <c r="J45" s="73" t="s">
        <v>33</v>
      </c>
      <c r="K45" s="73" t="s">
        <v>34</v>
      </c>
      <c r="L45" s="73" t="s">
        <v>35</v>
      </c>
      <c r="M45" s="73" t="s">
        <v>36</v>
      </c>
      <c r="N45" s="73" t="s">
        <v>37</v>
      </c>
      <c r="O45" s="92" t="s">
        <v>47</v>
      </c>
      <c r="P45" s="73" t="s">
        <v>54</v>
      </c>
      <c r="Q45" s="133" t="s">
        <v>33</v>
      </c>
      <c r="R45" s="133" t="s">
        <v>34</v>
      </c>
      <c r="S45" s="133" t="s">
        <v>35</v>
      </c>
      <c r="T45" s="133" t="s">
        <v>36</v>
      </c>
      <c r="U45" s="133" t="s">
        <v>37</v>
      </c>
      <c r="V45" s="92" t="s">
        <v>47</v>
      </c>
      <c r="W45" s="133" t="s">
        <v>54</v>
      </c>
    </row>
    <row r="46" spans="1:23" x14ac:dyDescent="0.2">
      <c r="B46" s="73"/>
      <c r="C46" s="73"/>
      <c r="D46" s="73"/>
      <c r="E46" s="73"/>
      <c r="F46" s="73"/>
      <c r="G46" s="73"/>
      <c r="H46" s="73"/>
      <c r="I46" s="73"/>
      <c r="J46" s="73"/>
      <c r="K46" s="73"/>
      <c r="L46" s="73"/>
      <c r="M46" s="73"/>
      <c r="N46" s="73"/>
      <c r="O46" s="73"/>
      <c r="P46" s="73"/>
      <c r="Q46" s="133"/>
      <c r="R46" s="133"/>
      <c r="S46" s="133"/>
      <c r="T46" s="133"/>
      <c r="U46" s="133"/>
      <c r="V46" s="133"/>
      <c r="W46" s="133"/>
    </row>
    <row r="47" spans="1:23" x14ac:dyDescent="0.2">
      <c r="B47" s="73" t="s">
        <v>101</v>
      </c>
      <c r="C47" s="127">
        <v>5328</v>
      </c>
      <c r="D47" s="127">
        <v>5433</v>
      </c>
      <c r="E47" s="127">
        <v>6255</v>
      </c>
      <c r="F47" s="127">
        <v>5667</v>
      </c>
      <c r="G47" s="127">
        <v>4802</v>
      </c>
      <c r="H47" s="127">
        <v>27485</v>
      </c>
      <c r="I47" s="127">
        <v>33505</v>
      </c>
      <c r="J47" s="127">
        <v>8753</v>
      </c>
      <c r="K47" s="127">
        <v>8419</v>
      </c>
      <c r="L47" s="127">
        <v>8915</v>
      </c>
      <c r="M47" s="127">
        <v>8158</v>
      </c>
      <c r="N47" s="127">
        <v>6543</v>
      </c>
      <c r="O47" s="127">
        <v>40788</v>
      </c>
      <c r="P47" s="127">
        <v>48742</v>
      </c>
      <c r="Q47" s="127">
        <v>14081</v>
      </c>
      <c r="R47" s="127">
        <v>13852</v>
      </c>
      <c r="S47" s="127">
        <v>15170</v>
      </c>
      <c r="T47" s="127">
        <v>13825</v>
      </c>
      <c r="U47" s="127">
        <v>11345</v>
      </c>
      <c r="V47" s="127">
        <v>68273</v>
      </c>
      <c r="W47" s="127">
        <v>82247</v>
      </c>
    </row>
    <row r="48" spans="1:23" x14ac:dyDescent="0.2">
      <c r="B48" s="73" t="s">
        <v>102</v>
      </c>
      <c r="C48" s="127">
        <v>6957</v>
      </c>
      <c r="D48" s="127">
        <v>6549</v>
      </c>
      <c r="E48" s="127">
        <v>6308</v>
      </c>
      <c r="F48" s="127">
        <v>5316</v>
      </c>
      <c r="G48" s="127">
        <v>4490</v>
      </c>
      <c r="H48" s="127">
        <v>29620</v>
      </c>
      <c r="I48" s="127">
        <v>35581</v>
      </c>
      <c r="J48" s="127">
        <v>5821</v>
      </c>
      <c r="K48" s="127">
        <v>6348</v>
      </c>
      <c r="L48" s="127">
        <v>6356</v>
      </c>
      <c r="M48" s="127">
        <v>5535</v>
      </c>
      <c r="N48" s="127">
        <v>4305</v>
      </c>
      <c r="O48" s="127">
        <v>28365</v>
      </c>
      <c r="P48" s="127">
        <v>34005</v>
      </c>
      <c r="Q48" s="127">
        <v>12778</v>
      </c>
      <c r="R48" s="127">
        <v>12897</v>
      </c>
      <c r="S48" s="127">
        <v>12664</v>
      </c>
      <c r="T48" s="127">
        <v>10851</v>
      </c>
      <c r="U48" s="127">
        <v>8795</v>
      </c>
      <c r="V48" s="127">
        <v>57985</v>
      </c>
      <c r="W48" s="127">
        <v>69586</v>
      </c>
    </row>
    <row r="49" spans="2:23" x14ac:dyDescent="0.2">
      <c r="B49" s="73" t="s">
        <v>103</v>
      </c>
      <c r="C49" s="127">
        <v>7773</v>
      </c>
      <c r="D49" s="127">
        <v>6327</v>
      </c>
      <c r="E49" s="127">
        <v>6482</v>
      </c>
      <c r="F49" s="127">
        <v>5951</v>
      </c>
      <c r="G49" s="127">
        <v>5227</v>
      </c>
      <c r="H49" s="127">
        <v>31760</v>
      </c>
      <c r="I49" s="127">
        <v>39444</v>
      </c>
      <c r="J49" s="127">
        <v>2721</v>
      </c>
      <c r="K49" s="127">
        <v>2285</v>
      </c>
      <c r="L49" s="127">
        <v>2103</v>
      </c>
      <c r="M49" s="127">
        <v>1861</v>
      </c>
      <c r="N49" s="127">
        <v>1525</v>
      </c>
      <c r="O49" s="127">
        <v>10495</v>
      </c>
      <c r="P49" s="127">
        <v>12357</v>
      </c>
      <c r="Q49" s="127">
        <v>10494</v>
      </c>
      <c r="R49" s="127">
        <v>8612</v>
      </c>
      <c r="S49" s="127">
        <v>8585</v>
      </c>
      <c r="T49" s="127">
        <v>7812</v>
      </c>
      <c r="U49" s="127">
        <v>6752</v>
      </c>
      <c r="V49" s="127">
        <v>42255</v>
      </c>
      <c r="W49" s="127">
        <v>51801</v>
      </c>
    </row>
    <row r="50" spans="2:23" x14ac:dyDescent="0.2">
      <c r="B50" s="73" t="s">
        <v>104</v>
      </c>
      <c r="C50" s="127">
        <v>785</v>
      </c>
      <c r="D50" s="127">
        <v>821</v>
      </c>
      <c r="E50" s="127">
        <v>909</v>
      </c>
      <c r="F50" s="127">
        <v>790</v>
      </c>
      <c r="G50" s="127">
        <v>668</v>
      </c>
      <c r="H50" s="127">
        <v>3973</v>
      </c>
      <c r="I50" s="127">
        <v>4681</v>
      </c>
      <c r="J50" s="127">
        <v>341</v>
      </c>
      <c r="K50" s="127">
        <v>369</v>
      </c>
      <c r="L50" s="127">
        <v>392</v>
      </c>
      <c r="M50" s="127">
        <v>384</v>
      </c>
      <c r="N50" s="127">
        <v>371</v>
      </c>
      <c r="O50" s="127">
        <v>1857</v>
      </c>
      <c r="P50" s="127">
        <v>2224</v>
      </c>
      <c r="Q50" s="127">
        <v>1126</v>
      </c>
      <c r="R50" s="127">
        <v>1190</v>
      </c>
      <c r="S50" s="127">
        <v>1301</v>
      </c>
      <c r="T50" s="127">
        <v>1174</v>
      </c>
      <c r="U50" s="127">
        <v>1039</v>
      </c>
      <c r="V50" s="127">
        <v>5830</v>
      </c>
      <c r="W50" s="127">
        <v>6905</v>
      </c>
    </row>
    <row r="51" spans="2:23" x14ac:dyDescent="0.2">
      <c r="B51" s="73" t="s">
        <v>105</v>
      </c>
      <c r="C51" s="127">
        <v>16912</v>
      </c>
      <c r="D51" s="127">
        <v>10112</v>
      </c>
      <c r="E51" s="127">
        <v>10118</v>
      </c>
      <c r="F51" s="127">
        <v>9009</v>
      </c>
      <c r="G51" s="127">
        <v>7335</v>
      </c>
      <c r="H51" s="127">
        <v>53486</v>
      </c>
      <c r="I51" s="127">
        <v>67086</v>
      </c>
      <c r="J51" s="127">
        <v>11702</v>
      </c>
      <c r="K51" s="127">
        <v>7799</v>
      </c>
      <c r="L51" s="127">
        <v>7364</v>
      </c>
      <c r="M51" s="127">
        <v>6151</v>
      </c>
      <c r="N51" s="127">
        <v>4714</v>
      </c>
      <c r="O51" s="127">
        <v>37730</v>
      </c>
      <c r="P51" s="127">
        <v>45229</v>
      </c>
      <c r="Q51" s="127">
        <v>28614</v>
      </c>
      <c r="R51" s="127">
        <v>17911</v>
      </c>
      <c r="S51" s="127">
        <v>17482</v>
      </c>
      <c r="T51" s="127">
        <v>15160</v>
      </c>
      <c r="U51" s="127">
        <v>12049</v>
      </c>
      <c r="V51" s="127">
        <v>91216</v>
      </c>
      <c r="W51" s="127">
        <v>112315</v>
      </c>
    </row>
    <row r="52" spans="2:23" x14ac:dyDescent="0.2">
      <c r="B52" s="73" t="s">
        <v>106</v>
      </c>
      <c r="C52" s="127">
        <v>4242</v>
      </c>
      <c r="D52" s="127">
        <v>1823</v>
      </c>
      <c r="E52" s="127">
        <v>1558</v>
      </c>
      <c r="F52" s="127">
        <v>1233</v>
      </c>
      <c r="G52" s="127">
        <v>1001</v>
      </c>
      <c r="H52" s="127">
        <v>9857</v>
      </c>
      <c r="I52" s="127">
        <v>10939</v>
      </c>
      <c r="J52" s="127">
        <v>2086</v>
      </c>
      <c r="K52" s="127">
        <v>855</v>
      </c>
      <c r="L52" s="127">
        <v>669</v>
      </c>
      <c r="M52" s="127">
        <v>514</v>
      </c>
      <c r="N52" s="127">
        <v>385</v>
      </c>
      <c r="O52" s="127">
        <v>4509</v>
      </c>
      <c r="P52" s="127">
        <v>4915</v>
      </c>
      <c r="Q52" s="127">
        <v>6328</v>
      </c>
      <c r="R52" s="127">
        <v>2678</v>
      </c>
      <c r="S52" s="127">
        <v>2227</v>
      </c>
      <c r="T52" s="127">
        <v>1747</v>
      </c>
      <c r="U52" s="127">
        <v>1386</v>
      </c>
      <c r="V52" s="127">
        <v>14366</v>
      </c>
      <c r="W52" s="127">
        <v>15854</v>
      </c>
    </row>
    <row r="53" spans="2:23" x14ac:dyDescent="0.2">
      <c r="B53" s="73" t="s">
        <v>107</v>
      </c>
      <c r="C53" s="127">
        <v>878</v>
      </c>
      <c r="D53" s="127">
        <v>1512</v>
      </c>
      <c r="E53" s="127">
        <v>2188</v>
      </c>
      <c r="F53" s="127">
        <v>2492</v>
      </c>
      <c r="G53" s="127">
        <v>2087</v>
      </c>
      <c r="H53" s="127">
        <v>9157</v>
      </c>
      <c r="I53" s="127">
        <v>10893</v>
      </c>
      <c r="J53" s="127">
        <v>954</v>
      </c>
      <c r="K53" s="127">
        <v>1403</v>
      </c>
      <c r="L53" s="127">
        <v>1564</v>
      </c>
      <c r="M53" s="127">
        <v>1508</v>
      </c>
      <c r="N53" s="127">
        <v>1013</v>
      </c>
      <c r="O53" s="127">
        <v>6442</v>
      </c>
      <c r="P53" s="127">
        <v>7085</v>
      </c>
      <c r="Q53" s="127">
        <v>1832</v>
      </c>
      <c r="R53" s="127">
        <v>2915</v>
      </c>
      <c r="S53" s="127">
        <v>3752</v>
      </c>
      <c r="T53" s="127">
        <v>4000</v>
      </c>
      <c r="U53" s="127">
        <v>3100</v>
      </c>
      <c r="V53" s="127">
        <v>15599</v>
      </c>
      <c r="W53" s="127">
        <v>17978</v>
      </c>
    </row>
    <row r="54" spans="2:23" x14ac:dyDescent="0.2">
      <c r="B54" s="73" t="s">
        <v>239</v>
      </c>
      <c r="C54" s="127">
        <v>820</v>
      </c>
      <c r="D54" s="127">
        <v>1240</v>
      </c>
      <c r="E54" s="127">
        <v>1637</v>
      </c>
      <c r="F54" s="127">
        <v>1850</v>
      </c>
      <c r="G54" s="127">
        <v>1545</v>
      </c>
      <c r="H54" s="127">
        <v>7092</v>
      </c>
      <c r="I54" s="127">
        <v>9149</v>
      </c>
      <c r="J54" s="127">
        <v>108</v>
      </c>
      <c r="K54" s="127">
        <v>131</v>
      </c>
      <c r="L54" s="127">
        <v>171</v>
      </c>
      <c r="M54" s="127">
        <v>177</v>
      </c>
      <c r="N54" s="127">
        <v>151</v>
      </c>
      <c r="O54" s="127">
        <v>738</v>
      </c>
      <c r="P54" s="127">
        <v>939</v>
      </c>
      <c r="Q54" s="127">
        <v>928</v>
      </c>
      <c r="R54" s="127">
        <v>1371</v>
      </c>
      <c r="S54" s="127">
        <v>1808</v>
      </c>
      <c r="T54" s="127">
        <v>2027</v>
      </c>
      <c r="U54" s="127">
        <v>1696</v>
      </c>
      <c r="V54" s="127">
        <v>7830</v>
      </c>
      <c r="W54" s="127">
        <v>10088</v>
      </c>
    </row>
    <row r="55" spans="2:23" x14ac:dyDescent="0.2">
      <c r="B55" s="73" t="s">
        <v>109</v>
      </c>
      <c r="C55" s="127">
        <v>413</v>
      </c>
      <c r="D55" s="127">
        <v>924</v>
      </c>
      <c r="E55" s="127">
        <v>1534</v>
      </c>
      <c r="F55" s="127">
        <v>1817</v>
      </c>
      <c r="G55" s="127">
        <v>1617</v>
      </c>
      <c r="H55" s="127">
        <v>6305</v>
      </c>
      <c r="I55" s="127">
        <v>8153</v>
      </c>
      <c r="J55" s="127">
        <v>379</v>
      </c>
      <c r="K55" s="127">
        <v>629</v>
      </c>
      <c r="L55" s="127">
        <v>789</v>
      </c>
      <c r="M55" s="127">
        <v>755</v>
      </c>
      <c r="N55" s="127">
        <v>636</v>
      </c>
      <c r="O55" s="127">
        <v>3188</v>
      </c>
      <c r="P55" s="127">
        <v>3716</v>
      </c>
      <c r="Q55" s="127">
        <v>792</v>
      </c>
      <c r="R55" s="127">
        <v>1553</v>
      </c>
      <c r="S55" s="127">
        <v>2323</v>
      </c>
      <c r="T55" s="127">
        <v>2572</v>
      </c>
      <c r="U55" s="127">
        <v>2253</v>
      </c>
      <c r="V55" s="127">
        <v>9493</v>
      </c>
      <c r="W55" s="127">
        <v>11869</v>
      </c>
    </row>
    <row r="56" spans="2:23" x14ac:dyDescent="0.2">
      <c r="B56" s="73" t="s">
        <v>110</v>
      </c>
      <c r="C56" s="127">
        <v>6</v>
      </c>
      <c r="D56" s="127">
        <v>8</v>
      </c>
      <c r="E56" s="127">
        <v>14</v>
      </c>
      <c r="F56" s="127">
        <v>9</v>
      </c>
      <c r="G56" s="127">
        <v>24</v>
      </c>
      <c r="H56" s="127">
        <v>61</v>
      </c>
      <c r="I56" s="127">
        <v>81</v>
      </c>
      <c r="J56" s="127">
        <v>50</v>
      </c>
      <c r="K56" s="127">
        <v>59</v>
      </c>
      <c r="L56" s="127">
        <v>65</v>
      </c>
      <c r="M56" s="127">
        <v>77</v>
      </c>
      <c r="N56" s="127">
        <v>50</v>
      </c>
      <c r="O56" s="127">
        <v>301</v>
      </c>
      <c r="P56" s="127">
        <v>349</v>
      </c>
      <c r="Q56" s="127">
        <v>56</v>
      </c>
      <c r="R56" s="127">
        <v>67</v>
      </c>
      <c r="S56" s="127">
        <v>79</v>
      </c>
      <c r="T56" s="127">
        <v>86</v>
      </c>
      <c r="U56" s="127">
        <v>74</v>
      </c>
      <c r="V56" s="127">
        <v>362</v>
      </c>
      <c r="W56" s="127">
        <v>430</v>
      </c>
    </row>
    <row r="57" spans="2:23" x14ac:dyDescent="0.2">
      <c r="B57" s="73" t="s">
        <v>111</v>
      </c>
      <c r="C57" s="127">
        <v>237</v>
      </c>
      <c r="D57" s="127">
        <v>471</v>
      </c>
      <c r="E57" s="127">
        <v>624</v>
      </c>
      <c r="F57" s="127">
        <v>620</v>
      </c>
      <c r="G57" s="127">
        <v>597</v>
      </c>
      <c r="H57" s="127">
        <v>2549</v>
      </c>
      <c r="I57" s="127">
        <v>3661</v>
      </c>
      <c r="J57" s="127">
        <v>148</v>
      </c>
      <c r="K57" s="127">
        <v>219</v>
      </c>
      <c r="L57" s="127">
        <v>314</v>
      </c>
      <c r="M57" s="127">
        <v>345</v>
      </c>
      <c r="N57" s="127">
        <v>276</v>
      </c>
      <c r="O57" s="127">
        <v>1302</v>
      </c>
      <c r="P57" s="127">
        <v>1839</v>
      </c>
      <c r="Q57" s="127">
        <v>385</v>
      </c>
      <c r="R57" s="127">
        <v>690</v>
      </c>
      <c r="S57" s="127">
        <v>938</v>
      </c>
      <c r="T57" s="127">
        <v>965</v>
      </c>
      <c r="U57" s="127">
        <v>873</v>
      </c>
      <c r="V57" s="127">
        <v>3851</v>
      </c>
      <c r="W57" s="127">
        <v>5500</v>
      </c>
    </row>
    <row r="58" spans="2:23" x14ac:dyDescent="0.2">
      <c r="B58" s="73" t="s">
        <v>112</v>
      </c>
      <c r="C58" s="127">
        <v>2000</v>
      </c>
      <c r="D58" s="127">
        <v>4083</v>
      </c>
      <c r="E58" s="127">
        <v>5503</v>
      </c>
      <c r="F58" s="127">
        <v>4979</v>
      </c>
      <c r="G58" s="127">
        <v>3542</v>
      </c>
      <c r="H58" s="127">
        <v>20107</v>
      </c>
      <c r="I58" s="127">
        <v>23236</v>
      </c>
      <c r="J58" s="127">
        <v>1730</v>
      </c>
      <c r="K58" s="127">
        <v>2997</v>
      </c>
      <c r="L58" s="127">
        <v>3686</v>
      </c>
      <c r="M58" s="127">
        <v>3333</v>
      </c>
      <c r="N58" s="127">
        <v>2536</v>
      </c>
      <c r="O58" s="127">
        <v>14282</v>
      </c>
      <c r="P58" s="127">
        <v>16936</v>
      </c>
      <c r="Q58" s="127">
        <v>3730</v>
      </c>
      <c r="R58" s="127">
        <v>7080</v>
      </c>
      <c r="S58" s="127">
        <v>9189</v>
      </c>
      <c r="T58" s="127">
        <v>8312</v>
      </c>
      <c r="U58" s="127">
        <v>6078</v>
      </c>
      <c r="V58" s="127">
        <v>34389</v>
      </c>
      <c r="W58" s="127">
        <v>40172</v>
      </c>
    </row>
    <row r="59" spans="2:23" x14ac:dyDescent="0.2">
      <c r="B59" s="73" t="s">
        <v>113</v>
      </c>
      <c r="C59" s="127">
        <v>4448</v>
      </c>
      <c r="D59" s="127">
        <v>4298</v>
      </c>
      <c r="E59" s="127">
        <v>4337</v>
      </c>
      <c r="F59" s="127">
        <v>3771</v>
      </c>
      <c r="G59" s="127">
        <v>2945</v>
      </c>
      <c r="H59" s="127">
        <v>19799</v>
      </c>
      <c r="I59" s="127">
        <v>22991</v>
      </c>
      <c r="J59" s="127">
        <v>2240</v>
      </c>
      <c r="K59" s="127">
        <v>2055</v>
      </c>
      <c r="L59" s="127">
        <v>1976</v>
      </c>
      <c r="M59" s="127">
        <v>1726</v>
      </c>
      <c r="N59" s="127">
        <v>1319</v>
      </c>
      <c r="O59" s="127">
        <v>9316</v>
      </c>
      <c r="P59" s="127">
        <v>10626</v>
      </c>
      <c r="Q59" s="127">
        <v>6688</v>
      </c>
      <c r="R59" s="127">
        <v>6353</v>
      </c>
      <c r="S59" s="127">
        <v>6313</v>
      </c>
      <c r="T59" s="127">
        <v>5497</v>
      </c>
      <c r="U59" s="127">
        <v>4264</v>
      </c>
      <c r="V59" s="127">
        <v>29115</v>
      </c>
      <c r="W59" s="127">
        <v>33617</v>
      </c>
    </row>
    <row r="60" spans="2:23" x14ac:dyDescent="0.2">
      <c r="B60" s="73" t="s">
        <v>114</v>
      </c>
      <c r="C60" s="127">
        <v>4415</v>
      </c>
      <c r="D60" s="127">
        <v>4235</v>
      </c>
      <c r="E60" s="127">
        <v>4827</v>
      </c>
      <c r="F60" s="127">
        <v>4177</v>
      </c>
      <c r="G60" s="127">
        <v>3002</v>
      </c>
      <c r="H60" s="127">
        <v>20656</v>
      </c>
      <c r="I60" s="127">
        <v>23432</v>
      </c>
      <c r="J60" s="127">
        <v>6253</v>
      </c>
      <c r="K60" s="127">
        <v>4558</v>
      </c>
      <c r="L60" s="127">
        <v>4409</v>
      </c>
      <c r="M60" s="127">
        <v>3396</v>
      </c>
      <c r="N60" s="127">
        <v>2274</v>
      </c>
      <c r="O60" s="127">
        <v>20890</v>
      </c>
      <c r="P60" s="127">
        <v>23035</v>
      </c>
      <c r="Q60" s="127">
        <v>10668</v>
      </c>
      <c r="R60" s="127">
        <v>8793</v>
      </c>
      <c r="S60" s="127">
        <v>9236</v>
      </c>
      <c r="T60" s="127">
        <v>7573</v>
      </c>
      <c r="U60" s="127">
        <v>5276</v>
      </c>
      <c r="V60" s="127">
        <v>41546</v>
      </c>
      <c r="W60" s="127">
        <v>46467</v>
      </c>
    </row>
    <row r="61" spans="2:23" x14ac:dyDescent="0.2">
      <c r="B61" s="73" t="s">
        <v>115</v>
      </c>
      <c r="C61" s="127">
        <v>1749</v>
      </c>
      <c r="D61" s="127">
        <v>1877</v>
      </c>
      <c r="E61" s="127">
        <v>2085</v>
      </c>
      <c r="F61" s="127">
        <v>1701</v>
      </c>
      <c r="G61" s="127">
        <v>1234</v>
      </c>
      <c r="H61" s="127">
        <v>8646</v>
      </c>
      <c r="I61" s="127">
        <v>9939</v>
      </c>
      <c r="J61" s="127">
        <v>1745</v>
      </c>
      <c r="K61" s="127">
        <v>1658</v>
      </c>
      <c r="L61" s="127">
        <v>1571</v>
      </c>
      <c r="M61" s="127">
        <v>1259</v>
      </c>
      <c r="N61" s="127">
        <v>889</v>
      </c>
      <c r="O61" s="127">
        <v>7122</v>
      </c>
      <c r="P61" s="127">
        <v>8200</v>
      </c>
      <c r="Q61" s="127">
        <v>3494</v>
      </c>
      <c r="R61" s="127">
        <v>3535</v>
      </c>
      <c r="S61" s="127">
        <v>3656</v>
      </c>
      <c r="T61" s="127">
        <v>2960</v>
      </c>
      <c r="U61" s="127">
        <v>2123</v>
      </c>
      <c r="V61" s="127">
        <v>15768</v>
      </c>
      <c r="W61" s="127">
        <v>18139</v>
      </c>
    </row>
    <row r="62" spans="2:23" x14ac:dyDescent="0.2">
      <c r="B62" s="73" t="s">
        <v>116</v>
      </c>
      <c r="C62" s="127">
        <v>4903</v>
      </c>
      <c r="D62" s="127">
        <v>6890</v>
      </c>
      <c r="E62" s="127">
        <v>7683</v>
      </c>
      <c r="F62" s="127">
        <v>5836</v>
      </c>
      <c r="G62" s="127">
        <v>3140</v>
      </c>
      <c r="H62" s="127">
        <v>28452</v>
      </c>
      <c r="I62" s="127">
        <v>30328</v>
      </c>
      <c r="J62" s="127">
        <v>6590</v>
      </c>
      <c r="K62" s="127">
        <v>8409</v>
      </c>
      <c r="L62" s="127">
        <v>8948</v>
      </c>
      <c r="M62" s="127">
        <v>6492</v>
      </c>
      <c r="N62" s="127">
        <v>3409</v>
      </c>
      <c r="O62" s="127">
        <v>33848</v>
      </c>
      <c r="P62" s="127">
        <v>36171</v>
      </c>
      <c r="Q62" s="127">
        <v>11493</v>
      </c>
      <c r="R62" s="127">
        <v>15299</v>
      </c>
      <c r="S62" s="127">
        <v>16631</v>
      </c>
      <c r="T62" s="127">
        <v>12328</v>
      </c>
      <c r="U62" s="127">
        <v>6549</v>
      </c>
      <c r="V62" s="127">
        <v>62300</v>
      </c>
      <c r="W62" s="127">
        <v>66499</v>
      </c>
    </row>
    <row r="63" spans="2:23" x14ac:dyDescent="0.2">
      <c r="B63" s="73" t="s">
        <v>117</v>
      </c>
      <c r="C63" s="127">
        <v>509</v>
      </c>
      <c r="D63" s="127">
        <v>974</v>
      </c>
      <c r="E63" s="127">
        <v>1251</v>
      </c>
      <c r="F63" s="127">
        <v>1201</v>
      </c>
      <c r="G63" s="127">
        <v>1099</v>
      </c>
      <c r="H63" s="127">
        <v>5034</v>
      </c>
      <c r="I63" s="127">
        <v>7165</v>
      </c>
      <c r="J63" s="127">
        <v>1282</v>
      </c>
      <c r="K63" s="127">
        <v>1773</v>
      </c>
      <c r="L63" s="127">
        <v>2014</v>
      </c>
      <c r="M63" s="127">
        <v>1871</v>
      </c>
      <c r="N63" s="127">
        <v>1529</v>
      </c>
      <c r="O63" s="127">
        <v>8469</v>
      </c>
      <c r="P63" s="127">
        <v>11089</v>
      </c>
      <c r="Q63" s="127">
        <v>1791</v>
      </c>
      <c r="R63" s="127">
        <v>2747</v>
      </c>
      <c r="S63" s="127">
        <v>3265</v>
      </c>
      <c r="T63" s="127">
        <v>3072</v>
      </c>
      <c r="U63" s="127">
        <v>2628</v>
      </c>
      <c r="V63" s="127">
        <v>13503</v>
      </c>
      <c r="W63" s="127">
        <v>18254</v>
      </c>
    </row>
    <row r="64" spans="2:23" x14ac:dyDescent="0.2">
      <c r="B64" s="73" t="s">
        <v>118</v>
      </c>
      <c r="C64" s="127">
        <v>1571</v>
      </c>
      <c r="D64" s="127">
        <v>3136</v>
      </c>
      <c r="E64" s="127">
        <v>4609</v>
      </c>
      <c r="F64" s="127">
        <v>5138</v>
      </c>
      <c r="G64" s="127">
        <v>4536</v>
      </c>
      <c r="H64" s="127">
        <v>18990</v>
      </c>
      <c r="I64" s="127">
        <v>25991</v>
      </c>
      <c r="J64" s="127">
        <v>8785</v>
      </c>
      <c r="K64" s="127">
        <v>11387</v>
      </c>
      <c r="L64" s="127">
        <v>12782</v>
      </c>
      <c r="M64" s="127">
        <v>11529</v>
      </c>
      <c r="N64" s="127">
        <v>8352</v>
      </c>
      <c r="O64" s="127">
        <v>52835</v>
      </c>
      <c r="P64" s="127">
        <v>63252</v>
      </c>
      <c r="Q64" s="127">
        <v>10356</v>
      </c>
      <c r="R64" s="127">
        <v>14523</v>
      </c>
      <c r="S64" s="127">
        <v>17391</v>
      </c>
      <c r="T64" s="127">
        <v>16667</v>
      </c>
      <c r="U64" s="127">
        <v>12888</v>
      </c>
      <c r="V64" s="127">
        <v>71825</v>
      </c>
      <c r="W64" s="127">
        <v>89243</v>
      </c>
    </row>
    <row r="65" spans="2:23" x14ac:dyDescent="0.2">
      <c r="B65" s="73" t="s">
        <v>119</v>
      </c>
      <c r="C65" s="127">
        <v>1048</v>
      </c>
      <c r="D65" s="127">
        <v>1946</v>
      </c>
      <c r="E65" s="127">
        <v>2534</v>
      </c>
      <c r="F65" s="127">
        <v>2591</v>
      </c>
      <c r="G65" s="127">
        <v>2101</v>
      </c>
      <c r="H65" s="127">
        <v>10220</v>
      </c>
      <c r="I65" s="127">
        <v>12734</v>
      </c>
      <c r="J65" s="127">
        <v>5204</v>
      </c>
      <c r="K65" s="127">
        <v>7070</v>
      </c>
      <c r="L65" s="127">
        <v>7707</v>
      </c>
      <c r="M65" s="127">
        <v>6241</v>
      </c>
      <c r="N65" s="127">
        <v>4506</v>
      </c>
      <c r="O65" s="127">
        <v>30728</v>
      </c>
      <c r="P65" s="127">
        <v>35662</v>
      </c>
      <c r="Q65" s="127">
        <v>6252</v>
      </c>
      <c r="R65" s="127">
        <v>9016</v>
      </c>
      <c r="S65" s="127">
        <v>10241</v>
      </c>
      <c r="T65" s="127">
        <v>8832</v>
      </c>
      <c r="U65" s="127">
        <v>6607</v>
      </c>
      <c r="V65" s="127">
        <v>40948</v>
      </c>
      <c r="W65" s="127">
        <v>48396</v>
      </c>
    </row>
    <row r="66" spans="2:23" x14ac:dyDescent="0.2">
      <c r="B66" s="73" t="s">
        <v>120</v>
      </c>
      <c r="C66" s="127">
        <v>333</v>
      </c>
      <c r="D66" s="127">
        <v>489</v>
      </c>
      <c r="E66" s="127">
        <v>589</v>
      </c>
      <c r="F66" s="127">
        <v>692</v>
      </c>
      <c r="G66" s="127">
        <v>631</v>
      </c>
      <c r="H66" s="127">
        <v>2734</v>
      </c>
      <c r="I66" s="127">
        <v>3607</v>
      </c>
      <c r="J66" s="127">
        <v>560</v>
      </c>
      <c r="K66" s="127">
        <v>833</v>
      </c>
      <c r="L66" s="127">
        <v>1000</v>
      </c>
      <c r="M66" s="127">
        <v>904</v>
      </c>
      <c r="N66" s="127">
        <v>741</v>
      </c>
      <c r="O66" s="127">
        <v>4038</v>
      </c>
      <c r="P66" s="127">
        <v>4994</v>
      </c>
      <c r="Q66" s="127">
        <v>893</v>
      </c>
      <c r="R66" s="127">
        <v>1322</v>
      </c>
      <c r="S66" s="127">
        <v>1589</v>
      </c>
      <c r="T66" s="127">
        <v>1596</v>
      </c>
      <c r="U66" s="127">
        <v>1372</v>
      </c>
      <c r="V66" s="127">
        <v>6772</v>
      </c>
      <c r="W66" s="127">
        <v>8601</v>
      </c>
    </row>
    <row r="67" spans="2:23" x14ac:dyDescent="0.2">
      <c r="B67" s="73" t="s">
        <v>121</v>
      </c>
      <c r="C67" s="127">
        <v>2375</v>
      </c>
      <c r="D67" s="127">
        <v>2892</v>
      </c>
      <c r="E67" s="127">
        <v>3677</v>
      </c>
      <c r="F67" s="127">
        <v>3010</v>
      </c>
      <c r="G67" s="127">
        <v>1873</v>
      </c>
      <c r="H67" s="127">
        <v>13827</v>
      </c>
      <c r="I67" s="127">
        <v>15135</v>
      </c>
      <c r="J67" s="127">
        <v>10102</v>
      </c>
      <c r="K67" s="127">
        <v>10994</v>
      </c>
      <c r="L67" s="127">
        <v>10853</v>
      </c>
      <c r="M67" s="127">
        <v>6521</v>
      </c>
      <c r="N67" s="127">
        <v>3107</v>
      </c>
      <c r="O67" s="127">
        <v>41577</v>
      </c>
      <c r="P67" s="127">
        <v>43325</v>
      </c>
      <c r="Q67" s="127">
        <v>12477</v>
      </c>
      <c r="R67" s="127">
        <v>13886</v>
      </c>
      <c r="S67" s="127">
        <v>14530</v>
      </c>
      <c r="T67" s="127">
        <v>9531</v>
      </c>
      <c r="U67" s="127">
        <v>4980</v>
      </c>
      <c r="V67" s="127">
        <v>55404</v>
      </c>
      <c r="W67" s="127">
        <v>58460</v>
      </c>
    </row>
    <row r="68" spans="2:23" x14ac:dyDescent="0.2">
      <c r="B68" s="73" t="s">
        <v>122</v>
      </c>
      <c r="C68" s="127">
        <v>672</v>
      </c>
      <c r="D68" s="127">
        <v>1265</v>
      </c>
      <c r="E68" s="127">
        <v>1527</v>
      </c>
      <c r="F68" s="127">
        <v>1094</v>
      </c>
      <c r="G68" s="127">
        <v>350</v>
      </c>
      <c r="H68" s="127">
        <v>4908</v>
      </c>
      <c r="I68" s="127">
        <v>5009</v>
      </c>
      <c r="J68" s="127">
        <v>1647</v>
      </c>
      <c r="K68" s="127">
        <v>3176</v>
      </c>
      <c r="L68" s="127">
        <v>3387</v>
      </c>
      <c r="M68" s="127">
        <v>1745</v>
      </c>
      <c r="N68" s="127">
        <v>479</v>
      </c>
      <c r="O68" s="127">
        <v>10434</v>
      </c>
      <c r="P68" s="127">
        <v>10576</v>
      </c>
      <c r="Q68" s="127">
        <v>2319</v>
      </c>
      <c r="R68" s="127">
        <v>4441</v>
      </c>
      <c r="S68" s="127">
        <v>4914</v>
      </c>
      <c r="T68" s="127">
        <v>2839</v>
      </c>
      <c r="U68" s="127">
        <v>829</v>
      </c>
      <c r="V68" s="127">
        <v>15342</v>
      </c>
      <c r="W68" s="127">
        <v>15585</v>
      </c>
    </row>
    <row r="69" spans="2:23" x14ac:dyDescent="0.2">
      <c r="B69" s="73" t="s">
        <v>123</v>
      </c>
      <c r="C69" s="127">
        <v>3919</v>
      </c>
      <c r="D69" s="127">
        <v>6546</v>
      </c>
      <c r="E69" s="127">
        <v>9129</v>
      </c>
      <c r="F69" s="127">
        <v>7185</v>
      </c>
      <c r="G69" s="127">
        <v>3510</v>
      </c>
      <c r="H69" s="127">
        <v>30289</v>
      </c>
      <c r="I69" s="127">
        <v>31590</v>
      </c>
      <c r="J69" s="127">
        <v>11789</v>
      </c>
      <c r="K69" s="127">
        <v>18862</v>
      </c>
      <c r="L69" s="127">
        <v>23013</v>
      </c>
      <c r="M69" s="127">
        <v>15762</v>
      </c>
      <c r="N69" s="127">
        <v>6329</v>
      </c>
      <c r="O69" s="127">
        <v>75755</v>
      </c>
      <c r="P69" s="127">
        <v>77776</v>
      </c>
      <c r="Q69" s="127">
        <v>15708</v>
      </c>
      <c r="R69" s="127">
        <v>25408</v>
      </c>
      <c r="S69" s="127">
        <v>32142</v>
      </c>
      <c r="T69" s="127">
        <v>22947</v>
      </c>
      <c r="U69" s="127">
        <v>9839</v>
      </c>
      <c r="V69" s="127">
        <v>106044</v>
      </c>
      <c r="W69" s="127">
        <v>109366</v>
      </c>
    </row>
    <row r="70" spans="2:23" x14ac:dyDescent="0.2">
      <c r="B70" s="73" t="s">
        <v>124</v>
      </c>
      <c r="C70" s="127">
        <v>787</v>
      </c>
      <c r="D70" s="127">
        <v>2410</v>
      </c>
      <c r="E70" s="127">
        <v>3874</v>
      </c>
      <c r="F70" s="127">
        <v>3159</v>
      </c>
      <c r="G70" s="127">
        <v>1515</v>
      </c>
      <c r="H70" s="127">
        <v>11745</v>
      </c>
      <c r="I70" s="127">
        <v>12607</v>
      </c>
      <c r="J70" s="127">
        <v>2076</v>
      </c>
      <c r="K70" s="127">
        <v>4457</v>
      </c>
      <c r="L70" s="127">
        <v>5050</v>
      </c>
      <c r="M70" s="127">
        <v>3000</v>
      </c>
      <c r="N70" s="127">
        <v>1154</v>
      </c>
      <c r="O70" s="127">
        <v>15737</v>
      </c>
      <c r="P70" s="127">
        <v>16264</v>
      </c>
      <c r="Q70" s="127">
        <v>2863</v>
      </c>
      <c r="R70" s="127">
        <v>6867</v>
      </c>
      <c r="S70" s="127">
        <v>8924</v>
      </c>
      <c r="T70" s="127">
        <v>6159</v>
      </c>
      <c r="U70" s="127">
        <v>2669</v>
      </c>
      <c r="V70" s="127">
        <v>27482</v>
      </c>
      <c r="W70" s="127">
        <v>28871</v>
      </c>
    </row>
    <row r="71" spans="2:23" x14ac:dyDescent="0.2">
      <c r="B71" s="73" t="s">
        <v>125</v>
      </c>
      <c r="C71" s="127">
        <v>521</v>
      </c>
      <c r="D71" s="127">
        <v>1648</v>
      </c>
      <c r="E71" s="127">
        <v>2279</v>
      </c>
      <c r="F71" s="127">
        <v>1214</v>
      </c>
      <c r="G71" s="127">
        <v>450</v>
      </c>
      <c r="H71" s="127">
        <v>6112</v>
      </c>
      <c r="I71" s="127">
        <v>6339</v>
      </c>
      <c r="J71" s="127">
        <v>1084</v>
      </c>
      <c r="K71" s="127">
        <v>2765</v>
      </c>
      <c r="L71" s="127">
        <v>2924</v>
      </c>
      <c r="M71" s="127">
        <v>1357</v>
      </c>
      <c r="N71" s="127">
        <v>424</v>
      </c>
      <c r="O71" s="127">
        <v>8554</v>
      </c>
      <c r="P71" s="127">
        <v>8747</v>
      </c>
      <c r="Q71" s="127">
        <v>1605</v>
      </c>
      <c r="R71" s="127">
        <v>4413</v>
      </c>
      <c r="S71" s="127">
        <v>5203</v>
      </c>
      <c r="T71" s="127">
        <v>2571</v>
      </c>
      <c r="U71" s="127">
        <v>874</v>
      </c>
      <c r="V71" s="127">
        <v>14666</v>
      </c>
      <c r="W71" s="127">
        <v>15086</v>
      </c>
    </row>
    <row r="72" spans="2:23" x14ac:dyDescent="0.2">
      <c r="B72" s="73" t="s">
        <v>126</v>
      </c>
      <c r="C72" s="127">
        <v>1116</v>
      </c>
      <c r="D72" s="127">
        <v>751</v>
      </c>
      <c r="E72" s="127">
        <v>682</v>
      </c>
      <c r="F72" s="127">
        <v>611</v>
      </c>
      <c r="G72" s="127">
        <v>403</v>
      </c>
      <c r="H72" s="127">
        <v>3563</v>
      </c>
      <c r="I72" s="127">
        <v>3859</v>
      </c>
      <c r="J72" s="127">
        <v>2461</v>
      </c>
      <c r="K72" s="127">
        <v>1831</v>
      </c>
      <c r="L72" s="127">
        <v>1781</v>
      </c>
      <c r="M72" s="127">
        <v>1413</v>
      </c>
      <c r="N72" s="127">
        <v>1057</v>
      </c>
      <c r="O72" s="127">
        <v>8543</v>
      </c>
      <c r="P72" s="127">
        <v>9390</v>
      </c>
      <c r="Q72" s="127">
        <v>3577</v>
      </c>
      <c r="R72" s="127">
        <v>2582</v>
      </c>
      <c r="S72" s="127">
        <v>2463</v>
      </c>
      <c r="T72" s="127">
        <v>2024</v>
      </c>
      <c r="U72" s="127">
        <v>1460</v>
      </c>
      <c r="V72" s="127">
        <v>12106</v>
      </c>
      <c r="W72" s="127">
        <v>13249</v>
      </c>
    </row>
    <row r="73" spans="2:23" x14ac:dyDescent="0.2">
      <c r="B73" s="73" t="s">
        <v>127</v>
      </c>
      <c r="C73" s="127">
        <v>598</v>
      </c>
      <c r="D73" s="127">
        <v>403</v>
      </c>
      <c r="E73" s="127">
        <v>404</v>
      </c>
      <c r="F73" s="127">
        <v>335</v>
      </c>
      <c r="G73" s="127">
        <v>205</v>
      </c>
      <c r="H73" s="127">
        <v>1945</v>
      </c>
      <c r="I73" s="127">
        <v>2097</v>
      </c>
      <c r="J73" s="127">
        <v>812</v>
      </c>
      <c r="K73" s="127">
        <v>701</v>
      </c>
      <c r="L73" s="127">
        <v>673</v>
      </c>
      <c r="M73" s="127">
        <v>555</v>
      </c>
      <c r="N73" s="127">
        <v>406</v>
      </c>
      <c r="O73" s="127">
        <v>3147</v>
      </c>
      <c r="P73" s="127">
        <v>3382</v>
      </c>
      <c r="Q73" s="127">
        <v>1410</v>
      </c>
      <c r="R73" s="127">
        <v>1104</v>
      </c>
      <c r="S73" s="127">
        <v>1077</v>
      </c>
      <c r="T73" s="127">
        <v>890</v>
      </c>
      <c r="U73" s="127">
        <v>611</v>
      </c>
      <c r="V73" s="127">
        <v>5092</v>
      </c>
      <c r="W73" s="127">
        <v>5479</v>
      </c>
    </row>
    <row r="74" spans="2:23" x14ac:dyDescent="0.2">
      <c r="B74" s="73" t="s">
        <v>128</v>
      </c>
      <c r="C74" s="127">
        <v>880</v>
      </c>
      <c r="D74" s="127">
        <v>789</v>
      </c>
      <c r="E74" s="127">
        <v>656</v>
      </c>
      <c r="F74" s="127">
        <v>457</v>
      </c>
      <c r="G74" s="127">
        <v>319</v>
      </c>
      <c r="H74" s="127">
        <v>3101</v>
      </c>
      <c r="I74" s="127">
        <v>3369</v>
      </c>
      <c r="J74" s="127">
        <v>1587</v>
      </c>
      <c r="K74" s="127">
        <v>1568</v>
      </c>
      <c r="L74" s="127">
        <v>1501</v>
      </c>
      <c r="M74" s="127">
        <v>1080</v>
      </c>
      <c r="N74" s="127">
        <v>785</v>
      </c>
      <c r="O74" s="127">
        <v>6521</v>
      </c>
      <c r="P74" s="127">
        <v>7148</v>
      </c>
      <c r="Q74" s="127">
        <v>2467</v>
      </c>
      <c r="R74" s="127">
        <v>2357</v>
      </c>
      <c r="S74" s="127">
        <v>2157</v>
      </c>
      <c r="T74" s="127">
        <v>1537</v>
      </c>
      <c r="U74" s="127">
        <v>1104</v>
      </c>
      <c r="V74" s="127">
        <v>9622</v>
      </c>
      <c r="W74" s="127">
        <v>10517</v>
      </c>
    </row>
    <row r="75" spans="2:23" x14ac:dyDescent="0.2">
      <c r="B75" s="73" t="s">
        <v>129</v>
      </c>
      <c r="C75" s="127">
        <v>1010</v>
      </c>
      <c r="D75" s="127">
        <v>479</v>
      </c>
      <c r="E75" s="127">
        <v>238</v>
      </c>
      <c r="F75" s="127">
        <v>131</v>
      </c>
      <c r="G75" s="127">
        <v>103</v>
      </c>
      <c r="H75" s="127">
        <v>1961</v>
      </c>
      <c r="I75" s="127">
        <v>2074</v>
      </c>
      <c r="J75" s="127">
        <v>1486</v>
      </c>
      <c r="K75" s="127">
        <v>601</v>
      </c>
      <c r="L75" s="127">
        <v>349</v>
      </c>
      <c r="M75" s="127">
        <v>211</v>
      </c>
      <c r="N75" s="127">
        <v>138</v>
      </c>
      <c r="O75" s="127">
        <v>2785</v>
      </c>
      <c r="P75" s="127">
        <v>2931</v>
      </c>
      <c r="Q75" s="127">
        <v>2496</v>
      </c>
      <c r="R75" s="127">
        <v>1080</v>
      </c>
      <c r="S75" s="127">
        <v>587</v>
      </c>
      <c r="T75" s="127">
        <v>342</v>
      </c>
      <c r="U75" s="127">
        <v>241</v>
      </c>
      <c r="V75" s="127">
        <v>4746</v>
      </c>
      <c r="W75" s="127">
        <v>5005</v>
      </c>
    </row>
    <row r="76" spans="2:23" x14ac:dyDescent="0.2">
      <c r="B76" s="73" t="s">
        <v>130</v>
      </c>
      <c r="C76" s="127">
        <v>882</v>
      </c>
      <c r="D76" s="127">
        <v>763</v>
      </c>
      <c r="E76" s="127">
        <v>697</v>
      </c>
      <c r="F76" s="127">
        <v>462</v>
      </c>
      <c r="G76" s="127">
        <v>242</v>
      </c>
      <c r="H76" s="127">
        <v>3046</v>
      </c>
      <c r="I76" s="127">
        <v>3211</v>
      </c>
      <c r="J76" s="127">
        <v>1346</v>
      </c>
      <c r="K76" s="127">
        <v>1165</v>
      </c>
      <c r="L76" s="127">
        <v>884</v>
      </c>
      <c r="M76" s="127">
        <v>537</v>
      </c>
      <c r="N76" s="127">
        <v>255</v>
      </c>
      <c r="O76" s="127">
        <v>4187</v>
      </c>
      <c r="P76" s="127">
        <v>4375</v>
      </c>
      <c r="Q76" s="127">
        <v>2228</v>
      </c>
      <c r="R76" s="127">
        <v>1928</v>
      </c>
      <c r="S76" s="127">
        <v>1581</v>
      </c>
      <c r="T76" s="127">
        <v>999</v>
      </c>
      <c r="U76" s="127">
        <v>497</v>
      </c>
      <c r="V76" s="127">
        <v>7233</v>
      </c>
      <c r="W76" s="127">
        <v>7586</v>
      </c>
    </row>
    <row r="77" spans="2:23" x14ac:dyDescent="0.2">
      <c r="B77" s="73" t="s">
        <v>131</v>
      </c>
      <c r="C77" s="127">
        <v>1729</v>
      </c>
      <c r="D77" s="127">
        <v>1827</v>
      </c>
      <c r="E77" s="127">
        <v>2051</v>
      </c>
      <c r="F77" s="127">
        <v>1656</v>
      </c>
      <c r="G77" s="127">
        <v>1061</v>
      </c>
      <c r="H77" s="127">
        <v>8324</v>
      </c>
      <c r="I77" s="127">
        <v>9294</v>
      </c>
      <c r="J77" s="127">
        <v>4320</v>
      </c>
      <c r="K77" s="127">
        <v>4548</v>
      </c>
      <c r="L77" s="127">
        <v>4567</v>
      </c>
      <c r="M77" s="127">
        <v>3201</v>
      </c>
      <c r="N77" s="127">
        <v>1943</v>
      </c>
      <c r="O77" s="127">
        <v>18579</v>
      </c>
      <c r="P77" s="127">
        <v>20225</v>
      </c>
      <c r="Q77" s="127">
        <v>6049</v>
      </c>
      <c r="R77" s="127">
        <v>6375</v>
      </c>
      <c r="S77" s="127">
        <v>6618</v>
      </c>
      <c r="T77" s="127">
        <v>4857</v>
      </c>
      <c r="U77" s="127">
        <v>3004</v>
      </c>
      <c r="V77" s="127">
        <v>26903</v>
      </c>
      <c r="W77" s="127">
        <v>29519</v>
      </c>
    </row>
    <row r="78" spans="2:23" x14ac:dyDescent="0.2">
      <c r="B78" s="73" t="s">
        <v>132</v>
      </c>
      <c r="C78" s="127">
        <v>866</v>
      </c>
      <c r="D78" s="127">
        <v>1202</v>
      </c>
      <c r="E78" s="127">
        <v>1417</v>
      </c>
      <c r="F78" s="127">
        <v>1274</v>
      </c>
      <c r="G78" s="127">
        <v>744</v>
      </c>
      <c r="H78" s="127">
        <v>5503</v>
      </c>
      <c r="I78" s="127">
        <v>5908</v>
      </c>
      <c r="J78" s="127">
        <v>648</v>
      </c>
      <c r="K78" s="127">
        <v>887</v>
      </c>
      <c r="L78" s="127">
        <v>959</v>
      </c>
      <c r="M78" s="127">
        <v>805</v>
      </c>
      <c r="N78" s="127">
        <v>443</v>
      </c>
      <c r="O78" s="127">
        <v>3742</v>
      </c>
      <c r="P78" s="127">
        <v>3951</v>
      </c>
      <c r="Q78" s="127">
        <v>1514</v>
      </c>
      <c r="R78" s="127">
        <v>2089</v>
      </c>
      <c r="S78" s="127">
        <v>2376</v>
      </c>
      <c r="T78" s="127">
        <v>2079</v>
      </c>
      <c r="U78" s="127">
        <v>1187</v>
      </c>
      <c r="V78" s="127">
        <v>9245</v>
      </c>
      <c r="W78" s="127">
        <v>9859</v>
      </c>
    </row>
    <row r="79" spans="2:23" x14ac:dyDescent="0.2">
      <c r="B79" s="73" t="s">
        <v>133</v>
      </c>
      <c r="C79" s="127">
        <v>873</v>
      </c>
      <c r="D79" s="127">
        <v>1380</v>
      </c>
      <c r="E79" s="127">
        <v>2024</v>
      </c>
      <c r="F79" s="127">
        <v>2527</v>
      </c>
      <c r="G79" s="127">
        <v>3194</v>
      </c>
      <c r="H79" s="127">
        <v>9998</v>
      </c>
      <c r="I79" s="127">
        <v>11874</v>
      </c>
      <c r="J79" s="127">
        <v>1270</v>
      </c>
      <c r="K79" s="127">
        <v>1559</v>
      </c>
      <c r="L79" s="127">
        <v>1804</v>
      </c>
      <c r="M79" s="127">
        <v>1658</v>
      </c>
      <c r="N79" s="127">
        <v>1394</v>
      </c>
      <c r="O79" s="127">
        <v>7685</v>
      </c>
      <c r="P79" s="127">
        <v>8383</v>
      </c>
      <c r="Q79" s="127">
        <v>2143</v>
      </c>
      <c r="R79" s="127">
        <v>2939</v>
      </c>
      <c r="S79" s="127">
        <v>3828</v>
      </c>
      <c r="T79" s="127">
        <v>4185</v>
      </c>
      <c r="U79" s="127">
        <v>4588</v>
      </c>
      <c r="V79" s="127">
        <v>17683</v>
      </c>
      <c r="W79" s="127">
        <v>20257</v>
      </c>
    </row>
    <row r="80" spans="2:23" x14ac:dyDescent="0.2">
      <c r="B80" s="73" t="s">
        <v>134</v>
      </c>
      <c r="C80" s="127">
        <v>2109</v>
      </c>
      <c r="D80" s="127">
        <v>2896</v>
      </c>
      <c r="E80" s="127">
        <v>4089</v>
      </c>
      <c r="F80" s="127">
        <v>4509</v>
      </c>
      <c r="G80" s="127">
        <v>3914</v>
      </c>
      <c r="H80" s="127">
        <v>17517</v>
      </c>
      <c r="I80" s="127">
        <v>22058</v>
      </c>
      <c r="J80" s="127">
        <v>3373</v>
      </c>
      <c r="K80" s="127">
        <v>4172</v>
      </c>
      <c r="L80" s="127">
        <v>5487</v>
      </c>
      <c r="M80" s="127">
        <v>5419</v>
      </c>
      <c r="N80" s="127">
        <v>4051</v>
      </c>
      <c r="O80" s="127">
        <v>22502</v>
      </c>
      <c r="P80" s="127">
        <v>27059</v>
      </c>
      <c r="Q80" s="127">
        <v>5482</v>
      </c>
      <c r="R80" s="127">
        <v>7068</v>
      </c>
      <c r="S80" s="127">
        <v>9576</v>
      </c>
      <c r="T80" s="127">
        <v>9928</v>
      </c>
      <c r="U80" s="127">
        <v>7965</v>
      </c>
      <c r="V80" s="127">
        <v>40019</v>
      </c>
      <c r="W80" s="127">
        <v>49117</v>
      </c>
    </row>
    <row r="81" spans="1:23" x14ac:dyDescent="0.2">
      <c r="B81" s="73" t="s">
        <v>54</v>
      </c>
      <c r="C81" s="127">
        <v>83664</v>
      </c>
      <c r="D81" s="127">
        <v>88399</v>
      </c>
      <c r="E81" s="127">
        <v>103789</v>
      </c>
      <c r="F81" s="127">
        <v>92464</v>
      </c>
      <c r="G81" s="127">
        <v>69506</v>
      </c>
      <c r="H81" s="127">
        <v>437822</v>
      </c>
      <c r="I81" s="127">
        <v>517020</v>
      </c>
      <c r="J81" s="127">
        <v>111453</v>
      </c>
      <c r="K81" s="127">
        <v>126542</v>
      </c>
      <c r="L81" s="127">
        <v>136027</v>
      </c>
      <c r="M81" s="127">
        <v>105480</v>
      </c>
      <c r="N81" s="127">
        <v>67489</v>
      </c>
      <c r="O81" s="127">
        <v>546991</v>
      </c>
      <c r="P81" s="127">
        <v>614897</v>
      </c>
      <c r="Q81" s="127">
        <v>195117</v>
      </c>
      <c r="R81" s="127">
        <v>214941</v>
      </c>
      <c r="S81" s="127">
        <v>239816</v>
      </c>
      <c r="T81" s="127">
        <v>197944</v>
      </c>
      <c r="U81" s="127">
        <v>136995</v>
      </c>
      <c r="V81" s="127">
        <v>984813</v>
      </c>
      <c r="W81" s="127">
        <v>1131917</v>
      </c>
    </row>
    <row r="84" spans="1:23" x14ac:dyDescent="0.2">
      <c r="A84" t="s">
        <v>65</v>
      </c>
      <c r="B84" t="s">
        <v>92</v>
      </c>
      <c r="C84" t="s">
        <v>94</v>
      </c>
      <c r="D84" t="s">
        <v>95</v>
      </c>
      <c r="E84" t="s">
        <v>96</v>
      </c>
      <c r="F84" t="s">
        <v>97</v>
      </c>
      <c r="G84" t="s">
        <v>98</v>
      </c>
      <c r="H84" t="s">
        <v>139</v>
      </c>
      <c r="I84" t="s">
        <v>58</v>
      </c>
    </row>
    <row r="85" spans="1:23" x14ac:dyDescent="0.2">
      <c r="A85" t="s">
        <v>66</v>
      </c>
      <c r="B85" t="s">
        <v>100</v>
      </c>
      <c r="C85">
        <v>83664</v>
      </c>
      <c r="D85">
        <v>88399</v>
      </c>
      <c r="E85">
        <v>103789</v>
      </c>
      <c r="F85">
        <v>92464</v>
      </c>
      <c r="G85">
        <v>69506</v>
      </c>
      <c r="H85">
        <v>437822</v>
      </c>
      <c r="I85">
        <v>517020</v>
      </c>
    </row>
    <row r="86" spans="1:23" x14ac:dyDescent="0.2">
      <c r="A86" t="s">
        <v>66</v>
      </c>
      <c r="B86" t="s">
        <v>101</v>
      </c>
      <c r="C86">
        <v>5328</v>
      </c>
      <c r="D86">
        <v>5433</v>
      </c>
      <c r="E86">
        <v>6255</v>
      </c>
      <c r="F86">
        <v>5667</v>
      </c>
      <c r="G86">
        <v>4802</v>
      </c>
      <c r="H86">
        <v>27485</v>
      </c>
      <c r="I86">
        <v>33505</v>
      </c>
    </row>
    <row r="87" spans="1:23" x14ac:dyDescent="0.2">
      <c r="A87" t="s">
        <v>66</v>
      </c>
      <c r="B87" t="s">
        <v>102</v>
      </c>
      <c r="C87">
        <v>6957</v>
      </c>
      <c r="D87">
        <v>6549</v>
      </c>
      <c r="E87">
        <v>6308</v>
      </c>
      <c r="F87">
        <v>5316</v>
      </c>
      <c r="G87">
        <v>4490</v>
      </c>
      <c r="H87">
        <v>29620</v>
      </c>
      <c r="I87">
        <v>35581</v>
      </c>
    </row>
    <row r="88" spans="1:23" x14ac:dyDescent="0.2">
      <c r="A88" t="s">
        <v>66</v>
      </c>
      <c r="B88" t="s">
        <v>103</v>
      </c>
      <c r="C88">
        <v>7773</v>
      </c>
      <c r="D88">
        <v>6327</v>
      </c>
      <c r="E88">
        <v>6482</v>
      </c>
      <c r="F88">
        <v>5951</v>
      </c>
      <c r="G88">
        <v>5227</v>
      </c>
      <c r="H88">
        <v>31760</v>
      </c>
      <c r="I88">
        <v>39444</v>
      </c>
    </row>
    <row r="89" spans="1:23" x14ac:dyDescent="0.2">
      <c r="A89" t="s">
        <v>66</v>
      </c>
      <c r="B89" t="s">
        <v>104</v>
      </c>
      <c r="C89">
        <v>785</v>
      </c>
      <c r="D89">
        <v>821</v>
      </c>
      <c r="E89">
        <v>909</v>
      </c>
      <c r="F89">
        <v>790</v>
      </c>
      <c r="G89">
        <v>668</v>
      </c>
      <c r="H89">
        <v>3973</v>
      </c>
      <c r="I89">
        <v>4681</v>
      </c>
    </row>
    <row r="90" spans="1:23" x14ac:dyDescent="0.2">
      <c r="A90" t="s">
        <v>66</v>
      </c>
      <c r="B90" t="s">
        <v>105</v>
      </c>
      <c r="C90">
        <v>16912</v>
      </c>
      <c r="D90">
        <v>10112</v>
      </c>
      <c r="E90">
        <v>10118</v>
      </c>
      <c r="F90">
        <v>9009</v>
      </c>
      <c r="G90">
        <v>7335</v>
      </c>
      <c r="H90">
        <v>53486</v>
      </c>
      <c r="I90">
        <v>67086</v>
      </c>
    </row>
    <row r="91" spans="1:23" x14ac:dyDescent="0.2">
      <c r="A91" t="s">
        <v>66</v>
      </c>
      <c r="B91" t="s">
        <v>106</v>
      </c>
      <c r="C91">
        <v>4242</v>
      </c>
      <c r="D91">
        <v>1823</v>
      </c>
      <c r="E91">
        <v>1558</v>
      </c>
      <c r="F91">
        <v>1233</v>
      </c>
      <c r="G91">
        <v>1001</v>
      </c>
      <c r="H91">
        <v>9857</v>
      </c>
      <c r="I91">
        <v>10939</v>
      </c>
    </row>
    <row r="92" spans="1:23" x14ac:dyDescent="0.2">
      <c r="A92" t="s">
        <v>66</v>
      </c>
      <c r="B92" t="s">
        <v>107</v>
      </c>
      <c r="C92">
        <v>878</v>
      </c>
      <c r="D92">
        <v>1512</v>
      </c>
      <c r="E92">
        <v>2188</v>
      </c>
      <c r="F92">
        <v>2492</v>
      </c>
      <c r="G92">
        <v>2087</v>
      </c>
      <c r="H92">
        <v>9157</v>
      </c>
      <c r="I92">
        <v>10893</v>
      </c>
    </row>
    <row r="93" spans="1:23" x14ac:dyDescent="0.2">
      <c r="A93" t="s">
        <v>66</v>
      </c>
      <c r="B93" t="s">
        <v>239</v>
      </c>
      <c r="C93">
        <v>820</v>
      </c>
      <c r="D93">
        <v>1240</v>
      </c>
      <c r="E93">
        <v>1637</v>
      </c>
      <c r="F93">
        <v>1850</v>
      </c>
      <c r="G93">
        <v>1545</v>
      </c>
      <c r="H93">
        <v>7092</v>
      </c>
      <c r="I93">
        <v>9149</v>
      </c>
    </row>
    <row r="94" spans="1:23" x14ac:dyDescent="0.2">
      <c r="A94" t="s">
        <v>66</v>
      </c>
      <c r="B94" t="s">
        <v>109</v>
      </c>
      <c r="C94">
        <v>413</v>
      </c>
      <c r="D94">
        <v>924</v>
      </c>
      <c r="E94">
        <v>1534</v>
      </c>
      <c r="F94">
        <v>1817</v>
      </c>
      <c r="G94">
        <v>1617</v>
      </c>
      <c r="H94">
        <v>6305</v>
      </c>
      <c r="I94">
        <v>8153</v>
      </c>
    </row>
    <row r="95" spans="1:23" x14ac:dyDescent="0.2">
      <c r="A95" t="s">
        <v>66</v>
      </c>
      <c r="B95" t="s">
        <v>110</v>
      </c>
      <c r="C95">
        <v>6</v>
      </c>
      <c r="D95">
        <v>8</v>
      </c>
      <c r="E95">
        <v>14</v>
      </c>
      <c r="F95">
        <v>9</v>
      </c>
      <c r="G95">
        <v>24</v>
      </c>
      <c r="H95">
        <v>61</v>
      </c>
      <c r="I95">
        <v>81</v>
      </c>
    </row>
    <row r="96" spans="1:23" x14ac:dyDescent="0.2">
      <c r="A96" t="s">
        <v>66</v>
      </c>
      <c r="B96" t="s">
        <v>111</v>
      </c>
      <c r="C96">
        <v>237</v>
      </c>
      <c r="D96">
        <v>471</v>
      </c>
      <c r="E96">
        <v>624</v>
      </c>
      <c r="F96">
        <v>620</v>
      </c>
      <c r="G96">
        <v>597</v>
      </c>
      <c r="H96">
        <v>2549</v>
      </c>
      <c r="I96">
        <v>3661</v>
      </c>
    </row>
    <row r="97" spans="1:9" x14ac:dyDescent="0.2">
      <c r="A97" t="s">
        <v>66</v>
      </c>
      <c r="B97" t="s">
        <v>112</v>
      </c>
      <c r="C97">
        <v>2000</v>
      </c>
      <c r="D97">
        <v>4083</v>
      </c>
      <c r="E97">
        <v>5503</v>
      </c>
      <c r="F97">
        <v>4979</v>
      </c>
      <c r="G97">
        <v>3542</v>
      </c>
      <c r="H97">
        <v>20107</v>
      </c>
      <c r="I97">
        <v>23236</v>
      </c>
    </row>
    <row r="98" spans="1:9" x14ac:dyDescent="0.2">
      <c r="A98" t="s">
        <v>66</v>
      </c>
      <c r="B98" t="s">
        <v>113</v>
      </c>
      <c r="C98">
        <v>4448</v>
      </c>
      <c r="D98">
        <v>4298</v>
      </c>
      <c r="E98">
        <v>4337</v>
      </c>
      <c r="F98">
        <v>3771</v>
      </c>
      <c r="G98">
        <v>2945</v>
      </c>
      <c r="H98">
        <v>19799</v>
      </c>
      <c r="I98">
        <v>22991</v>
      </c>
    </row>
    <row r="99" spans="1:9" x14ac:dyDescent="0.2">
      <c r="A99" t="s">
        <v>66</v>
      </c>
      <c r="B99" t="s">
        <v>114</v>
      </c>
      <c r="C99">
        <v>4415</v>
      </c>
      <c r="D99">
        <v>4235</v>
      </c>
      <c r="E99">
        <v>4827</v>
      </c>
      <c r="F99">
        <v>4177</v>
      </c>
      <c r="G99">
        <v>3002</v>
      </c>
      <c r="H99">
        <v>20656</v>
      </c>
      <c r="I99">
        <v>23432</v>
      </c>
    </row>
    <row r="100" spans="1:9" x14ac:dyDescent="0.2">
      <c r="A100" t="s">
        <v>66</v>
      </c>
      <c r="B100" t="s">
        <v>115</v>
      </c>
      <c r="C100">
        <v>1749</v>
      </c>
      <c r="D100">
        <v>1877</v>
      </c>
      <c r="E100">
        <v>2085</v>
      </c>
      <c r="F100">
        <v>1701</v>
      </c>
      <c r="G100">
        <v>1234</v>
      </c>
      <c r="H100">
        <v>8646</v>
      </c>
      <c r="I100">
        <v>9939</v>
      </c>
    </row>
    <row r="101" spans="1:9" x14ac:dyDescent="0.2">
      <c r="A101" t="s">
        <v>66</v>
      </c>
      <c r="B101" t="s">
        <v>116</v>
      </c>
      <c r="C101">
        <v>4903</v>
      </c>
      <c r="D101">
        <v>6890</v>
      </c>
      <c r="E101">
        <v>7683</v>
      </c>
      <c r="F101">
        <v>5836</v>
      </c>
      <c r="G101">
        <v>3140</v>
      </c>
      <c r="H101">
        <v>28452</v>
      </c>
      <c r="I101">
        <v>30328</v>
      </c>
    </row>
    <row r="102" spans="1:9" x14ac:dyDescent="0.2">
      <c r="A102" t="s">
        <v>66</v>
      </c>
      <c r="B102" t="s">
        <v>117</v>
      </c>
      <c r="C102">
        <v>509</v>
      </c>
      <c r="D102">
        <v>974</v>
      </c>
      <c r="E102">
        <v>1251</v>
      </c>
      <c r="F102">
        <v>1201</v>
      </c>
      <c r="G102">
        <v>1099</v>
      </c>
      <c r="H102">
        <v>5034</v>
      </c>
      <c r="I102">
        <v>7165</v>
      </c>
    </row>
    <row r="103" spans="1:9" x14ac:dyDescent="0.2">
      <c r="A103" t="s">
        <v>66</v>
      </c>
      <c r="B103" t="s">
        <v>118</v>
      </c>
      <c r="C103">
        <v>1571</v>
      </c>
      <c r="D103">
        <v>3136</v>
      </c>
      <c r="E103">
        <v>4609</v>
      </c>
      <c r="F103">
        <v>5138</v>
      </c>
      <c r="G103">
        <v>4536</v>
      </c>
      <c r="H103">
        <v>18990</v>
      </c>
      <c r="I103">
        <v>25991</v>
      </c>
    </row>
    <row r="104" spans="1:9" x14ac:dyDescent="0.2">
      <c r="A104" t="s">
        <v>66</v>
      </c>
      <c r="B104" t="s">
        <v>119</v>
      </c>
      <c r="C104">
        <v>1048</v>
      </c>
      <c r="D104">
        <v>1946</v>
      </c>
      <c r="E104">
        <v>2534</v>
      </c>
      <c r="F104">
        <v>2591</v>
      </c>
      <c r="G104">
        <v>2101</v>
      </c>
      <c r="H104">
        <v>10220</v>
      </c>
      <c r="I104">
        <v>12734</v>
      </c>
    </row>
    <row r="105" spans="1:9" x14ac:dyDescent="0.2">
      <c r="A105" t="s">
        <v>66</v>
      </c>
      <c r="B105" t="s">
        <v>120</v>
      </c>
      <c r="C105">
        <v>333</v>
      </c>
      <c r="D105">
        <v>489</v>
      </c>
      <c r="E105">
        <v>589</v>
      </c>
      <c r="F105">
        <v>692</v>
      </c>
      <c r="G105">
        <v>631</v>
      </c>
      <c r="H105">
        <v>2734</v>
      </c>
      <c r="I105">
        <v>3607</v>
      </c>
    </row>
    <row r="106" spans="1:9" x14ac:dyDescent="0.2">
      <c r="A106" t="s">
        <v>66</v>
      </c>
      <c r="B106" t="s">
        <v>121</v>
      </c>
      <c r="C106">
        <v>2375</v>
      </c>
      <c r="D106">
        <v>2892</v>
      </c>
      <c r="E106">
        <v>3677</v>
      </c>
      <c r="F106">
        <v>3010</v>
      </c>
      <c r="G106">
        <v>1873</v>
      </c>
      <c r="H106">
        <v>13827</v>
      </c>
      <c r="I106">
        <v>15135</v>
      </c>
    </row>
    <row r="107" spans="1:9" x14ac:dyDescent="0.2">
      <c r="A107" t="s">
        <v>66</v>
      </c>
      <c r="B107" t="s">
        <v>122</v>
      </c>
      <c r="C107">
        <v>672</v>
      </c>
      <c r="D107">
        <v>1265</v>
      </c>
      <c r="E107">
        <v>1527</v>
      </c>
      <c r="F107">
        <v>1094</v>
      </c>
      <c r="G107">
        <v>350</v>
      </c>
      <c r="H107">
        <v>4908</v>
      </c>
      <c r="I107">
        <v>5009</v>
      </c>
    </row>
    <row r="108" spans="1:9" x14ac:dyDescent="0.2">
      <c r="A108" t="s">
        <v>66</v>
      </c>
      <c r="B108" t="s">
        <v>123</v>
      </c>
      <c r="C108">
        <v>3919</v>
      </c>
      <c r="D108">
        <v>6546</v>
      </c>
      <c r="E108">
        <v>9129</v>
      </c>
      <c r="F108">
        <v>7185</v>
      </c>
      <c r="G108">
        <v>3510</v>
      </c>
      <c r="H108">
        <v>30289</v>
      </c>
      <c r="I108">
        <v>31590</v>
      </c>
    </row>
    <row r="109" spans="1:9" x14ac:dyDescent="0.2">
      <c r="A109" t="s">
        <v>66</v>
      </c>
      <c r="B109" t="s">
        <v>124</v>
      </c>
      <c r="C109">
        <v>787</v>
      </c>
      <c r="D109">
        <v>2410</v>
      </c>
      <c r="E109">
        <v>3874</v>
      </c>
      <c r="F109">
        <v>3159</v>
      </c>
      <c r="G109">
        <v>1515</v>
      </c>
      <c r="H109">
        <v>11745</v>
      </c>
      <c r="I109">
        <v>12607</v>
      </c>
    </row>
    <row r="110" spans="1:9" x14ac:dyDescent="0.2">
      <c r="A110" t="s">
        <v>66</v>
      </c>
      <c r="B110" t="s">
        <v>125</v>
      </c>
      <c r="C110">
        <v>521</v>
      </c>
      <c r="D110">
        <v>1648</v>
      </c>
      <c r="E110">
        <v>2279</v>
      </c>
      <c r="F110">
        <v>1214</v>
      </c>
      <c r="G110">
        <v>450</v>
      </c>
      <c r="H110">
        <v>6112</v>
      </c>
      <c r="I110">
        <v>6339</v>
      </c>
    </row>
    <row r="111" spans="1:9" x14ac:dyDescent="0.2">
      <c r="A111" t="s">
        <v>66</v>
      </c>
      <c r="B111" t="s">
        <v>126</v>
      </c>
      <c r="C111">
        <v>1116</v>
      </c>
      <c r="D111">
        <v>751</v>
      </c>
      <c r="E111">
        <v>682</v>
      </c>
      <c r="F111">
        <v>611</v>
      </c>
      <c r="G111">
        <v>403</v>
      </c>
      <c r="H111">
        <v>3563</v>
      </c>
      <c r="I111">
        <v>3859</v>
      </c>
    </row>
    <row r="112" spans="1:9" x14ac:dyDescent="0.2">
      <c r="A112" t="s">
        <v>66</v>
      </c>
      <c r="B112" t="s">
        <v>127</v>
      </c>
      <c r="C112">
        <v>598</v>
      </c>
      <c r="D112">
        <v>403</v>
      </c>
      <c r="E112">
        <v>404</v>
      </c>
      <c r="F112">
        <v>335</v>
      </c>
      <c r="G112">
        <v>205</v>
      </c>
      <c r="H112">
        <v>1945</v>
      </c>
      <c r="I112">
        <v>2097</v>
      </c>
    </row>
    <row r="113" spans="1:9" x14ac:dyDescent="0.2">
      <c r="A113" t="s">
        <v>66</v>
      </c>
      <c r="B113" t="s">
        <v>128</v>
      </c>
      <c r="C113">
        <v>880</v>
      </c>
      <c r="D113">
        <v>789</v>
      </c>
      <c r="E113">
        <v>656</v>
      </c>
      <c r="F113">
        <v>457</v>
      </c>
      <c r="G113">
        <v>319</v>
      </c>
      <c r="H113">
        <v>3101</v>
      </c>
      <c r="I113">
        <v>3369</v>
      </c>
    </row>
    <row r="114" spans="1:9" x14ac:dyDescent="0.2">
      <c r="A114" t="s">
        <v>66</v>
      </c>
      <c r="B114" t="s">
        <v>129</v>
      </c>
      <c r="C114">
        <v>1010</v>
      </c>
      <c r="D114">
        <v>479</v>
      </c>
      <c r="E114">
        <v>238</v>
      </c>
      <c r="F114">
        <v>131</v>
      </c>
      <c r="G114">
        <v>103</v>
      </c>
      <c r="H114">
        <v>1961</v>
      </c>
      <c r="I114">
        <v>2074</v>
      </c>
    </row>
    <row r="115" spans="1:9" x14ac:dyDescent="0.2">
      <c r="A115" t="s">
        <v>66</v>
      </c>
      <c r="B115" t="s">
        <v>130</v>
      </c>
      <c r="C115">
        <v>882</v>
      </c>
      <c r="D115">
        <v>763</v>
      </c>
      <c r="E115">
        <v>697</v>
      </c>
      <c r="F115">
        <v>462</v>
      </c>
      <c r="G115">
        <v>242</v>
      </c>
      <c r="H115">
        <v>3046</v>
      </c>
      <c r="I115">
        <v>3211</v>
      </c>
    </row>
    <row r="116" spans="1:9" x14ac:dyDescent="0.2">
      <c r="A116" t="s">
        <v>66</v>
      </c>
      <c r="B116" t="s">
        <v>131</v>
      </c>
      <c r="C116">
        <v>1729</v>
      </c>
      <c r="D116">
        <v>1827</v>
      </c>
      <c r="E116">
        <v>2051</v>
      </c>
      <c r="F116">
        <v>1656</v>
      </c>
      <c r="G116">
        <v>1061</v>
      </c>
      <c r="H116">
        <v>8324</v>
      </c>
      <c r="I116">
        <v>9294</v>
      </c>
    </row>
    <row r="117" spans="1:9" x14ac:dyDescent="0.2">
      <c r="A117" t="s">
        <v>66</v>
      </c>
      <c r="B117" t="s">
        <v>132</v>
      </c>
      <c r="C117">
        <v>866</v>
      </c>
      <c r="D117">
        <v>1202</v>
      </c>
      <c r="E117">
        <v>1417</v>
      </c>
      <c r="F117">
        <v>1274</v>
      </c>
      <c r="G117">
        <v>744</v>
      </c>
      <c r="H117">
        <v>5503</v>
      </c>
      <c r="I117">
        <v>5908</v>
      </c>
    </row>
    <row r="118" spans="1:9" x14ac:dyDescent="0.2">
      <c r="A118" t="s">
        <v>66</v>
      </c>
      <c r="B118" t="s">
        <v>133</v>
      </c>
      <c r="C118">
        <v>873</v>
      </c>
      <c r="D118">
        <v>1380</v>
      </c>
      <c r="E118">
        <v>2024</v>
      </c>
      <c r="F118">
        <v>2527</v>
      </c>
      <c r="G118">
        <v>3194</v>
      </c>
      <c r="H118">
        <v>9998</v>
      </c>
      <c r="I118">
        <v>11874</v>
      </c>
    </row>
    <row r="119" spans="1:9" x14ac:dyDescent="0.2">
      <c r="A119" t="s">
        <v>66</v>
      </c>
      <c r="B119" t="s">
        <v>134</v>
      </c>
      <c r="C119">
        <v>2109</v>
      </c>
      <c r="D119">
        <v>2896</v>
      </c>
      <c r="E119">
        <v>4089</v>
      </c>
      <c r="F119">
        <v>4509</v>
      </c>
      <c r="G119">
        <v>3914</v>
      </c>
      <c r="H119">
        <v>17517</v>
      </c>
      <c r="I119">
        <v>22058</v>
      </c>
    </row>
    <row r="120" spans="1:9" x14ac:dyDescent="0.2">
      <c r="A120" t="s">
        <v>67</v>
      </c>
      <c r="B120" t="s">
        <v>100</v>
      </c>
      <c r="C120">
        <v>111453</v>
      </c>
      <c r="D120">
        <v>126542</v>
      </c>
      <c r="E120">
        <v>136027</v>
      </c>
      <c r="F120">
        <v>105480</v>
      </c>
      <c r="G120">
        <v>67489</v>
      </c>
      <c r="H120">
        <v>546991</v>
      </c>
      <c r="I120">
        <v>614897</v>
      </c>
    </row>
    <row r="121" spans="1:9" x14ac:dyDescent="0.2">
      <c r="A121" t="s">
        <v>67</v>
      </c>
      <c r="B121" t="s">
        <v>101</v>
      </c>
      <c r="C121">
        <v>8753</v>
      </c>
      <c r="D121">
        <v>8419</v>
      </c>
      <c r="E121">
        <v>8915</v>
      </c>
      <c r="F121">
        <v>8158</v>
      </c>
      <c r="G121">
        <v>6543</v>
      </c>
      <c r="H121">
        <v>40788</v>
      </c>
      <c r="I121">
        <v>48742</v>
      </c>
    </row>
    <row r="122" spans="1:9" x14ac:dyDescent="0.2">
      <c r="A122" t="s">
        <v>67</v>
      </c>
      <c r="B122" t="s">
        <v>102</v>
      </c>
      <c r="C122">
        <v>5821</v>
      </c>
      <c r="D122">
        <v>6348</v>
      </c>
      <c r="E122">
        <v>6356</v>
      </c>
      <c r="F122">
        <v>5535</v>
      </c>
      <c r="G122">
        <v>4305</v>
      </c>
      <c r="H122">
        <v>28365</v>
      </c>
      <c r="I122">
        <v>34005</v>
      </c>
    </row>
    <row r="123" spans="1:9" x14ac:dyDescent="0.2">
      <c r="A123" t="s">
        <v>67</v>
      </c>
      <c r="B123" t="s">
        <v>103</v>
      </c>
      <c r="C123">
        <v>2721</v>
      </c>
      <c r="D123">
        <v>2285</v>
      </c>
      <c r="E123">
        <v>2103</v>
      </c>
      <c r="F123">
        <v>1861</v>
      </c>
      <c r="G123">
        <v>1525</v>
      </c>
      <c r="H123">
        <v>10495</v>
      </c>
      <c r="I123">
        <v>12357</v>
      </c>
    </row>
    <row r="124" spans="1:9" x14ac:dyDescent="0.2">
      <c r="A124" t="s">
        <v>67</v>
      </c>
      <c r="B124" t="s">
        <v>104</v>
      </c>
      <c r="C124">
        <v>341</v>
      </c>
      <c r="D124">
        <v>369</v>
      </c>
      <c r="E124">
        <v>392</v>
      </c>
      <c r="F124">
        <v>384</v>
      </c>
      <c r="G124">
        <v>371</v>
      </c>
      <c r="H124">
        <v>1857</v>
      </c>
      <c r="I124">
        <v>2224</v>
      </c>
    </row>
    <row r="125" spans="1:9" x14ac:dyDescent="0.2">
      <c r="A125" t="s">
        <v>67</v>
      </c>
      <c r="B125" t="s">
        <v>105</v>
      </c>
      <c r="C125">
        <v>11702</v>
      </c>
      <c r="D125">
        <v>7799</v>
      </c>
      <c r="E125">
        <v>7364</v>
      </c>
      <c r="F125">
        <v>6151</v>
      </c>
      <c r="G125">
        <v>4714</v>
      </c>
      <c r="H125">
        <v>37730</v>
      </c>
      <c r="I125">
        <v>45229</v>
      </c>
    </row>
    <row r="126" spans="1:9" x14ac:dyDescent="0.2">
      <c r="A126" t="s">
        <v>67</v>
      </c>
      <c r="B126" t="s">
        <v>106</v>
      </c>
      <c r="C126">
        <v>2086</v>
      </c>
      <c r="D126">
        <v>855</v>
      </c>
      <c r="E126">
        <v>669</v>
      </c>
      <c r="F126">
        <v>514</v>
      </c>
      <c r="G126">
        <v>385</v>
      </c>
      <c r="H126">
        <v>4509</v>
      </c>
      <c r="I126">
        <v>4915</v>
      </c>
    </row>
    <row r="127" spans="1:9" x14ac:dyDescent="0.2">
      <c r="A127" t="s">
        <v>67</v>
      </c>
      <c r="B127" t="s">
        <v>107</v>
      </c>
      <c r="C127">
        <v>954</v>
      </c>
      <c r="D127">
        <v>1403</v>
      </c>
      <c r="E127">
        <v>1564</v>
      </c>
      <c r="F127">
        <v>1508</v>
      </c>
      <c r="G127">
        <v>1013</v>
      </c>
      <c r="H127">
        <v>6442</v>
      </c>
      <c r="I127">
        <v>7085</v>
      </c>
    </row>
    <row r="128" spans="1:9" x14ac:dyDescent="0.2">
      <c r="A128" t="s">
        <v>67</v>
      </c>
      <c r="B128" t="s">
        <v>239</v>
      </c>
      <c r="C128">
        <v>108</v>
      </c>
      <c r="D128">
        <v>131</v>
      </c>
      <c r="E128">
        <v>171</v>
      </c>
      <c r="F128">
        <v>177</v>
      </c>
      <c r="G128">
        <v>151</v>
      </c>
      <c r="H128">
        <v>738</v>
      </c>
      <c r="I128">
        <v>939</v>
      </c>
    </row>
    <row r="129" spans="1:9" x14ac:dyDescent="0.2">
      <c r="A129" t="s">
        <v>67</v>
      </c>
      <c r="B129" t="s">
        <v>109</v>
      </c>
      <c r="C129">
        <v>379</v>
      </c>
      <c r="D129">
        <v>629</v>
      </c>
      <c r="E129">
        <v>789</v>
      </c>
      <c r="F129">
        <v>755</v>
      </c>
      <c r="G129">
        <v>636</v>
      </c>
      <c r="H129">
        <v>3188</v>
      </c>
      <c r="I129">
        <v>3716</v>
      </c>
    </row>
    <row r="130" spans="1:9" x14ac:dyDescent="0.2">
      <c r="A130" t="s">
        <v>67</v>
      </c>
      <c r="B130" t="s">
        <v>110</v>
      </c>
      <c r="C130">
        <v>50</v>
      </c>
      <c r="D130">
        <v>59</v>
      </c>
      <c r="E130">
        <v>65</v>
      </c>
      <c r="F130">
        <v>77</v>
      </c>
      <c r="G130">
        <v>50</v>
      </c>
      <c r="H130">
        <v>301</v>
      </c>
      <c r="I130">
        <v>349</v>
      </c>
    </row>
    <row r="131" spans="1:9" x14ac:dyDescent="0.2">
      <c r="A131" t="s">
        <v>67</v>
      </c>
      <c r="B131" t="s">
        <v>111</v>
      </c>
      <c r="C131">
        <v>148</v>
      </c>
      <c r="D131">
        <v>219</v>
      </c>
      <c r="E131">
        <v>314</v>
      </c>
      <c r="F131">
        <v>345</v>
      </c>
      <c r="G131">
        <v>276</v>
      </c>
      <c r="H131">
        <v>1302</v>
      </c>
      <c r="I131">
        <v>1839</v>
      </c>
    </row>
    <row r="132" spans="1:9" x14ac:dyDescent="0.2">
      <c r="A132" t="s">
        <v>67</v>
      </c>
      <c r="B132" t="s">
        <v>112</v>
      </c>
      <c r="C132">
        <v>1730</v>
      </c>
      <c r="D132">
        <v>2997</v>
      </c>
      <c r="E132">
        <v>3686</v>
      </c>
      <c r="F132">
        <v>3333</v>
      </c>
      <c r="G132">
        <v>2536</v>
      </c>
      <c r="H132">
        <v>14282</v>
      </c>
      <c r="I132">
        <v>16936</v>
      </c>
    </row>
    <row r="133" spans="1:9" x14ac:dyDescent="0.2">
      <c r="A133" t="s">
        <v>67</v>
      </c>
      <c r="B133" t="s">
        <v>113</v>
      </c>
      <c r="C133">
        <v>2240</v>
      </c>
      <c r="D133">
        <v>2055</v>
      </c>
      <c r="E133">
        <v>1976</v>
      </c>
      <c r="F133">
        <v>1726</v>
      </c>
      <c r="G133">
        <v>1319</v>
      </c>
      <c r="H133">
        <v>9316</v>
      </c>
      <c r="I133">
        <v>10626</v>
      </c>
    </row>
    <row r="134" spans="1:9" x14ac:dyDescent="0.2">
      <c r="A134" t="s">
        <v>67</v>
      </c>
      <c r="B134" t="s">
        <v>114</v>
      </c>
      <c r="C134">
        <v>6253</v>
      </c>
      <c r="D134">
        <v>4558</v>
      </c>
      <c r="E134">
        <v>4409</v>
      </c>
      <c r="F134">
        <v>3396</v>
      </c>
      <c r="G134">
        <v>2274</v>
      </c>
      <c r="H134">
        <v>20890</v>
      </c>
      <c r="I134">
        <v>23035</v>
      </c>
    </row>
    <row r="135" spans="1:9" x14ac:dyDescent="0.2">
      <c r="A135" t="s">
        <v>67</v>
      </c>
      <c r="B135" t="s">
        <v>115</v>
      </c>
      <c r="C135">
        <v>1745</v>
      </c>
      <c r="D135">
        <v>1658</v>
      </c>
      <c r="E135">
        <v>1571</v>
      </c>
      <c r="F135">
        <v>1259</v>
      </c>
      <c r="G135">
        <v>889</v>
      </c>
      <c r="H135">
        <v>7122</v>
      </c>
      <c r="I135">
        <v>8200</v>
      </c>
    </row>
    <row r="136" spans="1:9" x14ac:dyDescent="0.2">
      <c r="A136" t="s">
        <v>67</v>
      </c>
      <c r="B136" t="s">
        <v>116</v>
      </c>
      <c r="C136">
        <v>6590</v>
      </c>
      <c r="D136">
        <v>8409</v>
      </c>
      <c r="E136">
        <v>8948</v>
      </c>
      <c r="F136">
        <v>6492</v>
      </c>
      <c r="G136">
        <v>3409</v>
      </c>
      <c r="H136">
        <v>33848</v>
      </c>
      <c r="I136">
        <v>36171</v>
      </c>
    </row>
    <row r="137" spans="1:9" x14ac:dyDescent="0.2">
      <c r="A137" t="s">
        <v>67</v>
      </c>
      <c r="B137" t="s">
        <v>117</v>
      </c>
      <c r="C137">
        <v>1282</v>
      </c>
      <c r="D137">
        <v>1773</v>
      </c>
      <c r="E137">
        <v>2014</v>
      </c>
      <c r="F137">
        <v>1871</v>
      </c>
      <c r="G137">
        <v>1529</v>
      </c>
      <c r="H137">
        <v>8469</v>
      </c>
      <c r="I137">
        <v>11089</v>
      </c>
    </row>
    <row r="138" spans="1:9" x14ac:dyDescent="0.2">
      <c r="A138" t="s">
        <v>67</v>
      </c>
      <c r="B138" t="s">
        <v>118</v>
      </c>
      <c r="C138">
        <v>8785</v>
      </c>
      <c r="D138">
        <v>11387</v>
      </c>
      <c r="E138">
        <v>12782</v>
      </c>
      <c r="F138">
        <v>11529</v>
      </c>
      <c r="G138">
        <v>8352</v>
      </c>
      <c r="H138">
        <v>52835</v>
      </c>
      <c r="I138">
        <v>63252</v>
      </c>
    </row>
    <row r="139" spans="1:9" x14ac:dyDescent="0.2">
      <c r="A139" t="s">
        <v>67</v>
      </c>
      <c r="B139" t="s">
        <v>119</v>
      </c>
      <c r="C139">
        <v>5204</v>
      </c>
      <c r="D139">
        <v>7070</v>
      </c>
      <c r="E139">
        <v>7707</v>
      </c>
      <c r="F139">
        <v>6241</v>
      </c>
      <c r="G139">
        <v>4506</v>
      </c>
      <c r="H139">
        <v>30728</v>
      </c>
      <c r="I139">
        <v>35662</v>
      </c>
    </row>
    <row r="140" spans="1:9" x14ac:dyDescent="0.2">
      <c r="A140" t="s">
        <v>67</v>
      </c>
      <c r="B140" t="s">
        <v>120</v>
      </c>
      <c r="C140">
        <v>560</v>
      </c>
      <c r="D140">
        <v>833</v>
      </c>
      <c r="E140">
        <v>1000</v>
      </c>
      <c r="F140">
        <v>904</v>
      </c>
      <c r="G140">
        <v>741</v>
      </c>
      <c r="H140">
        <v>4038</v>
      </c>
      <c r="I140">
        <v>4994</v>
      </c>
    </row>
    <row r="141" spans="1:9" x14ac:dyDescent="0.2">
      <c r="A141" t="s">
        <v>67</v>
      </c>
      <c r="B141" t="s">
        <v>121</v>
      </c>
      <c r="C141">
        <v>10102</v>
      </c>
      <c r="D141">
        <v>10994</v>
      </c>
      <c r="E141">
        <v>10853</v>
      </c>
      <c r="F141">
        <v>6521</v>
      </c>
      <c r="G141">
        <v>3107</v>
      </c>
      <c r="H141">
        <v>41577</v>
      </c>
      <c r="I141">
        <v>43325</v>
      </c>
    </row>
    <row r="142" spans="1:9" x14ac:dyDescent="0.2">
      <c r="A142" t="s">
        <v>67</v>
      </c>
      <c r="B142" t="s">
        <v>122</v>
      </c>
      <c r="C142">
        <v>1647</v>
      </c>
      <c r="D142">
        <v>3176</v>
      </c>
      <c r="E142">
        <v>3387</v>
      </c>
      <c r="F142">
        <v>1745</v>
      </c>
      <c r="G142">
        <v>479</v>
      </c>
      <c r="H142">
        <v>10434</v>
      </c>
      <c r="I142">
        <v>10576</v>
      </c>
    </row>
    <row r="143" spans="1:9" x14ac:dyDescent="0.2">
      <c r="A143" t="s">
        <v>67</v>
      </c>
      <c r="B143" t="s">
        <v>123</v>
      </c>
      <c r="C143">
        <v>11789</v>
      </c>
      <c r="D143">
        <v>18862</v>
      </c>
      <c r="E143">
        <v>23013</v>
      </c>
      <c r="F143">
        <v>15762</v>
      </c>
      <c r="G143">
        <v>6329</v>
      </c>
      <c r="H143">
        <v>75755</v>
      </c>
      <c r="I143">
        <v>77776</v>
      </c>
    </row>
    <row r="144" spans="1:9" x14ac:dyDescent="0.2">
      <c r="A144" t="s">
        <v>67</v>
      </c>
      <c r="B144" t="s">
        <v>124</v>
      </c>
      <c r="C144">
        <v>2076</v>
      </c>
      <c r="D144">
        <v>4457</v>
      </c>
      <c r="E144">
        <v>5050</v>
      </c>
      <c r="F144">
        <v>3000</v>
      </c>
      <c r="G144">
        <v>1154</v>
      </c>
      <c r="H144">
        <v>15737</v>
      </c>
      <c r="I144">
        <v>16264</v>
      </c>
    </row>
    <row r="145" spans="1:9" x14ac:dyDescent="0.2">
      <c r="A145" t="s">
        <v>67</v>
      </c>
      <c r="B145" t="s">
        <v>125</v>
      </c>
      <c r="C145">
        <v>1084</v>
      </c>
      <c r="D145">
        <v>2765</v>
      </c>
      <c r="E145">
        <v>2924</v>
      </c>
      <c r="F145">
        <v>1357</v>
      </c>
      <c r="G145">
        <v>424</v>
      </c>
      <c r="H145">
        <v>8554</v>
      </c>
      <c r="I145">
        <v>8747</v>
      </c>
    </row>
    <row r="146" spans="1:9" x14ac:dyDescent="0.2">
      <c r="A146" t="s">
        <v>67</v>
      </c>
      <c r="B146" t="s">
        <v>126</v>
      </c>
      <c r="C146">
        <v>2461</v>
      </c>
      <c r="D146">
        <v>1831</v>
      </c>
      <c r="E146">
        <v>1781</v>
      </c>
      <c r="F146">
        <v>1413</v>
      </c>
      <c r="G146">
        <v>1057</v>
      </c>
      <c r="H146">
        <v>8543</v>
      </c>
      <c r="I146">
        <v>9390</v>
      </c>
    </row>
    <row r="147" spans="1:9" x14ac:dyDescent="0.2">
      <c r="A147" t="s">
        <v>67</v>
      </c>
      <c r="B147" t="s">
        <v>127</v>
      </c>
      <c r="C147">
        <v>812</v>
      </c>
      <c r="D147">
        <v>701</v>
      </c>
      <c r="E147">
        <v>673</v>
      </c>
      <c r="F147">
        <v>555</v>
      </c>
      <c r="G147">
        <v>406</v>
      </c>
      <c r="H147">
        <v>3147</v>
      </c>
      <c r="I147">
        <v>3382</v>
      </c>
    </row>
    <row r="148" spans="1:9" x14ac:dyDescent="0.2">
      <c r="A148" t="s">
        <v>67</v>
      </c>
      <c r="B148" t="s">
        <v>128</v>
      </c>
      <c r="C148">
        <v>1587</v>
      </c>
      <c r="D148">
        <v>1568</v>
      </c>
      <c r="E148">
        <v>1501</v>
      </c>
      <c r="F148">
        <v>1080</v>
      </c>
      <c r="G148">
        <v>785</v>
      </c>
      <c r="H148">
        <v>6521</v>
      </c>
      <c r="I148">
        <v>7148</v>
      </c>
    </row>
    <row r="149" spans="1:9" x14ac:dyDescent="0.2">
      <c r="A149" t="s">
        <v>67</v>
      </c>
      <c r="B149" t="s">
        <v>129</v>
      </c>
      <c r="C149">
        <v>1486</v>
      </c>
      <c r="D149">
        <v>601</v>
      </c>
      <c r="E149">
        <v>349</v>
      </c>
      <c r="F149">
        <v>211</v>
      </c>
      <c r="G149">
        <v>138</v>
      </c>
      <c r="H149">
        <v>2785</v>
      </c>
      <c r="I149">
        <v>2931</v>
      </c>
    </row>
    <row r="150" spans="1:9" x14ac:dyDescent="0.2">
      <c r="A150" t="s">
        <v>67</v>
      </c>
      <c r="B150" t="s">
        <v>130</v>
      </c>
      <c r="C150">
        <v>1346</v>
      </c>
      <c r="D150">
        <v>1165</v>
      </c>
      <c r="E150">
        <v>884</v>
      </c>
      <c r="F150">
        <v>537</v>
      </c>
      <c r="G150">
        <v>255</v>
      </c>
      <c r="H150">
        <v>4187</v>
      </c>
      <c r="I150">
        <v>4375</v>
      </c>
    </row>
    <row r="151" spans="1:9" x14ac:dyDescent="0.2">
      <c r="A151" t="s">
        <v>67</v>
      </c>
      <c r="B151" t="s">
        <v>131</v>
      </c>
      <c r="C151">
        <v>4320</v>
      </c>
      <c r="D151">
        <v>4548</v>
      </c>
      <c r="E151">
        <v>4567</v>
      </c>
      <c r="F151">
        <v>3201</v>
      </c>
      <c r="G151">
        <v>1943</v>
      </c>
      <c r="H151">
        <v>18579</v>
      </c>
      <c r="I151">
        <v>20225</v>
      </c>
    </row>
    <row r="152" spans="1:9" x14ac:dyDescent="0.2">
      <c r="A152" t="s">
        <v>67</v>
      </c>
      <c r="B152" t="s">
        <v>132</v>
      </c>
      <c r="C152">
        <v>648</v>
      </c>
      <c r="D152">
        <v>887</v>
      </c>
      <c r="E152">
        <v>959</v>
      </c>
      <c r="F152">
        <v>805</v>
      </c>
      <c r="G152">
        <v>443</v>
      </c>
      <c r="H152">
        <v>3742</v>
      </c>
      <c r="I152">
        <v>3951</v>
      </c>
    </row>
    <row r="153" spans="1:9" x14ac:dyDescent="0.2">
      <c r="A153" t="s">
        <v>67</v>
      </c>
      <c r="B153" t="s">
        <v>133</v>
      </c>
      <c r="C153">
        <v>1270</v>
      </c>
      <c r="D153">
        <v>1559</v>
      </c>
      <c r="E153">
        <v>1804</v>
      </c>
      <c r="F153">
        <v>1658</v>
      </c>
      <c r="G153">
        <v>1394</v>
      </c>
      <c r="H153">
        <v>7685</v>
      </c>
      <c r="I153">
        <v>8383</v>
      </c>
    </row>
    <row r="154" spans="1:9" x14ac:dyDescent="0.2">
      <c r="A154" t="s">
        <v>67</v>
      </c>
      <c r="B154" t="s">
        <v>134</v>
      </c>
      <c r="C154">
        <v>3373</v>
      </c>
      <c r="D154">
        <v>4172</v>
      </c>
      <c r="E154">
        <v>5487</v>
      </c>
      <c r="F154">
        <v>5419</v>
      </c>
      <c r="G154">
        <v>4051</v>
      </c>
      <c r="H154">
        <v>22502</v>
      </c>
      <c r="I154">
        <v>27059</v>
      </c>
    </row>
    <row r="155" spans="1:9" x14ac:dyDescent="0.2">
      <c r="A155" t="s">
        <v>100</v>
      </c>
      <c r="B155" t="s">
        <v>100</v>
      </c>
      <c r="C155">
        <v>195117</v>
      </c>
      <c r="D155">
        <v>214941</v>
      </c>
      <c r="E155">
        <v>239816</v>
      </c>
      <c r="F155">
        <v>197944</v>
      </c>
      <c r="G155">
        <v>136995</v>
      </c>
      <c r="H155">
        <v>984813</v>
      </c>
      <c r="I155">
        <v>1131917</v>
      </c>
    </row>
    <row r="156" spans="1:9" x14ac:dyDescent="0.2">
      <c r="A156" t="s">
        <v>100</v>
      </c>
      <c r="B156" t="s">
        <v>101</v>
      </c>
      <c r="C156">
        <v>14081</v>
      </c>
      <c r="D156">
        <v>13852</v>
      </c>
      <c r="E156">
        <v>15170</v>
      </c>
      <c r="F156">
        <v>13825</v>
      </c>
      <c r="G156">
        <v>11345</v>
      </c>
      <c r="H156">
        <v>68273</v>
      </c>
      <c r="I156">
        <v>82247</v>
      </c>
    </row>
    <row r="157" spans="1:9" x14ac:dyDescent="0.2">
      <c r="A157" t="s">
        <v>100</v>
      </c>
      <c r="B157" t="s">
        <v>102</v>
      </c>
      <c r="C157">
        <v>12778</v>
      </c>
      <c r="D157">
        <v>12897</v>
      </c>
      <c r="E157">
        <v>12664</v>
      </c>
      <c r="F157">
        <v>10851</v>
      </c>
      <c r="G157">
        <v>8795</v>
      </c>
      <c r="H157">
        <v>57985</v>
      </c>
      <c r="I157">
        <v>69586</v>
      </c>
    </row>
    <row r="158" spans="1:9" x14ac:dyDescent="0.2">
      <c r="A158" t="s">
        <v>100</v>
      </c>
      <c r="B158" t="s">
        <v>103</v>
      </c>
      <c r="C158">
        <v>10494</v>
      </c>
      <c r="D158">
        <v>8612</v>
      </c>
      <c r="E158">
        <v>8585</v>
      </c>
      <c r="F158">
        <v>7812</v>
      </c>
      <c r="G158">
        <v>6752</v>
      </c>
      <c r="H158">
        <v>42255</v>
      </c>
      <c r="I158">
        <v>51801</v>
      </c>
    </row>
    <row r="159" spans="1:9" x14ac:dyDescent="0.2">
      <c r="A159" t="s">
        <v>100</v>
      </c>
      <c r="B159" t="s">
        <v>104</v>
      </c>
      <c r="C159">
        <v>1126</v>
      </c>
      <c r="D159">
        <v>1190</v>
      </c>
      <c r="E159">
        <v>1301</v>
      </c>
      <c r="F159">
        <v>1174</v>
      </c>
      <c r="G159">
        <v>1039</v>
      </c>
      <c r="H159">
        <v>5830</v>
      </c>
      <c r="I159">
        <v>6905</v>
      </c>
    </row>
    <row r="160" spans="1:9" x14ac:dyDescent="0.2">
      <c r="A160" t="s">
        <v>100</v>
      </c>
      <c r="B160" t="s">
        <v>105</v>
      </c>
      <c r="C160">
        <v>28614</v>
      </c>
      <c r="D160">
        <v>17911</v>
      </c>
      <c r="E160">
        <v>17482</v>
      </c>
      <c r="F160">
        <v>15160</v>
      </c>
      <c r="G160">
        <v>12049</v>
      </c>
      <c r="H160">
        <v>91216</v>
      </c>
      <c r="I160">
        <v>112315</v>
      </c>
    </row>
    <row r="161" spans="1:9" x14ac:dyDescent="0.2">
      <c r="A161" t="s">
        <v>100</v>
      </c>
      <c r="B161" t="s">
        <v>106</v>
      </c>
      <c r="C161">
        <v>6328</v>
      </c>
      <c r="D161">
        <v>2678</v>
      </c>
      <c r="E161">
        <v>2227</v>
      </c>
      <c r="F161">
        <v>1747</v>
      </c>
      <c r="G161">
        <v>1386</v>
      </c>
      <c r="H161">
        <v>14366</v>
      </c>
      <c r="I161">
        <v>15854</v>
      </c>
    </row>
    <row r="162" spans="1:9" x14ac:dyDescent="0.2">
      <c r="A162" t="s">
        <v>100</v>
      </c>
      <c r="B162" t="s">
        <v>107</v>
      </c>
      <c r="C162">
        <v>1832</v>
      </c>
      <c r="D162">
        <v>2915</v>
      </c>
      <c r="E162">
        <v>3752</v>
      </c>
      <c r="F162">
        <v>4000</v>
      </c>
      <c r="G162">
        <v>3100</v>
      </c>
      <c r="H162">
        <v>15599</v>
      </c>
      <c r="I162">
        <v>17978</v>
      </c>
    </row>
    <row r="163" spans="1:9" x14ac:dyDescent="0.2">
      <c r="A163" t="s">
        <v>100</v>
      </c>
      <c r="B163" t="s">
        <v>239</v>
      </c>
      <c r="C163">
        <v>928</v>
      </c>
      <c r="D163">
        <v>1371</v>
      </c>
      <c r="E163">
        <v>1808</v>
      </c>
      <c r="F163">
        <v>2027</v>
      </c>
      <c r="G163">
        <v>1696</v>
      </c>
      <c r="H163">
        <v>7830</v>
      </c>
      <c r="I163">
        <v>10088</v>
      </c>
    </row>
    <row r="164" spans="1:9" x14ac:dyDescent="0.2">
      <c r="A164" t="s">
        <v>100</v>
      </c>
      <c r="B164" t="s">
        <v>109</v>
      </c>
      <c r="C164">
        <v>792</v>
      </c>
      <c r="D164">
        <v>1553</v>
      </c>
      <c r="E164">
        <v>2323</v>
      </c>
      <c r="F164">
        <v>2572</v>
      </c>
      <c r="G164">
        <v>2253</v>
      </c>
      <c r="H164">
        <v>9493</v>
      </c>
      <c r="I164">
        <v>11869</v>
      </c>
    </row>
    <row r="165" spans="1:9" x14ac:dyDescent="0.2">
      <c r="A165" t="s">
        <v>100</v>
      </c>
      <c r="B165" t="s">
        <v>110</v>
      </c>
      <c r="C165">
        <v>56</v>
      </c>
      <c r="D165">
        <v>67</v>
      </c>
      <c r="E165">
        <v>79</v>
      </c>
      <c r="F165">
        <v>86</v>
      </c>
      <c r="G165">
        <v>74</v>
      </c>
      <c r="H165">
        <v>362</v>
      </c>
      <c r="I165">
        <v>430</v>
      </c>
    </row>
    <row r="166" spans="1:9" x14ac:dyDescent="0.2">
      <c r="A166" t="s">
        <v>100</v>
      </c>
      <c r="B166" t="s">
        <v>111</v>
      </c>
      <c r="C166">
        <v>385</v>
      </c>
      <c r="D166">
        <v>690</v>
      </c>
      <c r="E166">
        <v>938</v>
      </c>
      <c r="F166">
        <v>965</v>
      </c>
      <c r="G166">
        <v>873</v>
      </c>
      <c r="H166">
        <v>3851</v>
      </c>
      <c r="I166">
        <v>5500</v>
      </c>
    </row>
    <row r="167" spans="1:9" x14ac:dyDescent="0.2">
      <c r="A167" t="s">
        <v>100</v>
      </c>
      <c r="B167" t="s">
        <v>112</v>
      </c>
      <c r="C167">
        <v>3730</v>
      </c>
      <c r="D167">
        <v>7080</v>
      </c>
      <c r="E167">
        <v>9189</v>
      </c>
      <c r="F167">
        <v>8312</v>
      </c>
      <c r="G167">
        <v>6078</v>
      </c>
      <c r="H167">
        <v>34389</v>
      </c>
      <c r="I167">
        <v>40172</v>
      </c>
    </row>
    <row r="168" spans="1:9" x14ac:dyDescent="0.2">
      <c r="A168" t="s">
        <v>100</v>
      </c>
      <c r="B168" t="s">
        <v>113</v>
      </c>
      <c r="C168">
        <v>6688</v>
      </c>
      <c r="D168">
        <v>6353</v>
      </c>
      <c r="E168">
        <v>6313</v>
      </c>
      <c r="F168">
        <v>5497</v>
      </c>
      <c r="G168">
        <v>4264</v>
      </c>
      <c r="H168">
        <v>29115</v>
      </c>
      <c r="I168">
        <v>33617</v>
      </c>
    </row>
    <row r="169" spans="1:9" x14ac:dyDescent="0.2">
      <c r="A169" t="s">
        <v>100</v>
      </c>
      <c r="B169" t="s">
        <v>114</v>
      </c>
      <c r="C169">
        <v>10668</v>
      </c>
      <c r="D169">
        <v>8793</v>
      </c>
      <c r="E169">
        <v>9236</v>
      </c>
      <c r="F169">
        <v>7573</v>
      </c>
      <c r="G169">
        <v>5276</v>
      </c>
      <c r="H169">
        <v>41546</v>
      </c>
      <c r="I169">
        <v>46467</v>
      </c>
    </row>
    <row r="170" spans="1:9" x14ac:dyDescent="0.2">
      <c r="A170" t="s">
        <v>100</v>
      </c>
      <c r="B170" t="s">
        <v>115</v>
      </c>
      <c r="C170">
        <v>3494</v>
      </c>
      <c r="D170">
        <v>3535</v>
      </c>
      <c r="E170">
        <v>3656</v>
      </c>
      <c r="F170">
        <v>2960</v>
      </c>
      <c r="G170">
        <v>2123</v>
      </c>
      <c r="H170">
        <v>15768</v>
      </c>
      <c r="I170">
        <v>18139</v>
      </c>
    </row>
    <row r="171" spans="1:9" x14ac:dyDescent="0.2">
      <c r="A171" t="s">
        <v>100</v>
      </c>
      <c r="B171" t="s">
        <v>116</v>
      </c>
      <c r="C171">
        <v>11493</v>
      </c>
      <c r="D171">
        <v>15299</v>
      </c>
      <c r="E171">
        <v>16631</v>
      </c>
      <c r="F171">
        <v>12328</v>
      </c>
      <c r="G171">
        <v>6549</v>
      </c>
      <c r="H171">
        <v>62300</v>
      </c>
      <c r="I171">
        <v>66499</v>
      </c>
    </row>
    <row r="172" spans="1:9" x14ac:dyDescent="0.2">
      <c r="A172" t="s">
        <v>100</v>
      </c>
      <c r="B172" t="s">
        <v>117</v>
      </c>
      <c r="C172">
        <v>1791</v>
      </c>
      <c r="D172">
        <v>2747</v>
      </c>
      <c r="E172">
        <v>3265</v>
      </c>
      <c r="F172">
        <v>3072</v>
      </c>
      <c r="G172">
        <v>2628</v>
      </c>
      <c r="H172">
        <v>13503</v>
      </c>
      <c r="I172">
        <v>18254</v>
      </c>
    </row>
    <row r="173" spans="1:9" x14ac:dyDescent="0.2">
      <c r="A173" t="s">
        <v>100</v>
      </c>
      <c r="B173" t="s">
        <v>118</v>
      </c>
      <c r="C173">
        <v>10356</v>
      </c>
      <c r="D173">
        <v>14523</v>
      </c>
      <c r="E173">
        <v>17391</v>
      </c>
      <c r="F173">
        <v>16667</v>
      </c>
      <c r="G173">
        <v>12888</v>
      </c>
      <c r="H173">
        <v>71825</v>
      </c>
      <c r="I173">
        <v>89243</v>
      </c>
    </row>
    <row r="174" spans="1:9" x14ac:dyDescent="0.2">
      <c r="A174" t="s">
        <v>100</v>
      </c>
      <c r="B174" t="s">
        <v>119</v>
      </c>
      <c r="C174">
        <v>6252</v>
      </c>
      <c r="D174">
        <v>9016</v>
      </c>
      <c r="E174">
        <v>10241</v>
      </c>
      <c r="F174">
        <v>8832</v>
      </c>
      <c r="G174">
        <v>6607</v>
      </c>
      <c r="H174">
        <v>40948</v>
      </c>
      <c r="I174">
        <v>48396</v>
      </c>
    </row>
    <row r="175" spans="1:9" x14ac:dyDescent="0.2">
      <c r="A175" t="s">
        <v>100</v>
      </c>
      <c r="B175" t="s">
        <v>120</v>
      </c>
      <c r="C175">
        <v>893</v>
      </c>
      <c r="D175">
        <v>1322</v>
      </c>
      <c r="E175">
        <v>1589</v>
      </c>
      <c r="F175">
        <v>1596</v>
      </c>
      <c r="G175">
        <v>1372</v>
      </c>
      <c r="H175">
        <v>6772</v>
      </c>
      <c r="I175">
        <v>8601</v>
      </c>
    </row>
    <row r="176" spans="1:9" x14ac:dyDescent="0.2">
      <c r="A176" t="s">
        <v>100</v>
      </c>
      <c r="B176" t="s">
        <v>121</v>
      </c>
      <c r="C176">
        <v>12477</v>
      </c>
      <c r="D176">
        <v>13886</v>
      </c>
      <c r="E176">
        <v>14530</v>
      </c>
      <c r="F176">
        <v>9531</v>
      </c>
      <c r="G176">
        <v>4980</v>
      </c>
      <c r="H176">
        <v>55404</v>
      </c>
      <c r="I176">
        <v>58460</v>
      </c>
    </row>
    <row r="177" spans="1:9" x14ac:dyDescent="0.2">
      <c r="A177" t="s">
        <v>100</v>
      </c>
      <c r="B177" t="s">
        <v>122</v>
      </c>
      <c r="C177">
        <v>2319</v>
      </c>
      <c r="D177">
        <v>4441</v>
      </c>
      <c r="E177">
        <v>4914</v>
      </c>
      <c r="F177">
        <v>2839</v>
      </c>
      <c r="G177">
        <v>829</v>
      </c>
      <c r="H177">
        <v>15342</v>
      </c>
      <c r="I177">
        <v>15585</v>
      </c>
    </row>
    <row r="178" spans="1:9" x14ac:dyDescent="0.2">
      <c r="A178" t="s">
        <v>100</v>
      </c>
      <c r="B178" t="s">
        <v>123</v>
      </c>
      <c r="C178">
        <v>15708</v>
      </c>
      <c r="D178">
        <v>25408</v>
      </c>
      <c r="E178">
        <v>32142</v>
      </c>
      <c r="F178">
        <v>22947</v>
      </c>
      <c r="G178">
        <v>9839</v>
      </c>
      <c r="H178">
        <v>106044</v>
      </c>
      <c r="I178">
        <v>109366</v>
      </c>
    </row>
    <row r="179" spans="1:9" x14ac:dyDescent="0.2">
      <c r="A179" t="s">
        <v>100</v>
      </c>
      <c r="B179" t="s">
        <v>124</v>
      </c>
      <c r="C179">
        <v>2863</v>
      </c>
      <c r="D179">
        <v>6867</v>
      </c>
      <c r="E179">
        <v>8924</v>
      </c>
      <c r="F179">
        <v>6159</v>
      </c>
      <c r="G179">
        <v>2669</v>
      </c>
      <c r="H179">
        <v>27482</v>
      </c>
      <c r="I179">
        <v>28871</v>
      </c>
    </row>
    <row r="180" spans="1:9" x14ac:dyDescent="0.2">
      <c r="A180" t="s">
        <v>100</v>
      </c>
      <c r="B180" t="s">
        <v>125</v>
      </c>
      <c r="C180">
        <v>1605</v>
      </c>
      <c r="D180">
        <v>4413</v>
      </c>
      <c r="E180">
        <v>5203</v>
      </c>
      <c r="F180">
        <v>2571</v>
      </c>
      <c r="G180">
        <v>874</v>
      </c>
      <c r="H180">
        <v>14666</v>
      </c>
      <c r="I180">
        <v>15086</v>
      </c>
    </row>
    <row r="181" spans="1:9" x14ac:dyDescent="0.2">
      <c r="A181" t="s">
        <v>100</v>
      </c>
      <c r="B181" t="s">
        <v>126</v>
      </c>
      <c r="C181">
        <v>3577</v>
      </c>
      <c r="D181">
        <v>2582</v>
      </c>
      <c r="E181">
        <v>2463</v>
      </c>
      <c r="F181">
        <v>2024</v>
      </c>
      <c r="G181">
        <v>1460</v>
      </c>
      <c r="H181">
        <v>12106</v>
      </c>
      <c r="I181">
        <v>13249</v>
      </c>
    </row>
    <row r="182" spans="1:9" x14ac:dyDescent="0.2">
      <c r="A182" t="s">
        <v>100</v>
      </c>
      <c r="B182" t="s">
        <v>127</v>
      </c>
      <c r="C182">
        <v>1410</v>
      </c>
      <c r="D182">
        <v>1104</v>
      </c>
      <c r="E182">
        <v>1077</v>
      </c>
      <c r="F182">
        <v>890</v>
      </c>
      <c r="G182">
        <v>611</v>
      </c>
      <c r="H182">
        <v>5092</v>
      </c>
      <c r="I182">
        <v>5479</v>
      </c>
    </row>
    <row r="183" spans="1:9" x14ac:dyDescent="0.2">
      <c r="A183" t="s">
        <v>100</v>
      </c>
      <c r="B183" t="s">
        <v>128</v>
      </c>
      <c r="C183">
        <v>2467</v>
      </c>
      <c r="D183">
        <v>2357</v>
      </c>
      <c r="E183">
        <v>2157</v>
      </c>
      <c r="F183">
        <v>1537</v>
      </c>
      <c r="G183">
        <v>1104</v>
      </c>
      <c r="H183">
        <v>9622</v>
      </c>
      <c r="I183">
        <v>10517</v>
      </c>
    </row>
    <row r="184" spans="1:9" x14ac:dyDescent="0.2">
      <c r="A184" t="s">
        <v>100</v>
      </c>
      <c r="B184" t="s">
        <v>129</v>
      </c>
      <c r="C184">
        <v>2496</v>
      </c>
      <c r="D184">
        <v>1080</v>
      </c>
      <c r="E184">
        <v>587</v>
      </c>
      <c r="F184">
        <v>342</v>
      </c>
      <c r="G184">
        <v>241</v>
      </c>
      <c r="H184">
        <v>4746</v>
      </c>
      <c r="I184">
        <v>5005</v>
      </c>
    </row>
    <row r="185" spans="1:9" x14ac:dyDescent="0.2">
      <c r="A185" t="s">
        <v>100</v>
      </c>
      <c r="B185" t="s">
        <v>130</v>
      </c>
      <c r="C185">
        <v>2228</v>
      </c>
      <c r="D185">
        <v>1928</v>
      </c>
      <c r="E185">
        <v>1581</v>
      </c>
      <c r="F185">
        <v>999</v>
      </c>
      <c r="G185">
        <v>497</v>
      </c>
      <c r="H185">
        <v>7233</v>
      </c>
      <c r="I185">
        <v>7586</v>
      </c>
    </row>
    <row r="186" spans="1:9" x14ac:dyDescent="0.2">
      <c r="A186" t="s">
        <v>100</v>
      </c>
      <c r="B186" t="s">
        <v>131</v>
      </c>
      <c r="C186">
        <v>6049</v>
      </c>
      <c r="D186">
        <v>6375</v>
      </c>
      <c r="E186">
        <v>6618</v>
      </c>
      <c r="F186">
        <v>4857</v>
      </c>
      <c r="G186">
        <v>3004</v>
      </c>
      <c r="H186">
        <v>26903</v>
      </c>
      <c r="I186">
        <v>29519</v>
      </c>
    </row>
    <row r="187" spans="1:9" x14ac:dyDescent="0.2">
      <c r="A187" t="s">
        <v>100</v>
      </c>
      <c r="B187" t="s">
        <v>132</v>
      </c>
      <c r="C187">
        <v>1514</v>
      </c>
      <c r="D187">
        <v>2089</v>
      </c>
      <c r="E187">
        <v>2376</v>
      </c>
      <c r="F187">
        <v>2079</v>
      </c>
      <c r="G187">
        <v>1187</v>
      </c>
      <c r="H187">
        <v>9245</v>
      </c>
      <c r="I187">
        <v>9859</v>
      </c>
    </row>
    <row r="188" spans="1:9" x14ac:dyDescent="0.2">
      <c r="A188" t="s">
        <v>100</v>
      </c>
      <c r="B188" t="s">
        <v>133</v>
      </c>
      <c r="C188">
        <v>2143</v>
      </c>
      <c r="D188">
        <v>2939</v>
      </c>
      <c r="E188">
        <v>3828</v>
      </c>
      <c r="F188">
        <v>4185</v>
      </c>
      <c r="G188">
        <v>4588</v>
      </c>
      <c r="H188">
        <v>17683</v>
      </c>
      <c r="I188">
        <v>20257</v>
      </c>
    </row>
    <row r="189" spans="1:9" x14ac:dyDescent="0.2">
      <c r="A189" t="s">
        <v>100</v>
      </c>
      <c r="B189" t="s">
        <v>134</v>
      </c>
      <c r="C189">
        <v>5482</v>
      </c>
      <c r="D189">
        <v>7068</v>
      </c>
      <c r="E189">
        <v>9576</v>
      </c>
      <c r="F189">
        <v>9928</v>
      </c>
      <c r="G189">
        <v>7965</v>
      </c>
      <c r="H189">
        <v>40019</v>
      </c>
      <c r="I189">
        <v>49117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36"/>
  <sheetViews>
    <sheetView workbookViewId="0">
      <selection activeCell="C6" sqref="C6"/>
    </sheetView>
  </sheetViews>
  <sheetFormatPr defaultColWidth="9.140625" defaultRowHeight="12.75" x14ac:dyDescent="0.2"/>
  <cols>
    <col min="1" max="1" width="9.140625" style="1"/>
    <col min="2" max="2" width="27.5703125" style="1" customWidth="1"/>
    <col min="3" max="16384" width="9.140625" style="1"/>
  </cols>
  <sheetData>
    <row r="1" spans="1:4" x14ac:dyDescent="0.2">
      <c r="B1" s="1" t="s">
        <v>52</v>
      </c>
      <c r="C1" s="1">
        <v>1</v>
      </c>
      <c r="D1" s="1" t="s">
        <v>39</v>
      </c>
    </row>
    <row r="2" spans="1:4" x14ac:dyDescent="0.2">
      <c r="A2" s="1">
        <v>1</v>
      </c>
      <c r="B2" s="198" t="s">
        <v>0</v>
      </c>
      <c r="C2" s="1">
        <v>2</v>
      </c>
      <c r="D2" s="1" t="s">
        <v>40</v>
      </c>
    </row>
    <row r="3" spans="1:4" x14ac:dyDescent="0.2">
      <c r="A3" s="1">
        <v>2</v>
      </c>
      <c r="B3" s="198" t="s">
        <v>1</v>
      </c>
      <c r="C3" s="1">
        <v>3</v>
      </c>
      <c r="D3" s="1" t="s">
        <v>48</v>
      </c>
    </row>
    <row r="4" spans="1:4" x14ac:dyDescent="0.2">
      <c r="A4" s="1">
        <v>3</v>
      </c>
      <c r="B4" s="198" t="s">
        <v>2</v>
      </c>
    </row>
    <row r="5" spans="1:4" x14ac:dyDescent="0.2">
      <c r="A5" s="1">
        <v>4</v>
      </c>
      <c r="B5" s="198" t="s">
        <v>3</v>
      </c>
    </row>
    <row r="6" spans="1:4" x14ac:dyDescent="0.2">
      <c r="A6" s="1">
        <v>5</v>
      </c>
      <c r="B6" s="198" t="s">
        <v>4</v>
      </c>
    </row>
    <row r="7" spans="1:4" x14ac:dyDescent="0.2">
      <c r="A7" s="1">
        <v>6</v>
      </c>
      <c r="B7" s="198" t="s">
        <v>5</v>
      </c>
    </row>
    <row r="8" spans="1:4" x14ac:dyDescent="0.2">
      <c r="A8" s="1">
        <v>7</v>
      </c>
      <c r="B8" s="198" t="s">
        <v>6</v>
      </c>
    </row>
    <row r="9" spans="1:4" x14ac:dyDescent="0.2">
      <c r="A9" s="1">
        <v>8</v>
      </c>
      <c r="B9" s="198" t="s">
        <v>168</v>
      </c>
    </row>
    <row r="10" spans="1:4" x14ac:dyDescent="0.2">
      <c r="A10" s="1">
        <v>9</v>
      </c>
      <c r="B10" s="198" t="s">
        <v>8</v>
      </c>
    </row>
    <row r="11" spans="1:4" x14ac:dyDescent="0.2">
      <c r="A11" s="1">
        <v>10</v>
      </c>
      <c r="B11" s="198" t="s">
        <v>9</v>
      </c>
    </row>
    <row r="12" spans="1:4" x14ac:dyDescent="0.2">
      <c r="A12" s="1">
        <v>11</v>
      </c>
      <c r="B12" s="198" t="s">
        <v>10</v>
      </c>
    </row>
    <row r="13" spans="1:4" x14ac:dyDescent="0.2">
      <c r="A13" s="1">
        <v>12</v>
      </c>
      <c r="B13" s="198" t="s">
        <v>11</v>
      </c>
    </row>
    <row r="14" spans="1:4" x14ac:dyDescent="0.2">
      <c r="A14" s="1">
        <v>13</v>
      </c>
      <c r="B14" s="198" t="s">
        <v>12</v>
      </c>
    </row>
    <row r="15" spans="1:4" x14ac:dyDescent="0.2">
      <c r="A15" s="1">
        <v>14</v>
      </c>
      <c r="B15" s="198" t="s">
        <v>13</v>
      </c>
    </row>
    <row r="16" spans="1:4" x14ac:dyDescent="0.2">
      <c r="A16" s="1">
        <v>15</v>
      </c>
      <c r="B16" s="198" t="s">
        <v>14</v>
      </c>
    </row>
    <row r="17" spans="1:2" x14ac:dyDescent="0.2">
      <c r="A17" s="1">
        <v>16</v>
      </c>
      <c r="B17" s="198" t="s">
        <v>15</v>
      </c>
    </row>
    <row r="18" spans="1:2" x14ac:dyDescent="0.2">
      <c r="A18" s="1">
        <v>17</v>
      </c>
      <c r="B18" s="198" t="s">
        <v>16</v>
      </c>
    </row>
    <row r="19" spans="1:2" x14ac:dyDescent="0.2">
      <c r="A19" s="1">
        <v>18</v>
      </c>
      <c r="B19" s="198" t="s">
        <v>17</v>
      </c>
    </row>
    <row r="20" spans="1:2" x14ac:dyDescent="0.2">
      <c r="A20" s="1">
        <v>19</v>
      </c>
      <c r="B20" s="198" t="s">
        <v>18</v>
      </c>
    </row>
    <row r="21" spans="1:2" x14ac:dyDescent="0.2">
      <c r="A21" s="1">
        <v>20</v>
      </c>
      <c r="B21" s="198" t="s">
        <v>19</v>
      </c>
    </row>
    <row r="22" spans="1:2" x14ac:dyDescent="0.2">
      <c r="A22" s="1">
        <v>21</v>
      </c>
      <c r="B22" s="198" t="s">
        <v>20</v>
      </c>
    </row>
    <row r="23" spans="1:2" x14ac:dyDescent="0.2">
      <c r="A23" s="1">
        <v>22</v>
      </c>
      <c r="B23" s="198" t="s">
        <v>21</v>
      </c>
    </row>
    <row r="24" spans="1:2" x14ac:dyDescent="0.2">
      <c r="A24" s="1">
        <v>23</v>
      </c>
      <c r="B24" s="198" t="s">
        <v>22</v>
      </c>
    </row>
    <row r="25" spans="1:2" x14ac:dyDescent="0.2">
      <c r="A25" s="1">
        <v>24</v>
      </c>
      <c r="B25" s="198" t="s">
        <v>51</v>
      </c>
    </row>
    <row r="26" spans="1:2" x14ac:dyDescent="0.2">
      <c r="A26" s="1">
        <v>25</v>
      </c>
      <c r="B26" s="198" t="s">
        <v>23</v>
      </c>
    </row>
    <row r="27" spans="1:2" x14ac:dyDescent="0.2">
      <c r="A27" s="1">
        <v>26</v>
      </c>
      <c r="B27" s="198" t="s">
        <v>24</v>
      </c>
    </row>
    <row r="28" spans="1:2" x14ac:dyDescent="0.2">
      <c r="A28" s="1">
        <v>27</v>
      </c>
      <c r="B28" s="198" t="s">
        <v>25</v>
      </c>
    </row>
    <row r="29" spans="1:2" x14ac:dyDescent="0.2">
      <c r="A29" s="1">
        <v>28</v>
      </c>
      <c r="B29" s="198" t="s">
        <v>26</v>
      </c>
    </row>
    <row r="30" spans="1:2" x14ac:dyDescent="0.2">
      <c r="A30" s="1">
        <v>29</v>
      </c>
      <c r="B30" s="198" t="s">
        <v>27</v>
      </c>
    </row>
    <row r="31" spans="1:2" x14ac:dyDescent="0.2">
      <c r="A31" s="1">
        <v>30</v>
      </c>
      <c r="B31" s="198" t="s">
        <v>28</v>
      </c>
    </row>
    <row r="32" spans="1:2" x14ac:dyDescent="0.2">
      <c r="A32" s="1">
        <v>31</v>
      </c>
      <c r="B32" s="198" t="s">
        <v>29</v>
      </c>
    </row>
    <row r="33" spans="1:2" x14ac:dyDescent="0.2">
      <c r="A33" s="1">
        <v>32</v>
      </c>
      <c r="B33" s="198" t="s">
        <v>30</v>
      </c>
    </row>
    <row r="34" spans="1:2" x14ac:dyDescent="0.2">
      <c r="A34" s="1">
        <v>33</v>
      </c>
      <c r="B34" s="198" t="s">
        <v>31</v>
      </c>
    </row>
    <row r="35" spans="1:2" x14ac:dyDescent="0.2">
      <c r="A35" s="1">
        <v>34</v>
      </c>
      <c r="B35" s="198" t="s">
        <v>32</v>
      </c>
    </row>
    <row r="36" spans="1:2" x14ac:dyDescent="0.2">
      <c r="A36" s="1">
        <v>35</v>
      </c>
      <c r="B36" s="198" t="s">
        <v>46</v>
      </c>
    </row>
  </sheetData>
  <phoneticPr fontId="3" type="noConversion"/>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Z189"/>
  <sheetViews>
    <sheetView workbookViewId="0">
      <selection activeCell="P13" sqref="P13:Q14"/>
    </sheetView>
  </sheetViews>
  <sheetFormatPr defaultRowHeight="12.75" x14ac:dyDescent="0.2"/>
  <sheetData>
    <row r="1" spans="1:26" ht="15.75" x14ac:dyDescent="0.25">
      <c r="A1" s="123" t="s">
        <v>259</v>
      </c>
      <c r="G1" s="206" t="s">
        <v>264</v>
      </c>
    </row>
    <row r="3" spans="1:26" x14ac:dyDescent="0.2">
      <c r="B3" s="67"/>
      <c r="C3" s="86" t="s">
        <v>39</v>
      </c>
      <c r="D3" s="86"/>
      <c r="E3" s="86"/>
      <c r="F3" s="86"/>
      <c r="G3" s="86"/>
      <c r="H3" s="86"/>
      <c r="I3" s="86"/>
      <c r="J3" s="67"/>
      <c r="K3" s="86" t="s">
        <v>40</v>
      </c>
      <c r="L3" s="86"/>
      <c r="M3" s="86"/>
      <c r="N3" s="86"/>
      <c r="O3" s="86"/>
      <c r="P3" s="86"/>
      <c r="Q3" s="86"/>
      <c r="R3" s="67"/>
      <c r="S3" s="86" t="s">
        <v>54</v>
      </c>
      <c r="T3" s="86"/>
      <c r="U3" s="86"/>
      <c r="V3" s="86"/>
      <c r="W3" s="86"/>
      <c r="X3" s="86"/>
      <c r="Y3" s="86"/>
      <c r="Z3" s="67"/>
    </row>
    <row r="4" spans="1:26" x14ac:dyDescent="0.2">
      <c r="B4" s="67"/>
      <c r="C4" s="86" t="s">
        <v>69</v>
      </c>
      <c r="D4" s="86" t="s">
        <v>33</v>
      </c>
      <c r="E4" s="86" t="s">
        <v>34</v>
      </c>
      <c r="F4" s="86" t="s">
        <v>35</v>
      </c>
      <c r="G4" s="86" t="s">
        <v>36</v>
      </c>
      <c r="H4" s="86" t="s">
        <v>37</v>
      </c>
      <c r="I4" s="86" t="s">
        <v>47</v>
      </c>
      <c r="J4" s="67" t="s">
        <v>58</v>
      </c>
      <c r="K4" s="86" t="s">
        <v>69</v>
      </c>
      <c r="L4" s="86" t="s">
        <v>33</v>
      </c>
      <c r="M4" s="86" t="s">
        <v>34</v>
      </c>
      <c r="N4" s="86" t="s">
        <v>35</v>
      </c>
      <c r="O4" s="86" t="s">
        <v>36</v>
      </c>
      <c r="P4" s="86" t="s">
        <v>37</v>
      </c>
      <c r="Q4" s="86" t="s">
        <v>47</v>
      </c>
      <c r="R4" s="68" t="s">
        <v>58</v>
      </c>
      <c r="S4" s="86" t="s">
        <v>69</v>
      </c>
      <c r="T4" s="86" t="s">
        <v>33</v>
      </c>
      <c r="U4" s="86" t="s">
        <v>34</v>
      </c>
      <c r="V4" s="86" t="s">
        <v>35</v>
      </c>
      <c r="W4" s="86" t="s">
        <v>36</v>
      </c>
      <c r="X4" s="86" t="s">
        <v>37</v>
      </c>
      <c r="Y4" s="86" t="s">
        <v>47</v>
      </c>
      <c r="Z4" s="68" t="s">
        <v>58</v>
      </c>
    </row>
    <row r="5" spans="1:26" x14ac:dyDescent="0.2">
      <c r="B5" s="67" t="s">
        <v>0</v>
      </c>
      <c r="C5" s="87">
        <f>IF(OR(C47=1,C47=2),"x",ROUND(C47/$J47*100,1))</f>
        <v>9</v>
      </c>
      <c r="D5" s="87">
        <f t="shared" ref="D5:I5" si="0">IF(OR(D47=1,D47=2),"x",ROUND(D47/$J47*100,1))</f>
        <v>18</v>
      </c>
      <c r="E5" s="87">
        <f t="shared" si="0"/>
        <v>23</v>
      </c>
      <c r="F5" s="87">
        <f t="shared" si="0"/>
        <v>21.3</v>
      </c>
      <c r="G5" s="87">
        <f t="shared" si="0"/>
        <v>16.899999999999999</v>
      </c>
      <c r="H5" s="87">
        <f t="shared" si="0"/>
        <v>10</v>
      </c>
      <c r="I5" s="87">
        <f t="shared" si="0"/>
        <v>98.2</v>
      </c>
      <c r="J5" s="66">
        <f>ROUND(J47,0)</f>
        <v>21723</v>
      </c>
      <c r="K5" s="87">
        <f>IF(OR(K47=1,K47=2),"x",ROUND(K47/$R47*100,1))</f>
        <v>9.8000000000000007</v>
      </c>
      <c r="L5" s="87">
        <f t="shared" ref="L5:Q5" si="1">IF(OR(L47=1,L47=2),"x",ROUND(L47/$R47*100,1))</f>
        <v>18.600000000000001</v>
      </c>
      <c r="M5" s="87">
        <f t="shared" si="1"/>
        <v>23.7</v>
      </c>
      <c r="N5" s="87">
        <f t="shared" si="1"/>
        <v>21.5</v>
      </c>
      <c r="O5" s="87">
        <f t="shared" si="1"/>
        <v>15.9</v>
      </c>
      <c r="P5" s="87">
        <f t="shared" si="1"/>
        <v>9.1999999999999993</v>
      </c>
      <c r="Q5" s="87">
        <f t="shared" si="1"/>
        <v>98.7</v>
      </c>
      <c r="R5" s="66">
        <f>ROUND(R47,0)</f>
        <v>33437</v>
      </c>
      <c r="S5" s="87">
        <f>IF(OR(S47=1,S47=2),"x",ROUND(S47/$Z47*100,1))</f>
        <v>9.5</v>
      </c>
      <c r="T5" s="87">
        <f t="shared" ref="T5:Y5" si="2">IF(OR(T47=1,T47=2),"x",ROUND(T47/$Z47*100,1))</f>
        <v>18.399999999999999</v>
      </c>
      <c r="U5" s="87">
        <f t="shared" si="2"/>
        <v>23.4</v>
      </c>
      <c r="V5" s="87">
        <f t="shared" si="2"/>
        <v>21.4</v>
      </c>
      <c r="W5" s="87">
        <f t="shared" si="2"/>
        <v>16.3</v>
      </c>
      <c r="X5" s="87">
        <f t="shared" si="2"/>
        <v>9.5</v>
      </c>
      <c r="Y5" s="87">
        <f t="shared" si="2"/>
        <v>98.5</v>
      </c>
      <c r="Z5" s="66">
        <f>ROUND(Z47,0)</f>
        <v>55160</v>
      </c>
    </row>
    <row r="6" spans="1:26" x14ac:dyDescent="0.2">
      <c r="B6" s="67" t="s">
        <v>1</v>
      </c>
      <c r="C6" s="87">
        <f t="shared" ref="C6:I21" si="3">IF(OR(C48=1,C48=2),"x",ROUND(C48/$J48*100,1))</f>
        <v>11</v>
      </c>
      <c r="D6" s="87">
        <f t="shared" si="3"/>
        <v>23.3</v>
      </c>
      <c r="E6" s="87">
        <f t="shared" si="3"/>
        <v>25.7</v>
      </c>
      <c r="F6" s="87">
        <f t="shared" si="3"/>
        <v>19.100000000000001</v>
      </c>
      <c r="G6" s="87">
        <f t="shared" si="3"/>
        <v>12.7</v>
      </c>
      <c r="H6" s="87">
        <f t="shared" si="3"/>
        <v>7</v>
      </c>
      <c r="I6" s="87">
        <f t="shared" si="3"/>
        <v>98.7</v>
      </c>
      <c r="J6" s="66">
        <f t="shared" ref="J6:J39" si="4">ROUND(J48,0)</f>
        <v>23686</v>
      </c>
      <c r="K6" s="87">
        <f t="shared" ref="K6:Q21" si="5">IF(OR(K48=1,K48=2),"x",ROUND(K48/$R48*100,1))</f>
        <v>8.3000000000000007</v>
      </c>
      <c r="L6" s="87">
        <f t="shared" si="5"/>
        <v>23.4</v>
      </c>
      <c r="M6" s="87">
        <f t="shared" si="5"/>
        <v>27.2</v>
      </c>
      <c r="N6" s="87">
        <f t="shared" si="5"/>
        <v>20.100000000000001</v>
      </c>
      <c r="O6" s="87">
        <f t="shared" si="5"/>
        <v>13</v>
      </c>
      <c r="P6" s="87">
        <f t="shared" si="5"/>
        <v>6.8</v>
      </c>
      <c r="Q6" s="87">
        <f t="shared" si="5"/>
        <v>98.9</v>
      </c>
      <c r="R6" s="66">
        <f t="shared" ref="R6:R39" si="6">ROUND(R48,0)</f>
        <v>22940</v>
      </c>
      <c r="S6" s="87">
        <f t="shared" ref="S6:Y21" si="7">IF(OR(S48=1,S48=2),"x",ROUND(S48/$Z48*100,1))</f>
        <v>9.6999999999999993</v>
      </c>
      <c r="T6" s="87">
        <f t="shared" si="7"/>
        <v>23.3</v>
      </c>
      <c r="U6" s="87">
        <f t="shared" si="7"/>
        <v>26.4</v>
      </c>
      <c r="V6" s="87">
        <f t="shared" si="7"/>
        <v>19.600000000000001</v>
      </c>
      <c r="W6" s="87">
        <f t="shared" si="7"/>
        <v>12.9</v>
      </c>
      <c r="X6" s="87">
        <f t="shared" si="7"/>
        <v>6.9</v>
      </c>
      <c r="Y6" s="87">
        <f t="shared" si="7"/>
        <v>98.8</v>
      </c>
      <c r="Z6" s="66">
        <f t="shared" ref="Z6:Z39" si="8">ROUND(Z48,0)</f>
        <v>46626</v>
      </c>
    </row>
    <row r="7" spans="1:26" x14ac:dyDescent="0.2">
      <c r="B7" s="67" t="s">
        <v>2</v>
      </c>
      <c r="C7" s="87">
        <f t="shared" si="3"/>
        <v>10</v>
      </c>
      <c r="D7" s="87">
        <f t="shared" si="3"/>
        <v>20.399999999999999</v>
      </c>
      <c r="E7" s="87">
        <f t="shared" si="3"/>
        <v>21.9</v>
      </c>
      <c r="F7" s="87">
        <f t="shared" si="3"/>
        <v>19.2</v>
      </c>
      <c r="G7" s="87">
        <f t="shared" si="3"/>
        <v>15.2</v>
      </c>
      <c r="H7" s="87">
        <f t="shared" si="3"/>
        <v>10.8</v>
      </c>
      <c r="I7" s="87">
        <f t="shared" si="3"/>
        <v>97.6</v>
      </c>
      <c r="J7" s="66">
        <f t="shared" si="4"/>
        <v>25119</v>
      </c>
      <c r="K7" s="87">
        <f t="shared" si="5"/>
        <v>11.2</v>
      </c>
      <c r="L7" s="87">
        <f t="shared" si="5"/>
        <v>23.7</v>
      </c>
      <c r="M7" s="87">
        <f t="shared" si="5"/>
        <v>22.9</v>
      </c>
      <c r="N7" s="87">
        <f t="shared" si="5"/>
        <v>17.8</v>
      </c>
      <c r="O7" s="87">
        <f t="shared" si="5"/>
        <v>13.9</v>
      </c>
      <c r="P7" s="87">
        <f t="shared" si="5"/>
        <v>8.6999999999999993</v>
      </c>
      <c r="Q7" s="87">
        <f t="shared" si="5"/>
        <v>98.3</v>
      </c>
      <c r="R7" s="66">
        <f t="shared" si="6"/>
        <v>6815</v>
      </c>
      <c r="S7" s="87">
        <f t="shared" si="7"/>
        <v>10.3</v>
      </c>
      <c r="T7" s="87">
        <f t="shared" si="7"/>
        <v>21.1</v>
      </c>
      <c r="U7" s="87">
        <f t="shared" si="7"/>
        <v>22.1</v>
      </c>
      <c r="V7" s="87">
        <f t="shared" si="7"/>
        <v>18.899999999999999</v>
      </c>
      <c r="W7" s="87">
        <f t="shared" si="7"/>
        <v>14.9</v>
      </c>
      <c r="X7" s="87">
        <f t="shared" si="7"/>
        <v>10.4</v>
      </c>
      <c r="Y7" s="87">
        <f t="shared" si="7"/>
        <v>97.8</v>
      </c>
      <c r="Z7" s="66">
        <f t="shared" si="8"/>
        <v>31934</v>
      </c>
    </row>
    <row r="8" spans="1:26" x14ac:dyDescent="0.2">
      <c r="B8" s="67" t="s">
        <v>3</v>
      </c>
      <c r="C8" s="87">
        <f t="shared" si="3"/>
        <v>6.8</v>
      </c>
      <c r="D8" s="87">
        <f t="shared" si="3"/>
        <v>18.399999999999999</v>
      </c>
      <c r="E8" s="87">
        <f t="shared" si="3"/>
        <v>24.2</v>
      </c>
      <c r="F8" s="87">
        <f t="shared" si="3"/>
        <v>24.4</v>
      </c>
      <c r="G8" s="87">
        <f t="shared" si="3"/>
        <v>16.5</v>
      </c>
      <c r="H8" s="87">
        <f t="shared" si="3"/>
        <v>7.8</v>
      </c>
      <c r="I8" s="87">
        <f t="shared" si="3"/>
        <v>98.1</v>
      </c>
      <c r="J8" s="66">
        <f t="shared" si="4"/>
        <v>2796</v>
      </c>
      <c r="K8" s="87">
        <f t="shared" si="5"/>
        <v>5.6</v>
      </c>
      <c r="L8" s="87">
        <f t="shared" si="5"/>
        <v>17.899999999999999</v>
      </c>
      <c r="M8" s="87">
        <f t="shared" si="5"/>
        <v>24.8</v>
      </c>
      <c r="N8" s="87">
        <f t="shared" si="5"/>
        <v>26.7</v>
      </c>
      <c r="O8" s="87">
        <f t="shared" si="5"/>
        <v>15.1</v>
      </c>
      <c r="P8" s="87">
        <f t="shared" si="5"/>
        <v>7.7</v>
      </c>
      <c r="Q8" s="87">
        <f t="shared" si="5"/>
        <v>97.9</v>
      </c>
      <c r="R8" s="66">
        <f t="shared" si="6"/>
        <v>1165</v>
      </c>
      <c r="S8" s="87">
        <f t="shared" si="7"/>
        <v>6.4</v>
      </c>
      <c r="T8" s="87">
        <f t="shared" si="7"/>
        <v>18.3</v>
      </c>
      <c r="U8" s="87">
        <f t="shared" si="7"/>
        <v>24.4</v>
      </c>
      <c r="V8" s="87">
        <f t="shared" si="7"/>
        <v>25.1</v>
      </c>
      <c r="W8" s="87">
        <f t="shared" si="7"/>
        <v>16.100000000000001</v>
      </c>
      <c r="X8" s="87">
        <f t="shared" si="7"/>
        <v>7.8</v>
      </c>
      <c r="Y8" s="87">
        <f t="shared" si="7"/>
        <v>98</v>
      </c>
      <c r="Z8" s="66">
        <f t="shared" si="8"/>
        <v>3961</v>
      </c>
    </row>
    <row r="9" spans="1:26" x14ac:dyDescent="0.2">
      <c r="B9" s="67" t="s">
        <v>4</v>
      </c>
      <c r="C9" s="87">
        <f t="shared" si="3"/>
        <v>20.100000000000001</v>
      </c>
      <c r="D9" s="87">
        <f t="shared" si="3"/>
        <v>23.4</v>
      </c>
      <c r="E9" s="87">
        <f t="shared" si="3"/>
        <v>21.1</v>
      </c>
      <c r="F9" s="87">
        <f t="shared" si="3"/>
        <v>16</v>
      </c>
      <c r="G9" s="87">
        <f t="shared" si="3"/>
        <v>11.3</v>
      </c>
      <c r="H9" s="87">
        <f t="shared" si="3"/>
        <v>6.8</v>
      </c>
      <c r="I9" s="87">
        <f t="shared" si="3"/>
        <v>98.6</v>
      </c>
      <c r="J9" s="66">
        <f t="shared" si="4"/>
        <v>50210</v>
      </c>
      <c r="K9" s="87">
        <f t="shared" si="5"/>
        <v>15.8</v>
      </c>
      <c r="L9" s="87">
        <f t="shared" si="5"/>
        <v>25.4</v>
      </c>
      <c r="M9" s="87">
        <f t="shared" si="5"/>
        <v>23.2</v>
      </c>
      <c r="N9" s="87">
        <f t="shared" si="5"/>
        <v>16.8</v>
      </c>
      <c r="O9" s="87">
        <f t="shared" si="5"/>
        <v>11.4</v>
      </c>
      <c r="P9" s="87">
        <f t="shared" si="5"/>
        <v>6.3</v>
      </c>
      <c r="Q9" s="87">
        <f t="shared" si="5"/>
        <v>98.9</v>
      </c>
      <c r="R9" s="66">
        <f t="shared" si="6"/>
        <v>31844</v>
      </c>
      <c r="S9" s="87">
        <f t="shared" si="7"/>
        <v>18.399999999999999</v>
      </c>
      <c r="T9" s="87">
        <f t="shared" si="7"/>
        <v>24.2</v>
      </c>
      <c r="U9" s="87">
        <f t="shared" si="7"/>
        <v>21.9</v>
      </c>
      <c r="V9" s="87">
        <f t="shared" si="7"/>
        <v>16.3</v>
      </c>
      <c r="W9" s="87">
        <f t="shared" si="7"/>
        <v>11.3</v>
      </c>
      <c r="X9" s="87">
        <f t="shared" si="7"/>
        <v>6.6</v>
      </c>
      <c r="Y9" s="87">
        <f t="shared" si="7"/>
        <v>98.7</v>
      </c>
      <c r="Z9" s="66">
        <f t="shared" si="8"/>
        <v>82054</v>
      </c>
    </row>
    <row r="10" spans="1:26" x14ac:dyDescent="0.2">
      <c r="B10" s="67" t="s">
        <v>5</v>
      </c>
      <c r="C10" s="87">
        <f t="shared" si="3"/>
        <v>29.2</v>
      </c>
      <c r="D10" s="87">
        <f t="shared" si="3"/>
        <v>27.8</v>
      </c>
      <c r="E10" s="87">
        <f t="shared" si="3"/>
        <v>20.6</v>
      </c>
      <c r="F10" s="87">
        <f t="shared" si="3"/>
        <v>11.2</v>
      </c>
      <c r="G10" s="87">
        <f t="shared" si="3"/>
        <v>6.8</v>
      </c>
      <c r="H10" s="87">
        <f t="shared" si="3"/>
        <v>3.4</v>
      </c>
      <c r="I10" s="87">
        <f t="shared" si="3"/>
        <v>99.1</v>
      </c>
      <c r="J10" s="66">
        <f t="shared" si="4"/>
        <v>9875</v>
      </c>
      <c r="K10" s="87">
        <f t="shared" si="5"/>
        <v>27.8</v>
      </c>
      <c r="L10" s="87">
        <f t="shared" si="5"/>
        <v>31</v>
      </c>
      <c r="M10" s="87">
        <f t="shared" si="5"/>
        <v>19.899999999999999</v>
      </c>
      <c r="N10" s="87">
        <f t="shared" si="5"/>
        <v>11</v>
      </c>
      <c r="O10" s="87">
        <f t="shared" si="5"/>
        <v>6.2</v>
      </c>
      <c r="P10" s="87">
        <f t="shared" si="5"/>
        <v>3.2</v>
      </c>
      <c r="Q10" s="87">
        <f t="shared" si="5"/>
        <v>99.2</v>
      </c>
      <c r="R10" s="66">
        <f t="shared" si="6"/>
        <v>3816</v>
      </c>
      <c r="S10" s="87">
        <f t="shared" si="7"/>
        <v>28.8</v>
      </c>
      <c r="T10" s="87">
        <f t="shared" si="7"/>
        <v>28.7</v>
      </c>
      <c r="U10" s="87">
        <f t="shared" si="7"/>
        <v>20.399999999999999</v>
      </c>
      <c r="V10" s="87">
        <f t="shared" si="7"/>
        <v>11.2</v>
      </c>
      <c r="W10" s="87">
        <f t="shared" si="7"/>
        <v>6.7</v>
      </c>
      <c r="X10" s="87">
        <f t="shared" si="7"/>
        <v>3.4</v>
      </c>
      <c r="Y10" s="87">
        <f t="shared" si="7"/>
        <v>99.1</v>
      </c>
      <c r="Z10" s="66">
        <f t="shared" si="8"/>
        <v>13691</v>
      </c>
    </row>
    <row r="11" spans="1:26" x14ac:dyDescent="0.2">
      <c r="B11" s="67" t="s">
        <v>6</v>
      </c>
      <c r="C11" s="87">
        <f t="shared" si="3"/>
        <v>3.3</v>
      </c>
      <c r="D11" s="87">
        <f t="shared" si="3"/>
        <v>10.5</v>
      </c>
      <c r="E11" s="87">
        <f t="shared" si="3"/>
        <v>22.9</v>
      </c>
      <c r="F11" s="87">
        <f t="shared" si="3"/>
        <v>27.4</v>
      </c>
      <c r="G11" s="87">
        <f t="shared" si="3"/>
        <v>23.7</v>
      </c>
      <c r="H11" s="87">
        <f t="shared" si="3"/>
        <v>10.199999999999999</v>
      </c>
      <c r="I11" s="87">
        <f t="shared" si="3"/>
        <v>98.1</v>
      </c>
      <c r="J11" s="66">
        <f t="shared" si="4"/>
        <v>6589</v>
      </c>
      <c r="K11" s="87">
        <f t="shared" si="5"/>
        <v>5.7</v>
      </c>
      <c r="L11" s="87">
        <f t="shared" si="5"/>
        <v>14.5</v>
      </c>
      <c r="M11" s="87">
        <f t="shared" si="5"/>
        <v>28.1</v>
      </c>
      <c r="N11" s="87">
        <f t="shared" si="5"/>
        <v>26.3</v>
      </c>
      <c r="O11" s="87">
        <f t="shared" si="5"/>
        <v>18.100000000000001</v>
      </c>
      <c r="P11" s="87">
        <f t="shared" si="5"/>
        <v>6.7</v>
      </c>
      <c r="Q11" s="87">
        <f t="shared" si="5"/>
        <v>99.3</v>
      </c>
      <c r="R11" s="66">
        <f t="shared" si="6"/>
        <v>4733</v>
      </c>
      <c r="S11" s="87">
        <f t="shared" si="7"/>
        <v>4.3</v>
      </c>
      <c r="T11" s="87">
        <f t="shared" si="7"/>
        <v>12.1</v>
      </c>
      <c r="U11" s="87">
        <f t="shared" si="7"/>
        <v>25.1</v>
      </c>
      <c r="V11" s="87">
        <f t="shared" si="7"/>
        <v>26.9</v>
      </c>
      <c r="W11" s="87">
        <f t="shared" si="7"/>
        <v>21.3</v>
      </c>
      <c r="X11" s="87">
        <f t="shared" si="7"/>
        <v>8.6999999999999993</v>
      </c>
      <c r="Y11" s="87">
        <f t="shared" si="7"/>
        <v>98.6</v>
      </c>
      <c r="Z11" s="66">
        <f t="shared" si="8"/>
        <v>11322</v>
      </c>
    </row>
    <row r="12" spans="1:26" x14ac:dyDescent="0.2">
      <c r="B12" s="67" t="s">
        <v>168</v>
      </c>
      <c r="C12" s="87">
        <f t="shared" si="3"/>
        <v>2.9</v>
      </c>
      <c r="D12" s="87">
        <f t="shared" si="3"/>
        <v>12.8</v>
      </c>
      <c r="E12" s="87">
        <f t="shared" si="3"/>
        <v>20.8</v>
      </c>
      <c r="F12" s="87">
        <f t="shared" si="3"/>
        <v>23.9</v>
      </c>
      <c r="G12" s="87">
        <f t="shared" si="3"/>
        <v>22.1</v>
      </c>
      <c r="H12" s="87">
        <f t="shared" si="3"/>
        <v>14.1</v>
      </c>
      <c r="I12" s="87">
        <f t="shared" si="3"/>
        <v>96.6</v>
      </c>
      <c r="J12" s="66">
        <f t="shared" si="4"/>
        <v>4417</v>
      </c>
      <c r="K12" s="87">
        <f t="shared" si="5"/>
        <v>4.3</v>
      </c>
      <c r="L12" s="87">
        <f t="shared" si="5"/>
        <v>17</v>
      </c>
      <c r="M12" s="87">
        <f t="shared" si="5"/>
        <v>22.5</v>
      </c>
      <c r="N12" s="87">
        <f t="shared" si="5"/>
        <v>19.7</v>
      </c>
      <c r="O12" s="87">
        <f t="shared" si="5"/>
        <v>22.5</v>
      </c>
      <c r="P12" s="87">
        <f t="shared" si="5"/>
        <v>11.8</v>
      </c>
      <c r="Q12" s="87">
        <f t="shared" si="5"/>
        <v>97.8</v>
      </c>
      <c r="R12" s="66">
        <f t="shared" si="6"/>
        <v>417</v>
      </c>
      <c r="S12" s="87">
        <f t="shared" si="7"/>
        <v>3.1</v>
      </c>
      <c r="T12" s="87">
        <f t="shared" si="7"/>
        <v>13.2</v>
      </c>
      <c r="U12" s="87">
        <f t="shared" si="7"/>
        <v>20.9</v>
      </c>
      <c r="V12" s="87">
        <f t="shared" si="7"/>
        <v>23.5</v>
      </c>
      <c r="W12" s="87">
        <f t="shared" si="7"/>
        <v>22.1</v>
      </c>
      <c r="X12" s="87">
        <f t="shared" si="7"/>
        <v>13.9</v>
      </c>
      <c r="Y12" s="87">
        <f t="shared" si="7"/>
        <v>96.7</v>
      </c>
      <c r="Z12" s="66">
        <f t="shared" si="8"/>
        <v>4834</v>
      </c>
    </row>
    <row r="13" spans="1:26" x14ac:dyDescent="0.2">
      <c r="B13" s="67" t="s">
        <v>8</v>
      </c>
      <c r="C13" s="87">
        <f t="shared" si="3"/>
        <v>0.9</v>
      </c>
      <c r="D13" s="87">
        <f t="shared" si="3"/>
        <v>6.3</v>
      </c>
      <c r="E13" s="87">
        <f t="shared" si="3"/>
        <v>17.899999999999999</v>
      </c>
      <c r="F13" s="87">
        <f t="shared" si="3"/>
        <v>27.2</v>
      </c>
      <c r="G13" s="87">
        <f t="shared" si="3"/>
        <v>28.8</v>
      </c>
      <c r="H13" s="87">
        <f t="shared" si="3"/>
        <v>15.6</v>
      </c>
      <c r="I13" s="87">
        <f t="shared" si="3"/>
        <v>96.7</v>
      </c>
      <c r="J13" s="66">
        <f t="shared" si="4"/>
        <v>4250</v>
      </c>
      <c r="K13" s="87">
        <f t="shared" si="5"/>
        <v>2.1</v>
      </c>
      <c r="L13" s="87">
        <f t="shared" si="5"/>
        <v>10.8</v>
      </c>
      <c r="M13" s="87">
        <f t="shared" si="5"/>
        <v>24.1</v>
      </c>
      <c r="N13" s="87">
        <f t="shared" si="5"/>
        <v>27.4</v>
      </c>
      <c r="O13" s="87">
        <f t="shared" si="5"/>
        <v>23.1</v>
      </c>
      <c r="P13" s="87">
        <f t="shared" si="5"/>
        <v>11</v>
      </c>
      <c r="Q13" s="87">
        <f t="shared" si="5"/>
        <v>98.6</v>
      </c>
      <c r="R13" s="66">
        <f t="shared" si="6"/>
        <v>2326</v>
      </c>
      <c r="S13" s="87">
        <f t="shared" si="7"/>
        <v>1.3</v>
      </c>
      <c r="T13" s="87">
        <f t="shared" si="7"/>
        <v>7.9</v>
      </c>
      <c r="U13" s="87">
        <f t="shared" si="7"/>
        <v>20.100000000000001</v>
      </c>
      <c r="V13" s="87">
        <f t="shared" si="7"/>
        <v>27.3</v>
      </c>
      <c r="W13" s="87">
        <f t="shared" si="7"/>
        <v>26.8</v>
      </c>
      <c r="X13" s="87">
        <f t="shared" si="7"/>
        <v>14</v>
      </c>
      <c r="Y13" s="87">
        <f t="shared" si="7"/>
        <v>97.4</v>
      </c>
      <c r="Z13" s="66">
        <f t="shared" si="8"/>
        <v>6576</v>
      </c>
    </row>
    <row r="14" spans="1:26" x14ac:dyDescent="0.2">
      <c r="B14" s="67" t="s">
        <v>9</v>
      </c>
      <c r="C14" s="154" t="s">
        <v>78</v>
      </c>
      <c r="D14" s="87" t="str">
        <f t="shared" si="3"/>
        <v>x</v>
      </c>
      <c r="E14" s="154" t="s">
        <v>78</v>
      </c>
      <c r="F14" s="87">
        <f t="shared" si="3"/>
        <v>34.799999999999997</v>
      </c>
      <c r="G14" s="87">
        <f t="shared" si="3"/>
        <v>21.7</v>
      </c>
      <c r="H14" s="87">
        <f t="shared" si="3"/>
        <v>23.9</v>
      </c>
      <c r="I14" s="87">
        <f t="shared" si="3"/>
        <v>100</v>
      </c>
      <c r="J14" s="66">
        <f t="shared" si="4"/>
        <v>46</v>
      </c>
      <c r="K14" s="87">
        <f t="shared" si="5"/>
        <v>2</v>
      </c>
      <c r="L14" s="87">
        <f t="shared" si="5"/>
        <v>15.9</v>
      </c>
      <c r="M14" s="87">
        <f t="shared" si="5"/>
        <v>31.3</v>
      </c>
      <c r="N14" s="87">
        <f t="shared" si="5"/>
        <v>30.1</v>
      </c>
      <c r="O14" s="87">
        <f t="shared" si="5"/>
        <v>12.2</v>
      </c>
      <c r="P14" s="87">
        <f t="shared" si="5"/>
        <v>6.1</v>
      </c>
      <c r="Q14" s="87">
        <f t="shared" si="5"/>
        <v>97.6</v>
      </c>
      <c r="R14" s="66">
        <f t="shared" si="6"/>
        <v>246</v>
      </c>
      <c r="S14" s="87">
        <f t="shared" si="7"/>
        <v>2.1</v>
      </c>
      <c r="T14" s="87">
        <f t="shared" si="7"/>
        <v>13.7</v>
      </c>
      <c r="U14" s="87">
        <f t="shared" si="7"/>
        <v>28.8</v>
      </c>
      <c r="V14" s="87">
        <f t="shared" si="7"/>
        <v>30.8</v>
      </c>
      <c r="W14" s="87">
        <f t="shared" si="7"/>
        <v>13.7</v>
      </c>
      <c r="X14" s="87">
        <f t="shared" si="7"/>
        <v>8.9</v>
      </c>
      <c r="Y14" s="87">
        <f t="shared" si="7"/>
        <v>97.9</v>
      </c>
      <c r="Z14" s="66">
        <f t="shared" si="8"/>
        <v>292</v>
      </c>
    </row>
    <row r="15" spans="1:26" x14ac:dyDescent="0.2">
      <c r="B15" s="67" t="s">
        <v>10</v>
      </c>
      <c r="C15" s="87">
        <f t="shared" si="3"/>
        <v>0.8</v>
      </c>
      <c r="D15" s="87">
        <f t="shared" si="3"/>
        <v>10.9</v>
      </c>
      <c r="E15" s="87">
        <f t="shared" si="3"/>
        <v>24.5</v>
      </c>
      <c r="F15" s="87">
        <f t="shared" si="3"/>
        <v>25.5</v>
      </c>
      <c r="G15" s="87">
        <f t="shared" si="3"/>
        <v>20.7</v>
      </c>
      <c r="H15" s="87">
        <f t="shared" si="3"/>
        <v>13.4</v>
      </c>
      <c r="I15" s="87">
        <f t="shared" si="3"/>
        <v>95.8</v>
      </c>
      <c r="J15" s="66">
        <f t="shared" si="4"/>
        <v>1701</v>
      </c>
      <c r="K15" s="87">
        <f t="shared" si="5"/>
        <v>1.8</v>
      </c>
      <c r="L15" s="87">
        <f t="shared" si="5"/>
        <v>11.8</v>
      </c>
      <c r="M15" s="87">
        <f t="shared" si="5"/>
        <v>19.100000000000001</v>
      </c>
      <c r="N15" s="87">
        <f t="shared" si="5"/>
        <v>26.8</v>
      </c>
      <c r="O15" s="87">
        <f t="shared" si="5"/>
        <v>21.8</v>
      </c>
      <c r="P15" s="87">
        <f t="shared" si="5"/>
        <v>14.1</v>
      </c>
      <c r="Q15" s="87">
        <f t="shared" si="5"/>
        <v>95.4</v>
      </c>
      <c r="R15" s="66">
        <f t="shared" si="6"/>
        <v>829</v>
      </c>
      <c r="S15" s="87">
        <f t="shared" si="7"/>
        <v>1.1000000000000001</v>
      </c>
      <c r="T15" s="87">
        <f t="shared" si="7"/>
        <v>11.2</v>
      </c>
      <c r="U15" s="87">
        <f t="shared" si="7"/>
        <v>22.7</v>
      </c>
      <c r="V15" s="87">
        <f t="shared" si="7"/>
        <v>25.9</v>
      </c>
      <c r="W15" s="87">
        <f t="shared" si="7"/>
        <v>21.1</v>
      </c>
      <c r="X15" s="87">
        <f t="shared" si="7"/>
        <v>13.6</v>
      </c>
      <c r="Y15" s="87">
        <f t="shared" si="7"/>
        <v>95.7</v>
      </c>
      <c r="Z15" s="66">
        <f t="shared" si="8"/>
        <v>2530</v>
      </c>
    </row>
    <row r="16" spans="1:26" x14ac:dyDescent="0.2">
      <c r="B16" s="67" t="s">
        <v>11</v>
      </c>
      <c r="C16" s="87">
        <f t="shared" si="3"/>
        <v>3.2</v>
      </c>
      <c r="D16" s="87">
        <f t="shared" si="3"/>
        <v>10.5</v>
      </c>
      <c r="E16" s="87">
        <f t="shared" si="3"/>
        <v>26.9</v>
      </c>
      <c r="F16" s="87">
        <f t="shared" si="3"/>
        <v>30.9</v>
      </c>
      <c r="G16" s="87">
        <f t="shared" si="3"/>
        <v>19.8</v>
      </c>
      <c r="H16" s="87">
        <f t="shared" si="3"/>
        <v>7.3</v>
      </c>
      <c r="I16" s="87">
        <f t="shared" si="3"/>
        <v>98.6</v>
      </c>
      <c r="J16" s="66">
        <f t="shared" si="4"/>
        <v>14489</v>
      </c>
      <c r="K16" s="87">
        <f t="shared" si="5"/>
        <v>3.9</v>
      </c>
      <c r="L16" s="87">
        <f t="shared" si="5"/>
        <v>12.1</v>
      </c>
      <c r="M16" s="87">
        <f t="shared" si="5"/>
        <v>28</v>
      </c>
      <c r="N16" s="87">
        <f t="shared" si="5"/>
        <v>29.1</v>
      </c>
      <c r="O16" s="87">
        <f t="shared" si="5"/>
        <v>18.399999999999999</v>
      </c>
      <c r="P16" s="87">
        <f t="shared" si="5"/>
        <v>7.1</v>
      </c>
      <c r="Q16" s="87">
        <f t="shared" si="5"/>
        <v>98.7</v>
      </c>
      <c r="R16" s="66">
        <f t="shared" si="6"/>
        <v>9785</v>
      </c>
      <c r="S16" s="87">
        <f t="shared" si="7"/>
        <v>3.5</v>
      </c>
      <c r="T16" s="87">
        <f t="shared" si="7"/>
        <v>11.1</v>
      </c>
      <c r="U16" s="87">
        <f t="shared" si="7"/>
        <v>27.4</v>
      </c>
      <c r="V16" s="87">
        <f t="shared" si="7"/>
        <v>30.2</v>
      </c>
      <c r="W16" s="87">
        <f t="shared" si="7"/>
        <v>19.3</v>
      </c>
      <c r="X16" s="87">
        <f t="shared" si="7"/>
        <v>7.2</v>
      </c>
      <c r="Y16" s="87">
        <f t="shared" si="7"/>
        <v>98.6</v>
      </c>
      <c r="Z16" s="66">
        <f t="shared" si="8"/>
        <v>24274</v>
      </c>
    </row>
    <row r="17" spans="2:26" x14ac:dyDescent="0.2">
      <c r="B17" s="67" t="s">
        <v>12</v>
      </c>
      <c r="C17" s="87">
        <f t="shared" si="3"/>
        <v>7.7</v>
      </c>
      <c r="D17" s="87">
        <f t="shared" si="3"/>
        <v>22.2</v>
      </c>
      <c r="E17" s="87">
        <f t="shared" si="3"/>
        <v>29.5</v>
      </c>
      <c r="F17" s="87">
        <f t="shared" si="3"/>
        <v>22.2</v>
      </c>
      <c r="G17" s="87">
        <f t="shared" si="3"/>
        <v>12.2</v>
      </c>
      <c r="H17" s="87">
        <f t="shared" si="3"/>
        <v>5.0999999999999996</v>
      </c>
      <c r="I17" s="87">
        <f t="shared" si="3"/>
        <v>98.9</v>
      </c>
      <c r="J17" s="66">
        <f t="shared" si="4"/>
        <v>17705</v>
      </c>
      <c r="K17" s="87">
        <f t="shared" si="5"/>
        <v>10</v>
      </c>
      <c r="L17" s="87">
        <f t="shared" si="5"/>
        <v>25.4</v>
      </c>
      <c r="M17" s="87">
        <f t="shared" si="5"/>
        <v>28.8</v>
      </c>
      <c r="N17" s="87">
        <f t="shared" si="5"/>
        <v>20.2</v>
      </c>
      <c r="O17" s="87">
        <f t="shared" si="5"/>
        <v>10.3</v>
      </c>
      <c r="P17" s="87">
        <f t="shared" si="5"/>
        <v>4.2</v>
      </c>
      <c r="Q17" s="87">
        <f t="shared" si="5"/>
        <v>98.9</v>
      </c>
      <c r="R17" s="66">
        <f t="shared" si="6"/>
        <v>8525</v>
      </c>
      <c r="S17" s="87">
        <f t="shared" si="7"/>
        <v>8.5</v>
      </c>
      <c r="T17" s="87">
        <f t="shared" si="7"/>
        <v>23.2</v>
      </c>
      <c r="U17" s="87">
        <f t="shared" si="7"/>
        <v>29.2</v>
      </c>
      <c r="V17" s="87">
        <f t="shared" si="7"/>
        <v>21.6</v>
      </c>
      <c r="W17" s="87">
        <f t="shared" si="7"/>
        <v>11.6</v>
      </c>
      <c r="X17" s="87">
        <f t="shared" si="7"/>
        <v>4.8</v>
      </c>
      <c r="Y17" s="87">
        <f t="shared" si="7"/>
        <v>98.9</v>
      </c>
      <c r="Z17" s="66">
        <f t="shared" si="8"/>
        <v>26230</v>
      </c>
    </row>
    <row r="18" spans="2:26" x14ac:dyDescent="0.2">
      <c r="B18" s="67" t="s">
        <v>13</v>
      </c>
      <c r="C18" s="87">
        <f t="shared" si="3"/>
        <v>5.5</v>
      </c>
      <c r="D18" s="87">
        <f t="shared" si="3"/>
        <v>17.600000000000001</v>
      </c>
      <c r="E18" s="87">
        <f t="shared" si="3"/>
        <v>28.9</v>
      </c>
      <c r="F18" s="87">
        <f t="shared" si="3"/>
        <v>26.5</v>
      </c>
      <c r="G18" s="87">
        <f t="shared" si="3"/>
        <v>15.9</v>
      </c>
      <c r="H18" s="87">
        <f t="shared" si="3"/>
        <v>4.9000000000000004</v>
      </c>
      <c r="I18" s="87">
        <f t="shared" si="3"/>
        <v>99.3</v>
      </c>
      <c r="J18" s="66">
        <f t="shared" si="4"/>
        <v>16706</v>
      </c>
      <c r="K18" s="87">
        <f t="shared" si="5"/>
        <v>9.4</v>
      </c>
      <c r="L18" s="87">
        <f t="shared" si="5"/>
        <v>23.9</v>
      </c>
      <c r="M18" s="87">
        <f t="shared" si="5"/>
        <v>29.9</v>
      </c>
      <c r="N18" s="87">
        <f t="shared" si="5"/>
        <v>22.3</v>
      </c>
      <c r="O18" s="87">
        <f t="shared" si="5"/>
        <v>11</v>
      </c>
      <c r="P18" s="87">
        <f t="shared" si="5"/>
        <v>3</v>
      </c>
      <c r="Q18" s="87">
        <f t="shared" si="5"/>
        <v>99.6</v>
      </c>
      <c r="R18" s="66">
        <f t="shared" si="6"/>
        <v>17148</v>
      </c>
      <c r="S18" s="87">
        <f t="shared" si="7"/>
        <v>7.5</v>
      </c>
      <c r="T18" s="87">
        <f t="shared" si="7"/>
        <v>20.8</v>
      </c>
      <c r="U18" s="87">
        <f t="shared" si="7"/>
        <v>29.4</v>
      </c>
      <c r="V18" s="87">
        <f t="shared" si="7"/>
        <v>24.4</v>
      </c>
      <c r="W18" s="87">
        <f t="shared" si="7"/>
        <v>13.4</v>
      </c>
      <c r="X18" s="87">
        <f t="shared" si="7"/>
        <v>4</v>
      </c>
      <c r="Y18" s="87">
        <f t="shared" si="7"/>
        <v>99.4</v>
      </c>
      <c r="Z18" s="66">
        <f t="shared" si="8"/>
        <v>33854</v>
      </c>
    </row>
    <row r="19" spans="2:26" x14ac:dyDescent="0.2">
      <c r="B19" s="67" t="s">
        <v>14</v>
      </c>
      <c r="C19" s="87">
        <f t="shared" si="3"/>
        <v>6.5</v>
      </c>
      <c r="D19" s="87">
        <f t="shared" si="3"/>
        <v>19.5</v>
      </c>
      <c r="E19" s="87">
        <f t="shared" si="3"/>
        <v>27.8</v>
      </c>
      <c r="F19" s="87">
        <f t="shared" si="3"/>
        <v>24.9</v>
      </c>
      <c r="G19" s="87">
        <f t="shared" si="3"/>
        <v>15.1</v>
      </c>
      <c r="H19" s="87">
        <f t="shared" si="3"/>
        <v>5.2</v>
      </c>
      <c r="I19" s="87">
        <f t="shared" si="3"/>
        <v>99</v>
      </c>
      <c r="J19" s="66">
        <f t="shared" si="4"/>
        <v>7419</v>
      </c>
      <c r="K19" s="87">
        <f t="shared" si="5"/>
        <v>9.1999999999999993</v>
      </c>
      <c r="L19" s="87">
        <f t="shared" si="5"/>
        <v>22.2</v>
      </c>
      <c r="M19" s="87">
        <f t="shared" si="5"/>
        <v>28.2</v>
      </c>
      <c r="N19" s="87">
        <f t="shared" si="5"/>
        <v>21.4</v>
      </c>
      <c r="O19" s="87">
        <f t="shared" si="5"/>
        <v>12.1</v>
      </c>
      <c r="P19" s="87">
        <f t="shared" si="5"/>
        <v>5.6</v>
      </c>
      <c r="Q19" s="87">
        <f t="shared" si="5"/>
        <v>98.7</v>
      </c>
      <c r="R19" s="66">
        <f t="shared" si="6"/>
        <v>5971</v>
      </c>
      <c r="S19" s="87">
        <f t="shared" si="7"/>
        <v>7.7</v>
      </c>
      <c r="T19" s="87">
        <f t="shared" si="7"/>
        <v>20.7</v>
      </c>
      <c r="U19" s="87">
        <f t="shared" si="7"/>
        <v>28</v>
      </c>
      <c r="V19" s="87">
        <f t="shared" si="7"/>
        <v>23.3</v>
      </c>
      <c r="W19" s="87">
        <f t="shared" si="7"/>
        <v>13.8</v>
      </c>
      <c r="X19" s="87">
        <f t="shared" si="7"/>
        <v>5.4</v>
      </c>
      <c r="Y19" s="87">
        <f t="shared" si="7"/>
        <v>98.9</v>
      </c>
      <c r="Z19" s="66">
        <f t="shared" si="8"/>
        <v>13390</v>
      </c>
    </row>
    <row r="20" spans="2:26" x14ac:dyDescent="0.2">
      <c r="B20" s="67" t="s">
        <v>15</v>
      </c>
      <c r="C20" s="87">
        <f t="shared" si="3"/>
        <v>5.5</v>
      </c>
      <c r="D20" s="87">
        <f t="shared" si="3"/>
        <v>16.8</v>
      </c>
      <c r="E20" s="87">
        <f t="shared" si="3"/>
        <v>30</v>
      </c>
      <c r="F20" s="87">
        <f t="shared" si="3"/>
        <v>28.6</v>
      </c>
      <c r="G20" s="87">
        <f t="shared" si="3"/>
        <v>14.6</v>
      </c>
      <c r="H20" s="87">
        <f t="shared" si="3"/>
        <v>3.9</v>
      </c>
      <c r="I20" s="87">
        <f t="shared" si="3"/>
        <v>99.5</v>
      </c>
      <c r="J20" s="66">
        <f t="shared" si="4"/>
        <v>23077</v>
      </c>
      <c r="K20" s="87">
        <f t="shared" si="5"/>
        <v>7.2</v>
      </c>
      <c r="L20" s="87">
        <f t="shared" si="5"/>
        <v>19.5</v>
      </c>
      <c r="M20" s="87">
        <f t="shared" si="5"/>
        <v>31.8</v>
      </c>
      <c r="N20" s="87">
        <f t="shared" si="5"/>
        <v>26.1</v>
      </c>
      <c r="O20" s="87">
        <f t="shared" si="5"/>
        <v>12.1</v>
      </c>
      <c r="P20" s="87">
        <f t="shared" si="5"/>
        <v>3</v>
      </c>
      <c r="Q20" s="87">
        <f t="shared" si="5"/>
        <v>99.6</v>
      </c>
      <c r="R20" s="66">
        <f t="shared" si="6"/>
        <v>26514</v>
      </c>
      <c r="S20" s="87">
        <f t="shared" si="7"/>
        <v>6.4</v>
      </c>
      <c r="T20" s="87">
        <f t="shared" si="7"/>
        <v>18.3</v>
      </c>
      <c r="U20" s="87">
        <f t="shared" si="7"/>
        <v>31</v>
      </c>
      <c r="V20" s="87">
        <f t="shared" si="7"/>
        <v>27.2</v>
      </c>
      <c r="W20" s="87">
        <f t="shared" si="7"/>
        <v>13.2</v>
      </c>
      <c r="X20" s="87">
        <f t="shared" si="7"/>
        <v>3.4</v>
      </c>
      <c r="Y20" s="87">
        <f t="shared" si="7"/>
        <v>99.5</v>
      </c>
      <c r="Z20" s="66">
        <f t="shared" si="8"/>
        <v>49591</v>
      </c>
    </row>
    <row r="21" spans="2:26" x14ac:dyDescent="0.2">
      <c r="B21" s="67" t="s">
        <v>16</v>
      </c>
      <c r="C21" s="87">
        <f t="shared" si="3"/>
        <v>4.5</v>
      </c>
      <c r="D21" s="87">
        <f t="shared" si="3"/>
        <v>10.3</v>
      </c>
      <c r="E21" s="87">
        <f t="shared" si="3"/>
        <v>25</v>
      </c>
      <c r="F21" s="87">
        <f t="shared" si="3"/>
        <v>26.8</v>
      </c>
      <c r="G21" s="87">
        <f t="shared" si="3"/>
        <v>20</v>
      </c>
      <c r="H21" s="87">
        <f t="shared" si="3"/>
        <v>9.8000000000000007</v>
      </c>
      <c r="I21" s="87">
        <f t="shared" si="3"/>
        <v>96.5</v>
      </c>
      <c r="J21" s="66">
        <f t="shared" si="4"/>
        <v>3542</v>
      </c>
      <c r="K21" s="87">
        <f t="shared" si="5"/>
        <v>6</v>
      </c>
      <c r="L21" s="87">
        <f t="shared" si="5"/>
        <v>14.5</v>
      </c>
      <c r="M21" s="87">
        <f t="shared" si="5"/>
        <v>26.7</v>
      </c>
      <c r="N21" s="87">
        <f t="shared" si="5"/>
        <v>24.8</v>
      </c>
      <c r="O21" s="87">
        <f t="shared" si="5"/>
        <v>17.100000000000001</v>
      </c>
      <c r="P21" s="87">
        <f t="shared" si="5"/>
        <v>8.3000000000000007</v>
      </c>
      <c r="Q21" s="87">
        <f t="shared" si="5"/>
        <v>97.5</v>
      </c>
      <c r="R21" s="66">
        <f t="shared" si="6"/>
        <v>6229</v>
      </c>
      <c r="S21" s="87">
        <f t="shared" si="7"/>
        <v>5.5</v>
      </c>
      <c r="T21" s="87">
        <f t="shared" si="7"/>
        <v>13</v>
      </c>
      <c r="U21" s="87">
        <f t="shared" si="7"/>
        <v>26.1</v>
      </c>
      <c r="V21" s="87">
        <f t="shared" si="7"/>
        <v>25.6</v>
      </c>
      <c r="W21" s="87">
        <f t="shared" si="7"/>
        <v>18.2</v>
      </c>
      <c r="X21" s="87">
        <f t="shared" si="7"/>
        <v>8.9</v>
      </c>
      <c r="Y21" s="87">
        <f t="shared" si="7"/>
        <v>97.1</v>
      </c>
      <c r="Z21" s="66">
        <f t="shared" si="8"/>
        <v>9771</v>
      </c>
    </row>
    <row r="22" spans="2:26" x14ac:dyDescent="0.2">
      <c r="B22" s="67" t="s">
        <v>17</v>
      </c>
      <c r="C22" s="87">
        <f t="shared" ref="C22:I37" si="9">IF(OR(C64=1,C64=2),"x",ROUND(C64/$J64*100,1))</f>
        <v>2.2999999999999998</v>
      </c>
      <c r="D22" s="87">
        <f t="shared" si="9"/>
        <v>8.1999999999999993</v>
      </c>
      <c r="E22" s="87">
        <f t="shared" si="9"/>
        <v>22.8</v>
      </c>
      <c r="F22" s="87">
        <f t="shared" si="9"/>
        <v>28.6</v>
      </c>
      <c r="G22" s="87">
        <f t="shared" si="9"/>
        <v>22.8</v>
      </c>
      <c r="H22" s="87">
        <f t="shared" si="9"/>
        <v>12</v>
      </c>
      <c r="I22" s="87">
        <f t="shared" si="9"/>
        <v>96.7</v>
      </c>
      <c r="J22" s="66">
        <f t="shared" si="4"/>
        <v>12767</v>
      </c>
      <c r="K22" s="87">
        <f t="shared" ref="K22:Q37" si="10">IF(OR(K64=1,K64=2),"x",ROUND(K64/$R64*100,1))</f>
        <v>5.3</v>
      </c>
      <c r="L22" s="87">
        <f t="shared" si="10"/>
        <v>14.7</v>
      </c>
      <c r="M22" s="87">
        <f t="shared" si="10"/>
        <v>28.1</v>
      </c>
      <c r="N22" s="87">
        <f t="shared" si="10"/>
        <v>26.7</v>
      </c>
      <c r="O22" s="87">
        <f t="shared" si="10"/>
        <v>16.8</v>
      </c>
      <c r="P22" s="87">
        <f t="shared" si="10"/>
        <v>6.7</v>
      </c>
      <c r="Q22" s="87">
        <f t="shared" si="10"/>
        <v>98.3</v>
      </c>
      <c r="R22" s="66">
        <f t="shared" si="6"/>
        <v>40716</v>
      </c>
      <c r="S22" s="87">
        <f t="shared" ref="S22:Y37" si="11">IF(OR(S64=1,S64=2),"x",ROUND(S64/$Z64*100,1))</f>
        <v>4.5999999999999996</v>
      </c>
      <c r="T22" s="87">
        <f t="shared" si="11"/>
        <v>13.1</v>
      </c>
      <c r="U22" s="87">
        <f t="shared" si="11"/>
        <v>26.9</v>
      </c>
      <c r="V22" s="87">
        <f t="shared" si="11"/>
        <v>27.2</v>
      </c>
      <c r="W22" s="87">
        <f t="shared" si="11"/>
        <v>18.2</v>
      </c>
      <c r="X22" s="87">
        <f t="shared" si="11"/>
        <v>8</v>
      </c>
      <c r="Y22" s="87">
        <f t="shared" si="11"/>
        <v>98</v>
      </c>
      <c r="Z22" s="66">
        <f t="shared" si="8"/>
        <v>53483</v>
      </c>
    </row>
    <row r="23" spans="2:26" x14ac:dyDescent="0.2">
      <c r="B23" s="67" t="s">
        <v>18</v>
      </c>
      <c r="C23" s="87">
        <f t="shared" si="9"/>
        <v>2.9</v>
      </c>
      <c r="D23" s="87">
        <f t="shared" si="9"/>
        <v>9.9</v>
      </c>
      <c r="E23" s="87">
        <f t="shared" si="9"/>
        <v>29</v>
      </c>
      <c r="F23" s="87">
        <f t="shared" si="9"/>
        <v>31.6</v>
      </c>
      <c r="G23" s="87">
        <f t="shared" si="9"/>
        <v>17.899999999999999</v>
      </c>
      <c r="H23" s="87">
        <f t="shared" si="9"/>
        <v>6.6</v>
      </c>
      <c r="I23" s="87">
        <f t="shared" si="9"/>
        <v>98</v>
      </c>
      <c r="J23" s="66">
        <f t="shared" si="4"/>
        <v>6864</v>
      </c>
      <c r="K23" s="87">
        <f t="shared" si="10"/>
        <v>4.5999999999999996</v>
      </c>
      <c r="L23" s="87">
        <f t="shared" si="10"/>
        <v>14.9</v>
      </c>
      <c r="M23" s="87">
        <f t="shared" si="10"/>
        <v>31.2</v>
      </c>
      <c r="N23" s="87">
        <f t="shared" si="10"/>
        <v>28.8</v>
      </c>
      <c r="O23" s="87">
        <f t="shared" si="10"/>
        <v>14.1</v>
      </c>
      <c r="P23" s="87">
        <f t="shared" si="10"/>
        <v>4.9000000000000004</v>
      </c>
      <c r="Q23" s="87">
        <f t="shared" si="10"/>
        <v>98.6</v>
      </c>
      <c r="R23" s="66">
        <f t="shared" si="6"/>
        <v>22804</v>
      </c>
      <c r="S23" s="87">
        <f t="shared" si="11"/>
        <v>4.2</v>
      </c>
      <c r="T23" s="87">
        <f t="shared" si="11"/>
        <v>13.8</v>
      </c>
      <c r="U23" s="87">
        <f t="shared" si="11"/>
        <v>30.7</v>
      </c>
      <c r="V23" s="87">
        <f t="shared" si="11"/>
        <v>29.5</v>
      </c>
      <c r="W23" s="87">
        <f t="shared" si="11"/>
        <v>15</v>
      </c>
      <c r="X23" s="87">
        <f t="shared" si="11"/>
        <v>5.3</v>
      </c>
      <c r="Y23" s="87">
        <f t="shared" si="11"/>
        <v>98.5</v>
      </c>
      <c r="Z23" s="66">
        <f t="shared" si="8"/>
        <v>29668</v>
      </c>
    </row>
    <row r="24" spans="2:26" x14ac:dyDescent="0.2">
      <c r="B24" s="67" t="s">
        <v>19</v>
      </c>
      <c r="C24" s="87">
        <f t="shared" si="9"/>
        <v>4.4000000000000004</v>
      </c>
      <c r="D24" s="87">
        <f t="shared" si="9"/>
        <v>13.4</v>
      </c>
      <c r="E24" s="87">
        <f t="shared" si="9"/>
        <v>28</v>
      </c>
      <c r="F24" s="87">
        <f t="shared" si="9"/>
        <v>25.7</v>
      </c>
      <c r="G24" s="87">
        <f t="shared" si="9"/>
        <v>17.2</v>
      </c>
      <c r="H24" s="87">
        <f t="shared" si="9"/>
        <v>7.7</v>
      </c>
      <c r="I24" s="87">
        <f t="shared" si="9"/>
        <v>96.2</v>
      </c>
      <c r="J24" s="66">
        <f t="shared" si="4"/>
        <v>1538</v>
      </c>
      <c r="K24" s="87">
        <f t="shared" si="10"/>
        <v>6</v>
      </c>
      <c r="L24" s="87">
        <f t="shared" si="10"/>
        <v>14.6</v>
      </c>
      <c r="M24" s="87">
        <f t="shared" si="10"/>
        <v>29.1</v>
      </c>
      <c r="N24" s="87">
        <f t="shared" si="10"/>
        <v>24.7</v>
      </c>
      <c r="O24" s="87">
        <f t="shared" si="10"/>
        <v>16.100000000000001</v>
      </c>
      <c r="P24" s="87">
        <f t="shared" si="10"/>
        <v>7.2</v>
      </c>
      <c r="Q24" s="87">
        <f t="shared" si="10"/>
        <v>97.7</v>
      </c>
      <c r="R24" s="66">
        <f t="shared" si="6"/>
        <v>2073</v>
      </c>
      <c r="S24" s="87">
        <f t="shared" si="11"/>
        <v>5.3</v>
      </c>
      <c r="T24" s="87">
        <f t="shared" si="11"/>
        <v>14.1</v>
      </c>
      <c r="U24" s="87">
        <f t="shared" si="11"/>
        <v>28.6</v>
      </c>
      <c r="V24" s="87">
        <f t="shared" si="11"/>
        <v>25.1</v>
      </c>
      <c r="W24" s="87">
        <f t="shared" si="11"/>
        <v>16.600000000000001</v>
      </c>
      <c r="X24" s="87">
        <f t="shared" si="11"/>
        <v>7.4</v>
      </c>
      <c r="Y24" s="87">
        <f t="shared" si="11"/>
        <v>97.1</v>
      </c>
      <c r="Z24" s="66">
        <f t="shared" si="8"/>
        <v>3611</v>
      </c>
    </row>
    <row r="25" spans="2:26" x14ac:dyDescent="0.2">
      <c r="B25" s="67" t="s">
        <v>20</v>
      </c>
      <c r="C25" s="87">
        <f t="shared" si="9"/>
        <v>10.6</v>
      </c>
      <c r="D25" s="87">
        <f t="shared" si="9"/>
        <v>12.6</v>
      </c>
      <c r="E25" s="87">
        <f t="shared" si="9"/>
        <v>25.4</v>
      </c>
      <c r="F25" s="87">
        <f t="shared" si="9"/>
        <v>27.8</v>
      </c>
      <c r="G25" s="87">
        <f t="shared" si="9"/>
        <v>17</v>
      </c>
      <c r="H25" s="87">
        <f t="shared" si="9"/>
        <v>5.6</v>
      </c>
      <c r="I25" s="87">
        <f t="shared" si="9"/>
        <v>98.9</v>
      </c>
      <c r="J25" s="66">
        <f t="shared" si="4"/>
        <v>9631</v>
      </c>
      <c r="K25" s="87">
        <f t="shared" si="10"/>
        <v>12.4</v>
      </c>
      <c r="L25" s="87">
        <f t="shared" si="10"/>
        <v>17.399999999999999</v>
      </c>
      <c r="M25" s="87">
        <f t="shared" si="10"/>
        <v>30.3</v>
      </c>
      <c r="N25" s="87">
        <f t="shared" si="10"/>
        <v>25.3</v>
      </c>
      <c r="O25" s="87">
        <f t="shared" si="10"/>
        <v>11.2</v>
      </c>
      <c r="P25" s="87">
        <f t="shared" si="10"/>
        <v>2.7</v>
      </c>
      <c r="Q25" s="87">
        <f t="shared" si="10"/>
        <v>99.4</v>
      </c>
      <c r="R25" s="66">
        <f t="shared" si="6"/>
        <v>31123</v>
      </c>
      <c r="S25" s="87">
        <f t="shared" si="11"/>
        <v>12</v>
      </c>
      <c r="T25" s="87">
        <f t="shared" si="11"/>
        <v>16.3</v>
      </c>
      <c r="U25" s="87">
        <f t="shared" si="11"/>
        <v>29.2</v>
      </c>
      <c r="V25" s="87">
        <f t="shared" si="11"/>
        <v>25.9</v>
      </c>
      <c r="W25" s="87">
        <f t="shared" si="11"/>
        <v>12.6</v>
      </c>
      <c r="X25" s="87">
        <f t="shared" si="11"/>
        <v>3.4</v>
      </c>
      <c r="Y25" s="87">
        <f t="shared" si="11"/>
        <v>99.3</v>
      </c>
      <c r="Z25" s="66">
        <f t="shared" si="8"/>
        <v>40754</v>
      </c>
    </row>
    <row r="26" spans="2:26" x14ac:dyDescent="0.2">
      <c r="B26" s="67" t="s">
        <v>21</v>
      </c>
      <c r="C26" s="87">
        <f t="shared" si="9"/>
        <v>2.7</v>
      </c>
      <c r="D26" s="87">
        <f t="shared" si="9"/>
        <v>8.6999999999999993</v>
      </c>
      <c r="E26" s="87">
        <f t="shared" si="9"/>
        <v>26.5</v>
      </c>
      <c r="F26" s="87">
        <f t="shared" si="9"/>
        <v>31</v>
      </c>
      <c r="G26" s="87">
        <f t="shared" si="9"/>
        <v>22.7</v>
      </c>
      <c r="H26" s="87">
        <f t="shared" si="9"/>
        <v>7.3</v>
      </c>
      <c r="I26" s="87">
        <f t="shared" si="9"/>
        <v>99</v>
      </c>
      <c r="J26" s="66">
        <f t="shared" si="4"/>
        <v>3777</v>
      </c>
      <c r="K26" s="87">
        <f t="shared" si="10"/>
        <v>4.9000000000000004</v>
      </c>
      <c r="L26" s="87">
        <f t="shared" si="10"/>
        <v>13.2</v>
      </c>
      <c r="M26" s="87">
        <f t="shared" si="10"/>
        <v>32.799999999999997</v>
      </c>
      <c r="N26" s="87">
        <f t="shared" si="10"/>
        <v>30.5</v>
      </c>
      <c r="O26" s="87">
        <f t="shared" si="10"/>
        <v>14.8</v>
      </c>
      <c r="P26" s="87">
        <f t="shared" si="10"/>
        <v>3.4</v>
      </c>
      <c r="Q26" s="87">
        <f t="shared" si="10"/>
        <v>99.5</v>
      </c>
      <c r="R26" s="66">
        <f t="shared" si="6"/>
        <v>8136</v>
      </c>
      <c r="S26" s="87">
        <f t="shared" si="11"/>
        <v>4.2</v>
      </c>
      <c r="T26" s="87">
        <f t="shared" si="11"/>
        <v>11.7</v>
      </c>
      <c r="U26" s="87">
        <f t="shared" si="11"/>
        <v>30.8</v>
      </c>
      <c r="V26" s="87">
        <f t="shared" si="11"/>
        <v>30.6</v>
      </c>
      <c r="W26" s="87">
        <f t="shared" si="11"/>
        <v>17.3</v>
      </c>
      <c r="X26" s="87">
        <f t="shared" si="11"/>
        <v>4.7</v>
      </c>
      <c r="Y26" s="87">
        <f t="shared" si="11"/>
        <v>99.4</v>
      </c>
      <c r="Z26" s="66">
        <f t="shared" si="8"/>
        <v>11913</v>
      </c>
    </row>
    <row r="27" spans="2:26" x14ac:dyDescent="0.2">
      <c r="B27" s="67" t="s">
        <v>22</v>
      </c>
      <c r="C27" s="87">
        <f t="shared" si="9"/>
        <v>6.1</v>
      </c>
      <c r="D27" s="87">
        <f t="shared" si="9"/>
        <v>11.9</v>
      </c>
      <c r="E27" s="87">
        <f t="shared" si="9"/>
        <v>26.4</v>
      </c>
      <c r="F27" s="87">
        <f t="shared" si="9"/>
        <v>32.799999999999997</v>
      </c>
      <c r="G27" s="87">
        <f t="shared" si="9"/>
        <v>18.5</v>
      </c>
      <c r="H27" s="87">
        <f t="shared" si="9"/>
        <v>3.9</v>
      </c>
      <c r="I27" s="87">
        <f t="shared" si="9"/>
        <v>99.5</v>
      </c>
      <c r="J27" s="66">
        <f t="shared" si="4"/>
        <v>22820</v>
      </c>
      <c r="K27" s="87">
        <f t="shared" si="10"/>
        <v>6.1</v>
      </c>
      <c r="L27" s="87">
        <f t="shared" si="10"/>
        <v>14.2</v>
      </c>
      <c r="M27" s="87">
        <f t="shared" si="10"/>
        <v>30.2</v>
      </c>
      <c r="N27" s="87">
        <f t="shared" si="10"/>
        <v>32.1</v>
      </c>
      <c r="O27" s="87">
        <f t="shared" si="10"/>
        <v>14.6</v>
      </c>
      <c r="P27" s="87">
        <f t="shared" si="10"/>
        <v>2.5</v>
      </c>
      <c r="Q27" s="87">
        <f t="shared" si="10"/>
        <v>99.7</v>
      </c>
      <c r="R27" s="66">
        <f t="shared" si="6"/>
        <v>58734</v>
      </c>
      <c r="S27" s="87">
        <f t="shared" si="11"/>
        <v>6.1</v>
      </c>
      <c r="T27" s="87">
        <f t="shared" si="11"/>
        <v>13.6</v>
      </c>
      <c r="U27" s="87">
        <f t="shared" si="11"/>
        <v>29.2</v>
      </c>
      <c r="V27" s="87">
        <f t="shared" si="11"/>
        <v>32.299999999999997</v>
      </c>
      <c r="W27" s="87">
        <f t="shared" si="11"/>
        <v>15.7</v>
      </c>
      <c r="X27" s="87">
        <f t="shared" si="11"/>
        <v>2.9</v>
      </c>
      <c r="Y27" s="87">
        <f t="shared" si="11"/>
        <v>99.7</v>
      </c>
      <c r="Z27" s="66">
        <f t="shared" si="8"/>
        <v>81554</v>
      </c>
    </row>
    <row r="28" spans="2:26" x14ac:dyDescent="0.2">
      <c r="B28" s="67" t="s">
        <v>51</v>
      </c>
      <c r="C28" s="87">
        <f t="shared" si="9"/>
        <v>0.8</v>
      </c>
      <c r="D28" s="87">
        <f t="shared" si="9"/>
        <v>6.3</v>
      </c>
      <c r="E28" s="87">
        <f t="shared" si="9"/>
        <v>24.9</v>
      </c>
      <c r="F28" s="87">
        <f t="shared" si="9"/>
        <v>38.799999999999997</v>
      </c>
      <c r="G28" s="87">
        <f t="shared" si="9"/>
        <v>23.3</v>
      </c>
      <c r="H28" s="87">
        <f t="shared" si="9"/>
        <v>5.0999999999999996</v>
      </c>
      <c r="I28" s="87">
        <f t="shared" si="9"/>
        <v>99.3</v>
      </c>
      <c r="J28" s="66">
        <f t="shared" si="4"/>
        <v>7953</v>
      </c>
      <c r="K28" s="87">
        <f t="shared" si="10"/>
        <v>1.5</v>
      </c>
      <c r="L28" s="87">
        <f t="shared" si="10"/>
        <v>11.4</v>
      </c>
      <c r="M28" s="87">
        <f t="shared" si="10"/>
        <v>34.200000000000003</v>
      </c>
      <c r="N28" s="87">
        <f t="shared" si="10"/>
        <v>35.9</v>
      </c>
      <c r="O28" s="87">
        <f t="shared" si="10"/>
        <v>14.2</v>
      </c>
      <c r="P28" s="87">
        <f t="shared" si="10"/>
        <v>2.2999999999999998</v>
      </c>
      <c r="Q28" s="87">
        <f t="shared" si="10"/>
        <v>99.6</v>
      </c>
      <c r="R28" s="66">
        <f t="shared" si="6"/>
        <v>11237</v>
      </c>
      <c r="S28" s="87">
        <f t="shared" si="11"/>
        <v>1.2</v>
      </c>
      <c r="T28" s="87">
        <f t="shared" si="11"/>
        <v>9.3000000000000007</v>
      </c>
      <c r="U28" s="87">
        <f t="shared" si="11"/>
        <v>30.4</v>
      </c>
      <c r="V28" s="87">
        <f t="shared" si="11"/>
        <v>37.1</v>
      </c>
      <c r="W28" s="87">
        <f t="shared" si="11"/>
        <v>18</v>
      </c>
      <c r="X28" s="87">
        <f t="shared" si="11"/>
        <v>3.5</v>
      </c>
      <c r="Y28" s="87">
        <f t="shared" si="11"/>
        <v>99.4</v>
      </c>
      <c r="Z28" s="66">
        <f t="shared" si="8"/>
        <v>19190</v>
      </c>
    </row>
    <row r="29" spans="2:26" x14ac:dyDescent="0.2">
      <c r="B29" s="67" t="s">
        <v>23</v>
      </c>
      <c r="C29" s="87">
        <f t="shared" si="9"/>
        <v>1.8</v>
      </c>
      <c r="D29" s="87">
        <f t="shared" si="9"/>
        <v>7.9</v>
      </c>
      <c r="E29" s="87">
        <f t="shared" si="9"/>
        <v>31.3</v>
      </c>
      <c r="F29" s="87">
        <f t="shared" si="9"/>
        <v>39.5</v>
      </c>
      <c r="G29" s="87">
        <f t="shared" si="9"/>
        <v>16</v>
      </c>
      <c r="H29" s="87">
        <f t="shared" si="9"/>
        <v>3</v>
      </c>
      <c r="I29" s="87">
        <f t="shared" si="9"/>
        <v>99.4</v>
      </c>
      <c r="J29" s="66">
        <f t="shared" si="4"/>
        <v>3981</v>
      </c>
      <c r="K29" s="87">
        <f t="shared" si="10"/>
        <v>2.4</v>
      </c>
      <c r="L29" s="87">
        <f t="shared" si="10"/>
        <v>12.9</v>
      </c>
      <c r="M29" s="87">
        <f t="shared" si="10"/>
        <v>36.4</v>
      </c>
      <c r="N29" s="87">
        <f t="shared" si="10"/>
        <v>35.200000000000003</v>
      </c>
      <c r="O29" s="87">
        <f t="shared" si="10"/>
        <v>11.4</v>
      </c>
      <c r="P29" s="87">
        <f t="shared" si="10"/>
        <v>1.6</v>
      </c>
      <c r="Q29" s="87">
        <f t="shared" si="10"/>
        <v>99.8</v>
      </c>
      <c r="R29" s="66">
        <f t="shared" si="6"/>
        <v>5673</v>
      </c>
      <c r="S29" s="87">
        <f t="shared" si="11"/>
        <v>2.1</v>
      </c>
      <c r="T29" s="87">
        <f t="shared" si="11"/>
        <v>10.8</v>
      </c>
      <c r="U29" s="87">
        <f t="shared" si="11"/>
        <v>34.299999999999997</v>
      </c>
      <c r="V29" s="87">
        <f t="shared" si="11"/>
        <v>36.9</v>
      </c>
      <c r="W29" s="87">
        <f t="shared" si="11"/>
        <v>13.3</v>
      </c>
      <c r="X29" s="87">
        <f t="shared" si="11"/>
        <v>2.2000000000000002</v>
      </c>
      <c r="Y29" s="87">
        <f t="shared" si="11"/>
        <v>99.6</v>
      </c>
      <c r="Z29" s="66">
        <f t="shared" si="8"/>
        <v>9654</v>
      </c>
    </row>
    <row r="30" spans="2:26" x14ac:dyDescent="0.2">
      <c r="B30" s="67" t="s">
        <v>24</v>
      </c>
      <c r="C30" s="87">
        <f t="shared" si="9"/>
        <v>9.1999999999999993</v>
      </c>
      <c r="D30" s="87">
        <f t="shared" si="9"/>
        <v>30.9</v>
      </c>
      <c r="E30" s="87">
        <f t="shared" si="9"/>
        <v>27.6</v>
      </c>
      <c r="F30" s="87">
        <f t="shared" si="9"/>
        <v>18.7</v>
      </c>
      <c r="G30" s="87">
        <f t="shared" si="9"/>
        <v>9.9</v>
      </c>
      <c r="H30" s="87">
        <f t="shared" si="9"/>
        <v>3.4</v>
      </c>
      <c r="I30" s="87">
        <f t="shared" si="9"/>
        <v>99.6</v>
      </c>
      <c r="J30" s="66">
        <f t="shared" si="4"/>
        <v>2771</v>
      </c>
      <c r="K30" s="87">
        <f t="shared" si="10"/>
        <v>8.1999999999999993</v>
      </c>
      <c r="L30" s="87">
        <f t="shared" si="10"/>
        <v>29.9</v>
      </c>
      <c r="M30" s="87">
        <f t="shared" si="10"/>
        <v>29.5</v>
      </c>
      <c r="N30" s="87">
        <f t="shared" si="10"/>
        <v>18.600000000000001</v>
      </c>
      <c r="O30" s="87">
        <f t="shared" si="10"/>
        <v>9.8000000000000007</v>
      </c>
      <c r="P30" s="87">
        <f t="shared" si="10"/>
        <v>3.5</v>
      </c>
      <c r="Q30" s="87">
        <f t="shared" si="10"/>
        <v>99.5</v>
      </c>
      <c r="R30" s="66">
        <f t="shared" si="6"/>
        <v>6229</v>
      </c>
      <c r="S30" s="87">
        <f t="shared" si="11"/>
        <v>8.5</v>
      </c>
      <c r="T30" s="87">
        <f t="shared" si="11"/>
        <v>30.2</v>
      </c>
      <c r="U30" s="87">
        <f t="shared" si="11"/>
        <v>28.9</v>
      </c>
      <c r="V30" s="87">
        <f t="shared" si="11"/>
        <v>18.600000000000001</v>
      </c>
      <c r="W30" s="87">
        <f t="shared" si="11"/>
        <v>9.8000000000000007</v>
      </c>
      <c r="X30" s="87">
        <f t="shared" si="11"/>
        <v>3.5</v>
      </c>
      <c r="Y30" s="87">
        <f t="shared" si="11"/>
        <v>99.6</v>
      </c>
      <c r="Z30" s="66">
        <f t="shared" si="8"/>
        <v>9000</v>
      </c>
    </row>
    <row r="31" spans="2:26" x14ac:dyDescent="0.2">
      <c r="B31" s="67" t="s">
        <v>25</v>
      </c>
      <c r="C31" s="87">
        <f t="shared" si="9"/>
        <v>7.8</v>
      </c>
      <c r="D31" s="87">
        <f t="shared" si="9"/>
        <v>32.700000000000003</v>
      </c>
      <c r="E31" s="87">
        <f t="shared" si="9"/>
        <v>27.4</v>
      </c>
      <c r="F31" s="87">
        <f t="shared" si="9"/>
        <v>18.2</v>
      </c>
      <c r="G31" s="87">
        <f t="shared" si="9"/>
        <v>9.5</v>
      </c>
      <c r="H31" s="87">
        <f t="shared" si="9"/>
        <v>3.8</v>
      </c>
      <c r="I31" s="87">
        <f t="shared" si="9"/>
        <v>99.4</v>
      </c>
      <c r="J31" s="66">
        <f t="shared" si="4"/>
        <v>1447</v>
      </c>
      <c r="K31" s="87">
        <f t="shared" si="10"/>
        <v>8.1999999999999993</v>
      </c>
      <c r="L31" s="87">
        <f t="shared" si="10"/>
        <v>29.2</v>
      </c>
      <c r="M31" s="87">
        <f t="shared" si="10"/>
        <v>27.9</v>
      </c>
      <c r="N31" s="87">
        <f t="shared" si="10"/>
        <v>19.3</v>
      </c>
      <c r="O31" s="87">
        <f t="shared" si="10"/>
        <v>11.3</v>
      </c>
      <c r="P31" s="87">
        <f t="shared" si="10"/>
        <v>3.7</v>
      </c>
      <c r="Q31" s="87">
        <f t="shared" si="10"/>
        <v>99.6</v>
      </c>
      <c r="R31" s="66">
        <f t="shared" si="6"/>
        <v>2176</v>
      </c>
      <c r="S31" s="87">
        <f t="shared" si="11"/>
        <v>8</v>
      </c>
      <c r="T31" s="87">
        <f t="shared" si="11"/>
        <v>30.6</v>
      </c>
      <c r="U31" s="87">
        <f t="shared" si="11"/>
        <v>27.7</v>
      </c>
      <c r="V31" s="87">
        <f t="shared" si="11"/>
        <v>18.899999999999999</v>
      </c>
      <c r="W31" s="87">
        <f t="shared" si="11"/>
        <v>10.5</v>
      </c>
      <c r="X31" s="87">
        <f t="shared" si="11"/>
        <v>3.7</v>
      </c>
      <c r="Y31" s="87">
        <f t="shared" si="11"/>
        <v>99.5</v>
      </c>
      <c r="Z31" s="66">
        <f t="shared" si="8"/>
        <v>3623</v>
      </c>
    </row>
    <row r="32" spans="2:26" x14ac:dyDescent="0.2">
      <c r="B32" s="67" t="s">
        <v>26</v>
      </c>
      <c r="C32" s="87">
        <f t="shared" si="9"/>
        <v>9</v>
      </c>
      <c r="D32" s="87">
        <f t="shared" si="9"/>
        <v>27.3</v>
      </c>
      <c r="E32" s="87">
        <f t="shared" si="9"/>
        <v>32.1</v>
      </c>
      <c r="F32" s="87">
        <f t="shared" si="9"/>
        <v>19.2</v>
      </c>
      <c r="G32" s="87">
        <f t="shared" si="9"/>
        <v>9</v>
      </c>
      <c r="H32" s="87">
        <f t="shared" si="9"/>
        <v>3.1</v>
      </c>
      <c r="I32" s="87">
        <f t="shared" si="9"/>
        <v>99.8</v>
      </c>
      <c r="J32" s="66">
        <f t="shared" si="4"/>
        <v>2543</v>
      </c>
      <c r="K32" s="87">
        <f t="shared" si="10"/>
        <v>8.3000000000000007</v>
      </c>
      <c r="L32" s="87">
        <f t="shared" si="10"/>
        <v>26.8</v>
      </c>
      <c r="M32" s="87">
        <f t="shared" si="10"/>
        <v>30.8</v>
      </c>
      <c r="N32" s="87">
        <f t="shared" si="10"/>
        <v>20.6</v>
      </c>
      <c r="O32" s="87">
        <f t="shared" si="10"/>
        <v>9.9</v>
      </c>
      <c r="P32" s="87">
        <f t="shared" si="10"/>
        <v>3.2</v>
      </c>
      <c r="Q32" s="87">
        <f t="shared" si="10"/>
        <v>99.6</v>
      </c>
      <c r="R32" s="66">
        <f t="shared" si="6"/>
        <v>5065</v>
      </c>
      <c r="S32" s="87">
        <f t="shared" si="11"/>
        <v>8.5</v>
      </c>
      <c r="T32" s="87">
        <f t="shared" si="11"/>
        <v>27</v>
      </c>
      <c r="U32" s="87">
        <f t="shared" si="11"/>
        <v>31.2</v>
      </c>
      <c r="V32" s="87">
        <f t="shared" si="11"/>
        <v>20.100000000000001</v>
      </c>
      <c r="W32" s="87">
        <f t="shared" si="11"/>
        <v>9.6</v>
      </c>
      <c r="X32" s="87">
        <f t="shared" si="11"/>
        <v>3.1</v>
      </c>
      <c r="Y32" s="87">
        <f t="shared" si="11"/>
        <v>99.6</v>
      </c>
      <c r="Z32" s="66">
        <f t="shared" si="8"/>
        <v>7608</v>
      </c>
    </row>
    <row r="33" spans="1:26" x14ac:dyDescent="0.2">
      <c r="B33" s="67" t="s">
        <v>27</v>
      </c>
      <c r="C33" s="87">
        <f t="shared" si="9"/>
        <v>13.5</v>
      </c>
      <c r="D33" s="87">
        <f t="shared" si="9"/>
        <v>36.5</v>
      </c>
      <c r="E33" s="87">
        <f t="shared" si="9"/>
        <v>30.5</v>
      </c>
      <c r="F33" s="87">
        <f t="shared" si="9"/>
        <v>12</v>
      </c>
      <c r="G33" s="87">
        <f t="shared" si="9"/>
        <v>4.0999999999999996</v>
      </c>
      <c r="H33" s="87">
        <f t="shared" si="9"/>
        <v>2.1</v>
      </c>
      <c r="I33" s="87">
        <f t="shared" si="9"/>
        <v>98.7</v>
      </c>
      <c r="J33" s="66">
        <f t="shared" si="4"/>
        <v>3101</v>
      </c>
      <c r="K33" s="87">
        <f t="shared" si="10"/>
        <v>16.7</v>
      </c>
      <c r="L33" s="87">
        <f t="shared" si="10"/>
        <v>39.200000000000003</v>
      </c>
      <c r="M33" s="87">
        <f t="shared" si="10"/>
        <v>27.3</v>
      </c>
      <c r="N33" s="87">
        <f t="shared" si="10"/>
        <v>9.6999999999999993</v>
      </c>
      <c r="O33" s="87">
        <f t="shared" si="10"/>
        <v>4.2</v>
      </c>
      <c r="P33" s="87">
        <f t="shared" si="10"/>
        <v>1.9</v>
      </c>
      <c r="Q33" s="87">
        <f t="shared" si="10"/>
        <v>98.9</v>
      </c>
      <c r="R33" s="66">
        <f t="shared" si="6"/>
        <v>4423</v>
      </c>
      <c r="S33" s="87">
        <f t="shared" si="11"/>
        <v>15.4</v>
      </c>
      <c r="T33" s="87">
        <f t="shared" si="11"/>
        <v>38.1</v>
      </c>
      <c r="U33" s="87">
        <f t="shared" si="11"/>
        <v>28.6</v>
      </c>
      <c r="V33" s="87">
        <f t="shared" si="11"/>
        <v>10.6</v>
      </c>
      <c r="W33" s="87">
        <f t="shared" si="11"/>
        <v>4.0999999999999996</v>
      </c>
      <c r="X33" s="87">
        <f t="shared" si="11"/>
        <v>2</v>
      </c>
      <c r="Y33" s="87">
        <f t="shared" si="11"/>
        <v>98.8</v>
      </c>
      <c r="Z33" s="66">
        <f t="shared" si="8"/>
        <v>7524</v>
      </c>
    </row>
    <row r="34" spans="1:26" x14ac:dyDescent="0.2">
      <c r="B34" s="67" t="s">
        <v>28</v>
      </c>
      <c r="C34" s="87">
        <f t="shared" si="9"/>
        <v>10</v>
      </c>
      <c r="D34" s="87">
        <f t="shared" si="9"/>
        <v>22.8</v>
      </c>
      <c r="E34" s="87">
        <f t="shared" si="9"/>
        <v>29.5</v>
      </c>
      <c r="F34" s="87">
        <f t="shared" si="9"/>
        <v>20.8</v>
      </c>
      <c r="G34" s="87">
        <f t="shared" si="9"/>
        <v>11.6</v>
      </c>
      <c r="H34" s="87">
        <f t="shared" si="9"/>
        <v>3.8</v>
      </c>
      <c r="I34" s="87">
        <f t="shared" si="9"/>
        <v>98.6</v>
      </c>
      <c r="J34" s="66">
        <f t="shared" si="4"/>
        <v>2599</v>
      </c>
      <c r="K34" s="87">
        <f t="shared" si="10"/>
        <v>10.7</v>
      </c>
      <c r="L34" s="87">
        <f t="shared" si="10"/>
        <v>27.1</v>
      </c>
      <c r="M34" s="87">
        <f t="shared" si="10"/>
        <v>31</v>
      </c>
      <c r="N34" s="87">
        <f t="shared" si="10"/>
        <v>19.100000000000001</v>
      </c>
      <c r="O34" s="87">
        <f t="shared" si="10"/>
        <v>8.6999999999999993</v>
      </c>
      <c r="P34" s="87">
        <f t="shared" si="10"/>
        <v>2.7</v>
      </c>
      <c r="Q34" s="87">
        <f t="shared" si="10"/>
        <v>99.3</v>
      </c>
      <c r="R34" s="66">
        <f t="shared" si="6"/>
        <v>3647</v>
      </c>
      <c r="S34" s="87">
        <f t="shared" si="11"/>
        <v>10.4</v>
      </c>
      <c r="T34" s="87">
        <f t="shared" si="11"/>
        <v>25.3</v>
      </c>
      <c r="U34" s="87">
        <f t="shared" si="11"/>
        <v>30.4</v>
      </c>
      <c r="V34" s="87">
        <f t="shared" si="11"/>
        <v>19.8</v>
      </c>
      <c r="W34" s="87">
        <f t="shared" si="11"/>
        <v>9.9</v>
      </c>
      <c r="X34" s="87">
        <f t="shared" si="11"/>
        <v>3.2</v>
      </c>
      <c r="Y34" s="87">
        <f t="shared" si="11"/>
        <v>99</v>
      </c>
      <c r="Z34" s="66">
        <f t="shared" si="8"/>
        <v>6246</v>
      </c>
    </row>
    <row r="35" spans="1:26" x14ac:dyDescent="0.2">
      <c r="B35" s="67" t="s">
        <v>29</v>
      </c>
      <c r="C35" s="87">
        <f t="shared" si="9"/>
        <v>5.8</v>
      </c>
      <c r="D35" s="87">
        <f t="shared" si="9"/>
        <v>17.399999999999999</v>
      </c>
      <c r="E35" s="87">
        <f t="shared" si="9"/>
        <v>28.3</v>
      </c>
      <c r="F35" s="87">
        <f t="shared" si="9"/>
        <v>25.7</v>
      </c>
      <c r="G35" s="87">
        <f t="shared" si="9"/>
        <v>15</v>
      </c>
      <c r="H35" s="87">
        <f t="shared" si="9"/>
        <v>6.3</v>
      </c>
      <c r="I35" s="87">
        <f t="shared" si="9"/>
        <v>98.5</v>
      </c>
      <c r="J35" s="66">
        <f t="shared" si="4"/>
        <v>6617</v>
      </c>
      <c r="K35" s="87">
        <f t="shared" si="10"/>
        <v>5.4</v>
      </c>
      <c r="L35" s="87">
        <f t="shared" si="10"/>
        <v>19.600000000000001</v>
      </c>
      <c r="M35" s="87">
        <f t="shared" si="10"/>
        <v>30.9</v>
      </c>
      <c r="N35" s="87">
        <f t="shared" si="10"/>
        <v>25.3</v>
      </c>
      <c r="O35" s="87">
        <f t="shared" si="10"/>
        <v>13.3</v>
      </c>
      <c r="P35" s="87">
        <f t="shared" si="10"/>
        <v>4.5999999999999996</v>
      </c>
      <c r="Q35" s="87">
        <f t="shared" si="10"/>
        <v>99.1</v>
      </c>
      <c r="R35" s="66">
        <f t="shared" si="6"/>
        <v>14660</v>
      </c>
      <c r="S35" s="87">
        <f t="shared" si="11"/>
        <v>5.5</v>
      </c>
      <c r="T35" s="87">
        <f t="shared" si="11"/>
        <v>18.899999999999999</v>
      </c>
      <c r="U35" s="87">
        <f t="shared" si="11"/>
        <v>30.1</v>
      </c>
      <c r="V35" s="87">
        <f t="shared" si="11"/>
        <v>25.4</v>
      </c>
      <c r="W35" s="87">
        <f t="shared" si="11"/>
        <v>13.8</v>
      </c>
      <c r="X35" s="87">
        <f t="shared" si="11"/>
        <v>5.0999999999999996</v>
      </c>
      <c r="Y35" s="87">
        <f t="shared" si="11"/>
        <v>98.9</v>
      </c>
      <c r="Z35" s="66">
        <f t="shared" si="8"/>
        <v>21277</v>
      </c>
    </row>
    <row r="36" spans="1:26" x14ac:dyDescent="0.2">
      <c r="B36" s="67" t="s">
        <v>30</v>
      </c>
      <c r="C36" s="87">
        <f t="shared" si="9"/>
        <v>4.4000000000000004</v>
      </c>
      <c r="D36" s="87">
        <f t="shared" si="9"/>
        <v>12.8</v>
      </c>
      <c r="E36" s="87">
        <f t="shared" si="9"/>
        <v>24.9</v>
      </c>
      <c r="F36" s="87">
        <f t="shared" si="9"/>
        <v>27.7</v>
      </c>
      <c r="G36" s="87">
        <f t="shared" si="9"/>
        <v>20.7</v>
      </c>
      <c r="H36" s="87">
        <f t="shared" si="9"/>
        <v>8.4</v>
      </c>
      <c r="I36" s="87">
        <f t="shared" si="9"/>
        <v>98.9</v>
      </c>
      <c r="J36" s="66">
        <f t="shared" si="4"/>
        <v>4027</v>
      </c>
      <c r="K36" s="87">
        <f t="shared" si="10"/>
        <v>5</v>
      </c>
      <c r="L36" s="87">
        <f t="shared" si="10"/>
        <v>16.600000000000001</v>
      </c>
      <c r="M36" s="87">
        <f t="shared" si="10"/>
        <v>25.5</v>
      </c>
      <c r="N36" s="87">
        <f t="shared" si="10"/>
        <v>26.9</v>
      </c>
      <c r="O36" s="87">
        <f t="shared" si="10"/>
        <v>17.899999999999999</v>
      </c>
      <c r="P36" s="87">
        <f t="shared" si="10"/>
        <v>7.2</v>
      </c>
      <c r="Q36" s="87">
        <f t="shared" si="10"/>
        <v>99.1</v>
      </c>
      <c r="R36" s="66">
        <f t="shared" si="6"/>
        <v>2681</v>
      </c>
      <c r="S36" s="87">
        <f t="shared" si="11"/>
        <v>4.5999999999999996</v>
      </c>
      <c r="T36" s="87">
        <f t="shared" si="11"/>
        <v>14.3</v>
      </c>
      <c r="U36" s="87">
        <f t="shared" si="11"/>
        <v>25.1</v>
      </c>
      <c r="V36" s="87">
        <f t="shared" si="11"/>
        <v>27.4</v>
      </c>
      <c r="W36" s="87">
        <f t="shared" si="11"/>
        <v>19.600000000000001</v>
      </c>
      <c r="X36" s="87">
        <f t="shared" si="11"/>
        <v>7.9</v>
      </c>
      <c r="Y36" s="87">
        <f t="shared" si="11"/>
        <v>99</v>
      </c>
      <c r="Z36" s="66">
        <f t="shared" si="8"/>
        <v>6708</v>
      </c>
    </row>
    <row r="37" spans="1:26" x14ac:dyDescent="0.2">
      <c r="B37" s="67" t="s">
        <v>31</v>
      </c>
      <c r="C37" s="87">
        <f t="shared" si="9"/>
        <v>2.6</v>
      </c>
      <c r="D37" s="87">
        <f t="shared" si="9"/>
        <v>8.6</v>
      </c>
      <c r="E37" s="87">
        <f t="shared" si="9"/>
        <v>19.899999999999999</v>
      </c>
      <c r="F37" s="87">
        <f t="shared" si="9"/>
        <v>26.7</v>
      </c>
      <c r="G37" s="87">
        <f t="shared" si="9"/>
        <v>25.3</v>
      </c>
      <c r="H37" s="87">
        <f t="shared" si="9"/>
        <v>14.6</v>
      </c>
      <c r="I37" s="87">
        <f t="shared" si="9"/>
        <v>97.7</v>
      </c>
      <c r="J37" s="66">
        <f t="shared" si="4"/>
        <v>7091</v>
      </c>
      <c r="K37" s="87">
        <f t="shared" si="10"/>
        <v>6.1</v>
      </c>
      <c r="L37" s="87">
        <f t="shared" si="10"/>
        <v>15.5</v>
      </c>
      <c r="M37" s="87">
        <f t="shared" si="10"/>
        <v>28</v>
      </c>
      <c r="N37" s="87">
        <f t="shared" si="10"/>
        <v>26.8</v>
      </c>
      <c r="O37" s="87">
        <f t="shared" si="10"/>
        <v>15.3</v>
      </c>
      <c r="P37" s="87">
        <f t="shared" si="10"/>
        <v>7.4</v>
      </c>
      <c r="Q37" s="87">
        <f t="shared" si="10"/>
        <v>99.1</v>
      </c>
      <c r="R37" s="66">
        <f t="shared" si="6"/>
        <v>5726</v>
      </c>
      <c r="S37" s="87">
        <f t="shared" si="11"/>
        <v>4.2</v>
      </c>
      <c r="T37" s="87">
        <f t="shared" si="11"/>
        <v>11.7</v>
      </c>
      <c r="U37" s="87">
        <f t="shared" si="11"/>
        <v>23.5</v>
      </c>
      <c r="V37" s="87">
        <f t="shared" si="11"/>
        <v>26.7</v>
      </c>
      <c r="W37" s="87">
        <f t="shared" si="11"/>
        <v>20.8</v>
      </c>
      <c r="X37" s="87">
        <f t="shared" si="11"/>
        <v>11.4</v>
      </c>
      <c r="Y37" s="87">
        <f t="shared" si="11"/>
        <v>98.3</v>
      </c>
      <c r="Z37" s="66">
        <f t="shared" si="8"/>
        <v>12817</v>
      </c>
    </row>
    <row r="38" spans="1:26" x14ac:dyDescent="0.2">
      <c r="B38" s="67" t="s">
        <v>32</v>
      </c>
      <c r="C38" s="87">
        <f t="shared" ref="C38:I39" si="12">IF(OR(C80=1,C80=2),"x",ROUND(C80/$J80*100,1))</f>
        <v>3.7</v>
      </c>
      <c r="D38" s="87">
        <f t="shared" si="12"/>
        <v>8.1</v>
      </c>
      <c r="E38" s="87">
        <f t="shared" si="12"/>
        <v>18.7</v>
      </c>
      <c r="F38" s="87">
        <f t="shared" si="12"/>
        <v>24.2</v>
      </c>
      <c r="G38" s="87">
        <f t="shared" si="12"/>
        <v>23.5</v>
      </c>
      <c r="H38" s="87">
        <f t="shared" si="12"/>
        <v>14.4</v>
      </c>
      <c r="I38" s="87">
        <f t="shared" si="12"/>
        <v>92.7</v>
      </c>
      <c r="J38" s="66">
        <f t="shared" si="4"/>
        <v>8191</v>
      </c>
      <c r="K38" s="87">
        <f t="shared" ref="K38:Q39" si="13">IF(OR(K80=1,K80=2),"x",ROUND(K80/$R80*100,1))</f>
        <v>5.4</v>
      </c>
      <c r="L38" s="87">
        <f t="shared" si="13"/>
        <v>10.5</v>
      </c>
      <c r="M38" s="87">
        <f t="shared" si="13"/>
        <v>22.8</v>
      </c>
      <c r="N38" s="87">
        <f t="shared" si="13"/>
        <v>26.5</v>
      </c>
      <c r="O38" s="87">
        <f t="shared" si="13"/>
        <v>20.399999999999999</v>
      </c>
      <c r="P38" s="87">
        <f t="shared" si="13"/>
        <v>10.4</v>
      </c>
      <c r="Q38" s="87">
        <f t="shared" si="13"/>
        <v>95.9</v>
      </c>
      <c r="R38" s="66">
        <f t="shared" si="6"/>
        <v>9857</v>
      </c>
      <c r="S38" s="87">
        <f t="shared" ref="S38:Y39" si="14">IF(OR(S80=1,S80=2),"x",ROUND(S80/$Z80*100,1))</f>
        <v>4.5999999999999996</v>
      </c>
      <c r="T38" s="87">
        <f t="shared" si="14"/>
        <v>9.4</v>
      </c>
      <c r="U38" s="87">
        <f t="shared" si="14"/>
        <v>20.9</v>
      </c>
      <c r="V38" s="87">
        <f t="shared" si="14"/>
        <v>25.4</v>
      </c>
      <c r="W38" s="87">
        <f t="shared" si="14"/>
        <v>21.8</v>
      </c>
      <c r="X38" s="87">
        <f t="shared" si="14"/>
        <v>12.2</v>
      </c>
      <c r="Y38" s="87">
        <f t="shared" si="14"/>
        <v>94.4</v>
      </c>
      <c r="Z38" s="66">
        <f t="shared" si="8"/>
        <v>18048</v>
      </c>
    </row>
    <row r="39" spans="1:26" x14ac:dyDescent="0.2">
      <c r="B39" s="67" t="s">
        <v>46</v>
      </c>
      <c r="C39" s="87">
        <f t="shared" si="12"/>
        <v>9</v>
      </c>
      <c r="D39" s="87">
        <f t="shared" si="12"/>
        <v>17.3</v>
      </c>
      <c r="E39" s="87">
        <f t="shared" si="12"/>
        <v>24.9</v>
      </c>
      <c r="F39" s="87">
        <f t="shared" si="12"/>
        <v>23.9</v>
      </c>
      <c r="G39" s="87">
        <f t="shared" si="12"/>
        <v>16</v>
      </c>
      <c r="H39" s="87">
        <f t="shared" si="12"/>
        <v>7.3</v>
      </c>
      <c r="I39" s="87">
        <f t="shared" si="12"/>
        <v>98.4</v>
      </c>
      <c r="J39" s="66">
        <f t="shared" si="4"/>
        <v>341068</v>
      </c>
      <c r="K39" s="87">
        <f t="shared" si="13"/>
        <v>8.1</v>
      </c>
      <c r="L39" s="87">
        <f t="shared" si="13"/>
        <v>18.399999999999999</v>
      </c>
      <c r="M39" s="87">
        <f t="shared" si="13"/>
        <v>28.5</v>
      </c>
      <c r="N39" s="87">
        <f t="shared" si="13"/>
        <v>25.1</v>
      </c>
      <c r="O39" s="87">
        <f t="shared" si="13"/>
        <v>13.8</v>
      </c>
      <c r="P39" s="87">
        <f t="shared" si="13"/>
        <v>5.0999999999999996</v>
      </c>
      <c r="Q39" s="87">
        <f t="shared" si="13"/>
        <v>99</v>
      </c>
      <c r="R39" s="66">
        <f t="shared" si="6"/>
        <v>417700</v>
      </c>
      <c r="S39" s="87">
        <f t="shared" si="14"/>
        <v>8.5</v>
      </c>
      <c r="T39" s="87">
        <f t="shared" si="14"/>
        <v>17.899999999999999</v>
      </c>
      <c r="U39" s="87">
        <f t="shared" si="14"/>
        <v>26.8</v>
      </c>
      <c r="V39" s="87">
        <f t="shared" si="14"/>
        <v>24.6</v>
      </c>
      <c r="W39" s="87">
        <f t="shared" si="14"/>
        <v>14.8</v>
      </c>
      <c r="X39" s="87">
        <f t="shared" si="14"/>
        <v>6.1</v>
      </c>
      <c r="Y39" s="87">
        <f t="shared" si="14"/>
        <v>98.7</v>
      </c>
      <c r="Z39" s="66">
        <f t="shared" si="8"/>
        <v>758768</v>
      </c>
    </row>
    <row r="41" spans="1:26" ht="15" x14ac:dyDescent="0.2">
      <c r="A41" s="130" t="s">
        <v>136</v>
      </c>
    </row>
    <row r="42" spans="1:26" x14ac:dyDescent="0.2">
      <c r="A42" s="132" t="s">
        <v>137</v>
      </c>
    </row>
    <row r="44" spans="1:26" x14ac:dyDescent="0.2">
      <c r="A44" s="125"/>
      <c r="B44" s="125"/>
      <c r="C44" s="125" t="s">
        <v>42</v>
      </c>
      <c r="D44" s="125"/>
      <c r="E44" s="125"/>
      <c r="F44" s="125"/>
      <c r="G44" s="125"/>
      <c r="H44" s="125"/>
      <c r="I44" s="125"/>
      <c r="J44" s="125"/>
      <c r="K44" s="125" t="s">
        <v>43</v>
      </c>
      <c r="L44" s="125"/>
      <c r="M44" s="125"/>
      <c r="N44" s="125"/>
      <c r="O44" s="125"/>
      <c r="P44" s="125"/>
      <c r="Q44" s="125"/>
      <c r="R44" s="125"/>
      <c r="S44" s="125" t="s">
        <v>141</v>
      </c>
      <c r="T44" s="125"/>
      <c r="U44" s="125"/>
      <c r="V44" s="125"/>
      <c r="W44" s="125"/>
      <c r="X44" s="125"/>
      <c r="Y44" s="125"/>
      <c r="Z44" s="125"/>
    </row>
    <row r="45" spans="1:26" x14ac:dyDescent="0.2">
      <c r="A45" s="125"/>
      <c r="B45" s="125"/>
      <c r="C45" s="134" t="s">
        <v>69</v>
      </c>
      <c r="D45" s="134" t="s">
        <v>33</v>
      </c>
      <c r="E45" s="134" t="s">
        <v>34</v>
      </c>
      <c r="F45" s="134" t="s">
        <v>35</v>
      </c>
      <c r="G45" s="134" t="s">
        <v>36</v>
      </c>
      <c r="H45" s="134" t="s">
        <v>37</v>
      </c>
      <c r="I45" s="134" t="s">
        <v>140</v>
      </c>
      <c r="J45" s="134" t="s">
        <v>54</v>
      </c>
      <c r="K45" s="134" t="s">
        <v>69</v>
      </c>
      <c r="L45" s="134" t="s">
        <v>33</v>
      </c>
      <c r="M45" s="134" t="s">
        <v>34</v>
      </c>
      <c r="N45" s="134" t="s">
        <v>35</v>
      </c>
      <c r="O45" s="134" t="s">
        <v>36</v>
      </c>
      <c r="P45" s="134" t="s">
        <v>37</v>
      </c>
      <c r="Q45" s="134" t="s">
        <v>140</v>
      </c>
      <c r="R45" s="134" t="s">
        <v>54</v>
      </c>
      <c r="S45" s="134" t="s">
        <v>69</v>
      </c>
      <c r="T45" s="134" t="s">
        <v>33</v>
      </c>
      <c r="U45" s="134" t="s">
        <v>34</v>
      </c>
      <c r="V45" s="134" t="s">
        <v>35</v>
      </c>
      <c r="W45" s="134" t="s">
        <v>36</v>
      </c>
      <c r="X45" s="134" t="s">
        <v>37</v>
      </c>
      <c r="Y45" s="134" t="s">
        <v>140</v>
      </c>
      <c r="Z45" s="134" t="s">
        <v>54</v>
      </c>
    </row>
    <row r="46" spans="1:26" x14ac:dyDescent="0.2">
      <c r="A46" s="125"/>
      <c r="B46" s="125"/>
      <c r="C46" s="125"/>
      <c r="D46" s="125"/>
      <c r="E46" s="125"/>
      <c r="F46" s="125"/>
      <c r="G46" s="125"/>
      <c r="H46" s="125"/>
      <c r="I46" s="125"/>
      <c r="J46" s="125"/>
      <c r="K46" s="125"/>
      <c r="L46" s="125"/>
      <c r="M46" s="125"/>
      <c r="N46" s="125"/>
      <c r="O46" s="125"/>
      <c r="P46" s="125"/>
      <c r="Q46" s="125"/>
      <c r="R46" s="125"/>
      <c r="S46" s="125"/>
      <c r="T46" s="125"/>
      <c r="U46" s="125"/>
      <c r="V46" s="125"/>
      <c r="W46" s="125"/>
      <c r="X46" s="125"/>
      <c r="Y46" s="125"/>
      <c r="Z46" s="125"/>
    </row>
    <row r="47" spans="1:26" x14ac:dyDescent="0.2">
      <c r="A47" s="125"/>
      <c r="B47" s="125" t="s">
        <v>0</v>
      </c>
      <c r="C47">
        <v>1962</v>
      </c>
      <c r="D47">
        <v>3913</v>
      </c>
      <c r="E47">
        <v>4990</v>
      </c>
      <c r="F47">
        <v>4618</v>
      </c>
      <c r="G47">
        <v>3668</v>
      </c>
      <c r="H47">
        <v>2179</v>
      </c>
      <c r="I47">
        <v>21330</v>
      </c>
      <c r="J47">
        <v>21723</v>
      </c>
      <c r="K47">
        <v>3288</v>
      </c>
      <c r="L47">
        <v>6223</v>
      </c>
      <c r="M47">
        <v>7934</v>
      </c>
      <c r="N47">
        <v>7178</v>
      </c>
      <c r="O47">
        <v>5313</v>
      </c>
      <c r="P47">
        <v>3067</v>
      </c>
      <c r="Q47">
        <v>33003</v>
      </c>
      <c r="R47">
        <v>33437</v>
      </c>
      <c r="S47">
        <v>5250</v>
      </c>
      <c r="T47">
        <v>10136</v>
      </c>
      <c r="U47">
        <v>12924</v>
      </c>
      <c r="V47">
        <v>11796</v>
      </c>
      <c r="W47">
        <v>8981</v>
      </c>
      <c r="X47">
        <v>5246</v>
      </c>
      <c r="Y47">
        <v>54333</v>
      </c>
      <c r="Z47">
        <v>55160</v>
      </c>
    </row>
    <row r="48" spans="1:26" x14ac:dyDescent="0.2">
      <c r="A48" s="125"/>
      <c r="B48" s="125" t="s">
        <v>1</v>
      </c>
      <c r="C48">
        <v>2598</v>
      </c>
      <c r="D48">
        <v>5516</v>
      </c>
      <c r="E48">
        <v>6088</v>
      </c>
      <c r="F48">
        <v>4520</v>
      </c>
      <c r="G48">
        <v>3002</v>
      </c>
      <c r="H48">
        <v>1653</v>
      </c>
      <c r="I48">
        <v>23377</v>
      </c>
      <c r="J48">
        <v>23686</v>
      </c>
      <c r="K48">
        <v>1913</v>
      </c>
      <c r="L48">
        <v>5365</v>
      </c>
      <c r="M48">
        <v>6244</v>
      </c>
      <c r="N48">
        <v>4610</v>
      </c>
      <c r="O48">
        <v>2992</v>
      </c>
      <c r="P48">
        <v>1567</v>
      </c>
      <c r="Q48">
        <v>22691</v>
      </c>
      <c r="R48">
        <v>22940</v>
      </c>
      <c r="S48">
        <v>4511</v>
      </c>
      <c r="T48">
        <v>10881</v>
      </c>
      <c r="U48">
        <v>12332</v>
      </c>
      <c r="V48">
        <v>9130</v>
      </c>
      <c r="W48">
        <v>5994</v>
      </c>
      <c r="X48">
        <v>3220</v>
      </c>
      <c r="Y48">
        <v>46068</v>
      </c>
      <c r="Z48">
        <v>46626</v>
      </c>
    </row>
    <row r="49" spans="1:26" x14ac:dyDescent="0.2">
      <c r="A49" s="125"/>
      <c r="B49" s="125" t="s">
        <v>2</v>
      </c>
      <c r="C49">
        <v>2517</v>
      </c>
      <c r="D49">
        <v>5128</v>
      </c>
      <c r="E49">
        <v>5496</v>
      </c>
      <c r="F49">
        <v>4834</v>
      </c>
      <c r="G49">
        <v>3822</v>
      </c>
      <c r="H49">
        <v>2718</v>
      </c>
      <c r="I49">
        <v>24515</v>
      </c>
      <c r="J49">
        <v>25119</v>
      </c>
      <c r="K49">
        <v>766</v>
      </c>
      <c r="L49">
        <v>1618</v>
      </c>
      <c r="M49">
        <v>1562</v>
      </c>
      <c r="N49">
        <v>1213</v>
      </c>
      <c r="O49">
        <v>949</v>
      </c>
      <c r="P49">
        <v>594</v>
      </c>
      <c r="Q49">
        <v>6702</v>
      </c>
      <c r="R49">
        <v>6815</v>
      </c>
      <c r="S49">
        <v>3283</v>
      </c>
      <c r="T49">
        <v>6746</v>
      </c>
      <c r="U49">
        <v>7058</v>
      </c>
      <c r="V49">
        <v>6047</v>
      </c>
      <c r="W49">
        <v>4771</v>
      </c>
      <c r="X49">
        <v>3312</v>
      </c>
      <c r="Y49">
        <v>31217</v>
      </c>
      <c r="Z49">
        <v>31934</v>
      </c>
    </row>
    <row r="50" spans="1:26" x14ac:dyDescent="0.2">
      <c r="A50" s="125"/>
      <c r="B50" s="125" t="s">
        <v>3</v>
      </c>
      <c r="C50">
        <v>189</v>
      </c>
      <c r="D50">
        <v>514</v>
      </c>
      <c r="E50">
        <v>678</v>
      </c>
      <c r="F50">
        <v>683</v>
      </c>
      <c r="G50">
        <v>462</v>
      </c>
      <c r="H50">
        <v>217</v>
      </c>
      <c r="I50">
        <v>2743</v>
      </c>
      <c r="J50">
        <v>2796</v>
      </c>
      <c r="K50">
        <v>65</v>
      </c>
      <c r="L50">
        <v>209</v>
      </c>
      <c r="M50">
        <v>289</v>
      </c>
      <c r="N50">
        <v>311</v>
      </c>
      <c r="O50">
        <v>176</v>
      </c>
      <c r="P50">
        <v>90</v>
      </c>
      <c r="Q50">
        <v>1140</v>
      </c>
      <c r="R50">
        <v>1165</v>
      </c>
      <c r="S50">
        <v>254</v>
      </c>
      <c r="T50">
        <v>723</v>
      </c>
      <c r="U50">
        <v>967</v>
      </c>
      <c r="V50">
        <v>994</v>
      </c>
      <c r="W50">
        <v>638</v>
      </c>
      <c r="X50">
        <v>307</v>
      </c>
      <c r="Y50">
        <v>3883</v>
      </c>
      <c r="Z50">
        <v>3961</v>
      </c>
    </row>
    <row r="51" spans="1:26" x14ac:dyDescent="0.2">
      <c r="A51" s="125"/>
      <c r="B51" s="125" t="s">
        <v>4</v>
      </c>
      <c r="C51">
        <v>10082</v>
      </c>
      <c r="D51">
        <v>11738</v>
      </c>
      <c r="E51">
        <v>10600</v>
      </c>
      <c r="F51">
        <v>8019</v>
      </c>
      <c r="G51">
        <v>5659</v>
      </c>
      <c r="H51">
        <v>3393</v>
      </c>
      <c r="I51">
        <v>49491</v>
      </c>
      <c r="J51">
        <v>50210</v>
      </c>
      <c r="K51">
        <v>5035</v>
      </c>
      <c r="L51">
        <v>8101</v>
      </c>
      <c r="M51">
        <v>7388</v>
      </c>
      <c r="N51">
        <v>5350</v>
      </c>
      <c r="O51">
        <v>3619</v>
      </c>
      <c r="P51">
        <v>1994</v>
      </c>
      <c r="Q51">
        <v>31487</v>
      </c>
      <c r="R51">
        <v>31844</v>
      </c>
      <c r="S51">
        <v>15117</v>
      </c>
      <c r="T51">
        <v>19839</v>
      </c>
      <c r="U51">
        <v>17988</v>
      </c>
      <c r="V51">
        <v>13369</v>
      </c>
      <c r="W51">
        <v>9278</v>
      </c>
      <c r="X51">
        <v>5387</v>
      </c>
      <c r="Y51">
        <v>80978</v>
      </c>
      <c r="Z51">
        <v>82054</v>
      </c>
    </row>
    <row r="52" spans="1:26" x14ac:dyDescent="0.2">
      <c r="A52" s="125"/>
      <c r="B52" s="125" t="s">
        <v>5</v>
      </c>
      <c r="C52">
        <v>2881</v>
      </c>
      <c r="D52">
        <v>2747</v>
      </c>
      <c r="E52">
        <v>2031</v>
      </c>
      <c r="F52">
        <v>1109</v>
      </c>
      <c r="G52">
        <v>675</v>
      </c>
      <c r="H52">
        <v>339</v>
      </c>
      <c r="I52">
        <v>9782</v>
      </c>
      <c r="J52">
        <v>9875</v>
      </c>
      <c r="K52">
        <v>1061</v>
      </c>
      <c r="L52">
        <v>1184</v>
      </c>
      <c r="M52">
        <v>759</v>
      </c>
      <c r="N52">
        <v>419</v>
      </c>
      <c r="O52">
        <v>237</v>
      </c>
      <c r="P52">
        <v>124</v>
      </c>
      <c r="Q52">
        <v>3784</v>
      </c>
      <c r="R52">
        <v>3816</v>
      </c>
      <c r="S52">
        <v>3942</v>
      </c>
      <c r="T52">
        <v>3931</v>
      </c>
      <c r="U52">
        <v>2790</v>
      </c>
      <c r="V52">
        <v>1528</v>
      </c>
      <c r="W52">
        <v>912</v>
      </c>
      <c r="X52">
        <v>463</v>
      </c>
      <c r="Y52">
        <v>13566</v>
      </c>
      <c r="Z52">
        <v>13691</v>
      </c>
    </row>
    <row r="53" spans="1:26" x14ac:dyDescent="0.2">
      <c r="A53" s="125"/>
      <c r="B53" s="125" t="s">
        <v>6</v>
      </c>
      <c r="C53">
        <v>218</v>
      </c>
      <c r="D53">
        <v>690</v>
      </c>
      <c r="E53">
        <v>1511</v>
      </c>
      <c r="F53">
        <v>1808</v>
      </c>
      <c r="G53">
        <v>1559</v>
      </c>
      <c r="H53">
        <v>675</v>
      </c>
      <c r="I53">
        <v>6461</v>
      </c>
      <c r="J53">
        <v>6589</v>
      </c>
      <c r="K53">
        <v>269</v>
      </c>
      <c r="L53">
        <v>684</v>
      </c>
      <c r="M53">
        <v>1329</v>
      </c>
      <c r="N53">
        <v>1243</v>
      </c>
      <c r="O53">
        <v>858</v>
      </c>
      <c r="P53">
        <v>315</v>
      </c>
      <c r="Q53">
        <v>4698</v>
      </c>
      <c r="R53">
        <v>4733</v>
      </c>
      <c r="S53">
        <v>487</v>
      </c>
      <c r="T53">
        <v>1374</v>
      </c>
      <c r="U53">
        <v>2840</v>
      </c>
      <c r="V53">
        <v>3051</v>
      </c>
      <c r="W53">
        <v>2417</v>
      </c>
      <c r="X53">
        <v>990</v>
      </c>
      <c r="Y53">
        <v>11159</v>
      </c>
      <c r="Z53">
        <v>11322</v>
      </c>
    </row>
    <row r="54" spans="1:26" x14ac:dyDescent="0.2">
      <c r="A54" s="125"/>
      <c r="B54" s="125" t="s">
        <v>168</v>
      </c>
      <c r="C54">
        <v>130</v>
      </c>
      <c r="D54">
        <v>567</v>
      </c>
      <c r="E54">
        <v>917</v>
      </c>
      <c r="F54">
        <v>1054</v>
      </c>
      <c r="G54">
        <v>974</v>
      </c>
      <c r="H54">
        <v>625</v>
      </c>
      <c r="I54">
        <v>4267</v>
      </c>
      <c r="J54">
        <v>4417</v>
      </c>
      <c r="K54">
        <v>18</v>
      </c>
      <c r="L54">
        <v>71</v>
      </c>
      <c r="M54">
        <v>94</v>
      </c>
      <c r="N54">
        <v>82</v>
      </c>
      <c r="O54">
        <v>94</v>
      </c>
      <c r="P54">
        <v>49</v>
      </c>
      <c r="Q54">
        <v>408</v>
      </c>
      <c r="R54">
        <v>417</v>
      </c>
      <c r="S54">
        <v>148</v>
      </c>
      <c r="T54">
        <v>638</v>
      </c>
      <c r="U54">
        <v>1011</v>
      </c>
      <c r="V54">
        <v>1136</v>
      </c>
      <c r="W54">
        <v>1068</v>
      </c>
      <c r="X54">
        <v>674</v>
      </c>
      <c r="Y54">
        <v>4675</v>
      </c>
      <c r="Z54">
        <v>4834</v>
      </c>
    </row>
    <row r="55" spans="1:26" x14ac:dyDescent="0.2">
      <c r="A55" s="125"/>
      <c r="B55" s="125" t="s">
        <v>8</v>
      </c>
      <c r="C55">
        <v>37</v>
      </c>
      <c r="D55">
        <v>269</v>
      </c>
      <c r="E55">
        <v>761</v>
      </c>
      <c r="F55">
        <v>1157</v>
      </c>
      <c r="G55">
        <v>1222</v>
      </c>
      <c r="H55">
        <v>664</v>
      </c>
      <c r="I55">
        <v>4110</v>
      </c>
      <c r="J55">
        <v>4250</v>
      </c>
      <c r="K55">
        <v>48</v>
      </c>
      <c r="L55">
        <v>252</v>
      </c>
      <c r="M55">
        <v>560</v>
      </c>
      <c r="N55">
        <v>638</v>
      </c>
      <c r="O55">
        <v>538</v>
      </c>
      <c r="P55">
        <v>257</v>
      </c>
      <c r="Q55">
        <v>2293</v>
      </c>
      <c r="R55">
        <v>2326</v>
      </c>
      <c r="S55">
        <v>85</v>
      </c>
      <c r="T55">
        <v>521</v>
      </c>
      <c r="U55">
        <v>1321</v>
      </c>
      <c r="V55">
        <v>1795</v>
      </c>
      <c r="W55">
        <v>1760</v>
      </c>
      <c r="X55">
        <v>921</v>
      </c>
      <c r="Y55">
        <v>6403</v>
      </c>
      <c r="Z55">
        <v>6576</v>
      </c>
    </row>
    <row r="56" spans="1:26" x14ac:dyDescent="0.2">
      <c r="A56" s="125"/>
      <c r="B56" s="125" t="s">
        <v>9</v>
      </c>
      <c r="C56">
        <v>1</v>
      </c>
      <c r="D56">
        <v>1</v>
      </c>
      <c r="E56">
        <v>7</v>
      </c>
      <c r="F56">
        <v>16</v>
      </c>
      <c r="G56">
        <v>10</v>
      </c>
      <c r="H56">
        <v>11</v>
      </c>
      <c r="I56">
        <v>46</v>
      </c>
      <c r="J56">
        <v>46</v>
      </c>
      <c r="K56">
        <v>5</v>
      </c>
      <c r="L56">
        <v>39</v>
      </c>
      <c r="M56">
        <v>77</v>
      </c>
      <c r="N56">
        <v>74</v>
      </c>
      <c r="O56">
        <v>30</v>
      </c>
      <c r="P56">
        <v>15</v>
      </c>
      <c r="Q56">
        <v>240</v>
      </c>
      <c r="R56">
        <v>246</v>
      </c>
      <c r="S56">
        <v>6</v>
      </c>
      <c r="T56">
        <v>40</v>
      </c>
      <c r="U56">
        <v>84</v>
      </c>
      <c r="V56">
        <v>90</v>
      </c>
      <c r="W56">
        <v>40</v>
      </c>
      <c r="X56">
        <v>26</v>
      </c>
      <c r="Y56">
        <v>286</v>
      </c>
      <c r="Z56">
        <v>292</v>
      </c>
    </row>
    <row r="57" spans="1:26" x14ac:dyDescent="0.2">
      <c r="A57" s="125"/>
      <c r="B57" s="125" t="s">
        <v>10</v>
      </c>
      <c r="C57">
        <v>14</v>
      </c>
      <c r="D57">
        <v>186</v>
      </c>
      <c r="E57">
        <v>416</v>
      </c>
      <c r="F57">
        <v>434</v>
      </c>
      <c r="G57">
        <v>352</v>
      </c>
      <c r="H57">
        <v>228</v>
      </c>
      <c r="I57">
        <v>1630</v>
      </c>
      <c r="J57">
        <v>1701</v>
      </c>
      <c r="K57">
        <v>15</v>
      </c>
      <c r="L57">
        <v>98</v>
      </c>
      <c r="M57">
        <v>158</v>
      </c>
      <c r="N57">
        <v>222</v>
      </c>
      <c r="O57">
        <v>181</v>
      </c>
      <c r="P57">
        <v>117</v>
      </c>
      <c r="Q57">
        <v>791</v>
      </c>
      <c r="R57">
        <v>829</v>
      </c>
      <c r="S57">
        <v>29</v>
      </c>
      <c r="T57">
        <v>284</v>
      </c>
      <c r="U57">
        <v>574</v>
      </c>
      <c r="V57">
        <v>656</v>
      </c>
      <c r="W57">
        <v>533</v>
      </c>
      <c r="X57">
        <v>345</v>
      </c>
      <c r="Y57">
        <v>2421</v>
      </c>
      <c r="Z57">
        <v>2530</v>
      </c>
    </row>
    <row r="58" spans="1:26" x14ac:dyDescent="0.2">
      <c r="A58" s="125"/>
      <c r="B58" s="125" t="s">
        <v>11</v>
      </c>
      <c r="C58">
        <v>461</v>
      </c>
      <c r="D58">
        <v>1520</v>
      </c>
      <c r="E58">
        <v>3902</v>
      </c>
      <c r="F58">
        <v>4481</v>
      </c>
      <c r="G58">
        <v>2868</v>
      </c>
      <c r="H58">
        <v>1056</v>
      </c>
      <c r="I58">
        <v>14288</v>
      </c>
      <c r="J58">
        <v>14489</v>
      </c>
      <c r="K58">
        <v>382</v>
      </c>
      <c r="L58">
        <v>1184</v>
      </c>
      <c r="M58">
        <v>2738</v>
      </c>
      <c r="N58">
        <v>2845</v>
      </c>
      <c r="O58">
        <v>1805</v>
      </c>
      <c r="P58">
        <v>699</v>
      </c>
      <c r="Q58">
        <v>9653</v>
      </c>
      <c r="R58">
        <v>9785</v>
      </c>
      <c r="S58">
        <v>843</v>
      </c>
      <c r="T58">
        <v>2704</v>
      </c>
      <c r="U58">
        <v>6640</v>
      </c>
      <c r="V58">
        <v>7326</v>
      </c>
      <c r="W58">
        <v>4673</v>
      </c>
      <c r="X58">
        <v>1755</v>
      </c>
      <c r="Y58">
        <v>23941</v>
      </c>
      <c r="Z58">
        <v>24274</v>
      </c>
    </row>
    <row r="59" spans="1:26" x14ac:dyDescent="0.2">
      <c r="A59" s="125"/>
      <c r="B59" s="125" t="s">
        <v>12</v>
      </c>
      <c r="C59">
        <v>1368</v>
      </c>
      <c r="D59">
        <v>3922</v>
      </c>
      <c r="E59">
        <v>5216</v>
      </c>
      <c r="F59">
        <v>3932</v>
      </c>
      <c r="G59">
        <v>2160</v>
      </c>
      <c r="H59">
        <v>908</v>
      </c>
      <c r="I59">
        <v>17506</v>
      </c>
      <c r="J59">
        <v>17705</v>
      </c>
      <c r="K59">
        <v>853</v>
      </c>
      <c r="L59">
        <v>2162</v>
      </c>
      <c r="M59">
        <v>2455</v>
      </c>
      <c r="N59">
        <v>1722</v>
      </c>
      <c r="O59">
        <v>877</v>
      </c>
      <c r="P59">
        <v>362</v>
      </c>
      <c r="Q59">
        <v>8431</v>
      </c>
      <c r="R59">
        <v>8525</v>
      </c>
      <c r="S59">
        <v>2221</v>
      </c>
      <c r="T59">
        <v>6084</v>
      </c>
      <c r="U59">
        <v>7671</v>
      </c>
      <c r="V59">
        <v>5654</v>
      </c>
      <c r="W59">
        <v>3037</v>
      </c>
      <c r="X59">
        <v>1270</v>
      </c>
      <c r="Y59">
        <v>25937</v>
      </c>
      <c r="Z59">
        <v>26230</v>
      </c>
    </row>
    <row r="60" spans="1:26" x14ac:dyDescent="0.2">
      <c r="A60" s="125"/>
      <c r="B60" s="125" t="s">
        <v>13</v>
      </c>
      <c r="C60">
        <v>911</v>
      </c>
      <c r="D60">
        <v>2935</v>
      </c>
      <c r="E60">
        <v>4827</v>
      </c>
      <c r="F60">
        <v>4429</v>
      </c>
      <c r="G60">
        <v>2661</v>
      </c>
      <c r="H60">
        <v>818</v>
      </c>
      <c r="I60">
        <v>16581</v>
      </c>
      <c r="J60">
        <v>16706</v>
      </c>
      <c r="K60">
        <v>1617</v>
      </c>
      <c r="L60">
        <v>4099</v>
      </c>
      <c r="M60">
        <v>5135</v>
      </c>
      <c r="N60">
        <v>3826</v>
      </c>
      <c r="O60">
        <v>1884</v>
      </c>
      <c r="P60">
        <v>523</v>
      </c>
      <c r="Q60">
        <v>17084</v>
      </c>
      <c r="R60">
        <v>17148</v>
      </c>
      <c r="S60">
        <v>2528</v>
      </c>
      <c r="T60">
        <v>7034</v>
      </c>
      <c r="U60">
        <v>9962</v>
      </c>
      <c r="V60">
        <v>8255</v>
      </c>
      <c r="W60">
        <v>4545</v>
      </c>
      <c r="X60">
        <v>1341</v>
      </c>
      <c r="Y60">
        <v>33665</v>
      </c>
      <c r="Z60">
        <v>33854</v>
      </c>
    </row>
    <row r="61" spans="1:26" x14ac:dyDescent="0.2">
      <c r="A61" s="125"/>
      <c r="B61" s="125" t="s">
        <v>14</v>
      </c>
      <c r="C61">
        <v>480</v>
      </c>
      <c r="D61">
        <v>1447</v>
      </c>
      <c r="E61">
        <v>2063</v>
      </c>
      <c r="F61">
        <v>1845</v>
      </c>
      <c r="G61">
        <v>1121</v>
      </c>
      <c r="H61">
        <v>388</v>
      </c>
      <c r="I61">
        <v>7344</v>
      </c>
      <c r="J61">
        <v>7419</v>
      </c>
      <c r="K61">
        <v>552</v>
      </c>
      <c r="L61">
        <v>1323</v>
      </c>
      <c r="M61">
        <v>1685</v>
      </c>
      <c r="N61">
        <v>1280</v>
      </c>
      <c r="O61">
        <v>722</v>
      </c>
      <c r="P61">
        <v>334</v>
      </c>
      <c r="Q61">
        <v>5896</v>
      </c>
      <c r="R61">
        <v>5971</v>
      </c>
      <c r="S61">
        <v>1032</v>
      </c>
      <c r="T61">
        <v>2770</v>
      </c>
      <c r="U61">
        <v>3748</v>
      </c>
      <c r="V61">
        <v>3125</v>
      </c>
      <c r="W61">
        <v>1843</v>
      </c>
      <c r="X61">
        <v>722</v>
      </c>
      <c r="Y61">
        <v>13240</v>
      </c>
      <c r="Z61">
        <v>13390</v>
      </c>
    </row>
    <row r="62" spans="1:26" x14ac:dyDescent="0.2">
      <c r="A62" s="125"/>
      <c r="B62" s="125" t="s">
        <v>15</v>
      </c>
      <c r="C62">
        <v>1272</v>
      </c>
      <c r="D62">
        <v>3886</v>
      </c>
      <c r="E62">
        <v>6934</v>
      </c>
      <c r="F62">
        <v>6597</v>
      </c>
      <c r="G62">
        <v>3364</v>
      </c>
      <c r="H62">
        <v>908</v>
      </c>
      <c r="I62">
        <v>22961</v>
      </c>
      <c r="J62">
        <v>23077</v>
      </c>
      <c r="K62">
        <v>1899</v>
      </c>
      <c r="L62">
        <v>5179</v>
      </c>
      <c r="M62">
        <v>8424</v>
      </c>
      <c r="N62">
        <v>6912</v>
      </c>
      <c r="O62">
        <v>3199</v>
      </c>
      <c r="P62">
        <v>785</v>
      </c>
      <c r="Q62">
        <v>26398</v>
      </c>
      <c r="R62">
        <v>26514</v>
      </c>
      <c r="S62">
        <v>3171</v>
      </c>
      <c r="T62">
        <v>9065</v>
      </c>
      <c r="U62">
        <v>15358</v>
      </c>
      <c r="V62">
        <v>13509</v>
      </c>
      <c r="W62">
        <v>6563</v>
      </c>
      <c r="X62">
        <v>1693</v>
      </c>
      <c r="Y62">
        <v>49359</v>
      </c>
      <c r="Z62">
        <v>49591</v>
      </c>
    </row>
    <row r="63" spans="1:26" x14ac:dyDescent="0.2">
      <c r="A63" s="125"/>
      <c r="B63" s="125" t="s">
        <v>16</v>
      </c>
      <c r="C63">
        <v>159</v>
      </c>
      <c r="D63">
        <v>366</v>
      </c>
      <c r="E63">
        <v>885</v>
      </c>
      <c r="F63">
        <v>951</v>
      </c>
      <c r="G63">
        <v>709</v>
      </c>
      <c r="H63">
        <v>348</v>
      </c>
      <c r="I63">
        <v>3418</v>
      </c>
      <c r="J63">
        <v>3542</v>
      </c>
      <c r="K63">
        <v>376</v>
      </c>
      <c r="L63">
        <v>901</v>
      </c>
      <c r="M63">
        <v>1664</v>
      </c>
      <c r="N63">
        <v>1547</v>
      </c>
      <c r="O63">
        <v>1067</v>
      </c>
      <c r="P63">
        <v>519</v>
      </c>
      <c r="Q63">
        <v>6074</v>
      </c>
      <c r="R63">
        <v>6229</v>
      </c>
      <c r="S63">
        <v>535</v>
      </c>
      <c r="T63">
        <v>1267</v>
      </c>
      <c r="U63">
        <v>2549</v>
      </c>
      <c r="V63">
        <v>2498</v>
      </c>
      <c r="W63">
        <v>1776</v>
      </c>
      <c r="X63">
        <v>867</v>
      </c>
      <c r="Y63">
        <v>9492</v>
      </c>
      <c r="Z63">
        <v>9771</v>
      </c>
    </row>
    <row r="64" spans="1:26" x14ac:dyDescent="0.2">
      <c r="A64" s="125"/>
      <c r="B64" s="125" t="s">
        <v>17</v>
      </c>
      <c r="C64">
        <v>298</v>
      </c>
      <c r="D64">
        <v>1052</v>
      </c>
      <c r="E64">
        <v>2905</v>
      </c>
      <c r="F64">
        <v>3651</v>
      </c>
      <c r="G64">
        <v>2909</v>
      </c>
      <c r="H64">
        <v>1533</v>
      </c>
      <c r="I64">
        <v>12348</v>
      </c>
      <c r="J64">
        <v>12767</v>
      </c>
      <c r="K64">
        <v>2149</v>
      </c>
      <c r="L64">
        <v>5974</v>
      </c>
      <c r="M64">
        <v>11460</v>
      </c>
      <c r="N64">
        <v>10879</v>
      </c>
      <c r="O64">
        <v>6835</v>
      </c>
      <c r="P64">
        <v>2743</v>
      </c>
      <c r="Q64">
        <v>40040</v>
      </c>
      <c r="R64">
        <v>40716</v>
      </c>
      <c r="S64">
        <v>2447</v>
      </c>
      <c r="T64">
        <v>7026</v>
      </c>
      <c r="U64">
        <v>14365</v>
      </c>
      <c r="V64">
        <v>14530</v>
      </c>
      <c r="W64">
        <v>9744</v>
      </c>
      <c r="X64">
        <v>4276</v>
      </c>
      <c r="Y64">
        <v>52388</v>
      </c>
      <c r="Z64">
        <v>53483</v>
      </c>
    </row>
    <row r="65" spans="1:26" x14ac:dyDescent="0.2">
      <c r="A65" s="125"/>
      <c r="B65" s="125" t="s">
        <v>18</v>
      </c>
      <c r="C65">
        <v>202</v>
      </c>
      <c r="D65">
        <v>678</v>
      </c>
      <c r="E65">
        <v>1993</v>
      </c>
      <c r="F65">
        <v>2172</v>
      </c>
      <c r="G65">
        <v>1230</v>
      </c>
      <c r="H65">
        <v>453</v>
      </c>
      <c r="I65">
        <v>6728</v>
      </c>
      <c r="J65">
        <v>6864</v>
      </c>
      <c r="K65">
        <v>1045</v>
      </c>
      <c r="L65">
        <v>3405</v>
      </c>
      <c r="M65">
        <v>7116</v>
      </c>
      <c r="N65">
        <v>6577</v>
      </c>
      <c r="O65">
        <v>3225</v>
      </c>
      <c r="P65">
        <v>1121</v>
      </c>
      <c r="Q65">
        <v>22489</v>
      </c>
      <c r="R65">
        <v>22804</v>
      </c>
      <c r="S65">
        <v>1247</v>
      </c>
      <c r="T65">
        <v>4083</v>
      </c>
      <c r="U65">
        <v>9109</v>
      </c>
      <c r="V65">
        <v>8749</v>
      </c>
      <c r="W65">
        <v>4455</v>
      </c>
      <c r="X65">
        <v>1574</v>
      </c>
      <c r="Y65">
        <v>29217</v>
      </c>
      <c r="Z65">
        <v>29668</v>
      </c>
    </row>
    <row r="66" spans="1:26" x14ac:dyDescent="0.2">
      <c r="A66" s="125"/>
      <c r="B66" s="125" t="s">
        <v>73</v>
      </c>
      <c r="C66">
        <v>67</v>
      </c>
      <c r="D66">
        <v>206</v>
      </c>
      <c r="E66">
        <v>430</v>
      </c>
      <c r="F66">
        <v>395</v>
      </c>
      <c r="G66">
        <v>264</v>
      </c>
      <c r="H66">
        <v>118</v>
      </c>
      <c r="I66">
        <v>1480</v>
      </c>
      <c r="J66">
        <v>1538</v>
      </c>
      <c r="K66">
        <v>124</v>
      </c>
      <c r="L66">
        <v>302</v>
      </c>
      <c r="M66">
        <v>604</v>
      </c>
      <c r="N66">
        <v>513</v>
      </c>
      <c r="O66">
        <v>334</v>
      </c>
      <c r="P66">
        <v>149</v>
      </c>
      <c r="Q66">
        <v>2026</v>
      </c>
      <c r="R66">
        <v>2073</v>
      </c>
      <c r="S66">
        <v>191</v>
      </c>
      <c r="T66">
        <v>508</v>
      </c>
      <c r="U66">
        <v>1034</v>
      </c>
      <c r="V66">
        <v>908</v>
      </c>
      <c r="W66">
        <v>598</v>
      </c>
      <c r="X66">
        <v>267</v>
      </c>
      <c r="Y66">
        <v>3506</v>
      </c>
      <c r="Z66">
        <v>3611</v>
      </c>
    </row>
    <row r="67" spans="1:26" x14ac:dyDescent="0.2">
      <c r="A67" s="125"/>
      <c r="B67" s="125" t="s">
        <v>20</v>
      </c>
      <c r="C67">
        <v>1024</v>
      </c>
      <c r="D67">
        <v>1209</v>
      </c>
      <c r="E67">
        <v>2442</v>
      </c>
      <c r="F67">
        <v>2680</v>
      </c>
      <c r="G67">
        <v>1637</v>
      </c>
      <c r="H67">
        <v>537</v>
      </c>
      <c r="I67">
        <v>9529</v>
      </c>
      <c r="J67">
        <v>9631</v>
      </c>
      <c r="K67">
        <v>3866</v>
      </c>
      <c r="L67">
        <v>5421</v>
      </c>
      <c r="M67">
        <v>9444</v>
      </c>
      <c r="N67">
        <v>7886</v>
      </c>
      <c r="O67">
        <v>3491</v>
      </c>
      <c r="P67">
        <v>832</v>
      </c>
      <c r="Q67">
        <v>30940</v>
      </c>
      <c r="R67">
        <v>31123</v>
      </c>
      <c r="S67">
        <v>4890</v>
      </c>
      <c r="T67">
        <v>6630</v>
      </c>
      <c r="U67">
        <v>11886</v>
      </c>
      <c r="V67">
        <v>10566</v>
      </c>
      <c r="W67">
        <v>5128</v>
      </c>
      <c r="X67">
        <v>1369</v>
      </c>
      <c r="Y67">
        <v>40469</v>
      </c>
      <c r="Z67">
        <v>40754</v>
      </c>
    </row>
    <row r="68" spans="1:26" x14ac:dyDescent="0.2">
      <c r="A68" s="125"/>
      <c r="B68" s="125" t="s">
        <v>21</v>
      </c>
      <c r="C68">
        <v>103</v>
      </c>
      <c r="D68">
        <v>329</v>
      </c>
      <c r="E68">
        <v>1001</v>
      </c>
      <c r="F68">
        <v>1172</v>
      </c>
      <c r="G68">
        <v>859</v>
      </c>
      <c r="H68">
        <v>274</v>
      </c>
      <c r="I68">
        <v>3738</v>
      </c>
      <c r="J68">
        <v>3777</v>
      </c>
      <c r="K68">
        <v>398</v>
      </c>
      <c r="L68">
        <v>1070</v>
      </c>
      <c r="M68">
        <v>2666</v>
      </c>
      <c r="N68">
        <v>2478</v>
      </c>
      <c r="O68">
        <v>1207</v>
      </c>
      <c r="P68">
        <v>280</v>
      </c>
      <c r="Q68">
        <v>8099</v>
      </c>
      <c r="R68">
        <v>8136</v>
      </c>
      <c r="S68">
        <v>501</v>
      </c>
      <c r="T68">
        <v>1399</v>
      </c>
      <c r="U68">
        <v>3667</v>
      </c>
      <c r="V68">
        <v>3650</v>
      </c>
      <c r="W68">
        <v>2066</v>
      </c>
      <c r="X68">
        <v>554</v>
      </c>
      <c r="Y68">
        <v>11837</v>
      </c>
      <c r="Z68">
        <v>11913</v>
      </c>
    </row>
    <row r="69" spans="1:26" x14ac:dyDescent="0.2">
      <c r="A69" s="125"/>
      <c r="B69" s="125" t="s">
        <v>22</v>
      </c>
      <c r="C69">
        <v>1393</v>
      </c>
      <c r="D69">
        <v>2721</v>
      </c>
      <c r="E69">
        <v>6014</v>
      </c>
      <c r="F69">
        <v>7484</v>
      </c>
      <c r="G69">
        <v>4216</v>
      </c>
      <c r="H69">
        <v>887</v>
      </c>
      <c r="I69">
        <v>22715</v>
      </c>
      <c r="J69">
        <v>22820</v>
      </c>
      <c r="K69">
        <v>3603</v>
      </c>
      <c r="L69">
        <v>8351</v>
      </c>
      <c r="M69">
        <v>17765</v>
      </c>
      <c r="N69">
        <v>18832</v>
      </c>
      <c r="O69">
        <v>8553</v>
      </c>
      <c r="P69">
        <v>1451</v>
      </c>
      <c r="Q69">
        <v>58555</v>
      </c>
      <c r="R69">
        <v>58734</v>
      </c>
      <c r="S69">
        <v>4996</v>
      </c>
      <c r="T69">
        <v>11072</v>
      </c>
      <c r="U69">
        <v>23779</v>
      </c>
      <c r="V69">
        <v>26316</v>
      </c>
      <c r="W69">
        <v>12769</v>
      </c>
      <c r="X69">
        <v>2338</v>
      </c>
      <c r="Y69">
        <v>81270</v>
      </c>
      <c r="Z69">
        <v>81554</v>
      </c>
    </row>
    <row r="70" spans="1:26" x14ac:dyDescent="0.2">
      <c r="A70" s="125"/>
      <c r="B70" s="125" t="s">
        <v>61</v>
      </c>
      <c r="C70">
        <v>65</v>
      </c>
      <c r="D70">
        <v>499</v>
      </c>
      <c r="E70">
        <v>1984</v>
      </c>
      <c r="F70">
        <v>3088</v>
      </c>
      <c r="G70">
        <v>1852</v>
      </c>
      <c r="H70">
        <v>406</v>
      </c>
      <c r="I70">
        <v>7894</v>
      </c>
      <c r="J70">
        <v>7953</v>
      </c>
      <c r="K70">
        <v>172</v>
      </c>
      <c r="L70">
        <v>1278</v>
      </c>
      <c r="M70">
        <v>3845</v>
      </c>
      <c r="N70">
        <v>4035</v>
      </c>
      <c r="O70">
        <v>1595</v>
      </c>
      <c r="P70">
        <v>262</v>
      </c>
      <c r="Q70">
        <v>11187</v>
      </c>
      <c r="R70">
        <v>11237</v>
      </c>
      <c r="S70">
        <v>237</v>
      </c>
      <c r="T70">
        <v>1777</v>
      </c>
      <c r="U70">
        <v>5829</v>
      </c>
      <c r="V70">
        <v>7123</v>
      </c>
      <c r="W70">
        <v>3447</v>
      </c>
      <c r="X70">
        <v>668</v>
      </c>
      <c r="Y70">
        <v>19081</v>
      </c>
      <c r="Z70">
        <v>19190</v>
      </c>
    </row>
    <row r="71" spans="1:26" x14ac:dyDescent="0.2">
      <c r="A71" s="125"/>
      <c r="B71" s="125" t="s">
        <v>23</v>
      </c>
      <c r="C71">
        <v>71</v>
      </c>
      <c r="D71">
        <v>313</v>
      </c>
      <c r="E71">
        <v>1248</v>
      </c>
      <c r="F71">
        <v>1571</v>
      </c>
      <c r="G71">
        <v>636</v>
      </c>
      <c r="H71">
        <v>120</v>
      </c>
      <c r="I71">
        <v>3959</v>
      </c>
      <c r="J71">
        <v>3981</v>
      </c>
      <c r="K71">
        <v>135</v>
      </c>
      <c r="L71">
        <v>729</v>
      </c>
      <c r="M71">
        <v>2065</v>
      </c>
      <c r="N71">
        <v>1995</v>
      </c>
      <c r="O71">
        <v>646</v>
      </c>
      <c r="P71">
        <v>90</v>
      </c>
      <c r="Q71">
        <v>5660</v>
      </c>
      <c r="R71">
        <v>5673</v>
      </c>
      <c r="S71">
        <v>206</v>
      </c>
      <c r="T71">
        <v>1042</v>
      </c>
      <c r="U71">
        <v>3313</v>
      </c>
      <c r="V71">
        <v>3566</v>
      </c>
      <c r="W71">
        <v>1282</v>
      </c>
      <c r="X71">
        <v>210</v>
      </c>
      <c r="Y71">
        <v>9619</v>
      </c>
      <c r="Z71">
        <v>9654</v>
      </c>
    </row>
    <row r="72" spans="1:26" x14ac:dyDescent="0.2">
      <c r="A72" s="125"/>
      <c r="B72" s="125" t="s">
        <v>24</v>
      </c>
      <c r="C72">
        <v>255</v>
      </c>
      <c r="D72">
        <v>855</v>
      </c>
      <c r="E72">
        <v>766</v>
      </c>
      <c r="F72">
        <v>518</v>
      </c>
      <c r="G72">
        <v>273</v>
      </c>
      <c r="H72">
        <v>94</v>
      </c>
      <c r="I72">
        <v>2761</v>
      </c>
      <c r="J72">
        <v>2771</v>
      </c>
      <c r="K72">
        <v>509</v>
      </c>
      <c r="L72">
        <v>1863</v>
      </c>
      <c r="M72">
        <v>1837</v>
      </c>
      <c r="N72">
        <v>1160</v>
      </c>
      <c r="O72">
        <v>613</v>
      </c>
      <c r="P72">
        <v>217</v>
      </c>
      <c r="Q72">
        <v>6199</v>
      </c>
      <c r="R72">
        <v>6229</v>
      </c>
      <c r="S72">
        <v>764</v>
      </c>
      <c r="T72">
        <v>2718</v>
      </c>
      <c r="U72">
        <v>2603</v>
      </c>
      <c r="V72">
        <v>1678</v>
      </c>
      <c r="W72">
        <v>886</v>
      </c>
      <c r="X72">
        <v>311</v>
      </c>
      <c r="Y72">
        <v>8960</v>
      </c>
      <c r="Z72">
        <v>9000</v>
      </c>
    </row>
    <row r="73" spans="1:26" x14ac:dyDescent="0.2">
      <c r="A73" s="125"/>
      <c r="B73" s="125" t="s">
        <v>25</v>
      </c>
      <c r="C73">
        <v>113</v>
      </c>
      <c r="D73">
        <v>473</v>
      </c>
      <c r="E73">
        <v>397</v>
      </c>
      <c r="F73">
        <v>264</v>
      </c>
      <c r="G73">
        <v>137</v>
      </c>
      <c r="H73">
        <v>55</v>
      </c>
      <c r="I73">
        <v>1439</v>
      </c>
      <c r="J73">
        <v>1447</v>
      </c>
      <c r="K73">
        <v>178</v>
      </c>
      <c r="L73">
        <v>636</v>
      </c>
      <c r="M73">
        <v>608</v>
      </c>
      <c r="N73">
        <v>420</v>
      </c>
      <c r="O73">
        <v>245</v>
      </c>
      <c r="P73">
        <v>80</v>
      </c>
      <c r="Q73">
        <v>2167</v>
      </c>
      <c r="R73">
        <v>2176</v>
      </c>
      <c r="S73">
        <v>291</v>
      </c>
      <c r="T73">
        <v>1109</v>
      </c>
      <c r="U73">
        <v>1005</v>
      </c>
      <c r="V73">
        <v>684</v>
      </c>
      <c r="W73">
        <v>382</v>
      </c>
      <c r="X73">
        <v>135</v>
      </c>
      <c r="Y73">
        <v>3606</v>
      </c>
      <c r="Z73">
        <v>3623</v>
      </c>
    </row>
    <row r="74" spans="1:26" x14ac:dyDescent="0.2">
      <c r="A74" s="125"/>
      <c r="B74" s="125" t="s">
        <v>26</v>
      </c>
      <c r="C74">
        <v>230</v>
      </c>
      <c r="D74">
        <v>695</v>
      </c>
      <c r="E74">
        <v>816</v>
      </c>
      <c r="F74">
        <v>489</v>
      </c>
      <c r="G74">
        <v>229</v>
      </c>
      <c r="H74">
        <v>78</v>
      </c>
      <c r="I74">
        <v>2537</v>
      </c>
      <c r="J74">
        <v>2543</v>
      </c>
      <c r="K74">
        <v>418</v>
      </c>
      <c r="L74">
        <v>1359</v>
      </c>
      <c r="M74">
        <v>1561</v>
      </c>
      <c r="N74">
        <v>1044</v>
      </c>
      <c r="O74">
        <v>500</v>
      </c>
      <c r="P74">
        <v>161</v>
      </c>
      <c r="Q74">
        <v>5043</v>
      </c>
      <c r="R74">
        <v>5065</v>
      </c>
      <c r="S74">
        <v>648</v>
      </c>
      <c r="T74">
        <v>2054</v>
      </c>
      <c r="U74">
        <v>2377</v>
      </c>
      <c r="V74">
        <v>1533</v>
      </c>
      <c r="W74">
        <v>729</v>
      </c>
      <c r="X74">
        <v>239</v>
      </c>
      <c r="Y74">
        <v>7580</v>
      </c>
      <c r="Z74">
        <v>7608</v>
      </c>
    </row>
    <row r="75" spans="1:26" x14ac:dyDescent="0.2">
      <c r="A75" s="125"/>
      <c r="B75" s="125" t="s">
        <v>74</v>
      </c>
      <c r="C75">
        <v>419</v>
      </c>
      <c r="D75">
        <v>1131</v>
      </c>
      <c r="E75">
        <v>946</v>
      </c>
      <c r="F75">
        <v>372</v>
      </c>
      <c r="G75">
        <v>126</v>
      </c>
      <c r="H75">
        <v>66</v>
      </c>
      <c r="I75">
        <v>3060</v>
      </c>
      <c r="J75">
        <v>3101</v>
      </c>
      <c r="K75">
        <v>737</v>
      </c>
      <c r="L75">
        <v>1735</v>
      </c>
      <c r="M75">
        <v>1209</v>
      </c>
      <c r="N75">
        <v>428</v>
      </c>
      <c r="O75">
        <v>184</v>
      </c>
      <c r="P75">
        <v>82</v>
      </c>
      <c r="Q75">
        <v>4375</v>
      </c>
      <c r="R75">
        <v>4423</v>
      </c>
      <c r="S75">
        <v>1156</v>
      </c>
      <c r="T75">
        <v>2866</v>
      </c>
      <c r="U75">
        <v>2155</v>
      </c>
      <c r="V75">
        <v>800</v>
      </c>
      <c r="W75">
        <v>310</v>
      </c>
      <c r="X75">
        <v>148</v>
      </c>
      <c r="Y75">
        <v>7435</v>
      </c>
      <c r="Z75">
        <v>7524</v>
      </c>
    </row>
    <row r="76" spans="1:26" x14ac:dyDescent="0.2">
      <c r="A76" s="125"/>
      <c r="B76" s="125" t="s">
        <v>28</v>
      </c>
      <c r="C76">
        <v>261</v>
      </c>
      <c r="D76">
        <v>593</v>
      </c>
      <c r="E76">
        <v>766</v>
      </c>
      <c r="F76">
        <v>540</v>
      </c>
      <c r="G76">
        <v>302</v>
      </c>
      <c r="H76">
        <v>100</v>
      </c>
      <c r="I76">
        <v>2562</v>
      </c>
      <c r="J76">
        <v>2599</v>
      </c>
      <c r="K76">
        <v>391</v>
      </c>
      <c r="L76">
        <v>988</v>
      </c>
      <c r="M76">
        <v>1132</v>
      </c>
      <c r="N76">
        <v>695</v>
      </c>
      <c r="O76">
        <v>318</v>
      </c>
      <c r="P76">
        <v>98</v>
      </c>
      <c r="Q76">
        <v>3622</v>
      </c>
      <c r="R76">
        <v>3647</v>
      </c>
      <c r="S76">
        <v>652</v>
      </c>
      <c r="T76">
        <v>1581</v>
      </c>
      <c r="U76">
        <v>1898</v>
      </c>
      <c r="V76">
        <v>1235</v>
      </c>
      <c r="W76">
        <v>620</v>
      </c>
      <c r="X76">
        <v>198</v>
      </c>
      <c r="Y76">
        <v>6184</v>
      </c>
      <c r="Z76">
        <v>6246</v>
      </c>
    </row>
    <row r="77" spans="1:26" x14ac:dyDescent="0.2">
      <c r="A77" s="125"/>
      <c r="B77" s="125" t="s">
        <v>29</v>
      </c>
      <c r="C77">
        <v>381</v>
      </c>
      <c r="D77">
        <v>1154</v>
      </c>
      <c r="E77">
        <v>1872</v>
      </c>
      <c r="F77">
        <v>1699</v>
      </c>
      <c r="G77">
        <v>993</v>
      </c>
      <c r="H77">
        <v>418</v>
      </c>
      <c r="I77">
        <v>6517</v>
      </c>
      <c r="J77">
        <v>6617</v>
      </c>
      <c r="K77">
        <v>790</v>
      </c>
      <c r="L77">
        <v>2872</v>
      </c>
      <c r="M77">
        <v>4536</v>
      </c>
      <c r="N77">
        <v>3708</v>
      </c>
      <c r="O77">
        <v>1950</v>
      </c>
      <c r="P77">
        <v>676</v>
      </c>
      <c r="Q77">
        <v>14532</v>
      </c>
      <c r="R77">
        <v>14660</v>
      </c>
      <c r="S77">
        <v>1171</v>
      </c>
      <c r="T77">
        <v>4026</v>
      </c>
      <c r="U77">
        <v>6408</v>
      </c>
      <c r="V77">
        <v>5407</v>
      </c>
      <c r="W77">
        <v>2943</v>
      </c>
      <c r="X77">
        <v>1094</v>
      </c>
      <c r="Y77">
        <v>21049</v>
      </c>
      <c r="Z77">
        <v>21277</v>
      </c>
    </row>
    <row r="78" spans="1:26" x14ac:dyDescent="0.2">
      <c r="A78" s="125"/>
      <c r="B78" s="125" t="s">
        <v>30</v>
      </c>
      <c r="C78">
        <v>176</v>
      </c>
      <c r="D78">
        <v>514</v>
      </c>
      <c r="E78">
        <v>1003</v>
      </c>
      <c r="F78">
        <v>1117</v>
      </c>
      <c r="G78">
        <v>832</v>
      </c>
      <c r="H78">
        <v>340</v>
      </c>
      <c r="I78">
        <v>3982</v>
      </c>
      <c r="J78">
        <v>4027</v>
      </c>
      <c r="K78">
        <v>135</v>
      </c>
      <c r="L78">
        <v>444</v>
      </c>
      <c r="M78">
        <v>684</v>
      </c>
      <c r="N78">
        <v>721</v>
      </c>
      <c r="O78">
        <v>480</v>
      </c>
      <c r="P78">
        <v>193</v>
      </c>
      <c r="Q78">
        <v>2657</v>
      </c>
      <c r="R78">
        <v>2681</v>
      </c>
      <c r="S78">
        <v>311</v>
      </c>
      <c r="T78">
        <v>958</v>
      </c>
      <c r="U78">
        <v>1687</v>
      </c>
      <c r="V78">
        <v>1838</v>
      </c>
      <c r="W78">
        <v>1312</v>
      </c>
      <c r="X78">
        <v>533</v>
      </c>
      <c r="Y78">
        <v>6639</v>
      </c>
      <c r="Z78">
        <v>6708</v>
      </c>
    </row>
    <row r="79" spans="1:26" x14ac:dyDescent="0.2">
      <c r="A79" s="125"/>
      <c r="B79" s="125" t="s">
        <v>31</v>
      </c>
      <c r="C79">
        <v>186</v>
      </c>
      <c r="D79">
        <v>611</v>
      </c>
      <c r="E79">
        <v>1408</v>
      </c>
      <c r="F79">
        <v>1892</v>
      </c>
      <c r="G79">
        <v>1792</v>
      </c>
      <c r="H79">
        <v>1036</v>
      </c>
      <c r="I79">
        <v>6925</v>
      </c>
      <c r="J79">
        <v>7091</v>
      </c>
      <c r="K79">
        <v>348</v>
      </c>
      <c r="L79">
        <v>890</v>
      </c>
      <c r="M79">
        <v>1605</v>
      </c>
      <c r="N79">
        <v>1532</v>
      </c>
      <c r="O79">
        <v>877</v>
      </c>
      <c r="P79">
        <v>425</v>
      </c>
      <c r="Q79">
        <v>5677</v>
      </c>
      <c r="R79">
        <v>5726</v>
      </c>
      <c r="S79">
        <v>534</v>
      </c>
      <c r="T79">
        <v>1501</v>
      </c>
      <c r="U79">
        <v>3013</v>
      </c>
      <c r="V79">
        <v>3424</v>
      </c>
      <c r="W79">
        <v>2669</v>
      </c>
      <c r="X79">
        <v>1461</v>
      </c>
      <c r="Y79">
        <v>12602</v>
      </c>
      <c r="Z79">
        <v>12817</v>
      </c>
    </row>
    <row r="80" spans="1:26" x14ac:dyDescent="0.2">
      <c r="A80" s="125"/>
      <c r="B80" s="125" t="s">
        <v>32</v>
      </c>
      <c r="C80">
        <v>306</v>
      </c>
      <c r="D80">
        <v>665</v>
      </c>
      <c r="E80">
        <v>1533</v>
      </c>
      <c r="F80">
        <v>1981</v>
      </c>
      <c r="G80">
        <v>1926</v>
      </c>
      <c r="H80">
        <v>1179</v>
      </c>
      <c r="I80">
        <v>7590</v>
      </c>
      <c r="J80">
        <v>8191</v>
      </c>
      <c r="K80">
        <v>533</v>
      </c>
      <c r="L80">
        <v>1032</v>
      </c>
      <c r="M80">
        <v>2244</v>
      </c>
      <c r="N80">
        <v>2612</v>
      </c>
      <c r="O80">
        <v>2008</v>
      </c>
      <c r="P80">
        <v>1025</v>
      </c>
      <c r="Q80">
        <v>9454</v>
      </c>
      <c r="R80">
        <v>9857</v>
      </c>
      <c r="S80">
        <v>839</v>
      </c>
      <c r="T80">
        <v>1697</v>
      </c>
      <c r="U80">
        <v>3777</v>
      </c>
      <c r="V80">
        <v>4593</v>
      </c>
      <c r="W80">
        <v>3934</v>
      </c>
      <c r="X80">
        <v>2204</v>
      </c>
      <c r="Y80">
        <v>17044</v>
      </c>
      <c r="Z80">
        <v>18048</v>
      </c>
    </row>
    <row r="81" spans="1:26" x14ac:dyDescent="0.2">
      <c r="A81" s="125"/>
      <c r="B81" s="125" t="s">
        <v>54</v>
      </c>
      <c r="C81">
        <v>30830</v>
      </c>
      <c r="D81">
        <v>59043</v>
      </c>
      <c r="E81">
        <v>84846</v>
      </c>
      <c r="F81">
        <v>81572</v>
      </c>
      <c r="G81">
        <v>54501</v>
      </c>
      <c r="H81">
        <v>24822</v>
      </c>
      <c r="I81">
        <v>335614</v>
      </c>
      <c r="J81">
        <v>341068</v>
      </c>
      <c r="K81">
        <v>33693</v>
      </c>
      <c r="L81">
        <v>77041</v>
      </c>
      <c r="M81">
        <v>118876</v>
      </c>
      <c r="N81">
        <v>104987</v>
      </c>
      <c r="O81">
        <v>57602</v>
      </c>
      <c r="P81">
        <v>21296</v>
      </c>
      <c r="Q81">
        <v>413495</v>
      </c>
      <c r="R81">
        <v>417700</v>
      </c>
      <c r="S81">
        <v>64523</v>
      </c>
      <c r="T81">
        <v>136084</v>
      </c>
      <c r="U81">
        <v>203722</v>
      </c>
      <c r="V81">
        <v>186559</v>
      </c>
      <c r="W81">
        <v>112103</v>
      </c>
      <c r="X81">
        <v>46118</v>
      </c>
      <c r="Y81">
        <v>749109</v>
      </c>
      <c r="Z81">
        <v>758768</v>
      </c>
    </row>
    <row r="84" spans="1:26" x14ac:dyDescent="0.2">
      <c r="A84" t="s">
        <v>65</v>
      </c>
      <c r="B84" t="s">
        <v>92</v>
      </c>
      <c r="C84" t="s">
        <v>93</v>
      </c>
      <c r="D84" t="s">
        <v>94</v>
      </c>
      <c r="E84" t="s">
        <v>95</v>
      </c>
      <c r="F84" t="s">
        <v>96</v>
      </c>
      <c r="G84" t="s">
        <v>97</v>
      </c>
      <c r="H84" t="s">
        <v>98</v>
      </c>
      <c r="I84" t="s">
        <v>99</v>
      </c>
      <c r="J84" t="s">
        <v>58</v>
      </c>
    </row>
    <row r="85" spans="1:26" x14ac:dyDescent="0.2">
      <c r="A85" t="s">
        <v>66</v>
      </c>
      <c r="B85" t="s">
        <v>100</v>
      </c>
      <c r="C85">
        <v>30830</v>
      </c>
      <c r="D85">
        <v>59043</v>
      </c>
      <c r="E85">
        <v>84846</v>
      </c>
      <c r="F85">
        <v>81572</v>
      </c>
      <c r="G85">
        <v>54501</v>
      </c>
      <c r="H85">
        <v>24822</v>
      </c>
      <c r="I85">
        <v>335614</v>
      </c>
      <c r="J85">
        <v>341068</v>
      </c>
    </row>
    <row r="86" spans="1:26" x14ac:dyDescent="0.2">
      <c r="A86" t="s">
        <v>66</v>
      </c>
      <c r="B86" t="s">
        <v>101</v>
      </c>
      <c r="C86">
        <v>1962</v>
      </c>
      <c r="D86">
        <v>3913</v>
      </c>
      <c r="E86">
        <v>4990</v>
      </c>
      <c r="F86">
        <v>4618</v>
      </c>
      <c r="G86">
        <v>3668</v>
      </c>
      <c r="H86">
        <v>2179</v>
      </c>
      <c r="I86">
        <v>21330</v>
      </c>
      <c r="J86">
        <v>21723</v>
      </c>
    </row>
    <row r="87" spans="1:26" x14ac:dyDescent="0.2">
      <c r="A87" t="s">
        <v>66</v>
      </c>
      <c r="B87" t="s">
        <v>102</v>
      </c>
      <c r="C87">
        <v>2598</v>
      </c>
      <c r="D87">
        <v>5516</v>
      </c>
      <c r="E87">
        <v>6088</v>
      </c>
      <c r="F87">
        <v>4520</v>
      </c>
      <c r="G87">
        <v>3002</v>
      </c>
      <c r="H87">
        <v>1653</v>
      </c>
      <c r="I87">
        <v>23377</v>
      </c>
      <c r="J87">
        <v>23686</v>
      </c>
    </row>
    <row r="88" spans="1:26" x14ac:dyDescent="0.2">
      <c r="A88" t="s">
        <v>66</v>
      </c>
      <c r="B88" t="s">
        <v>103</v>
      </c>
      <c r="C88">
        <v>2517</v>
      </c>
      <c r="D88">
        <v>5128</v>
      </c>
      <c r="E88">
        <v>5496</v>
      </c>
      <c r="F88">
        <v>4834</v>
      </c>
      <c r="G88">
        <v>3822</v>
      </c>
      <c r="H88">
        <v>2718</v>
      </c>
      <c r="I88">
        <v>24515</v>
      </c>
      <c r="J88">
        <v>25119</v>
      </c>
    </row>
    <row r="89" spans="1:26" x14ac:dyDescent="0.2">
      <c r="A89" t="s">
        <v>66</v>
      </c>
      <c r="B89" t="s">
        <v>104</v>
      </c>
      <c r="C89">
        <v>189</v>
      </c>
      <c r="D89">
        <v>514</v>
      </c>
      <c r="E89">
        <v>678</v>
      </c>
      <c r="F89">
        <v>683</v>
      </c>
      <c r="G89">
        <v>462</v>
      </c>
      <c r="H89">
        <v>217</v>
      </c>
      <c r="I89">
        <v>2743</v>
      </c>
      <c r="J89">
        <v>2796</v>
      </c>
    </row>
    <row r="90" spans="1:26" x14ac:dyDescent="0.2">
      <c r="A90" t="s">
        <v>66</v>
      </c>
      <c r="B90" t="s">
        <v>105</v>
      </c>
      <c r="C90">
        <v>10082</v>
      </c>
      <c r="D90">
        <v>11738</v>
      </c>
      <c r="E90">
        <v>10600</v>
      </c>
      <c r="F90">
        <v>8019</v>
      </c>
      <c r="G90">
        <v>5659</v>
      </c>
      <c r="H90">
        <v>3393</v>
      </c>
      <c r="I90">
        <v>49491</v>
      </c>
      <c r="J90">
        <v>50210</v>
      </c>
    </row>
    <row r="91" spans="1:26" x14ac:dyDescent="0.2">
      <c r="A91" t="s">
        <v>66</v>
      </c>
      <c r="B91" t="s">
        <v>106</v>
      </c>
      <c r="C91">
        <v>2881</v>
      </c>
      <c r="D91">
        <v>2747</v>
      </c>
      <c r="E91">
        <v>2031</v>
      </c>
      <c r="F91">
        <v>1109</v>
      </c>
      <c r="G91">
        <v>675</v>
      </c>
      <c r="H91">
        <v>339</v>
      </c>
      <c r="I91">
        <v>9782</v>
      </c>
      <c r="J91">
        <v>9875</v>
      </c>
    </row>
    <row r="92" spans="1:26" x14ac:dyDescent="0.2">
      <c r="A92" t="s">
        <v>66</v>
      </c>
      <c r="B92" t="s">
        <v>107</v>
      </c>
      <c r="C92">
        <v>218</v>
      </c>
      <c r="D92">
        <v>690</v>
      </c>
      <c r="E92">
        <v>1511</v>
      </c>
      <c r="F92">
        <v>1808</v>
      </c>
      <c r="G92">
        <v>1559</v>
      </c>
      <c r="H92">
        <v>675</v>
      </c>
      <c r="I92">
        <v>6461</v>
      </c>
      <c r="J92">
        <v>6589</v>
      </c>
    </row>
    <row r="93" spans="1:26" x14ac:dyDescent="0.2">
      <c r="A93" t="s">
        <v>66</v>
      </c>
      <c r="B93" t="s">
        <v>239</v>
      </c>
      <c r="C93">
        <v>130</v>
      </c>
      <c r="D93">
        <v>567</v>
      </c>
      <c r="E93">
        <v>917</v>
      </c>
      <c r="F93">
        <v>1054</v>
      </c>
      <c r="G93">
        <v>974</v>
      </c>
      <c r="H93">
        <v>625</v>
      </c>
      <c r="I93">
        <v>4267</v>
      </c>
      <c r="J93">
        <v>4417</v>
      </c>
    </row>
    <row r="94" spans="1:26" x14ac:dyDescent="0.2">
      <c r="A94" t="s">
        <v>66</v>
      </c>
      <c r="B94" t="s">
        <v>109</v>
      </c>
      <c r="C94">
        <v>37</v>
      </c>
      <c r="D94">
        <v>269</v>
      </c>
      <c r="E94">
        <v>761</v>
      </c>
      <c r="F94">
        <v>1157</v>
      </c>
      <c r="G94">
        <v>1222</v>
      </c>
      <c r="H94">
        <v>664</v>
      </c>
      <c r="I94">
        <v>4110</v>
      </c>
      <c r="J94">
        <v>4250</v>
      </c>
    </row>
    <row r="95" spans="1:26" x14ac:dyDescent="0.2">
      <c r="A95" t="s">
        <v>66</v>
      </c>
      <c r="B95" t="s">
        <v>110</v>
      </c>
      <c r="C95">
        <v>1</v>
      </c>
      <c r="D95">
        <v>1</v>
      </c>
      <c r="E95">
        <v>7</v>
      </c>
      <c r="F95">
        <v>16</v>
      </c>
      <c r="G95">
        <v>10</v>
      </c>
      <c r="H95">
        <v>11</v>
      </c>
      <c r="I95">
        <v>46</v>
      </c>
      <c r="J95">
        <v>46</v>
      </c>
    </row>
    <row r="96" spans="1:26" x14ac:dyDescent="0.2">
      <c r="A96" t="s">
        <v>66</v>
      </c>
      <c r="B96" t="s">
        <v>111</v>
      </c>
      <c r="C96">
        <v>14</v>
      </c>
      <c r="D96">
        <v>186</v>
      </c>
      <c r="E96">
        <v>416</v>
      </c>
      <c r="F96">
        <v>434</v>
      </c>
      <c r="G96">
        <v>352</v>
      </c>
      <c r="H96">
        <v>228</v>
      </c>
      <c r="I96">
        <v>1630</v>
      </c>
      <c r="J96">
        <v>1701</v>
      </c>
    </row>
    <row r="97" spans="1:10" x14ac:dyDescent="0.2">
      <c r="A97" t="s">
        <v>66</v>
      </c>
      <c r="B97" t="s">
        <v>112</v>
      </c>
      <c r="C97">
        <v>461</v>
      </c>
      <c r="D97">
        <v>1520</v>
      </c>
      <c r="E97">
        <v>3902</v>
      </c>
      <c r="F97">
        <v>4481</v>
      </c>
      <c r="G97">
        <v>2868</v>
      </c>
      <c r="H97">
        <v>1056</v>
      </c>
      <c r="I97">
        <v>14288</v>
      </c>
      <c r="J97">
        <v>14489</v>
      </c>
    </row>
    <row r="98" spans="1:10" x14ac:dyDescent="0.2">
      <c r="A98" t="s">
        <v>66</v>
      </c>
      <c r="B98" t="s">
        <v>113</v>
      </c>
      <c r="C98">
        <v>1368</v>
      </c>
      <c r="D98">
        <v>3922</v>
      </c>
      <c r="E98">
        <v>5216</v>
      </c>
      <c r="F98">
        <v>3932</v>
      </c>
      <c r="G98">
        <v>2160</v>
      </c>
      <c r="H98">
        <v>908</v>
      </c>
      <c r="I98">
        <v>17506</v>
      </c>
      <c r="J98">
        <v>17705</v>
      </c>
    </row>
    <row r="99" spans="1:10" x14ac:dyDescent="0.2">
      <c r="A99" t="s">
        <v>66</v>
      </c>
      <c r="B99" t="s">
        <v>114</v>
      </c>
      <c r="C99">
        <v>911</v>
      </c>
      <c r="D99">
        <v>2935</v>
      </c>
      <c r="E99">
        <v>4827</v>
      </c>
      <c r="F99">
        <v>4429</v>
      </c>
      <c r="G99">
        <v>2661</v>
      </c>
      <c r="H99">
        <v>818</v>
      </c>
      <c r="I99">
        <v>16581</v>
      </c>
      <c r="J99">
        <v>16706</v>
      </c>
    </row>
    <row r="100" spans="1:10" x14ac:dyDescent="0.2">
      <c r="A100" t="s">
        <v>66</v>
      </c>
      <c r="B100" t="s">
        <v>115</v>
      </c>
      <c r="C100">
        <v>480</v>
      </c>
      <c r="D100">
        <v>1447</v>
      </c>
      <c r="E100">
        <v>2063</v>
      </c>
      <c r="F100">
        <v>1845</v>
      </c>
      <c r="G100">
        <v>1121</v>
      </c>
      <c r="H100">
        <v>388</v>
      </c>
      <c r="I100">
        <v>7344</v>
      </c>
      <c r="J100">
        <v>7419</v>
      </c>
    </row>
    <row r="101" spans="1:10" x14ac:dyDescent="0.2">
      <c r="A101" t="s">
        <v>66</v>
      </c>
      <c r="B101" t="s">
        <v>116</v>
      </c>
      <c r="C101">
        <v>1272</v>
      </c>
      <c r="D101">
        <v>3886</v>
      </c>
      <c r="E101">
        <v>6934</v>
      </c>
      <c r="F101">
        <v>6597</v>
      </c>
      <c r="G101">
        <v>3364</v>
      </c>
      <c r="H101">
        <v>908</v>
      </c>
      <c r="I101">
        <v>22961</v>
      </c>
      <c r="J101">
        <v>23077</v>
      </c>
    </row>
    <row r="102" spans="1:10" x14ac:dyDescent="0.2">
      <c r="A102" t="s">
        <v>66</v>
      </c>
      <c r="B102" t="s">
        <v>117</v>
      </c>
      <c r="C102">
        <v>159</v>
      </c>
      <c r="D102">
        <v>366</v>
      </c>
      <c r="E102">
        <v>885</v>
      </c>
      <c r="F102">
        <v>951</v>
      </c>
      <c r="G102">
        <v>709</v>
      </c>
      <c r="H102">
        <v>348</v>
      </c>
      <c r="I102">
        <v>3418</v>
      </c>
      <c r="J102">
        <v>3542</v>
      </c>
    </row>
    <row r="103" spans="1:10" x14ac:dyDescent="0.2">
      <c r="A103" t="s">
        <v>66</v>
      </c>
      <c r="B103" t="s">
        <v>118</v>
      </c>
      <c r="C103">
        <v>298</v>
      </c>
      <c r="D103">
        <v>1052</v>
      </c>
      <c r="E103">
        <v>2905</v>
      </c>
      <c r="F103">
        <v>3651</v>
      </c>
      <c r="G103">
        <v>2909</v>
      </c>
      <c r="H103">
        <v>1533</v>
      </c>
      <c r="I103">
        <v>12348</v>
      </c>
      <c r="J103">
        <v>12767</v>
      </c>
    </row>
    <row r="104" spans="1:10" x14ac:dyDescent="0.2">
      <c r="A104" t="s">
        <v>66</v>
      </c>
      <c r="B104" t="s">
        <v>119</v>
      </c>
      <c r="C104">
        <v>202</v>
      </c>
      <c r="D104">
        <v>678</v>
      </c>
      <c r="E104">
        <v>1993</v>
      </c>
      <c r="F104">
        <v>2172</v>
      </c>
      <c r="G104">
        <v>1230</v>
      </c>
      <c r="H104">
        <v>453</v>
      </c>
      <c r="I104">
        <v>6728</v>
      </c>
      <c r="J104">
        <v>6864</v>
      </c>
    </row>
    <row r="105" spans="1:10" x14ac:dyDescent="0.2">
      <c r="A105" t="s">
        <v>66</v>
      </c>
      <c r="B105" t="s">
        <v>120</v>
      </c>
      <c r="C105">
        <v>67</v>
      </c>
      <c r="D105">
        <v>206</v>
      </c>
      <c r="E105">
        <v>430</v>
      </c>
      <c r="F105">
        <v>395</v>
      </c>
      <c r="G105">
        <v>264</v>
      </c>
      <c r="H105">
        <v>118</v>
      </c>
      <c r="I105">
        <v>1480</v>
      </c>
      <c r="J105">
        <v>1538</v>
      </c>
    </row>
    <row r="106" spans="1:10" x14ac:dyDescent="0.2">
      <c r="A106" t="s">
        <v>66</v>
      </c>
      <c r="B106" t="s">
        <v>121</v>
      </c>
      <c r="C106">
        <v>1024</v>
      </c>
      <c r="D106">
        <v>1209</v>
      </c>
      <c r="E106">
        <v>2442</v>
      </c>
      <c r="F106">
        <v>2680</v>
      </c>
      <c r="G106">
        <v>1637</v>
      </c>
      <c r="H106">
        <v>537</v>
      </c>
      <c r="I106">
        <v>9529</v>
      </c>
      <c r="J106">
        <v>9631</v>
      </c>
    </row>
    <row r="107" spans="1:10" x14ac:dyDescent="0.2">
      <c r="A107" t="s">
        <v>66</v>
      </c>
      <c r="B107" t="s">
        <v>122</v>
      </c>
      <c r="C107">
        <v>103</v>
      </c>
      <c r="D107">
        <v>329</v>
      </c>
      <c r="E107">
        <v>1001</v>
      </c>
      <c r="F107">
        <v>1172</v>
      </c>
      <c r="G107">
        <v>859</v>
      </c>
      <c r="H107">
        <v>274</v>
      </c>
      <c r="I107">
        <v>3738</v>
      </c>
      <c r="J107">
        <v>3777</v>
      </c>
    </row>
    <row r="108" spans="1:10" x14ac:dyDescent="0.2">
      <c r="A108" t="s">
        <v>66</v>
      </c>
      <c r="B108" t="s">
        <v>123</v>
      </c>
      <c r="C108">
        <v>1393</v>
      </c>
      <c r="D108">
        <v>2721</v>
      </c>
      <c r="E108">
        <v>6014</v>
      </c>
      <c r="F108">
        <v>7484</v>
      </c>
      <c r="G108">
        <v>4216</v>
      </c>
      <c r="H108">
        <v>887</v>
      </c>
      <c r="I108">
        <v>22715</v>
      </c>
      <c r="J108">
        <v>22820</v>
      </c>
    </row>
    <row r="109" spans="1:10" x14ac:dyDescent="0.2">
      <c r="A109" t="s">
        <v>66</v>
      </c>
      <c r="B109" t="s">
        <v>124</v>
      </c>
      <c r="C109">
        <v>65</v>
      </c>
      <c r="D109">
        <v>499</v>
      </c>
      <c r="E109">
        <v>1984</v>
      </c>
      <c r="F109">
        <v>3088</v>
      </c>
      <c r="G109">
        <v>1852</v>
      </c>
      <c r="H109">
        <v>406</v>
      </c>
      <c r="I109">
        <v>7894</v>
      </c>
      <c r="J109">
        <v>7953</v>
      </c>
    </row>
    <row r="110" spans="1:10" x14ac:dyDescent="0.2">
      <c r="A110" t="s">
        <v>66</v>
      </c>
      <c r="B110" t="s">
        <v>125</v>
      </c>
      <c r="C110">
        <v>71</v>
      </c>
      <c r="D110">
        <v>313</v>
      </c>
      <c r="E110">
        <v>1248</v>
      </c>
      <c r="F110">
        <v>1571</v>
      </c>
      <c r="G110">
        <v>636</v>
      </c>
      <c r="H110">
        <v>120</v>
      </c>
      <c r="I110">
        <v>3959</v>
      </c>
      <c r="J110">
        <v>3981</v>
      </c>
    </row>
    <row r="111" spans="1:10" x14ac:dyDescent="0.2">
      <c r="A111" t="s">
        <v>66</v>
      </c>
      <c r="B111" t="s">
        <v>126</v>
      </c>
      <c r="C111">
        <v>255</v>
      </c>
      <c r="D111">
        <v>855</v>
      </c>
      <c r="E111">
        <v>766</v>
      </c>
      <c r="F111">
        <v>518</v>
      </c>
      <c r="G111">
        <v>273</v>
      </c>
      <c r="H111">
        <v>94</v>
      </c>
      <c r="I111">
        <v>2761</v>
      </c>
      <c r="J111">
        <v>2771</v>
      </c>
    </row>
    <row r="112" spans="1:10" x14ac:dyDescent="0.2">
      <c r="A112" t="s">
        <v>66</v>
      </c>
      <c r="B112" t="s">
        <v>127</v>
      </c>
      <c r="C112">
        <v>113</v>
      </c>
      <c r="D112">
        <v>473</v>
      </c>
      <c r="E112">
        <v>397</v>
      </c>
      <c r="F112">
        <v>264</v>
      </c>
      <c r="G112">
        <v>137</v>
      </c>
      <c r="H112">
        <v>55</v>
      </c>
      <c r="I112">
        <v>1439</v>
      </c>
      <c r="J112">
        <v>1447</v>
      </c>
    </row>
    <row r="113" spans="1:10" x14ac:dyDescent="0.2">
      <c r="A113" t="s">
        <v>66</v>
      </c>
      <c r="B113" t="s">
        <v>128</v>
      </c>
      <c r="C113">
        <v>230</v>
      </c>
      <c r="D113">
        <v>695</v>
      </c>
      <c r="E113">
        <v>816</v>
      </c>
      <c r="F113">
        <v>489</v>
      </c>
      <c r="G113">
        <v>229</v>
      </c>
      <c r="H113">
        <v>78</v>
      </c>
      <c r="I113">
        <v>2537</v>
      </c>
      <c r="J113">
        <v>2543</v>
      </c>
    </row>
    <row r="114" spans="1:10" x14ac:dyDescent="0.2">
      <c r="A114" t="s">
        <v>66</v>
      </c>
      <c r="B114" t="s">
        <v>129</v>
      </c>
      <c r="C114">
        <v>419</v>
      </c>
      <c r="D114">
        <v>1131</v>
      </c>
      <c r="E114">
        <v>946</v>
      </c>
      <c r="F114">
        <v>372</v>
      </c>
      <c r="G114">
        <v>126</v>
      </c>
      <c r="H114">
        <v>66</v>
      </c>
      <c r="I114">
        <v>3060</v>
      </c>
      <c r="J114">
        <v>3101</v>
      </c>
    </row>
    <row r="115" spans="1:10" x14ac:dyDescent="0.2">
      <c r="A115" t="s">
        <v>66</v>
      </c>
      <c r="B115" t="s">
        <v>130</v>
      </c>
      <c r="C115">
        <v>261</v>
      </c>
      <c r="D115">
        <v>593</v>
      </c>
      <c r="E115">
        <v>766</v>
      </c>
      <c r="F115">
        <v>540</v>
      </c>
      <c r="G115">
        <v>302</v>
      </c>
      <c r="H115">
        <v>100</v>
      </c>
      <c r="I115">
        <v>2562</v>
      </c>
      <c r="J115">
        <v>2599</v>
      </c>
    </row>
    <row r="116" spans="1:10" x14ac:dyDescent="0.2">
      <c r="A116" t="s">
        <v>66</v>
      </c>
      <c r="B116" t="s">
        <v>131</v>
      </c>
      <c r="C116">
        <v>381</v>
      </c>
      <c r="D116">
        <v>1154</v>
      </c>
      <c r="E116">
        <v>1872</v>
      </c>
      <c r="F116">
        <v>1699</v>
      </c>
      <c r="G116">
        <v>993</v>
      </c>
      <c r="H116">
        <v>418</v>
      </c>
      <c r="I116">
        <v>6517</v>
      </c>
      <c r="J116">
        <v>6617</v>
      </c>
    </row>
    <row r="117" spans="1:10" x14ac:dyDescent="0.2">
      <c r="A117" t="s">
        <v>66</v>
      </c>
      <c r="B117" t="s">
        <v>132</v>
      </c>
      <c r="C117">
        <v>176</v>
      </c>
      <c r="D117">
        <v>514</v>
      </c>
      <c r="E117">
        <v>1003</v>
      </c>
      <c r="F117">
        <v>1117</v>
      </c>
      <c r="G117">
        <v>832</v>
      </c>
      <c r="H117">
        <v>340</v>
      </c>
      <c r="I117">
        <v>3982</v>
      </c>
      <c r="J117">
        <v>4027</v>
      </c>
    </row>
    <row r="118" spans="1:10" x14ac:dyDescent="0.2">
      <c r="A118" t="s">
        <v>66</v>
      </c>
      <c r="B118" t="s">
        <v>133</v>
      </c>
      <c r="C118">
        <v>186</v>
      </c>
      <c r="D118">
        <v>611</v>
      </c>
      <c r="E118">
        <v>1408</v>
      </c>
      <c r="F118">
        <v>1892</v>
      </c>
      <c r="G118">
        <v>1792</v>
      </c>
      <c r="H118">
        <v>1036</v>
      </c>
      <c r="I118">
        <v>6925</v>
      </c>
      <c r="J118">
        <v>7091</v>
      </c>
    </row>
    <row r="119" spans="1:10" x14ac:dyDescent="0.2">
      <c r="A119" t="s">
        <v>66</v>
      </c>
      <c r="B119" t="s">
        <v>134</v>
      </c>
      <c r="C119">
        <v>306</v>
      </c>
      <c r="D119">
        <v>665</v>
      </c>
      <c r="E119">
        <v>1533</v>
      </c>
      <c r="F119">
        <v>1981</v>
      </c>
      <c r="G119">
        <v>1926</v>
      </c>
      <c r="H119">
        <v>1179</v>
      </c>
      <c r="I119">
        <v>7590</v>
      </c>
      <c r="J119">
        <v>8191</v>
      </c>
    </row>
    <row r="120" spans="1:10" x14ac:dyDescent="0.2">
      <c r="A120" t="s">
        <v>67</v>
      </c>
      <c r="B120" t="s">
        <v>100</v>
      </c>
      <c r="C120">
        <v>33693</v>
      </c>
      <c r="D120">
        <v>77041</v>
      </c>
      <c r="E120">
        <v>118876</v>
      </c>
      <c r="F120">
        <v>104987</v>
      </c>
      <c r="G120">
        <v>57602</v>
      </c>
      <c r="H120">
        <v>21296</v>
      </c>
      <c r="I120">
        <v>413495</v>
      </c>
      <c r="J120">
        <v>417700</v>
      </c>
    </row>
    <row r="121" spans="1:10" x14ac:dyDescent="0.2">
      <c r="A121" t="s">
        <v>67</v>
      </c>
      <c r="B121" t="s">
        <v>101</v>
      </c>
      <c r="C121">
        <v>3288</v>
      </c>
      <c r="D121">
        <v>6223</v>
      </c>
      <c r="E121">
        <v>7934</v>
      </c>
      <c r="F121">
        <v>7178</v>
      </c>
      <c r="G121">
        <v>5313</v>
      </c>
      <c r="H121">
        <v>3067</v>
      </c>
      <c r="I121">
        <v>33003</v>
      </c>
      <c r="J121">
        <v>33437</v>
      </c>
    </row>
    <row r="122" spans="1:10" x14ac:dyDescent="0.2">
      <c r="A122" t="s">
        <v>67</v>
      </c>
      <c r="B122" t="s">
        <v>102</v>
      </c>
      <c r="C122">
        <v>1913</v>
      </c>
      <c r="D122">
        <v>5365</v>
      </c>
      <c r="E122">
        <v>6244</v>
      </c>
      <c r="F122">
        <v>4610</v>
      </c>
      <c r="G122">
        <v>2992</v>
      </c>
      <c r="H122">
        <v>1567</v>
      </c>
      <c r="I122">
        <v>22691</v>
      </c>
      <c r="J122">
        <v>22940</v>
      </c>
    </row>
    <row r="123" spans="1:10" x14ac:dyDescent="0.2">
      <c r="A123" t="s">
        <v>67</v>
      </c>
      <c r="B123" t="s">
        <v>103</v>
      </c>
      <c r="C123">
        <v>766</v>
      </c>
      <c r="D123">
        <v>1618</v>
      </c>
      <c r="E123">
        <v>1562</v>
      </c>
      <c r="F123">
        <v>1213</v>
      </c>
      <c r="G123">
        <v>949</v>
      </c>
      <c r="H123">
        <v>594</v>
      </c>
      <c r="I123">
        <v>6702</v>
      </c>
      <c r="J123">
        <v>6815</v>
      </c>
    </row>
    <row r="124" spans="1:10" x14ac:dyDescent="0.2">
      <c r="A124" t="s">
        <v>67</v>
      </c>
      <c r="B124" t="s">
        <v>104</v>
      </c>
      <c r="C124">
        <v>65</v>
      </c>
      <c r="D124">
        <v>209</v>
      </c>
      <c r="E124">
        <v>289</v>
      </c>
      <c r="F124">
        <v>311</v>
      </c>
      <c r="G124">
        <v>176</v>
      </c>
      <c r="H124">
        <v>90</v>
      </c>
      <c r="I124">
        <v>1140</v>
      </c>
      <c r="J124">
        <v>1165</v>
      </c>
    </row>
    <row r="125" spans="1:10" x14ac:dyDescent="0.2">
      <c r="A125" t="s">
        <v>67</v>
      </c>
      <c r="B125" t="s">
        <v>105</v>
      </c>
      <c r="C125">
        <v>5035</v>
      </c>
      <c r="D125">
        <v>8101</v>
      </c>
      <c r="E125">
        <v>7388</v>
      </c>
      <c r="F125">
        <v>5350</v>
      </c>
      <c r="G125">
        <v>3619</v>
      </c>
      <c r="H125">
        <v>1994</v>
      </c>
      <c r="I125">
        <v>31487</v>
      </c>
      <c r="J125">
        <v>31844</v>
      </c>
    </row>
    <row r="126" spans="1:10" x14ac:dyDescent="0.2">
      <c r="A126" t="s">
        <v>67</v>
      </c>
      <c r="B126" t="s">
        <v>106</v>
      </c>
      <c r="C126">
        <v>1061</v>
      </c>
      <c r="D126">
        <v>1184</v>
      </c>
      <c r="E126">
        <v>759</v>
      </c>
      <c r="F126">
        <v>419</v>
      </c>
      <c r="G126">
        <v>237</v>
      </c>
      <c r="H126">
        <v>124</v>
      </c>
      <c r="I126">
        <v>3784</v>
      </c>
      <c r="J126">
        <v>3816</v>
      </c>
    </row>
    <row r="127" spans="1:10" x14ac:dyDescent="0.2">
      <c r="A127" t="s">
        <v>67</v>
      </c>
      <c r="B127" t="s">
        <v>107</v>
      </c>
      <c r="C127">
        <v>269</v>
      </c>
      <c r="D127">
        <v>684</v>
      </c>
      <c r="E127">
        <v>1329</v>
      </c>
      <c r="F127">
        <v>1243</v>
      </c>
      <c r="G127">
        <v>858</v>
      </c>
      <c r="H127">
        <v>315</v>
      </c>
      <c r="I127">
        <v>4698</v>
      </c>
      <c r="J127">
        <v>4733</v>
      </c>
    </row>
    <row r="128" spans="1:10" x14ac:dyDescent="0.2">
      <c r="A128" t="s">
        <v>67</v>
      </c>
      <c r="B128" t="s">
        <v>239</v>
      </c>
      <c r="C128">
        <v>18</v>
      </c>
      <c r="D128">
        <v>71</v>
      </c>
      <c r="E128">
        <v>94</v>
      </c>
      <c r="F128">
        <v>82</v>
      </c>
      <c r="G128">
        <v>94</v>
      </c>
      <c r="H128">
        <v>49</v>
      </c>
      <c r="I128">
        <v>408</v>
      </c>
      <c r="J128">
        <v>417</v>
      </c>
    </row>
    <row r="129" spans="1:10" x14ac:dyDescent="0.2">
      <c r="A129" t="s">
        <v>67</v>
      </c>
      <c r="B129" t="s">
        <v>109</v>
      </c>
      <c r="C129">
        <v>48</v>
      </c>
      <c r="D129">
        <v>252</v>
      </c>
      <c r="E129">
        <v>560</v>
      </c>
      <c r="F129">
        <v>638</v>
      </c>
      <c r="G129">
        <v>538</v>
      </c>
      <c r="H129">
        <v>257</v>
      </c>
      <c r="I129">
        <v>2293</v>
      </c>
      <c r="J129">
        <v>2326</v>
      </c>
    </row>
    <row r="130" spans="1:10" x14ac:dyDescent="0.2">
      <c r="A130" t="s">
        <v>67</v>
      </c>
      <c r="B130" t="s">
        <v>110</v>
      </c>
      <c r="C130">
        <v>5</v>
      </c>
      <c r="D130">
        <v>39</v>
      </c>
      <c r="E130">
        <v>77</v>
      </c>
      <c r="F130">
        <v>74</v>
      </c>
      <c r="G130">
        <v>30</v>
      </c>
      <c r="H130">
        <v>15</v>
      </c>
      <c r="I130">
        <v>240</v>
      </c>
      <c r="J130">
        <v>246</v>
      </c>
    </row>
    <row r="131" spans="1:10" x14ac:dyDescent="0.2">
      <c r="A131" t="s">
        <v>67</v>
      </c>
      <c r="B131" t="s">
        <v>111</v>
      </c>
      <c r="C131">
        <v>15</v>
      </c>
      <c r="D131">
        <v>98</v>
      </c>
      <c r="E131">
        <v>158</v>
      </c>
      <c r="F131">
        <v>222</v>
      </c>
      <c r="G131">
        <v>181</v>
      </c>
      <c r="H131">
        <v>117</v>
      </c>
      <c r="I131">
        <v>791</v>
      </c>
      <c r="J131">
        <v>829</v>
      </c>
    </row>
    <row r="132" spans="1:10" x14ac:dyDescent="0.2">
      <c r="A132" t="s">
        <v>67</v>
      </c>
      <c r="B132" t="s">
        <v>112</v>
      </c>
      <c r="C132">
        <v>382</v>
      </c>
      <c r="D132">
        <v>1184</v>
      </c>
      <c r="E132">
        <v>2738</v>
      </c>
      <c r="F132">
        <v>2845</v>
      </c>
      <c r="G132">
        <v>1805</v>
      </c>
      <c r="H132">
        <v>699</v>
      </c>
      <c r="I132">
        <v>9653</v>
      </c>
      <c r="J132">
        <v>9785</v>
      </c>
    </row>
    <row r="133" spans="1:10" x14ac:dyDescent="0.2">
      <c r="A133" t="s">
        <v>67</v>
      </c>
      <c r="B133" t="s">
        <v>113</v>
      </c>
      <c r="C133">
        <v>853</v>
      </c>
      <c r="D133">
        <v>2162</v>
      </c>
      <c r="E133">
        <v>2455</v>
      </c>
      <c r="F133">
        <v>1722</v>
      </c>
      <c r="G133">
        <v>877</v>
      </c>
      <c r="H133">
        <v>362</v>
      </c>
      <c r="I133">
        <v>8431</v>
      </c>
      <c r="J133">
        <v>8525</v>
      </c>
    </row>
    <row r="134" spans="1:10" x14ac:dyDescent="0.2">
      <c r="A134" t="s">
        <v>67</v>
      </c>
      <c r="B134" t="s">
        <v>114</v>
      </c>
      <c r="C134">
        <v>1617</v>
      </c>
      <c r="D134">
        <v>4099</v>
      </c>
      <c r="E134">
        <v>5135</v>
      </c>
      <c r="F134">
        <v>3826</v>
      </c>
      <c r="G134">
        <v>1884</v>
      </c>
      <c r="H134">
        <v>523</v>
      </c>
      <c r="I134">
        <v>17084</v>
      </c>
      <c r="J134">
        <v>17148</v>
      </c>
    </row>
    <row r="135" spans="1:10" x14ac:dyDescent="0.2">
      <c r="A135" t="s">
        <v>67</v>
      </c>
      <c r="B135" t="s">
        <v>115</v>
      </c>
      <c r="C135">
        <v>552</v>
      </c>
      <c r="D135">
        <v>1323</v>
      </c>
      <c r="E135">
        <v>1685</v>
      </c>
      <c r="F135">
        <v>1280</v>
      </c>
      <c r="G135">
        <v>722</v>
      </c>
      <c r="H135">
        <v>334</v>
      </c>
      <c r="I135">
        <v>5896</v>
      </c>
      <c r="J135">
        <v>5971</v>
      </c>
    </row>
    <row r="136" spans="1:10" x14ac:dyDescent="0.2">
      <c r="A136" t="s">
        <v>67</v>
      </c>
      <c r="B136" t="s">
        <v>116</v>
      </c>
      <c r="C136">
        <v>1899</v>
      </c>
      <c r="D136">
        <v>5179</v>
      </c>
      <c r="E136">
        <v>8424</v>
      </c>
      <c r="F136">
        <v>6912</v>
      </c>
      <c r="G136">
        <v>3199</v>
      </c>
      <c r="H136">
        <v>785</v>
      </c>
      <c r="I136">
        <v>26398</v>
      </c>
      <c r="J136">
        <v>26514</v>
      </c>
    </row>
    <row r="137" spans="1:10" x14ac:dyDescent="0.2">
      <c r="A137" t="s">
        <v>67</v>
      </c>
      <c r="B137" t="s">
        <v>117</v>
      </c>
      <c r="C137">
        <v>376</v>
      </c>
      <c r="D137">
        <v>901</v>
      </c>
      <c r="E137">
        <v>1664</v>
      </c>
      <c r="F137">
        <v>1547</v>
      </c>
      <c r="G137">
        <v>1067</v>
      </c>
      <c r="H137">
        <v>519</v>
      </c>
      <c r="I137">
        <v>6074</v>
      </c>
      <c r="J137">
        <v>6229</v>
      </c>
    </row>
    <row r="138" spans="1:10" x14ac:dyDescent="0.2">
      <c r="A138" t="s">
        <v>67</v>
      </c>
      <c r="B138" t="s">
        <v>118</v>
      </c>
      <c r="C138">
        <v>2149</v>
      </c>
      <c r="D138">
        <v>5974</v>
      </c>
      <c r="E138">
        <v>11460</v>
      </c>
      <c r="F138">
        <v>10879</v>
      </c>
      <c r="G138">
        <v>6835</v>
      </c>
      <c r="H138">
        <v>2743</v>
      </c>
      <c r="I138">
        <v>40040</v>
      </c>
      <c r="J138">
        <v>40716</v>
      </c>
    </row>
    <row r="139" spans="1:10" x14ac:dyDescent="0.2">
      <c r="A139" t="s">
        <v>67</v>
      </c>
      <c r="B139" t="s">
        <v>119</v>
      </c>
      <c r="C139">
        <v>1045</v>
      </c>
      <c r="D139">
        <v>3405</v>
      </c>
      <c r="E139">
        <v>7116</v>
      </c>
      <c r="F139">
        <v>6577</v>
      </c>
      <c r="G139">
        <v>3225</v>
      </c>
      <c r="H139">
        <v>1121</v>
      </c>
      <c r="I139">
        <v>22489</v>
      </c>
      <c r="J139">
        <v>22804</v>
      </c>
    </row>
    <row r="140" spans="1:10" x14ac:dyDescent="0.2">
      <c r="A140" t="s">
        <v>67</v>
      </c>
      <c r="B140" t="s">
        <v>120</v>
      </c>
      <c r="C140">
        <v>124</v>
      </c>
      <c r="D140">
        <v>302</v>
      </c>
      <c r="E140">
        <v>604</v>
      </c>
      <c r="F140">
        <v>513</v>
      </c>
      <c r="G140">
        <v>334</v>
      </c>
      <c r="H140">
        <v>149</v>
      </c>
      <c r="I140">
        <v>2026</v>
      </c>
      <c r="J140">
        <v>2073</v>
      </c>
    </row>
    <row r="141" spans="1:10" x14ac:dyDescent="0.2">
      <c r="A141" t="s">
        <v>67</v>
      </c>
      <c r="B141" t="s">
        <v>121</v>
      </c>
      <c r="C141">
        <v>3866</v>
      </c>
      <c r="D141">
        <v>5421</v>
      </c>
      <c r="E141">
        <v>9444</v>
      </c>
      <c r="F141">
        <v>7886</v>
      </c>
      <c r="G141">
        <v>3491</v>
      </c>
      <c r="H141">
        <v>832</v>
      </c>
      <c r="I141">
        <v>30940</v>
      </c>
      <c r="J141">
        <v>31123</v>
      </c>
    </row>
    <row r="142" spans="1:10" x14ac:dyDescent="0.2">
      <c r="A142" t="s">
        <v>67</v>
      </c>
      <c r="B142" t="s">
        <v>122</v>
      </c>
      <c r="C142">
        <v>398</v>
      </c>
      <c r="D142">
        <v>1070</v>
      </c>
      <c r="E142">
        <v>2666</v>
      </c>
      <c r="F142">
        <v>2478</v>
      </c>
      <c r="G142">
        <v>1207</v>
      </c>
      <c r="H142">
        <v>280</v>
      </c>
      <c r="I142">
        <v>8099</v>
      </c>
      <c r="J142">
        <v>8136</v>
      </c>
    </row>
    <row r="143" spans="1:10" x14ac:dyDescent="0.2">
      <c r="A143" t="s">
        <v>67</v>
      </c>
      <c r="B143" t="s">
        <v>123</v>
      </c>
      <c r="C143">
        <v>3603</v>
      </c>
      <c r="D143">
        <v>8351</v>
      </c>
      <c r="E143">
        <v>17765</v>
      </c>
      <c r="F143">
        <v>18832</v>
      </c>
      <c r="G143">
        <v>8553</v>
      </c>
      <c r="H143">
        <v>1451</v>
      </c>
      <c r="I143">
        <v>58555</v>
      </c>
      <c r="J143">
        <v>58734</v>
      </c>
    </row>
    <row r="144" spans="1:10" x14ac:dyDescent="0.2">
      <c r="A144" t="s">
        <v>67</v>
      </c>
      <c r="B144" t="s">
        <v>124</v>
      </c>
      <c r="C144">
        <v>172</v>
      </c>
      <c r="D144">
        <v>1278</v>
      </c>
      <c r="E144">
        <v>3845</v>
      </c>
      <c r="F144">
        <v>4035</v>
      </c>
      <c r="G144">
        <v>1595</v>
      </c>
      <c r="H144">
        <v>262</v>
      </c>
      <c r="I144">
        <v>11187</v>
      </c>
      <c r="J144">
        <v>11237</v>
      </c>
    </row>
    <row r="145" spans="1:10" x14ac:dyDescent="0.2">
      <c r="A145" t="s">
        <v>67</v>
      </c>
      <c r="B145" t="s">
        <v>125</v>
      </c>
      <c r="C145">
        <v>135</v>
      </c>
      <c r="D145">
        <v>729</v>
      </c>
      <c r="E145">
        <v>2065</v>
      </c>
      <c r="F145">
        <v>1995</v>
      </c>
      <c r="G145">
        <v>646</v>
      </c>
      <c r="H145">
        <v>90</v>
      </c>
      <c r="I145">
        <v>5660</v>
      </c>
      <c r="J145">
        <v>5673</v>
      </c>
    </row>
    <row r="146" spans="1:10" x14ac:dyDescent="0.2">
      <c r="A146" t="s">
        <v>67</v>
      </c>
      <c r="B146" t="s">
        <v>126</v>
      </c>
      <c r="C146">
        <v>509</v>
      </c>
      <c r="D146">
        <v>1863</v>
      </c>
      <c r="E146">
        <v>1837</v>
      </c>
      <c r="F146">
        <v>1160</v>
      </c>
      <c r="G146">
        <v>613</v>
      </c>
      <c r="H146">
        <v>217</v>
      </c>
      <c r="I146">
        <v>6199</v>
      </c>
      <c r="J146">
        <v>6229</v>
      </c>
    </row>
    <row r="147" spans="1:10" x14ac:dyDescent="0.2">
      <c r="A147" t="s">
        <v>67</v>
      </c>
      <c r="B147" t="s">
        <v>127</v>
      </c>
      <c r="C147">
        <v>178</v>
      </c>
      <c r="D147">
        <v>636</v>
      </c>
      <c r="E147">
        <v>608</v>
      </c>
      <c r="F147">
        <v>420</v>
      </c>
      <c r="G147">
        <v>245</v>
      </c>
      <c r="H147">
        <v>80</v>
      </c>
      <c r="I147">
        <v>2167</v>
      </c>
      <c r="J147">
        <v>2176</v>
      </c>
    </row>
    <row r="148" spans="1:10" x14ac:dyDescent="0.2">
      <c r="A148" t="s">
        <v>67</v>
      </c>
      <c r="B148" t="s">
        <v>128</v>
      </c>
      <c r="C148">
        <v>418</v>
      </c>
      <c r="D148">
        <v>1359</v>
      </c>
      <c r="E148">
        <v>1561</v>
      </c>
      <c r="F148">
        <v>1044</v>
      </c>
      <c r="G148">
        <v>500</v>
      </c>
      <c r="H148">
        <v>161</v>
      </c>
      <c r="I148">
        <v>5043</v>
      </c>
      <c r="J148">
        <v>5065</v>
      </c>
    </row>
    <row r="149" spans="1:10" x14ac:dyDescent="0.2">
      <c r="A149" t="s">
        <v>67</v>
      </c>
      <c r="B149" t="s">
        <v>129</v>
      </c>
      <c r="C149">
        <v>737</v>
      </c>
      <c r="D149">
        <v>1735</v>
      </c>
      <c r="E149">
        <v>1209</v>
      </c>
      <c r="F149">
        <v>428</v>
      </c>
      <c r="G149">
        <v>184</v>
      </c>
      <c r="H149">
        <v>82</v>
      </c>
      <c r="I149">
        <v>4375</v>
      </c>
      <c r="J149">
        <v>4423</v>
      </c>
    </row>
    <row r="150" spans="1:10" x14ac:dyDescent="0.2">
      <c r="A150" t="s">
        <v>67</v>
      </c>
      <c r="B150" t="s">
        <v>130</v>
      </c>
      <c r="C150">
        <v>391</v>
      </c>
      <c r="D150">
        <v>988</v>
      </c>
      <c r="E150">
        <v>1132</v>
      </c>
      <c r="F150">
        <v>695</v>
      </c>
      <c r="G150">
        <v>318</v>
      </c>
      <c r="H150">
        <v>98</v>
      </c>
      <c r="I150">
        <v>3622</v>
      </c>
      <c r="J150">
        <v>3647</v>
      </c>
    </row>
    <row r="151" spans="1:10" x14ac:dyDescent="0.2">
      <c r="A151" t="s">
        <v>67</v>
      </c>
      <c r="B151" t="s">
        <v>131</v>
      </c>
      <c r="C151">
        <v>790</v>
      </c>
      <c r="D151">
        <v>2872</v>
      </c>
      <c r="E151">
        <v>4536</v>
      </c>
      <c r="F151">
        <v>3708</v>
      </c>
      <c r="G151">
        <v>1950</v>
      </c>
      <c r="H151">
        <v>676</v>
      </c>
      <c r="I151">
        <v>14532</v>
      </c>
      <c r="J151">
        <v>14660</v>
      </c>
    </row>
    <row r="152" spans="1:10" x14ac:dyDescent="0.2">
      <c r="A152" t="s">
        <v>67</v>
      </c>
      <c r="B152" t="s">
        <v>132</v>
      </c>
      <c r="C152">
        <v>135</v>
      </c>
      <c r="D152">
        <v>444</v>
      </c>
      <c r="E152">
        <v>684</v>
      </c>
      <c r="F152">
        <v>721</v>
      </c>
      <c r="G152">
        <v>480</v>
      </c>
      <c r="H152">
        <v>193</v>
      </c>
      <c r="I152">
        <v>2657</v>
      </c>
      <c r="J152">
        <v>2681</v>
      </c>
    </row>
    <row r="153" spans="1:10" x14ac:dyDescent="0.2">
      <c r="A153" t="s">
        <v>67</v>
      </c>
      <c r="B153" t="s">
        <v>133</v>
      </c>
      <c r="C153">
        <v>348</v>
      </c>
      <c r="D153">
        <v>890</v>
      </c>
      <c r="E153">
        <v>1605</v>
      </c>
      <c r="F153">
        <v>1532</v>
      </c>
      <c r="G153">
        <v>877</v>
      </c>
      <c r="H153">
        <v>425</v>
      </c>
      <c r="I153">
        <v>5677</v>
      </c>
      <c r="J153">
        <v>5726</v>
      </c>
    </row>
    <row r="154" spans="1:10" x14ac:dyDescent="0.2">
      <c r="A154" t="s">
        <v>67</v>
      </c>
      <c r="B154" t="s">
        <v>134</v>
      </c>
      <c r="C154">
        <v>533</v>
      </c>
      <c r="D154">
        <v>1032</v>
      </c>
      <c r="E154">
        <v>2244</v>
      </c>
      <c r="F154">
        <v>2612</v>
      </c>
      <c r="G154">
        <v>2008</v>
      </c>
      <c r="H154">
        <v>1025</v>
      </c>
      <c r="I154">
        <v>9454</v>
      </c>
      <c r="J154">
        <v>9857</v>
      </c>
    </row>
    <row r="155" spans="1:10" x14ac:dyDescent="0.2">
      <c r="A155" t="s">
        <v>100</v>
      </c>
      <c r="B155" t="s">
        <v>100</v>
      </c>
      <c r="C155">
        <v>64523</v>
      </c>
      <c r="D155">
        <v>136084</v>
      </c>
      <c r="E155">
        <v>203722</v>
      </c>
      <c r="F155">
        <v>186559</v>
      </c>
      <c r="G155">
        <v>112103</v>
      </c>
      <c r="H155">
        <v>46118</v>
      </c>
      <c r="I155">
        <v>749109</v>
      </c>
      <c r="J155">
        <v>758768</v>
      </c>
    </row>
    <row r="156" spans="1:10" x14ac:dyDescent="0.2">
      <c r="A156" t="s">
        <v>100</v>
      </c>
      <c r="B156" t="s">
        <v>101</v>
      </c>
      <c r="C156">
        <v>5250</v>
      </c>
      <c r="D156">
        <v>10136</v>
      </c>
      <c r="E156">
        <v>12924</v>
      </c>
      <c r="F156">
        <v>11796</v>
      </c>
      <c r="G156">
        <v>8981</v>
      </c>
      <c r="H156">
        <v>5246</v>
      </c>
      <c r="I156">
        <v>54333</v>
      </c>
      <c r="J156">
        <v>55160</v>
      </c>
    </row>
    <row r="157" spans="1:10" x14ac:dyDescent="0.2">
      <c r="A157" t="s">
        <v>100</v>
      </c>
      <c r="B157" t="s">
        <v>102</v>
      </c>
      <c r="C157">
        <v>4511</v>
      </c>
      <c r="D157">
        <v>10881</v>
      </c>
      <c r="E157">
        <v>12332</v>
      </c>
      <c r="F157">
        <v>9130</v>
      </c>
      <c r="G157">
        <v>5994</v>
      </c>
      <c r="H157">
        <v>3220</v>
      </c>
      <c r="I157">
        <v>46068</v>
      </c>
      <c r="J157">
        <v>46626</v>
      </c>
    </row>
    <row r="158" spans="1:10" x14ac:dyDescent="0.2">
      <c r="A158" t="s">
        <v>100</v>
      </c>
      <c r="B158" t="s">
        <v>103</v>
      </c>
      <c r="C158">
        <v>3283</v>
      </c>
      <c r="D158">
        <v>6746</v>
      </c>
      <c r="E158">
        <v>7058</v>
      </c>
      <c r="F158">
        <v>6047</v>
      </c>
      <c r="G158">
        <v>4771</v>
      </c>
      <c r="H158">
        <v>3312</v>
      </c>
      <c r="I158">
        <v>31217</v>
      </c>
      <c r="J158">
        <v>31934</v>
      </c>
    </row>
    <row r="159" spans="1:10" x14ac:dyDescent="0.2">
      <c r="A159" t="s">
        <v>100</v>
      </c>
      <c r="B159" t="s">
        <v>104</v>
      </c>
      <c r="C159">
        <v>254</v>
      </c>
      <c r="D159">
        <v>723</v>
      </c>
      <c r="E159">
        <v>967</v>
      </c>
      <c r="F159">
        <v>994</v>
      </c>
      <c r="G159">
        <v>638</v>
      </c>
      <c r="H159">
        <v>307</v>
      </c>
      <c r="I159">
        <v>3883</v>
      </c>
      <c r="J159">
        <v>3961</v>
      </c>
    </row>
    <row r="160" spans="1:10" x14ac:dyDescent="0.2">
      <c r="A160" t="s">
        <v>100</v>
      </c>
      <c r="B160" t="s">
        <v>105</v>
      </c>
      <c r="C160">
        <v>15117</v>
      </c>
      <c r="D160">
        <v>19839</v>
      </c>
      <c r="E160">
        <v>17988</v>
      </c>
      <c r="F160">
        <v>13369</v>
      </c>
      <c r="G160">
        <v>9278</v>
      </c>
      <c r="H160">
        <v>5387</v>
      </c>
      <c r="I160">
        <v>80978</v>
      </c>
      <c r="J160">
        <v>82054</v>
      </c>
    </row>
    <row r="161" spans="1:10" x14ac:dyDescent="0.2">
      <c r="A161" t="s">
        <v>100</v>
      </c>
      <c r="B161" t="s">
        <v>106</v>
      </c>
      <c r="C161">
        <v>3942</v>
      </c>
      <c r="D161">
        <v>3931</v>
      </c>
      <c r="E161">
        <v>2790</v>
      </c>
      <c r="F161">
        <v>1528</v>
      </c>
      <c r="G161">
        <v>912</v>
      </c>
      <c r="H161">
        <v>463</v>
      </c>
      <c r="I161">
        <v>13566</v>
      </c>
      <c r="J161">
        <v>13691</v>
      </c>
    </row>
    <row r="162" spans="1:10" x14ac:dyDescent="0.2">
      <c r="A162" t="s">
        <v>100</v>
      </c>
      <c r="B162" t="s">
        <v>107</v>
      </c>
      <c r="C162">
        <v>487</v>
      </c>
      <c r="D162">
        <v>1374</v>
      </c>
      <c r="E162">
        <v>2840</v>
      </c>
      <c r="F162">
        <v>3051</v>
      </c>
      <c r="G162">
        <v>2417</v>
      </c>
      <c r="H162">
        <v>990</v>
      </c>
      <c r="I162">
        <v>11159</v>
      </c>
      <c r="J162">
        <v>11322</v>
      </c>
    </row>
    <row r="163" spans="1:10" x14ac:dyDescent="0.2">
      <c r="A163" t="s">
        <v>100</v>
      </c>
      <c r="B163" t="s">
        <v>239</v>
      </c>
      <c r="C163">
        <v>148</v>
      </c>
      <c r="D163">
        <v>638</v>
      </c>
      <c r="E163">
        <v>1011</v>
      </c>
      <c r="F163">
        <v>1136</v>
      </c>
      <c r="G163">
        <v>1068</v>
      </c>
      <c r="H163">
        <v>674</v>
      </c>
      <c r="I163">
        <v>4675</v>
      </c>
      <c r="J163">
        <v>4834</v>
      </c>
    </row>
    <row r="164" spans="1:10" x14ac:dyDescent="0.2">
      <c r="A164" t="s">
        <v>100</v>
      </c>
      <c r="B164" t="s">
        <v>109</v>
      </c>
      <c r="C164">
        <v>85</v>
      </c>
      <c r="D164">
        <v>521</v>
      </c>
      <c r="E164">
        <v>1321</v>
      </c>
      <c r="F164">
        <v>1795</v>
      </c>
      <c r="G164">
        <v>1760</v>
      </c>
      <c r="H164">
        <v>921</v>
      </c>
      <c r="I164">
        <v>6403</v>
      </c>
      <c r="J164">
        <v>6576</v>
      </c>
    </row>
    <row r="165" spans="1:10" x14ac:dyDescent="0.2">
      <c r="A165" t="s">
        <v>100</v>
      </c>
      <c r="B165" t="s">
        <v>110</v>
      </c>
      <c r="C165">
        <v>6</v>
      </c>
      <c r="D165">
        <v>40</v>
      </c>
      <c r="E165">
        <v>84</v>
      </c>
      <c r="F165">
        <v>90</v>
      </c>
      <c r="G165">
        <v>40</v>
      </c>
      <c r="H165">
        <v>26</v>
      </c>
      <c r="I165">
        <v>286</v>
      </c>
      <c r="J165">
        <v>292</v>
      </c>
    </row>
    <row r="166" spans="1:10" x14ac:dyDescent="0.2">
      <c r="A166" t="s">
        <v>100</v>
      </c>
      <c r="B166" t="s">
        <v>111</v>
      </c>
      <c r="C166">
        <v>29</v>
      </c>
      <c r="D166">
        <v>284</v>
      </c>
      <c r="E166">
        <v>574</v>
      </c>
      <c r="F166">
        <v>656</v>
      </c>
      <c r="G166">
        <v>533</v>
      </c>
      <c r="H166">
        <v>345</v>
      </c>
      <c r="I166">
        <v>2421</v>
      </c>
      <c r="J166">
        <v>2530</v>
      </c>
    </row>
    <row r="167" spans="1:10" x14ac:dyDescent="0.2">
      <c r="A167" t="s">
        <v>100</v>
      </c>
      <c r="B167" t="s">
        <v>112</v>
      </c>
      <c r="C167">
        <v>843</v>
      </c>
      <c r="D167">
        <v>2704</v>
      </c>
      <c r="E167">
        <v>6640</v>
      </c>
      <c r="F167">
        <v>7326</v>
      </c>
      <c r="G167">
        <v>4673</v>
      </c>
      <c r="H167">
        <v>1755</v>
      </c>
      <c r="I167">
        <v>23941</v>
      </c>
      <c r="J167">
        <v>24274</v>
      </c>
    </row>
    <row r="168" spans="1:10" x14ac:dyDescent="0.2">
      <c r="A168" t="s">
        <v>100</v>
      </c>
      <c r="B168" t="s">
        <v>113</v>
      </c>
      <c r="C168">
        <v>2221</v>
      </c>
      <c r="D168">
        <v>6084</v>
      </c>
      <c r="E168">
        <v>7671</v>
      </c>
      <c r="F168">
        <v>5654</v>
      </c>
      <c r="G168">
        <v>3037</v>
      </c>
      <c r="H168">
        <v>1270</v>
      </c>
      <c r="I168">
        <v>25937</v>
      </c>
      <c r="J168">
        <v>26230</v>
      </c>
    </row>
    <row r="169" spans="1:10" x14ac:dyDescent="0.2">
      <c r="A169" t="s">
        <v>100</v>
      </c>
      <c r="B169" t="s">
        <v>114</v>
      </c>
      <c r="C169">
        <v>2528</v>
      </c>
      <c r="D169">
        <v>7034</v>
      </c>
      <c r="E169">
        <v>9962</v>
      </c>
      <c r="F169">
        <v>8255</v>
      </c>
      <c r="G169">
        <v>4545</v>
      </c>
      <c r="H169">
        <v>1341</v>
      </c>
      <c r="I169">
        <v>33665</v>
      </c>
      <c r="J169">
        <v>33854</v>
      </c>
    </row>
    <row r="170" spans="1:10" x14ac:dyDescent="0.2">
      <c r="A170" t="s">
        <v>100</v>
      </c>
      <c r="B170" t="s">
        <v>115</v>
      </c>
      <c r="C170">
        <v>1032</v>
      </c>
      <c r="D170">
        <v>2770</v>
      </c>
      <c r="E170">
        <v>3748</v>
      </c>
      <c r="F170">
        <v>3125</v>
      </c>
      <c r="G170">
        <v>1843</v>
      </c>
      <c r="H170">
        <v>722</v>
      </c>
      <c r="I170">
        <v>13240</v>
      </c>
      <c r="J170">
        <v>13390</v>
      </c>
    </row>
    <row r="171" spans="1:10" x14ac:dyDescent="0.2">
      <c r="A171" t="s">
        <v>100</v>
      </c>
      <c r="B171" t="s">
        <v>116</v>
      </c>
      <c r="C171">
        <v>3171</v>
      </c>
      <c r="D171">
        <v>9065</v>
      </c>
      <c r="E171">
        <v>15358</v>
      </c>
      <c r="F171">
        <v>13509</v>
      </c>
      <c r="G171">
        <v>6563</v>
      </c>
      <c r="H171">
        <v>1693</v>
      </c>
      <c r="I171">
        <v>49359</v>
      </c>
      <c r="J171">
        <v>49591</v>
      </c>
    </row>
    <row r="172" spans="1:10" x14ac:dyDescent="0.2">
      <c r="A172" t="s">
        <v>100</v>
      </c>
      <c r="B172" t="s">
        <v>117</v>
      </c>
      <c r="C172">
        <v>535</v>
      </c>
      <c r="D172">
        <v>1267</v>
      </c>
      <c r="E172">
        <v>2549</v>
      </c>
      <c r="F172">
        <v>2498</v>
      </c>
      <c r="G172">
        <v>1776</v>
      </c>
      <c r="H172">
        <v>867</v>
      </c>
      <c r="I172">
        <v>9492</v>
      </c>
      <c r="J172">
        <v>9771</v>
      </c>
    </row>
    <row r="173" spans="1:10" x14ac:dyDescent="0.2">
      <c r="A173" t="s">
        <v>100</v>
      </c>
      <c r="B173" t="s">
        <v>118</v>
      </c>
      <c r="C173">
        <v>2447</v>
      </c>
      <c r="D173">
        <v>7026</v>
      </c>
      <c r="E173">
        <v>14365</v>
      </c>
      <c r="F173">
        <v>14530</v>
      </c>
      <c r="G173">
        <v>9744</v>
      </c>
      <c r="H173">
        <v>4276</v>
      </c>
      <c r="I173">
        <v>52388</v>
      </c>
      <c r="J173">
        <v>53483</v>
      </c>
    </row>
    <row r="174" spans="1:10" x14ac:dyDescent="0.2">
      <c r="A174" t="s">
        <v>100</v>
      </c>
      <c r="B174" t="s">
        <v>119</v>
      </c>
      <c r="C174">
        <v>1247</v>
      </c>
      <c r="D174">
        <v>4083</v>
      </c>
      <c r="E174">
        <v>9109</v>
      </c>
      <c r="F174">
        <v>8749</v>
      </c>
      <c r="G174">
        <v>4455</v>
      </c>
      <c r="H174">
        <v>1574</v>
      </c>
      <c r="I174">
        <v>29217</v>
      </c>
      <c r="J174">
        <v>29668</v>
      </c>
    </row>
    <row r="175" spans="1:10" x14ac:dyDescent="0.2">
      <c r="A175" t="s">
        <v>100</v>
      </c>
      <c r="B175" t="s">
        <v>120</v>
      </c>
      <c r="C175">
        <v>191</v>
      </c>
      <c r="D175">
        <v>508</v>
      </c>
      <c r="E175">
        <v>1034</v>
      </c>
      <c r="F175">
        <v>908</v>
      </c>
      <c r="G175">
        <v>598</v>
      </c>
      <c r="H175">
        <v>267</v>
      </c>
      <c r="I175">
        <v>3506</v>
      </c>
      <c r="J175">
        <v>3611</v>
      </c>
    </row>
    <row r="176" spans="1:10" x14ac:dyDescent="0.2">
      <c r="A176" t="s">
        <v>100</v>
      </c>
      <c r="B176" t="s">
        <v>121</v>
      </c>
      <c r="C176">
        <v>4890</v>
      </c>
      <c r="D176">
        <v>6630</v>
      </c>
      <c r="E176">
        <v>11886</v>
      </c>
      <c r="F176">
        <v>10566</v>
      </c>
      <c r="G176">
        <v>5128</v>
      </c>
      <c r="H176">
        <v>1369</v>
      </c>
      <c r="I176">
        <v>40469</v>
      </c>
      <c r="J176">
        <v>40754</v>
      </c>
    </row>
    <row r="177" spans="1:10" x14ac:dyDescent="0.2">
      <c r="A177" t="s">
        <v>100</v>
      </c>
      <c r="B177" t="s">
        <v>122</v>
      </c>
      <c r="C177">
        <v>501</v>
      </c>
      <c r="D177">
        <v>1399</v>
      </c>
      <c r="E177">
        <v>3667</v>
      </c>
      <c r="F177">
        <v>3650</v>
      </c>
      <c r="G177">
        <v>2066</v>
      </c>
      <c r="H177">
        <v>554</v>
      </c>
      <c r="I177">
        <v>11837</v>
      </c>
      <c r="J177">
        <v>11913</v>
      </c>
    </row>
    <row r="178" spans="1:10" x14ac:dyDescent="0.2">
      <c r="A178" t="s">
        <v>100</v>
      </c>
      <c r="B178" t="s">
        <v>123</v>
      </c>
      <c r="C178">
        <v>4996</v>
      </c>
      <c r="D178">
        <v>11072</v>
      </c>
      <c r="E178">
        <v>23779</v>
      </c>
      <c r="F178">
        <v>26316</v>
      </c>
      <c r="G178">
        <v>12769</v>
      </c>
      <c r="H178">
        <v>2338</v>
      </c>
      <c r="I178">
        <v>81270</v>
      </c>
      <c r="J178">
        <v>81554</v>
      </c>
    </row>
    <row r="179" spans="1:10" x14ac:dyDescent="0.2">
      <c r="A179" t="s">
        <v>100</v>
      </c>
      <c r="B179" t="s">
        <v>124</v>
      </c>
      <c r="C179">
        <v>237</v>
      </c>
      <c r="D179">
        <v>1777</v>
      </c>
      <c r="E179">
        <v>5829</v>
      </c>
      <c r="F179">
        <v>7123</v>
      </c>
      <c r="G179">
        <v>3447</v>
      </c>
      <c r="H179">
        <v>668</v>
      </c>
      <c r="I179">
        <v>19081</v>
      </c>
      <c r="J179">
        <v>19190</v>
      </c>
    </row>
    <row r="180" spans="1:10" x14ac:dyDescent="0.2">
      <c r="A180" t="s">
        <v>100</v>
      </c>
      <c r="B180" t="s">
        <v>125</v>
      </c>
      <c r="C180">
        <v>206</v>
      </c>
      <c r="D180">
        <v>1042</v>
      </c>
      <c r="E180">
        <v>3313</v>
      </c>
      <c r="F180">
        <v>3566</v>
      </c>
      <c r="G180">
        <v>1282</v>
      </c>
      <c r="H180">
        <v>210</v>
      </c>
      <c r="I180">
        <v>9619</v>
      </c>
      <c r="J180">
        <v>9654</v>
      </c>
    </row>
    <row r="181" spans="1:10" x14ac:dyDescent="0.2">
      <c r="A181" t="s">
        <v>100</v>
      </c>
      <c r="B181" t="s">
        <v>126</v>
      </c>
      <c r="C181">
        <v>764</v>
      </c>
      <c r="D181">
        <v>2718</v>
      </c>
      <c r="E181">
        <v>2603</v>
      </c>
      <c r="F181">
        <v>1678</v>
      </c>
      <c r="G181">
        <v>886</v>
      </c>
      <c r="H181">
        <v>311</v>
      </c>
      <c r="I181">
        <v>8960</v>
      </c>
      <c r="J181">
        <v>9000</v>
      </c>
    </row>
    <row r="182" spans="1:10" x14ac:dyDescent="0.2">
      <c r="A182" t="s">
        <v>100</v>
      </c>
      <c r="B182" t="s">
        <v>127</v>
      </c>
      <c r="C182">
        <v>291</v>
      </c>
      <c r="D182">
        <v>1109</v>
      </c>
      <c r="E182">
        <v>1005</v>
      </c>
      <c r="F182">
        <v>684</v>
      </c>
      <c r="G182">
        <v>382</v>
      </c>
      <c r="H182">
        <v>135</v>
      </c>
      <c r="I182">
        <v>3606</v>
      </c>
      <c r="J182">
        <v>3623</v>
      </c>
    </row>
    <row r="183" spans="1:10" x14ac:dyDescent="0.2">
      <c r="A183" t="s">
        <v>100</v>
      </c>
      <c r="B183" t="s">
        <v>128</v>
      </c>
      <c r="C183">
        <v>648</v>
      </c>
      <c r="D183">
        <v>2054</v>
      </c>
      <c r="E183">
        <v>2377</v>
      </c>
      <c r="F183">
        <v>1533</v>
      </c>
      <c r="G183">
        <v>729</v>
      </c>
      <c r="H183">
        <v>239</v>
      </c>
      <c r="I183">
        <v>7580</v>
      </c>
      <c r="J183">
        <v>7608</v>
      </c>
    </row>
    <row r="184" spans="1:10" x14ac:dyDescent="0.2">
      <c r="A184" t="s">
        <v>100</v>
      </c>
      <c r="B184" t="s">
        <v>129</v>
      </c>
      <c r="C184">
        <v>1156</v>
      </c>
      <c r="D184">
        <v>2866</v>
      </c>
      <c r="E184">
        <v>2155</v>
      </c>
      <c r="F184">
        <v>800</v>
      </c>
      <c r="G184">
        <v>310</v>
      </c>
      <c r="H184">
        <v>148</v>
      </c>
      <c r="I184">
        <v>7435</v>
      </c>
      <c r="J184">
        <v>7524</v>
      </c>
    </row>
    <row r="185" spans="1:10" x14ac:dyDescent="0.2">
      <c r="A185" t="s">
        <v>100</v>
      </c>
      <c r="B185" t="s">
        <v>130</v>
      </c>
      <c r="C185">
        <v>652</v>
      </c>
      <c r="D185">
        <v>1581</v>
      </c>
      <c r="E185">
        <v>1898</v>
      </c>
      <c r="F185">
        <v>1235</v>
      </c>
      <c r="G185">
        <v>620</v>
      </c>
      <c r="H185">
        <v>198</v>
      </c>
      <c r="I185">
        <v>6184</v>
      </c>
      <c r="J185">
        <v>6246</v>
      </c>
    </row>
    <row r="186" spans="1:10" x14ac:dyDescent="0.2">
      <c r="A186" t="s">
        <v>100</v>
      </c>
      <c r="B186" t="s">
        <v>131</v>
      </c>
      <c r="C186">
        <v>1171</v>
      </c>
      <c r="D186">
        <v>4026</v>
      </c>
      <c r="E186">
        <v>6408</v>
      </c>
      <c r="F186">
        <v>5407</v>
      </c>
      <c r="G186">
        <v>2943</v>
      </c>
      <c r="H186">
        <v>1094</v>
      </c>
      <c r="I186">
        <v>21049</v>
      </c>
      <c r="J186">
        <v>21277</v>
      </c>
    </row>
    <row r="187" spans="1:10" x14ac:dyDescent="0.2">
      <c r="A187" t="s">
        <v>100</v>
      </c>
      <c r="B187" t="s">
        <v>132</v>
      </c>
      <c r="C187">
        <v>311</v>
      </c>
      <c r="D187">
        <v>958</v>
      </c>
      <c r="E187">
        <v>1687</v>
      </c>
      <c r="F187">
        <v>1838</v>
      </c>
      <c r="G187">
        <v>1312</v>
      </c>
      <c r="H187">
        <v>533</v>
      </c>
      <c r="I187">
        <v>6639</v>
      </c>
      <c r="J187">
        <v>6708</v>
      </c>
    </row>
    <row r="188" spans="1:10" x14ac:dyDescent="0.2">
      <c r="A188" t="s">
        <v>100</v>
      </c>
      <c r="B188" t="s">
        <v>133</v>
      </c>
      <c r="C188">
        <v>534</v>
      </c>
      <c r="D188">
        <v>1501</v>
      </c>
      <c r="E188">
        <v>3013</v>
      </c>
      <c r="F188">
        <v>3424</v>
      </c>
      <c r="G188">
        <v>2669</v>
      </c>
      <c r="H188">
        <v>1461</v>
      </c>
      <c r="I188">
        <v>12602</v>
      </c>
      <c r="J188">
        <v>12817</v>
      </c>
    </row>
    <row r="189" spans="1:10" x14ac:dyDescent="0.2">
      <c r="A189" t="s">
        <v>100</v>
      </c>
      <c r="B189" t="s">
        <v>134</v>
      </c>
      <c r="C189">
        <v>839</v>
      </c>
      <c r="D189">
        <v>1697</v>
      </c>
      <c r="E189">
        <v>3777</v>
      </c>
      <c r="F189">
        <v>4593</v>
      </c>
      <c r="G189">
        <v>3934</v>
      </c>
      <c r="H189">
        <v>2204</v>
      </c>
      <c r="I189">
        <v>17044</v>
      </c>
      <c r="J189">
        <v>18048</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38</vt:i4>
      </vt:variant>
    </vt:vector>
  </HeadingPairs>
  <TitlesOfParts>
    <vt:vector size="78" baseType="lpstr">
      <vt:lpstr>Contents</vt:lpstr>
      <vt:lpstr>List of A and AS level subjects</vt:lpstr>
      <vt:lpstr>Table 14</vt:lpstr>
      <vt:lpstr>Table 15</vt:lpstr>
      <vt:lpstr>1996data_new</vt:lpstr>
      <vt:lpstr>1997data_new</vt:lpstr>
      <vt:lpstr>1998data_new</vt:lpstr>
      <vt:lpstr>1999data_new</vt:lpstr>
      <vt:lpstr>2000data_new</vt:lpstr>
      <vt:lpstr>2001data_new</vt:lpstr>
      <vt:lpstr>2002data_new</vt:lpstr>
      <vt:lpstr>2003data_new</vt:lpstr>
      <vt:lpstr>2004data_new</vt:lpstr>
      <vt:lpstr>2005data_new</vt:lpstr>
      <vt:lpstr>2006data_new</vt:lpstr>
      <vt:lpstr>2007 data</vt:lpstr>
      <vt:lpstr>2008 data</vt:lpstr>
      <vt:lpstr>2009 data</vt:lpstr>
      <vt:lpstr>2010 data</vt:lpstr>
      <vt:lpstr>2011 data</vt:lpstr>
      <vt:lpstr>2012 data</vt:lpstr>
      <vt:lpstr>2013 data</vt:lpstr>
      <vt:lpstr>2014 data</vt:lpstr>
      <vt:lpstr>2001AS</vt:lpstr>
      <vt:lpstr>2002AS</vt:lpstr>
      <vt:lpstr>2003AS</vt:lpstr>
      <vt:lpstr>2004AS</vt:lpstr>
      <vt:lpstr>2005AS</vt:lpstr>
      <vt:lpstr>2006AS</vt:lpstr>
      <vt:lpstr>2007AS</vt:lpstr>
      <vt:lpstr>2008AS</vt:lpstr>
      <vt:lpstr>2009AS</vt:lpstr>
      <vt:lpstr>2010AS</vt:lpstr>
      <vt:lpstr>2011AS</vt:lpstr>
      <vt:lpstr>2012AS</vt:lpstr>
      <vt:lpstr>2013AS</vt:lpstr>
      <vt:lpstr>2015AS</vt:lpstr>
      <vt:lpstr>2014AS</vt:lpstr>
      <vt:lpstr>Dropdown selection</vt:lpstr>
      <vt:lpstr>2015 data</vt:lpstr>
      <vt:lpstr>data1996_new</vt:lpstr>
      <vt:lpstr>data1997_new</vt:lpstr>
      <vt:lpstr>data1998_new</vt:lpstr>
      <vt:lpstr>data1999_new</vt:lpstr>
      <vt:lpstr>data2000_new</vt:lpstr>
      <vt:lpstr>data2001_new</vt:lpstr>
      <vt:lpstr>data2001as</vt:lpstr>
      <vt:lpstr>data2002_new</vt:lpstr>
      <vt:lpstr>data2002as</vt:lpstr>
      <vt:lpstr>data2003_new</vt:lpstr>
      <vt:lpstr>data2003as</vt:lpstr>
      <vt:lpstr>data2004_new</vt:lpstr>
      <vt:lpstr>data2004as</vt:lpstr>
      <vt:lpstr>data2005_new</vt:lpstr>
      <vt:lpstr>data2005as</vt:lpstr>
      <vt:lpstr>data2006_new</vt:lpstr>
      <vt:lpstr>data2006as</vt:lpstr>
      <vt:lpstr>data2007</vt:lpstr>
      <vt:lpstr>data2007AS</vt:lpstr>
      <vt:lpstr>data2008AS</vt:lpstr>
      <vt:lpstr>'2010AS'!data2009AS</vt:lpstr>
      <vt:lpstr>'2011AS'!data2009AS</vt:lpstr>
      <vt:lpstr>'2012AS'!data2009AS</vt:lpstr>
      <vt:lpstr>data2009AS</vt:lpstr>
      <vt:lpstr>'2011AS'!data2010AS</vt:lpstr>
      <vt:lpstr>'2012AS'!data2010AS</vt:lpstr>
      <vt:lpstr>data2010AS</vt:lpstr>
      <vt:lpstr>'2012AS'!data2011AS</vt:lpstr>
      <vt:lpstr>data2011AS</vt:lpstr>
      <vt:lpstr>'List of A and AS level subjects'!Print_Area</vt:lpstr>
      <vt:lpstr>'Table 14'!Print_Area</vt:lpstr>
      <vt:lpstr>'Table 15'!Print_Area</vt:lpstr>
      <vt:lpstr>selectedsex</vt:lpstr>
      <vt:lpstr>selectedsubject</vt:lpstr>
      <vt:lpstr>SelectedsubjectAS</vt:lpstr>
      <vt:lpstr>sexlist</vt:lpstr>
      <vt:lpstr>SlectedsubjectAS</vt:lpstr>
      <vt:lpstr>subjects</vt:lpstr>
    </vt:vector>
  </TitlesOfParts>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Spencer</dc:creator>
  <cp:lastModifiedBy>TAYLOR, Mark</cp:lastModifiedBy>
  <cp:lastPrinted>2015-01-23T08:57:28Z</cp:lastPrinted>
  <dcterms:created xsi:type="dcterms:W3CDTF">2005-10-11T07:43:16Z</dcterms:created>
  <dcterms:modified xsi:type="dcterms:W3CDTF">2015-11-02T15:43:22Z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